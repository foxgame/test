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5"/>
  </bookViews>
  <sheets>
    <sheet name="公式" sheetId="4" r:id="rId1"/>
    <sheet name="伤害减免" sheetId="10" r:id="rId2"/>
    <sheet name="职业闪避" sheetId="9" r:id="rId3"/>
    <sheet name="平衡" sheetId="6" r:id="rId4"/>
    <sheet name="职业" sheetId="8" r:id="rId5"/>
    <sheet name="装备" sheetId="5" r:id="rId6"/>
    <sheet name="装备名称" sheetId="11" r:id="rId7"/>
    <sheet name="装备明细" sheetId="13" r:id="rId8"/>
    <sheet name="npc基础" sheetId="1" r:id="rId9"/>
    <sheet name="基础怪物" sheetId="7" r:id="rId10"/>
    <sheet name="Sheet2" sheetId="12" r:id="rId11"/>
    <sheet name="职业分配" sheetId="3" r:id="rId12"/>
  </sheets>
  <functionGroups builtInGroupCount="18"/>
  <definedNames>
    <definedName name="baseBalance">平衡!$B$2:$E$15</definedName>
    <definedName name="baseBalance2">平衡!$C$2:$E$15</definedName>
    <definedName name="leagonDef">伤害减免!$B$2:$O$101</definedName>
    <definedName name="weaponCO">平衡!$I$2:$Q$15</definedName>
  </definedNames>
  <calcPr calcId="152511"/>
</workbook>
</file>

<file path=xl/calcChain.xml><?xml version="1.0" encoding="utf-8"?>
<calcChain xmlns="http://schemas.openxmlformats.org/spreadsheetml/2006/main">
  <c r="F32" i="11" l="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F31" i="11"/>
  <c r="K16" i="5" l="1"/>
  <c r="K17" i="5"/>
  <c r="K18" i="5"/>
  <c r="K22" i="5"/>
  <c r="K26" i="5"/>
  <c r="K19" i="5"/>
  <c r="K23" i="5"/>
  <c r="K27" i="5"/>
  <c r="K20" i="5"/>
  <c r="K24" i="5"/>
  <c r="K21" i="5"/>
  <c r="K25" i="5"/>
  <c r="K15" i="5"/>
  <c r="P25" i="5" l="1"/>
  <c r="P21" i="5"/>
  <c r="P24" i="5"/>
  <c r="P20" i="5"/>
  <c r="P27" i="5"/>
  <c r="P23" i="5"/>
  <c r="P19" i="5"/>
  <c r="P26" i="5"/>
  <c r="P22" i="5"/>
  <c r="P18" i="5"/>
  <c r="P17" i="5"/>
  <c r="P16" i="5"/>
  <c r="P15" i="5"/>
  <c r="M11" i="5"/>
  <c r="M12" i="5"/>
  <c r="M10" i="5"/>
  <c r="K11" i="5"/>
  <c r="K12" i="5"/>
  <c r="K10" i="5"/>
  <c r="I11" i="5"/>
  <c r="I12" i="5"/>
  <c r="I10" i="5"/>
  <c r="J11" i="5"/>
  <c r="J12" i="5"/>
  <c r="J10" i="5"/>
  <c r="H11" i="5"/>
  <c r="H12" i="5"/>
  <c r="H10" i="5"/>
  <c r="G9" i="5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43" i="9"/>
  <c r="U34" i="9"/>
  <c r="U35" i="9"/>
  <c r="U36" i="9"/>
  <c r="U37" i="9"/>
  <c r="U38" i="9"/>
  <c r="U39" i="9"/>
  <c r="U40" i="9"/>
  <c r="U41" i="9"/>
  <c r="U42" i="9"/>
  <c r="U33" i="9"/>
  <c r="U25" i="9"/>
  <c r="U26" i="9"/>
  <c r="U27" i="9"/>
  <c r="U28" i="9"/>
  <c r="U29" i="9"/>
  <c r="U30" i="9"/>
  <c r="U31" i="9"/>
  <c r="U32" i="9"/>
  <c r="U24" i="9"/>
  <c r="U14" i="9"/>
  <c r="U15" i="9"/>
  <c r="U16" i="9"/>
  <c r="U17" i="9"/>
  <c r="U18" i="9"/>
  <c r="U19" i="9"/>
  <c r="U20" i="9"/>
  <c r="U21" i="9"/>
  <c r="U22" i="9"/>
  <c r="U23" i="9"/>
  <c r="U13" i="9"/>
  <c r="U4" i="9"/>
  <c r="U5" i="9"/>
  <c r="U6" i="9"/>
  <c r="U7" i="9"/>
  <c r="U8" i="9"/>
  <c r="U9" i="9"/>
  <c r="U10" i="9"/>
  <c r="U11" i="9"/>
  <c r="U12" i="9"/>
  <c r="U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3" i="9"/>
  <c r="R3" i="9"/>
  <c r="S4" i="9"/>
  <c r="S5" i="9" s="1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3" i="9"/>
  <c r="O46" i="9"/>
  <c r="O56" i="9" s="1"/>
  <c r="O66" i="9" s="1"/>
  <c r="O76" i="9" s="1"/>
  <c r="O86" i="9" s="1"/>
  <c r="O96" i="9" s="1"/>
  <c r="O30" i="9"/>
  <c r="O40" i="9" s="1"/>
  <c r="O50" i="9" s="1"/>
  <c r="O60" i="9" s="1"/>
  <c r="O70" i="9" s="1"/>
  <c r="O80" i="9" s="1"/>
  <c r="O90" i="9" s="1"/>
  <c r="O100" i="9" s="1"/>
  <c r="O29" i="9"/>
  <c r="O39" i="9" s="1"/>
  <c r="O49" i="9" s="1"/>
  <c r="O59" i="9" s="1"/>
  <c r="O69" i="9" s="1"/>
  <c r="O79" i="9" s="1"/>
  <c r="O89" i="9" s="1"/>
  <c r="O99" i="9" s="1"/>
  <c r="O26" i="9"/>
  <c r="O36" i="9" s="1"/>
  <c r="O25" i="9"/>
  <c r="O35" i="9" s="1"/>
  <c r="O45" i="9" s="1"/>
  <c r="O55" i="9" s="1"/>
  <c r="O65" i="9" s="1"/>
  <c r="O75" i="9" s="1"/>
  <c r="O85" i="9" s="1"/>
  <c r="O95" i="9" s="1"/>
  <c r="O22" i="9"/>
  <c r="O32" i="9" s="1"/>
  <c r="O42" i="9" s="1"/>
  <c r="O52" i="9" s="1"/>
  <c r="O62" i="9" s="1"/>
  <c r="O72" i="9" s="1"/>
  <c r="O82" i="9" s="1"/>
  <c r="O92" i="9" s="1"/>
  <c r="O21" i="9"/>
  <c r="O31" i="9" s="1"/>
  <c r="O41" i="9" s="1"/>
  <c r="O51" i="9" s="1"/>
  <c r="O61" i="9" s="1"/>
  <c r="O71" i="9" s="1"/>
  <c r="O81" i="9" s="1"/>
  <c r="O91" i="9" s="1"/>
  <c r="O101" i="9" s="1"/>
  <c r="O20" i="9"/>
  <c r="O19" i="9"/>
  <c r="O18" i="9"/>
  <c r="O28" i="9" s="1"/>
  <c r="O38" i="9" s="1"/>
  <c r="O48" i="9" s="1"/>
  <c r="O58" i="9" s="1"/>
  <c r="O68" i="9" s="1"/>
  <c r="O78" i="9" s="1"/>
  <c r="O88" i="9" s="1"/>
  <c r="O98" i="9" s="1"/>
  <c r="O17" i="9"/>
  <c r="O27" i="9" s="1"/>
  <c r="O37" i="9" s="1"/>
  <c r="O47" i="9" s="1"/>
  <c r="O57" i="9" s="1"/>
  <c r="O67" i="9" s="1"/>
  <c r="O77" i="9" s="1"/>
  <c r="O87" i="9" s="1"/>
  <c r="O97" i="9" s="1"/>
  <c r="O16" i="9"/>
  <c r="O15" i="9"/>
  <c r="O14" i="9"/>
  <c r="O24" i="9" s="1"/>
  <c r="O34" i="9" s="1"/>
  <c r="O44" i="9" s="1"/>
  <c r="O54" i="9" s="1"/>
  <c r="O64" i="9" s="1"/>
  <c r="O74" i="9" s="1"/>
  <c r="O84" i="9" s="1"/>
  <c r="O94" i="9" s="1"/>
  <c r="O13" i="9"/>
  <c r="O23" i="9" s="1"/>
  <c r="O33" i="9" s="1"/>
  <c r="O43" i="9" s="1"/>
  <c r="O53" i="9" s="1"/>
  <c r="O63" i="9" s="1"/>
  <c r="O73" i="9" s="1"/>
  <c r="O83" i="9" s="1"/>
  <c r="O93" i="9" s="1"/>
  <c r="D5" i="9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4" i="9"/>
  <c r="I4" i="9"/>
  <c r="I3" i="9"/>
  <c r="E4" i="9"/>
  <c r="E3" i="9"/>
  <c r="C14" i="9"/>
  <c r="C15" i="9"/>
  <c r="C16" i="9"/>
  <c r="C17" i="9"/>
  <c r="C27" i="9" s="1"/>
  <c r="C37" i="9" s="1"/>
  <c r="C47" i="9" s="1"/>
  <c r="C57" i="9" s="1"/>
  <c r="C67" i="9" s="1"/>
  <c r="C77" i="9" s="1"/>
  <c r="C87" i="9" s="1"/>
  <c r="C97" i="9" s="1"/>
  <c r="C18" i="9"/>
  <c r="C19" i="9"/>
  <c r="C20" i="9"/>
  <c r="C21" i="9"/>
  <c r="C31" i="9" s="1"/>
  <c r="C41" i="9" s="1"/>
  <c r="C51" i="9" s="1"/>
  <c r="C61" i="9" s="1"/>
  <c r="C71" i="9" s="1"/>
  <c r="C81" i="9" s="1"/>
  <c r="C91" i="9" s="1"/>
  <c r="C101" i="9" s="1"/>
  <c r="C22" i="9"/>
  <c r="C23" i="9"/>
  <c r="C24" i="9"/>
  <c r="C25" i="9"/>
  <c r="C35" i="9" s="1"/>
  <c r="C45" i="9" s="1"/>
  <c r="C55" i="9" s="1"/>
  <c r="C65" i="9" s="1"/>
  <c r="C75" i="9" s="1"/>
  <c r="C85" i="9" s="1"/>
  <c r="C95" i="9" s="1"/>
  <c r="C26" i="9"/>
  <c r="C28" i="9"/>
  <c r="C29" i="9"/>
  <c r="C39" i="9" s="1"/>
  <c r="C49" i="9" s="1"/>
  <c r="C59" i="9" s="1"/>
  <c r="C69" i="9" s="1"/>
  <c r="C79" i="9" s="1"/>
  <c r="C89" i="9" s="1"/>
  <c r="C99" i="9" s="1"/>
  <c r="C30" i="9"/>
  <c r="C32" i="9"/>
  <c r="C33" i="9"/>
  <c r="C43" i="9" s="1"/>
  <c r="C53" i="9" s="1"/>
  <c r="C63" i="9" s="1"/>
  <c r="C73" i="9" s="1"/>
  <c r="C83" i="9" s="1"/>
  <c r="C93" i="9" s="1"/>
  <c r="C34" i="9"/>
  <c r="C36" i="9"/>
  <c r="C38" i="9"/>
  <c r="C40" i="9"/>
  <c r="C42" i="9"/>
  <c r="C44" i="9"/>
  <c r="C46" i="9"/>
  <c r="C48" i="9"/>
  <c r="C50" i="9"/>
  <c r="C52" i="9"/>
  <c r="C54" i="9"/>
  <c r="C56" i="9"/>
  <c r="C58" i="9"/>
  <c r="C60" i="9"/>
  <c r="C62" i="9"/>
  <c r="C64" i="9"/>
  <c r="C66" i="9"/>
  <c r="C68" i="9"/>
  <c r="C70" i="9"/>
  <c r="C72" i="9"/>
  <c r="C74" i="9"/>
  <c r="C76" i="9"/>
  <c r="C78" i="9"/>
  <c r="C80" i="9"/>
  <c r="C82" i="9"/>
  <c r="C84" i="9"/>
  <c r="C86" i="9"/>
  <c r="C88" i="9"/>
  <c r="C90" i="9"/>
  <c r="C92" i="9"/>
  <c r="C94" i="9"/>
  <c r="C96" i="9"/>
  <c r="C98" i="9"/>
  <c r="C100" i="9"/>
  <c r="C13" i="9"/>
  <c r="K4" i="6"/>
  <c r="K5" i="6"/>
  <c r="K6" i="6"/>
  <c r="K7" i="6"/>
  <c r="K8" i="6"/>
  <c r="K9" i="6"/>
  <c r="K10" i="6"/>
  <c r="K11" i="6"/>
  <c r="K12" i="6"/>
  <c r="K13" i="6"/>
  <c r="K14" i="6"/>
  <c r="K15" i="6"/>
  <c r="K3" i="6"/>
  <c r="J7" i="10"/>
  <c r="J4" i="10"/>
  <c r="J5" i="10"/>
  <c r="J6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3" i="10"/>
  <c r="D5" i="10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4" i="10"/>
  <c r="K3" i="10"/>
  <c r="G4" i="10"/>
  <c r="G3" i="10"/>
  <c r="F1" i="10"/>
  <c r="C14" i="10"/>
  <c r="C15" i="10"/>
  <c r="C16" i="10"/>
  <c r="C26" i="10" s="1"/>
  <c r="C36" i="10" s="1"/>
  <c r="C46" i="10" s="1"/>
  <c r="C56" i="10" s="1"/>
  <c r="C66" i="10" s="1"/>
  <c r="C76" i="10" s="1"/>
  <c r="C86" i="10" s="1"/>
  <c r="C96" i="10" s="1"/>
  <c r="C17" i="10"/>
  <c r="C27" i="10" s="1"/>
  <c r="C37" i="10" s="1"/>
  <c r="C47" i="10" s="1"/>
  <c r="C57" i="10" s="1"/>
  <c r="C67" i="10" s="1"/>
  <c r="C77" i="10" s="1"/>
  <c r="C87" i="10" s="1"/>
  <c r="C97" i="10" s="1"/>
  <c r="C18" i="10"/>
  <c r="C19" i="10"/>
  <c r="C20" i="10"/>
  <c r="C21" i="10"/>
  <c r="C31" i="10" s="1"/>
  <c r="C41" i="10" s="1"/>
  <c r="C51" i="10" s="1"/>
  <c r="C61" i="10" s="1"/>
  <c r="C71" i="10" s="1"/>
  <c r="C81" i="10" s="1"/>
  <c r="C91" i="10" s="1"/>
  <c r="C101" i="10" s="1"/>
  <c r="C22" i="10"/>
  <c r="C24" i="10"/>
  <c r="C25" i="10"/>
  <c r="C35" i="10" s="1"/>
  <c r="C45" i="10" s="1"/>
  <c r="C55" i="10" s="1"/>
  <c r="C65" i="10" s="1"/>
  <c r="C75" i="10" s="1"/>
  <c r="C85" i="10" s="1"/>
  <c r="C95" i="10" s="1"/>
  <c r="C28" i="10"/>
  <c r="C38" i="10" s="1"/>
  <c r="C48" i="10" s="1"/>
  <c r="C58" i="10" s="1"/>
  <c r="C68" i="10" s="1"/>
  <c r="C78" i="10" s="1"/>
  <c r="C88" i="10" s="1"/>
  <c r="C98" i="10" s="1"/>
  <c r="C29" i="10"/>
  <c r="C39" i="10" s="1"/>
  <c r="C49" i="10" s="1"/>
  <c r="C59" i="10" s="1"/>
  <c r="C69" i="10" s="1"/>
  <c r="C79" i="10" s="1"/>
  <c r="C89" i="10" s="1"/>
  <c r="C99" i="10" s="1"/>
  <c r="C30" i="10"/>
  <c r="C40" i="10" s="1"/>
  <c r="C50" i="10" s="1"/>
  <c r="C60" i="10" s="1"/>
  <c r="C70" i="10" s="1"/>
  <c r="C80" i="10" s="1"/>
  <c r="C90" i="10" s="1"/>
  <c r="C100" i="10" s="1"/>
  <c r="C32" i="10"/>
  <c r="C34" i="10"/>
  <c r="C42" i="10"/>
  <c r="C44" i="10"/>
  <c r="C54" i="10" s="1"/>
  <c r="C64" i="10" s="1"/>
  <c r="C74" i="10" s="1"/>
  <c r="C84" i="10" s="1"/>
  <c r="C94" i="10" s="1"/>
  <c r="C52" i="10"/>
  <c r="C62" i="10" s="1"/>
  <c r="C72" i="10" s="1"/>
  <c r="C82" i="10" s="1"/>
  <c r="C92" i="10" s="1"/>
  <c r="C13" i="10"/>
  <c r="C23" i="10" s="1"/>
  <c r="C33" i="10" s="1"/>
  <c r="C43" i="10" s="1"/>
  <c r="C53" i="10" s="1"/>
  <c r="C63" i="10" s="1"/>
  <c r="C73" i="10" s="1"/>
  <c r="C83" i="10" s="1"/>
  <c r="C93" i="10" s="1"/>
  <c r="N37" i="6"/>
  <c r="L37" i="6"/>
  <c r="K37" i="6"/>
  <c r="P28" i="6"/>
  <c r="O29" i="6"/>
  <c r="O30" i="6"/>
  <c r="O31" i="6"/>
  <c r="O32" i="6"/>
  <c r="O33" i="6"/>
  <c r="O34" i="6"/>
  <c r="O35" i="6"/>
  <c r="O36" i="6"/>
  <c r="O37" i="6"/>
  <c r="M29" i="6"/>
  <c r="M30" i="6"/>
  <c r="M31" i="6"/>
  <c r="M32" i="6"/>
  <c r="M33" i="6"/>
  <c r="M34" i="6"/>
  <c r="M35" i="6"/>
  <c r="M36" i="6"/>
  <c r="M37" i="6"/>
  <c r="N28" i="6"/>
  <c r="O28" i="6"/>
  <c r="M28" i="6"/>
  <c r="P19" i="6"/>
  <c r="P20" i="6"/>
  <c r="P21" i="6"/>
  <c r="P22" i="6"/>
  <c r="P23" i="6"/>
  <c r="P24" i="6"/>
  <c r="P25" i="6"/>
  <c r="P26" i="6"/>
  <c r="P27" i="6"/>
  <c r="P18" i="6"/>
  <c r="I17" i="5"/>
  <c r="I18" i="5"/>
  <c r="I22" i="5"/>
  <c r="I26" i="5"/>
  <c r="I19" i="5"/>
  <c r="I23" i="5"/>
  <c r="I27" i="5"/>
  <c r="I16" i="5"/>
  <c r="I20" i="5"/>
  <c r="I24" i="5"/>
  <c r="I21" i="5"/>
  <c r="I25" i="5"/>
  <c r="I15" i="5"/>
  <c r="F17" i="5"/>
  <c r="F24" i="5"/>
  <c r="F27" i="5"/>
  <c r="F23" i="5"/>
  <c r="F18" i="5"/>
  <c r="F25" i="5"/>
  <c r="F20" i="5"/>
  <c r="F26" i="5"/>
  <c r="F15" i="5"/>
  <c r="F22" i="5"/>
  <c r="F19" i="5"/>
  <c r="F21" i="5"/>
  <c r="F16" i="5"/>
  <c r="E24" i="5"/>
  <c r="E18" i="5"/>
  <c r="E23" i="5"/>
  <c r="H9" i="8"/>
  <c r="H25" i="8"/>
  <c r="H11" i="8"/>
  <c r="H12" i="8"/>
  <c r="H10" i="8"/>
  <c r="H26" i="8"/>
  <c r="H7" i="8"/>
  <c r="H39" i="8"/>
  <c r="H32" i="8"/>
  <c r="Q4" i="8"/>
  <c r="Q20" i="8"/>
  <c r="Q36" i="8"/>
  <c r="Q13" i="8"/>
  <c r="Q29" i="8"/>
  <c r="Q6" i="8"/>
  <c r="Q22" i="8"/>
  <c r="Q38" i="8"/>
  <c r="Q27" i="8"/>
  <c r="Q3" i="8"/>
  <c r="P16" i="8"/>
  <c r="P32" i="8"/>
  <c r="P31" i="8"/>
  <c r="P13" i="8"/>
  <c r="P29" i="8"/>
  <c r="P27" i="8"/>
  <c r="P18" i="8"/>
  <c r="P34" i="8"/>
  <c r="P35" i="8"/>
  <c r="N12" i="8"/>
  <c r="N28" i="8"/>
  <c r="N19" i="8"/>
  <c r="N13" i="8"/>
  <c r="N29" i="8"/>
  <c r="N27" i="8"/>
  <c r="N14" i="8"/>
  <c r="N30" i="8"/>
  <c r="N23" i="8"/>
  <c r="E19" i="5"/>
  <c r="H37" i="8"/>
  <c r="H22" i="8"/>
  <c r="H24" i="8"/>
  <c r="Q16" i="8"/>
  <c r="Q9" i="8"/>
  <c r="Q18" i="8"/>
  <c r="P12" i="8"/>
  <c r="P19" i="8"/>
  <c r="P14" i="8"/>
  <c r="N8" i="8"/>
  <c r="N9" i="8"/>
  <c r="N10" i="8"/>
  <c r="E17" i="5"/>
  <c r="E22" i="5"/>
  <c r="E27" i="5"/>
  <c r="H13" i="8"/>
  <c r="H29" i="8"/>
  <c r="H19" i="8"/>
  <c r="H20" i="8"/>
  <c r="H14" i="8"/>
  <c r="H30" i="8"/>
  <c r="H15" i="8"/>
  <c r="H8" i="8"/>
  <c r="H36" i="8"/>
  <c r="Q8" i="8"/>
  <c r="Q24" i="8"/>
  <c r="Q15" i="8"/>
  <c r="Q17" i="8"/>
  <c r="Q33" i="8"/>
  <c r="Q10" i="8"/>
  <c r="Q26" i="8"/>
  <c r="Q7" i="8"/>
  <c r="Q31" i="8"/>
  <c r="P4" i="8"/>
  <c r="P20" i="8"/>
  <c r="P36" i="8"/>
  <c r="P39" i="8"/>
  <c r="P17" i="8"/>
  <c r="P33" i="8"/>
  <c r="P6" i="8"/>
  <c r="P22" i="8"/>
  <c r="P38" i="8"/>
  <c r="P3" i="8"/>
  <c r="N16" i="8"/>
  <c r="N32" i="8"/>
  <c r="N31" i="8"/>
  <c r="N17" i="8"/>
  <c r="N33" i="8"/>
  <c r="N35" i="8"/>
  <c r="N18" i="8"/>
  <c r="N34" i="8"/>
  <c r="N39" i="8"/>
  <c r="E20" i="5"/>
  <c r="H5" i="8"/>
  <c r="H31" i="8"/>
  <c r="H38" i="8"/>
  <c r="H3" i="8"/>
  <c r="Q25" i="8"/>
  <c r="Q23" i="8"/>
  <c r="P28" i="8"/>
  <c r="P9" i="8"/>
  <c r="P11" i="8"/>
  <c r="P23" i="8"/>
  <c r="N11" i="8"/>
  <c r="N15" i="8"/>
  <c r="N7" i="8"/>
  <c r="E16" i="5"/>
  <c r="E21" i="5"/>
  <c r="E26" i="5"/>
  <c r="E15" i="5"/>
  <c r="H17" i="8"/>
  <c r="H33" i="8"/>
  <c r="H23" i="8"/>
  <c r="H28" i="8"/>
  <c r="H18" i="8"/>
  <c r="H34" i="8"/>
  <c r="H27" i="8"/>
  <c r="H16" i="8"/>
  <c r="H4" i="8"/>
  <c r="Q12" i="8"/>
  <c r="Q28" i="8"/>
  <c r="Q5" i="8"/>
  <c r="Q21" i="8"/>
  <c r="Q37" i="8"/>
  <c r="Q14" i="8"/>
  <c r="Q30" i="8"/>
  <c r="Q19" i="8"/>
  <c r="Q35" i="8"/>
  <c r="P8" i="8"/>
  <c r="P24" i="8"/>
  <c r="P15" i="8"/>
  <c r="P5" i="8"/>
  <c r="P21" i="8"/>
  <c r="P37" i="8"/>
  <c r="P10" i="8"/>
  <c r="P26" i="8"/>
  <c r="P7" i="8"/>
  <c r="N4" i="8"/>
  <c r="N20" i="8"/>
  <c r="N36" i="8"/>
  <c r="N5" i="8"/>
  <c r="N21" i="8"/>
  <c r="N37" i="8"/>
  <c r="N6" i="8"/>
  <c r="N22" i="8"/>
  <c r="N38" i="8"/>
  <c r="N3" i="8"/>
  <c r="E25" i="5"/>
  <c r="H21" i="8"/>
  <c r="H6" i="8"/>
  <c r="H35" i="8"/>
  <c r="Q32" i="8"/>
  <c r="Q11" i="8"/>
  <c r="Q34" i="8"/>
  <c r="Q39" i="8"/>
  <c r="P25" i="8"/>
  <c r="P30" i="8"/>
  <c r="N24" i="8"/>
  <c r="N25" i="8"/>
  <c r="N26" i="8"/>
  <c r="N25" i="5" l="1"/>
  <c r="N21" i="5"/>
  <c r="N24" i="5"/>
  <c r="N20" i="5"/>
  <c r="N16" i="5"/>
  <c r="N27" i="5"/>
  <c r="N23" i="5"/>
  <c r="N19" i="5"/>
  <c r="N26" i="5"/>
  <c r="N22" i="5"/>
  <c r="N18" i="5"/>
  <c r="N17" i="5"/>
  <c r="N15" i="5"/>
  <c r="S4" i="8"/>
  <c r="W4" i="8"/>
  <c r="U4" i="8"/>
  <c r="T4" i="8"/>
  <c r="X4" i="8"/>
  <c r="V4" i="8"/>
  <c r="S36" i="8"/>
  <c r="W36" i="8"/>
  <c r="T36" i="8"/>
  <c r="X36" i="8"/>
  <c r="U36" i="8"/>
  <c r="V36" i="8"/>
  <c r="S32" i="8"/>
  <c r="W32" i="8"/>
  <c r="T32" i="8"/>
  <c r="X32" i="8"/>
  <c r="U32" i="8"/>
  <c r="V32" i="8"/>
  <c r="S24" i="8"/>
  <c r="W24" i="8"/>
  <c r="U24" i="8"/>
  <c r="T24" i="8"/>
  <c r="X24" i="8"/>
  <c r="V24" i="8"/>
  <c r="S16" i="8"/>
  <c r="W16" i="8"/>
  <c r="U16" i="8"/>
  <c r="T16" i="8"/>
  <c r="X16" i="8"/>
  <c r="V16" i="8"/>
  <c r="S8" i="8"/>
  <c r="W8" i="8"/>
  <c r="T8" i="8"/>
  <c r="X8" i="8"/>
  <c r="U8" i="8"/>
  <c r="V8" i="8"/>
  <c r="U39" i="8"/>
  <c r="W39" i="8"/>
  <c r="V39" i="8"/>
  <c r="S39" i="8"/>
  <c r="T39" i="8"/>
  <c r="X39" i="8"/>
  <c r="U35" i="8"/>
  <c r="W35" i="8"/>
  <c r="V35" i="8"/>
  <c r="S35" i="8"/>
  <c r="T35" i="8"/>
  <c r="X35" i="8"/>
  <c r="U27" i="8"/>
  <c r="S27" i="8"/>
  <c r="V27" i="8"/>
  <c r="W27" i="8"/>
  <c r="T27" i="8"/>
  <c r="X27" i="8"/>
  <c r="U15" i="8"/>
  <c r="S15" i="8"/>
  <c r="V15" i="8"/>
  <c r="W15" i="8"/>
  <c r="T15" i="8"/>
  <c r="X15" i="8"/>
  <c r="U7" i="8"/>
  <c r="W7" i="8"/>
  <c r="V7" i="8"/>
  <c r="S7" i="8"/>
  <c r="T7" i="8"/>
  <c r="X7" i="8"/>
  <c r="S38" i="8"/>
  <c r="W38" i="8"/>
  <c r="U38" i="8"/>
  <c r="T38" i="8"/>
  <c r="X38" i="8"/>
  <c r="V38" i="8"/>
  <c r="S34" i="8"/>
  <c r="W34" i="8"/>
  <c r="U34" i="8"/>
  <c r="T34" i="8"/>
  <c r="X34" i="8"/>
  <c r="V34" i="8"/>
  <c r="S30" i="8"/>
  <c r="W30" i="8"/>
  <c r="U30" i="8"/>
  <c r="T30" i="8"/>
  <c r="X30" i="8"/>
  <c r="V30" i="8"/>
  <c r="S26" i="8"/>
  <c r="W26" i="8"/>
  <c r="T26" i="8"/>
  <c r="X26" i="8"/>
  <c r="U26" i="8"/>
  <c r="V26" i="8"/>
  <c r="S22" i="8"/>
  <c r="W22" i="8"/>
  <c r="T22" i="8"/>
  <c r="X22" i="8"/>
  <c r="U22" i="8"/>
  <c r="V22" i="8"/>
  <c r="S18" i="8"/>
  <c r="W18" i="8"/>
  <c r="T18" i="8"/>
  <c r="X18" i="8"/>
  <c r="U18" i="8"/>
  <c r="V18" i="8"/>
  <c r="S14" i="8"/>
  <c r="W14" i="8"/>
  <c r="U14" i="8"/>
  <c r="T14" i="8"/>
  <c r="X14" i="8"/>
  <c r="V14" i="8"/>
  <c r="S10" i="8"/>
  <c r="W10" i="8"/>
  <c r="U10" i="8"/>
  <c r="T10" i="8"/>
  <c r="X10" i="8"/>
  <c r="V10" i="8"/>
  <c r="S6" i="8"/>
  <c r="W6" i="8"/>
  <c r="U6" i="8"/>
  <c r="T6" i="8"/>
  <c r="X6" i="8"/>
  <c r="V6" i="8"/>
  <c r="S28" i="8"/>
  <c r="W28" i="8"/>
  <c r="U28" i="8"/>
  <c r="T28" i="8"/>
  <c r="X28" i="8"/>
  <c r="V28" i="8"/>
  <c r="S20" i="8"/>
  <c r="W20" i="8"/>
  <c r="U20" i="8"/>
  <c r="T20" i="8"/>
  <c r="X20" i="8"/>
  <c r="V20" i="8"/>
  <c r="S12" i="8"/>
  <c r="W12" i="8"/>
  <c r="T12" i="8"/>
  <c r="X12" i="8"/>
  <c r="U12" i="8"/>
  <c r="V12" i="8"/>
  <c r="U31" i="8"/>
  <c r="W31" i="8"/>
  <c r="V31" i="8"/>
  <c r="S31" i="8"/>
  <c r="T31" i="8"/>
  <c r="X31" i="8"/>
  <c r="U23" i="8"/>
  <c r="S23" i="8"/>
  <c r="V23" i="8"/>
  <c r="W23" i="8"/>
  <c r="T23" i="8"/>
  <c r="X23" i="8"/>
  <c r="U19" i="8"/>
  <c r="S19" i="8"/>
  <c r="V19" i="8"/>
  <c r="W19" i="8"/>
  <c r="T19" i="8"/>
  <c r="X19" i="8"/>
  <c r="U11" i="8"/>
  <c r="W11" i="8"/>
  <c r="V11" i="8"/>
  <c r="S11" i="8"/>
  <c r="X11" i="8"/>
  <c r="T11" i="8"/>
  <c r="U37" i="8"/>
  <c r="S37" i="8"/>
  <c r="V37" i="8"/>
  <c r="W37" i="8"/>
  <c r="T37" i="8"/>
  <c r="X37" i="8"/>
  <c r="U33" i="8"/>
  <c r="S33" i="8"/>
  <c r="V33" i="8"/>
  <c r="W33" i="8"/>
  <c r="X33" i="8"/>
  <c r="T33" i="8"/>
  <c r="U29" i="8"/>
  <c r="S29" i="8"/>
  <c r="V29" i="8"/>
  <c r="W29" i="8"/>
  <c r="X29" i="8"/>
  <c r="T29" i="8"/>
  <c r="U25" i="8"/>
  <c r="W25" i="8"/>
  <c r="V25" i="8"/>
  <c r="S25" i="8"/>
  <c r="X25" i="8"/>
  <c r="T25" i="8"/>
  <c r="U21" i="8"/>
  <c r="W21" i="8"/>
  <c r="V21" i="8"/>
  <c r="S21" i="8"/>
  <c r="X21" i="8"/>
  <c r="T21" i="8"/>
  <c r="U17" i="8"/>
  <c r="W17" i="8"/>
  <c r="V17" i="8"/>
  <c r="S17" i="8"/>
  <c r="X17" i="8"/>
  <c r="T17" i="8"/>
  <c r="U13" i="8"/>
  <c r="S13" i="8"/>
  <c r="V13" i="8"/>
  <c r="W13" i="8"/>
  <c r="X13" i="8"/>
  <c r="T13" i="8"/>
  <c r="U9" i="8"/>
  <c r="S9" i="8"/>
  <c r="V9" i="8"/>
  <c r="W9" i="8"/>
  <c r="X9" i="8"/>
  <c r="T9" i="8"/>
  <c r="U5" i="8"/>
  <c r="W5" i="8"/>
  <c r="T5" i="8"/>
  <c r="X5" i="8"/>
  <c r="V5" i="8"/>
  <c r="S5" i="8"/>
  <c r="T3" i="8"/>
  <c r="X3" i="8"/>
  <c r="U3" i="8"/>
  <c r="V3" i="8"/>
  <c r="W3" i="8"/>
  <c r="S3" i="8"/>
  <c r="S6" i="9"/>
  <c r="R5" i="9"/>
  <c r="R4" i="9"/>
  <c r="S7" i="9"/>
  <c r="I7" i="9"/>
  <c r="I8" i="9"/>
  <c r="E7" i="9"/>
  <c r="I6" i="9"/>
  <c r="E6" i="9"/>
  <c r="I5" i="9"/>
  <c r="E5" i="9"/>
  <c r="G5" i="10"/>
  <c r="K4" i="10"/>
  <c r="K6" i="10"/>
  <c r="K5" i="10"/>
  <c r="G6" i="10"/>
  <c r="K7" i="10"/>
  <c r="F4" i="3"/>
  <c r="F5" i="3"/>
  <c r="J5" i="3" s="1"/>
  <c r="F6" i="3"/>
  <c r="F7" i="3"/>
  <c r="F8" i="3"/>
  <c r="F9" i="3"/>
  <c r="J9" i="3" s="1"/>
  <c r="F10" i="3"/>
  <c r="F11" i="3"/>
  <c r="F12" i="3"/>
  <c r="F13" i="3"/>
  <c r="J13" i="3" s="1"/>
  <c r="F14" i="3"/>
  <c r="F15" i="3"/>
  <c r="F16" i="3"/>
  <c r="F17" i="3"/>
  <c r="J17" i="3" s="1"/>
  <c r="F18" i="3"/>
  <c r="F19" i="3"/>
  <c r="F20" i="3"/>
  <c r="F21" i="3"/>
  <c r="J21" i="3" s="1"/>
  <c r="F22" i="3"/>
  <c r="F23" i="3"/>
  <c r="F24" i="3"/>
  <c r="F25" i="3"/>
  <c r="J25" i="3" s="1"/>
  <c r="F26" i="3"/>
  <c r="F27" i="3"/>
  <c r="F28" i="3"/>
  <c r="F29" i="3"/>
  <c r="J29" i="3" s="1"/>
  <c r="F30" i="3"/>
  <c r="F31" i="3"/>
  <c r="F32" i="3"/>
  <c r="F33" i="3"/>
  <c r="J33" i="3" s="1"/>
  <c r="F34" i="3"/>
  <c r="F35" i="3"/>
  <c r="F36" i="3"/>
  <c r="F37" i="3"/>
  <c r="J37" i="3" s="1"/>
  <c r="F38" i="3"/>
  <c r="F39" i="3"/>
  <c r="F40" i="3"/>
  <c r="F41" i="3"/>
  <c r="J41" i="3" s="1"/>
  <c r="F42" i="3"/>
  <c r="F43" i="3"/>
  <c r="F44" i="3"/>
  <c r="F45" i="3"/>
  <c r="J45" i="3" s="1"/>
  <c r="F46" i="3"/>
  <c r="F47" i="3"/>
  <c r="F48" i="3"/>
  <c r="F49" i="3"/>
  <c r="J49" i="3" s="1"/>
  <c r="F50" i="3"/>
  <c r="F51" i="3"/>
  <c r="F52" i="3"/>
  <c r="F53" i="3"/>
  <c r="J53" i="3" s="1"/>
  <c r="F54" i="3"/>
  <c r="F55" i="3"/>
  <c r="F56" i="3"/>
  <c r="F57" i="3"/>
  <c r="J57" i="3" s="1"/>
  <c r="F58" i="3"/>
  <c r="F59" i="3"/>
  <c r="F60" i="3"/>
  <c r="F61" i="3"/>
  <c r="J61" i="3" s="1"/>
  <c r="F62" i="3"/>
  <c r="F63" i="3"/>
  <c r="F64" i="3"/>
  <c r="F65" i="3"/>
  <c r="J65" i="3" s="1"/>
  <c r="F66" i="3"/>
  <c r="F67" i="3"/>
  <c r="F68" i="3"/>
  <c r="F69" i="3"/>
  <c r="J69" i="3" s="1"/>
  <c r="F70" i="3"/>
  <c r="F71" i="3"/>
  <c r="F72" i="3"/>
  <c r="F73" i="3"/>
  <c r="J73" i="3" s="1"/>
  <c r="F74" i="3"/>
  <c r="F75" i="3"/>
  <c r="F76" i="3"/>
  <c r="F77" i="3"/>
  <c r="J77" i="3" s="1"/>
  <c r="F78" i="3"/>
  <c r="F79" i="3"/>
  <c r="F80" i="3"/>
  <c r="F81" i="3"/>
  <c r="J81" i="3" s="1"/>
  <c r="F82" i="3"/>
  <c r="F83" i="3"/>
  <c r="F84" i="3"/>
  <c r="F85" i="3"/>
  <c r="J85" i="3" s="1"/>
  <c r="F86" i="3"/>
  <c r="F87" i="3"/>
  <c r="F88" i="3"/>
  <c r="F89" i="3"/>
  <c r="J89" i="3" s="1"/>
  <c r="F90" i="3"/>
  <c r="F91" i="3"/>
  <c r="F92" i="3"/>
  <c r="F93" i="3"/>
  <c r="J93" i="3" s="1"/>
  <c r="F94" i="3"/>
  <c r="F95" i="3"/>
  <c r="F96" i="3"/>
  <c r="F97" i="3"/>
  <c r="J97" i="3" s="1"/>
  <c r="F98" i="3"/>
  <c r="F99" i="3"/>
  <c r="F100" i="3"/>
  <c r="F101" i="3"/>
  <c r="J101" i="3" s="1"/>
  <c r="F3" i="3"/>
  <c r="J3" i="3" s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3" i="8"/>
  <c r="J4" i="3"/>
  <c r="J6" i="3"/>
  <c r="J7" i="3"/>
  <c r="J8" i="3"/>
  <c r="J10" i="3"/>
  <c r="J11" i="3"/>
  <c r="J12" i="3"/>
  <c r="J14" i="3"/>
  <c r="J15" i="3"/>
  <c r="J16" i="3"/>
  <c r="J18" i="3"/>
  <c r="J19" i="3"/>
  <c r="J20" i="3"/>
  <c r="J22" i="3"/>
  <c r="J23" i="3"/>
  <c r="J24" i="3"/>
  <c r="J26" i="3"/>
  <c r="J27" i="3"/>
  <c r="J28" i="3"/>
  <c r="J30" i="3"/>
  <c r="J31" i="3"/>
  <c r="J32" i="3"/>
  <c r="J34" i="3"/>
  <c r="J35" i="3"/>
  <c r="J36" i="3"/>
  <c r="J38" i="3"/>
  <c r="J39" i="3"/>
  <c r="J40" i="3"/>
  <c r="J42" i="3"/>
  <c r="J43" i="3"/>
  <c r="J44" i="3"/>
  <c r="J46" i="3"/>
  <c r="J47" i="3"/>
  <c r="J48" i="3"/>
  <c r="J50" i="3"/>
  <c r="J51" i="3"/>
  <c r="J52" i="3"/>
  <c r="J54" i="3"/>
  <c r="J55" i="3"/>
  <c r="J56" i="3"/>
  <c r="J58" i="3"/>
  <c r="J59" i="3"/>
  <c r="J60" i="3"/>
  <c r="J62" i="3"/>
  <c r="J63" i="3"/>
  <c r="J64" i="3"/>
  <c r="J66" i="3"/>
  <c r="J67" i="3"/>
  <c r="J68" i="3"/>
  <c r="J70" i="3"/>
  <c r="J71" i="3"/>
  <c r="J72" i="3"/>
  <c r="J74" i="3"/>
  <c r="J75" i="3"/>
  <c r="J76" i="3"/>
  <c r="J78" i="3"/>
  <c r="J79" i="3"/>
  <c r="J80" i="3"/>
  <c r="J82" i="3"/>
  <c r="J83" i="3"/>
  <c r="J84" i="3"/>
  <c r="J86" i="3"/>
  <c r="J87" i="3"/>
  <c r="J88" i="3"/>
  <c r="J90" i="3"/>
  <c r="J91" i="3"/>
  <c r="J92" i="3"/>
  <c r="J94" i="3"/>
  <c r="J95" i="3"/>
  <c r="J96" i="3"/>
  <c r="J98" i="3"/>
  <c r="J99" i="3"/>
  <c r="J100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3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4" i="3"/>
  <c r="I3" i="3"/>
  <c r="D5" i="3"/>
  <c r="D6" i="3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4" i="3"/>
  <c r="J16" i="5"/>
  <c r="J26" i="5"/>
  <c r="J23" i="5"/>
  <c r="J21" i="5"/>
  <c r="J20" i="5"/>
  <c r="J27" i="5"/>
  <c r="J19" i="5"/>
  <c r="J25" i="5"/>
  <c r="J24" i="5"/>
  <c r="J22" i="5"/>
  <c r="J18" i="5"/>
  <c r="J17" i="5"/>
  <c r="J15" i="5"/>
  <c r="H16" i="5"/>
  <c r="H26" i="5"/>
  <c r="H23" i="5"/>
  <c r="H21" i="5"/>
  <c r="H20" i="5"/>
  <c r="H27" i="5"/>
  <c r="H19" i="5"/>
  <c r="H25" i="5"/>
  <c r="H24" i="5"/>
  <c r="H22" i="5"/>
  <c r="H18" i="5"/>
  <c r="H17" i="5"/>
  <c r="H15" i="5"/>
  <c r="I6" i="8"/>
  <c r="J6" i="8"/>
  <c r="I12" i="8"/>
  <c r="I15" i="8"/>
  <c r="J12" i="8"/>
  <c r="J15" i="8"/>
  <c r="M17" i="5" l="1"/>
  <c r="M18" i="5"/>
  <c r="M22" i="5"/>
  <c r="M24" i="5"/>
  <c r="M25" i="5"/>
  <c r="M19" i="5"/>
  <c r="M27" i="5"/>
  <c r="M20" i="5"/>
  <c r="M21" i="5"/>
  <c r="M23" i="5"/>
  <c r="M26" i="5"/>
  <c r="M16" i="5"/>
  <c r="O17" i="5"/>
  <c r="O18" i="5"/>
  <c r="O22" i="5"/>
  <c r="O24" i="5"/>
  <c r="O25" i="5"/>
  <c r="O19" i="5"/>
  <c r="O27" i="5"/>
  <c r="O20" i="5"/>
  <c r="O21" i="5"/>
  <c r="O23" i="5"/>
  <c r="O26" i="5"/>
  <c r="O16" i="5"/>
  <c r="M15" i="5"/>
  <c r="O15" i="5"/>
  <c r="R7" i="9"/>
  <c r="R6" i="9"/>
  <c r="S8" i="9"/>
  <c r="E8" i="9"/>
  <c r="G7" i="10"/>
  <c r="K8" i="10"/>
  <c r="L33" i="6"/>
  <c r="N33" i="6"/>
  <c r="L34" i="6"/>
  <c r="N34" i="6"/>
  <c r="L32" i="6"/>
  <c r="N32" i="6"/>
  <c r="L31" i="6"/>
  <c r="N31" i="6"/>
  <c r="L30" i="6"/>
  <c r="N30" i="6"/>
  <c r="N29" i="6"/>
  <c r="L29" i="6"/>
  <c r="K34" i="6"/>
  <c r="K33" i="6"/>
  <c r="K32" i="6"/>
  <c r="K31" i="6"/>
  <c r="K30" i="6"/>
  <c r="K29" i="6"/>
  <c r="K28" i="6"/>
  <c r="L28" i="6"/>
  <c r="O6" i="8"/>
  <c r="K15" i="8"/>
  <c r="M12" i="8"/>
  <c r="M15" i="8"/>
  <c r="K12" i="8"/>
  <c r="O12" i="8"/>
  <c r="M6" i="8"/>
  <c r="K6" i="8"/>
  <c r="O15" i="8"/>
  <c r="R8" i="9" l="1"/>
  <c r="S9" i="9"/>
  <c r="I9" i="9"/>
  <c r="E9" i="9"/>
  <c r="K9" i="10"/>
  <c r="G8" i="10"/>
  <c r="P32" i="6"/>
  <c r="P33" i="6"/>
  <c r="N35" i="6"/>
  <c r="P34" i="6"/>
  <c r="L35" i="6"/>
  <c r="P31" i="6"/>
  <c r="P30" i="6"/>
  <c r="P29" i="6"/>
  <c r="L36" i="6"/>
  <c r="K36" i="6"/>
  <c r="N36" i="6"/>
  <c r="K35" i="6"/>
  <c r="R9" i="9" l="1"/>
  <c r="S10" i="9"/>
  <c r="I10" i="9"/>
  <c r="E10" i="9"/>
  <c r="K10" i="10"/>
  <c r="G9" i="10"/>
  <c r="P35" i="6"/>
  <c r="P36" i="6"/>
  <c r="R10" i="9" l="1"/>
  <c r="S11" i="9"/>
  <c r="I11" i="9"/>
  <c r="E11" i="9"/>
  <c r="K11" i="10"/>
  <c r="G10" i="10"/>
  <c r="X9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3" i="3"/>
  <c r="V14" i="3"/>
  <c r="V15" i="3"/>
  <c r="V16" i="3"/>
  <c r="V17" i="3"/>
  <c r="V18" i="3"/>
  <c r="V19" i="3"/>
  <c r="V20" i="3"/>
  <c r="V21" i="3"/>
  <c r="V22" i="3"/>
  <c r="V13" i="3"/>
  <c r="V4" i="3"/>
  <c r="V5" i="3"/>
  <c r="V6" i="3"/>
  <c r="V7" i="3"/>
  <c r="V8" i="3"/>
  <c r="V9" i="3"/>
  <c r="V10" i="3"/>
  <c r="V11" i="3"/>
  <c r="V1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3" i="3"/>
  <c r="G3" i="3"/>
  <c r="L5" i="3"/>
  <c r="L6" i="3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4" i="3"/>
  <c r="M5" i="3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4" i="3"/>
  <c r="T4" i="3"/>
  <c r="Q14" i="3"/>
  <c r="Q24" i="3" s="1"/>
  <c r="Q34" i="3" s="1"/>
  <c r="Q44" i="3" s="1"/>
  <c r="Q54" i="3" s="1"/>
  <c r="Q64" i="3" s="1"/>
  <c r="Q74" i="3" s="1"/>
  <c r="Q84" i="3" s="1"/>
  <c r="Q94" i="3" s="1"/>
  <c r="Q15" i="3"/>
  <c r="Q25" i="3" s="1"/>
  <c r="Q35" i="3" s="1"/>
  <c r="Q45" i="3" s="1"/>
  <c r="Q55" i="3" s="1"/>
  <c r="Q65" i="3" s="1"/>
  <c r="Q75" i="3" s="1"/>
  <c r="Q85" i="3" s="1"/>
  <c r="Q95" i="3" s="1"/>
  <c r="Q16" i="3"/>
  <c r="Q17" i="3"/>
  <c r="Q18" i="3"/>
  <c r="Q28" i="3" s="1"/>
  <c r="Q38" i="3" s="1"/>
  <c r="Q48" i="3" s="1"/>
  <c r="Q58" i="3" s="1"/>
  <c r="Q68" i="3" s="1"/>
  <c r="Q78" i="3" s="1"/>
  <c r="Q88" i="3" s="1"/>
  <c r="Q98" i="3" s="1"/>
  <c r="Q19" i="3"/>
  <c r="Q29" i="3" s="1"/>
  <c r="Q39" i="3" s="1"/>
  <c r="Q49" i="3" s="1"/>
  <c r="Q59" i="3" s="1"/>
  <c r="Q69" i="3" s="1"/>
  <c r="Q79" i="3" s="1"/>
  <c r="Q89" i="3" s="1"/>
  <c r="Q99" i="3" s="1"/>
  <c r="Q20" i="3"/>
  <c r="Q21" i="3"/>
  <c r="Q22" i="3"/>
  <c r="Q32" i="3" s="1"/>
  <c r="Q42" i="3" s="1"/>
  <c r="Q52" i="3" s="1"/>
  <c r="Q62" i="3" s="1"/>
  <c r="Q72" i="3" s="1"/>
  <c r="Q82" i="3" s="1"/>
  <c r="Q92" i="3" s="1"/>
  <c r="Q23" i="3"/>
  <c r="Q33" i="3" s="1"/>
  <c r="Q43" i="3" s="1"/>
  <c r="Q53" i="3" s="1"/>
  <c r="Q63" i="3" s="1"/>
  <c r="Q73" i="3" s="1"/>
  <c r="Q83" i="3" s="1"/>
  <c r="Q93" i="3" s="1"/>
  <c r="Q26" i="3"/>
  <c r="Q36" i="3" s="1"/>
  <c r="Q46" i="3" s="1"/>
  <c r="Q56" i="3" s="1"/>
  <c r="Q66" i="3" s="1"/>
  <c r="Q76" i="3" s="1"/>
  <c r="Q86" i="3" s="1"/>
  <c r="Q96" i="3" s="1"/>
  <c r="Q27" i="3"/>
  <c r="Q37" i="3" s="1"/>
  <c r="Q47" i="3" s="1"/>
  <c r="Q57" i="3" s="1"/>
  <c r="Q67" i="3" s="1"/>
  <c r="Q77" i="3" s="1"/>
  <c r="Q87" i="3" s="1"/>
  <c r="Q97" i="3" s="1"/>
  <c r="Q30" i="3"/>
  <c r="Q40" i="3" s="1"/>
  <c r="Q50" i="3" s="1"/>
  <c r="Q60" i="3" s="1"/>
  <c r="Q70" i="3" s="1"/>
  <c r="Q80" i="3" s="1"/>
  <c r="Q90" i="3" s="1"/>
  <c r="Q100" i="3" s="1"/>
  <c r="Q31" i="3"/>
  <c r="Q41" i="3" s="1"/>
  <c r="Q51" i="3" s="1"/>
  <c r="Q61" i="3" s="1"/>
  <c r="Q71" i="3" s="1"/>
  <c r="Q81" i="3" s="1"/>
  <c r="Q91" i="3" s="1"/>
  <c r="Q101" i="3" s="1"/>
  <c r="Q13" i="3"/>
  <c r="R11" i="9" l="1"/>
  <c r="S12" i="9"/>
  <c r="E12" i="9"/>
  <c r="I12" i="9"/>
  <c r="G11" i="10"/>
  <c r="K12" i="10"/>
  <c r="P37" i="6"/>
  <c r="T5" i="3"/>
  <c r="R12" i="9" l="1"/>
  <c r="S13" i="9"/>
  <c r="I13" i="9"/>
  <c r="E13" i="9"/>
  <c r="K13" i="10"/>
  <c r="G12" i="10"/>
  <c r="T6" i="3"/>
  <c r="R13" i="9" l="1"/>
  <c r="S14" i="9"/>
  <c r="I14" i="9"/>
  <c r="E14" i="9"/>
  <c r="K14" i="10"/>
  <c r="G13" i="10"/>
  <c r="T7" i="3"/>
  <c r="R14" i="9" l="1"/>
  <c r="S15" i="9"/>
  <c r="I15" i="9"/>
  <c r="E15" i="9"/>
  <c r="G14" i="10"/>
  <c r="K15" i="10"/>
  <c r="T8" i="3"/>
  <c r="R15" i="9" l="1"/>
  <c r="S16" i="9"/>
  <c r="E16" i="9"/>
  <c r="I16" i="9"/>
  <c r="G15" i="10"/>
  <c r="K16" i="10"/>
  <c r="T9" i="3"/>
  <c r="R16" i="9" l="1"/>
  <c r="S17" i="9"/>
  <c r="I17" i="9"/>
  <c r="E17" i="9"/>
  <c r="K17" i="10"/>
  <c r="G16" i="10"/>
  <c r="T10" i="3"/>
  <c r="K4" i="3"/>
  <c r="K3" i="3"/>
  <c r="H4" i="5"/>
  <c r="I4" i="5" s="1"/>
  <c r="J4" i="5" s="1"/>
  <c r="K4" i="5" s="1"/>
  <c r="L4" i="5" s="1"/>
  <c r="H5" i="5"/>
  <c r="I5" i="5" s="1"/>
  <c r="J5" i="5" s="1"/>
  <c r="K5" i="5" s="1"/>
  <c r="L5" i="5" s="1"/>
  <c r="H6" i="5"/>
  <c r="I6" i="5" s="1"/>
  <c r="J6" i="5" s="1"/>
  <c r="K6" i="5" s="1"/>
  <c r="L6" i="5" s="1"/>
  <c r="H3" i="5"/>
  <c r="I3" i="5" s="1"/>
  <c r="J3" i="5" s="1"/>
  <c r="K3" i="5" s="1"/>
  <c r="L3" i="5" s="1"/>
  <c r="D4" i="6"/>
  <c r="I10" i="8"/>
  <c r="I5" i="8"/>
  <c r="G21" i="5"/>
  <c r="L21" i="5" l="1"/>
  <c r="R17" i="9"/>
  <c r="S18" i="9"/>
  <c r="I18" i="9"/>
  <c r="E18" i="9"/>
  <c r="K18" i="10"/>
  <c r="G17" i="10"/>
  <c r="T11" i="3"/>
  <c r="D5" i="6"/>
  <c r="E4" i="6"/>
  <c r="K10" i="8"/>
  <c r="I21" i="8"/>
  <c r="J10" i="8"/>
  <c r="I11" i="8"/>
  <c r="I34" i="8"/>
  <c r="I37" i="8"/>
  <c r="K5" i="8"/>
  <c r="J5" i="8"/>
  <c r="I31" i="8"/>
  <c r="G25" i="5"/>
  <c r="L25" i="5" l="1"/>
  <c r="R18" i="9"/>
  <c r="S19" i="9"/>
  <c r="I19" i="9"/>
  <c r="E19" i="9"/>
  <c r="K19" i="10"/>
  <c r="G18" i="10"/>
  <c r="T12" i="3"/>
  <c r="D6" i="6"/>
  <c r="K5" i="3"/>
  <c r="E5" i="6"/>
  <c r="M5" i="8"/>
  <c r="K21" i="8"/>
  <c r="J21" i="8"/>
  <c r="J37" i="8"/>
  <c r="M10" i="8"/>
  <c r="K37" i="8"/>
  <c r="I36" i="8"/>
  <c r="I38" i="8"/>
  <c r="J34" i="8"/>
  <c r="O5" i="8"/>
  <c r="K31" i="8"/>
  <c r="K34" i="8"/>
  <c r="J11" i="8"/>
  <c r="O10" i="8"/>
  <c r="K11" i="8"/>
  <c r="J31" i="8"/>
  <c r="I20" i="8"/>
  <c r="G16" i="5"/>
  <c r="L16" i="5" l="1"/>
  <c r="R19" i="9"/>
  <c r="S20" i="9"/>
  <c r="E20" i="9"/>
  <c r="I20" i="9"/>
  <c r="G19" i="10"/>
  <c r="K20" i="10"/>
  <c r="T13" i="3"/>
  <c r="E6" i="6"/>
  <c r="D7" i="6"/>
  <c r="K6" i="3"/>
  <c r="O11" i="8"/>
  <c r="M37" i="8"/>
  <c r="K20" i="8"/>
  <c r="J38" i="8"/>
  <c r="O21" i="8"/>
  <c r="O34" i="8"/>
  <c r="M11" i="8"/>
  <c r="K36" i="8"/>
  <c r="O31" i="8"/>
  <c r="M21" i="8"/>
  <c r="M34" i="8"/>
  <c r="J20" i="8"/>
  <c r="G19" i="5"/>
  <c r="O37" i="8"/>
  <c r="M31" i="8"/>
  <c r="K38" i="8"/>
  <c r="J36" i="8"/>
  <c r="I14" i="8"/>
  <c r="L19" i="5" l="1"/>
  <c r="R20" i="9"/>
  <c r="S21" i="9"/>
  <c r="I21" i="9"/>
  <c r="E21" i="9"/>
  <c r="K21" i="10"/>
  <c r="G20" i="10"/>
  <c r="T14" i="3"/>
  <c r="D8" i="6"/>
  <c r="E7" i="6"/>
  <c r="K7" i="3"/>
  <c r="O38" i="8"/>
  <c r="M36" i="8"/>
  <c r="I27" i="8"/>
  <c r="I26" i="8"/>
  <c r="O36" i="8"/>
  <c r="M20" i="8"/>
  <c r="O20" i="8"/>
  <c r="K14" i="8"/>
  <c r="M38" i="8"/>
  <c r="J14" i="8"/>
  <c r="G24" i="5"/>
  <c r="I9" i="8"/>
  <c r="L24" i="5" l="1"/>
  <c r="R21" i="9"/>
  <c r="S22" i="9"/>
  <c r="I22" i="9"/>
  <c r="E22" i="9"/>
  <c r="K22" i="10"/>
  <c r="G21" i="10"/>
  <c r="T15" i="3"/>
  <c r="E8" i="6"/>
  <c r="D9" i="6"/>
  <c r="K8" i="3"/>
  <c r="K26" i="8"/>
  <c r="I39" i="8"/>
  <c r="I35" i="8"/>
  <c r="G20" i="5"/>
  <c r="K9" i="8"/>
  <c r="O14" i="8"/>
  <c r="K27" i="8"/>
  <c r="J9" i="8"/>
  <c r="I30" i="8"/>
  <c r="M14" i="8"/>
  <c r="J27" i="8"/>
  <c r="I22" i="8"/>
  <c r="J26" i="8"/>
  <c r="I18" i="8"/>
  <c r="L20" i="5" l="1"/>
  <c r="R22" i="9"/>
  <c r="S23" i="9"/>
  <c r="I23" i="9"/>
  <c r="E23" i="9"/>
  <c r="G22" i="10"/>
  <c r="K23" i="10"/>
  <c r="T16" i="3"/>
  <c r="D10" i="6"/>
  <c r="E9" i="6"/>
  <c r="K9" i="3"/>
  <c r="O27" i="8"/>
  <c r="J35" i="8"/>
  <c r="O9" i="8"/>
  <c r="M26" i="8"/>
  <c r="K30" i="8"/>
  <c r="J30" i="8"/>
  <c r="J18" i="8"/>
  <c r="O26" i="8"/>
  <c r="M27" i="8"/>
  <c r="K18" i="8"/>
  <c r="J22" i="8"/>
  <c r="G18" i="5"/>
  <c r="K35" i="8"/>
  <c r="K39" i="8"/>
  <c r="J39" i="8"/>
  <c r="M9" i="8"/>
  <c r="K22" i="8"/>
  <c r="I17" i="8"/>
  <c r="L18" i="5" l="1"/>
  <c r="R23" i="9"/>
  <c r="S24" i="9"/>
  <c r="E24" i="9"/>
  <c r="I24" i="9"/>
  <c r="G23" i="10"/>
  <c r="K24" i="10"/>
  <c r="T17" i="3"/>
  <c r="E10" i="6"/>
  <c r="D11" i="6"/>
  <c r="K10" i="3"/>
  <c r="O22" i="8"/>
  <c r="O35" i="8"/>
  <c r="M39" i="8"/>
  <c r="G23" i="5"/>
  <c r="O18" i="8"/>
  <c r="M22" i="8"/>
  <c r="M35" i="8"/>
  <c r="O30" i="8"/>
  <c r="M18" i="8"/>
  <c r="K17" i="8"/>
  <c r="O39" i="8"/>
  <c r="M30" i="8"/>
  <c r="I23" i="8"/>
  <c r="J17" i="8"/>
  <c r="L23" i="5" l="1"/>
  <c r="R24" i="9"/>
  <c r="S25" i="9"/>
  <c r="I25" i="9"/>
  <c r="E25" i="9"/>
  <c r="K25" i="10"/>
  <c r="G24" i="10"/>
  <c r="T18" i="3"/>
  <c r="D12" i="6"/>
  <c r="E11" i="6"/>
  <c r="K11" i="3"/>
  <c r="O17" i="8"/>
  <c r="M17" i="8"/>
  <c r="K23" i="8"/>
  <c r="I16" i="8"/>
  <c r="G26" i="5"/>
  <c r="J23" i="8"/>
  <c r="L26" i="5" l="1"/>
  <c r="R25" i="9"/>
  <c r="S26" i="9"/>
  <c r="I26" i="9"/>
  <c r="E26" i="9"/>
  <c r="K26" i="10"/>
  <c r="G25" i="10"/>
  <c r="T19" i="3"/>
  <c r="D13" i="6"/>
  <c r="E12" i="6"/>
  <c r="K12" i="3"/>
  <c r="I4" i="8"/>
  <c r="O23" i="8"/>
  <c r="I32" i="8"/>
  <c r="G17" i="5"/>
  <c r="M23" i="8"/>
  <c r="K16" i="8"/>
  <c r="J16" i="8"/>
  <c r="I33" i="8"/>
  <c r="L17" i="5" l="1"/>
  <c r="R26" i="9"/>
  <c r="S27" i="9"/>
  <c r="I27" i="9"/>
  <c r="E27" i="9"/>
  <c r="G26" i="10"/>
  <c r="K27" i="10"/>
  <c r="T20" i="3"/>
  <c r="E13" i="6"/>
  <c r="D14" i="6"/>
  <c r="K13" i="3"/>
  <c r="K32" i="8"/>
  <c r="J32" i="8"/>
  <c r="I8" i="8"/>
  <c r="G27" i="5"/>
  <c r="J4" i="8"/>
  <c r="O16" i="8"/>
  <c r="K4" i="8"/>
  <c r="J33" i="8"/>
  <c r="M16" i="8"/>
  <c r="K33" i="8"/>
  <c r="I13" i="8"/>
  <c r="I3" i="8"/>
  <c r="I7" i="8"/>
  <c r="L27" i="5" l="1"/>
  <c r="R27" i="9"/>
  <c r="S28" i="9"/>
  <c r="E28" i="9"/>
  <c r="I28" i="9"/>
  <c r="G27" i="10"/>
  <c r="K28" i="10"/>
  <c r="T21" i="3"/>
  <c r="E14" i="6"/>
  <c r="D15" i="6"/>
  <c r="K14" i="3"/>
  <c r="M33" i="8"/>
  <c r="K8" i="8"/>
  <c r="J13" i="8"/>
  <c r="I29" i="8"/>
  <c r="G15" i="5"/>
  <c r="K3" i="8"/>
  <c r="O33" i="8"/>
  <c r="M32" i="8"/>
  <c r="K13" i="8"/>
  <c r="I28" i="8"/>
  <c r="J7" i="8"/>
  <c r="I24" i="8"/>
  <c r="O32" i="8"/>
  <c r="M4" i="8"/>
  <c r="I19" i="8"/>
  <c r="O4" i="8"/>
  <c r="K7" i="8"/>
  <c r="I25" i="8"/>
  <c r="J3" i="8"/>
  <c r="J8" i="8"/>
  <c r="L15" i="5" l="1"/>
  <c r="R28" i="9"/>
  <c r="S29" i="9"/>
  <c r="I29" i="9"/>
  <c r="E29" i="9"/>
  <c r="K29" i="10"/>
  <c r="G28" i="10"/>
  <c r="T22" i="3"/>
  <c r="E15" i="6"/>
  <c r="E12" i="5"/>
  <c r="E11" i="5"/>
  <c r="E10" i="5"/>
  <c r="K15" i="3"/>
  <c r="O8" i="8"/>
  <c r="M8" i="8"/>
  <c r="K28" i="8"/>
  <c r="K25" i="8"/>
  <c r="J28" i="8"/>
  <c r="G22" i="5"/>
  <c r="O7" i="8"/>
  <c r="M7" i="8"/>
  <c r="K24" i="8"/>
  <c r="J29" i="8"/>
  <c r="J25" i="8"/>
  <c r="O13" i="8"/>
  <c r="M13" i="8"/>
  <c r="K29" i="8"/>
  <c r="O3" i="8"/>
  <c r="M3" i="8"/>
  <c r="K19" i="8"/>
  <c r="J19" i="8"/>
  <c r="J24" i="8"/>
  <c r="L22" i="5" l="1"/>
  <c r="R29" i="9"/>
  <c r="S30" i="9"/>
  <c r="I30" i="9"/>
  <c r="E30" i="9"/>
  <c r="K30" i="10"/>
  <c r="G29" i="10"/>
  <c r="T23" i="3"/>
  <c r="G12" i="5"/>
  <c r="G10" i="5"/>
  <c r="G11" i="5"/>
  <c r="F12" i="5"/>
  <c r="F10" i="5"/>
  <c r="F11" i="5"/>
  <c r="K16" i="3"/>
  <c r="O24" i="8"/>
  <c r="O25" i="8"/>
  <c r="M19" i="8"/>
  <c r="M24" i="8"/>
  <c r="O29" i="8"/>
  <c r="M25" i="8"/>
  <c r="O28" i="8"/>
  <c r="O19" i="8"/>
  <c r="M28" i="8"/>
  <c r="M29" i="8"/>
  <c r="R30" i="9" l="1"/>
  <c r="S31" i="9"/>
  <c r="I31" i="9"/>
  <c r="E31" i="9"/>
  <c r="K31" i="10"/>
  <c r="G30" i="10"/>
  <c r="T24" i="3"/>
  <c r="Q25" i="5"/>
  <c r="Q16" i="5"/>
  <c r="Q21" i="5"/>
  <c r="Q19" i="5"/>
  <c r="Q24" i="5"/>
  <c r="Q20" i="5"/>
  <c r="Q18" i="5"/>
  <c r="Q23" i="5"/>
  <c r="Q26" i="5"/>
  <c r="Q17" i="5"/>
  <c r="Q27" i="5"/>
  <c r="Q15" i="5"/>
  <c r="Q22" i="5"/>
  <c r="U16" i="5"/>
  <c r="U25" i="5"/>
  <c r="U21" i="5"/>
  <c r="U19" i="5"/>
  <c r="U24" i="5"/>
  <c r="U20" i="5"/>
  <c r="U18" i="5"/>
  <c r="U23" i="5"/>
  <c r="U26" i="5"/>
  <c r="U17" i="5"/>
  <c r="U27" i="5"/>
  <c r="U15" i="5"/>
  <c r="U22" i="5"/>
  <c r="S25" i="5"/>
  <c r="S16" i="5"/>
  <c r="S21" i="5"/>
  <c r="S19" i="5"/>
  <c r="S24" i="5"/>
  <c r="S20" i="5"/>
  <c r="S18" i="5"/>
  <c r="S23" i="5"/>
  <c r="S26" i="5"/>
  <c r="S17" i="5"/>
  <c r="S27" i="5"/>
  <c r="S15" i="5"/>
  <c r="S22" i="5"/>
  <c r="K17" i="3"/>
  <c r="R31" i="9" l="1"/>
  <c r="S32" i="9"/>
  <c r="E32" i="9"/>
  <c r="I32" i="9"/>
  <c r="G31" i="10"/>
  <c r="K32" i="10"/>
  <c r="T25" i="3"/>
  <c r="R21" i="5"/>
  <c r="R19" i="5"/>
  <c r="R25" i="5"/>
  <c r="R16" i="5"/>
  <c r="R24" i="5"/>
  <c r="R20" i="5"/>
  <c r="R18" i="5"/>
  <c r="R23" i="5"/>
  <c r="R26" i="5"/>
  <c r="R17" i="5"/>
  <c r="R27" i="5"/>
  <c r="R15" i="5"/>
  <c r="T19" i="5"/>
  <c r="T25" i="5"/>
  <c r="T21" i="5"/>
  <c r="T16" i="5"/>
  <c r="T24" i="5"/>
  <c r="T20" i="5"/>
  <c r="T18" i="5"/>
  <c r="T23" i="5"/>
  <c r="T26" i="5"/>
  <c r="V26" i="5" s="1"/>
  <c r="T17" i="5"/>
  <c r="T27" i="5"/>
  <c r="T15" i="5"/>
  <c r="T22" i="5"/>
  <c r="R22" i="5"/>
  <c r="K18" i="3"/>
  <c r="R32" i="9" l="1"/>
  <c r="S33" i="9"/>
  <c r="I33" i="9"/>
  <c r="E33" i="9"/>
  <c r="K33" i="10"/>
  <c r="G32" i="10"/>
  <c r="V24" i="5"/>
  <c r="T26" i="3"/>
  <c r="V21" i="5"/>
  <c r="V22" i="5"/>
  <c r="V18" i="5"/>
  <c r="V27" i="5"/>
  <c r="V23" i="5"/>
  <c r="V25" i="5"/>
  <c r="V20" i="5"/>
  <c r="V17" i="5"/>
  <c r="V15" i="5"/>
  <c r="V16" i="5"/>
  <c r="V19" i="5"/>
  <c r="K19" i="3"/>
  <c r="R33" i="9" l="1"/>
  <c r="S34" i="9"/>
  <c r="I34" i="9"/>
  <c r="E34" i="9"/>
  <c r="K34" i="10"/>
  <c r="G33" i="10"/>
  <c r="T27" i="3"/>
  <c r="K20" i="3"/>
  <c r="R34" i="9" l="1"/>
  <c r="S35" i="9"/>
  <c r="I35" i="9"/>
  <c r="E35" i="9"/>
  <c r="G34" i="10"/>
  <c r="K35" i="10"/>
  <c r="T28" i="3"/>
  <c r="K21" i="3"/>
  <c r="R35" i="9" l="1"/>
  <c r="S36" i="9"/>
  <c r="E36" i="9"/>
  <c r="I36" i="9"/>
  <c r="G35" i="10"/>
  <c r="K36" i="10"/>
  <c r="T29" i="3"/>
  <c r="K22" i="3"/>
  <c r="R36" i="9" l="1"/>
  <c r="S37" i="9"/>
  <c r="I37" i="9"/>
  <c r="E37" i="9"/>
  <c r="K37" i="10"/>
  <c r="G36" i="10"/>
  <c r="T30" i="3"/>
  <c r="K23" i="3"/>
  <c r="R37" i="9" l="1"/>
  <c r="S38" i="9"/>
  <c r="I38" i="9"/>
  <c r="E38" i="9"/>
  <c r="K38" i="10"/>
  <c r="G37" i="10"/>
  <c r="T31" i="3"/>
  <c r="K24" i="3"/>
  <c r="R38" i="9" l="1"/>
  <c r="S39" i="9"/>
  <c r="I39" i="9"/>
  <c r="E39" i="9"/>
  <c r="G38" i="10"/>
  <c r="K39" i="10"/>
  <c r="T32" i="3"/>
  <c r="K25" i="3"/>
  <c r="R39" i="9" l="1"/>
  <c r="S40" i="9"/>
  <c r="E40" i="9"/>
  <c r="I40" i="9"/>
  <c r="G39" i="10"/>
  <c r="K40" i="10"/>
  <c r="T33" i="3"/>
  <c r="K26" i="3"/>
  <c r="R40" i="9" l="1"/>
  <c r="S41" i="9"/>
  <c r="I41" i="9"/>
  <c r="E41" i="9"/>
  <c r="K41" i="10"/>
  <c r="G40" i="10"/>
  <c r="T34" i="3"/>
  <c r="K27" i="3"/>
  <c r="R41" i="9" l="1"/>
  <c r="S42" i="9"/>
  <c r="I42" i="9"/>
  <c r="E42" i="9"/>
  <c r="K42" i="10"/>
  <c r="G41" i="10"/>
  <c r="T35" i="3"/>
  <c r="K28" i="3"/>
  <c r="R42" i="9" l="1"/>
  <c r="S43" i="9"/>
  <c r="I43" i="9"/>
  <c r="E43" i="9"/>
  <c r="K43" i="10"/>
  <c r="G42" i="10"/>
  <c r="T36" i="3"/>
  <c r="K29" i="3"/>
  <c r="R43" i="9" l="1"/>
  <c r="S44" i="9"/>
  <c r="E44" i="9"/>
  <c r="I44" i="9"/>
  <c r="G43" i="10"/>
  <c r="K44" i="10"/>
  <c r="T37" i="3"/>
  <c r="K30" i="3"/>
  <c r="R44" i="9" l="1"/>
  <c r="S45" i="9"/>
  <c r="I45" i="9"/>
  <c r="E45" i="9"/>
  <c r="K45" i="10"/>
  <c r="G44" i="10"/>
  <c r="T38" i="3"/>
  <c r="K31" i="3"/>
  <c r="R45" i="9" l="1"/>
  <c r="S46" i="9"/>
  <c r="I46" i="9"/>
  <c r="E46" i="9"/>
  <c r="K46" i="10"/>
  <c r="G45" i="10"/>
  <c r="T39" i="3"/>
  <c r="K32" i="3"/>
  <c r="R46" i="9" l="1"/>
  <c r="S47" i="9"/>
  <c r="I47" i="9"/>
  <c r="E47" i="9"/>
  <c r="G46" i="10"/>
  <c r="K47" i="10"/>
  <c r="T40" i="3"/>
  <c r="K33" i="3"/>
  <c r="R47" i="9" l="1"/>
  <c r="S48" i="9"/>
  <c r="E48" i="9"/>
  <c r="I48" i="9"/>
  <c r="G47" i="10"/>
  <c r="K48" i="10"/>
  <c r="T41" i="3"/>
  <c r="K34" i="3"/>
  <c r="R48" i="9" l="1"/>
  <c r="S49" i="9"/>
  <c r="I49" i="9"/>
  <c r="E49" i="9"/>
  <c r="K49" i="10"/>
  <c r="G48" i="10"/>
  <c r="T42" i="3"/>
  <c r="K35" i="3"/>
  <c r="R49" i="9" l="1"/>
  <c r="S50" i="9"/>
  <c r="I50" i="9"/>
  <c r="E50" i="9"/>
  <c r="K50" i="10"/>
  <c r="G49" i="10"/>
  <c r="T43" i="3"/>
  <c r="K36" i="3"/>
  <c r="R50" i="9" l="1"/>
  <c r="S51" i="9"/>
  <c r="I51" i="9"/>
  <c r="E51" i="9"/>
  <c r="G50" i="10"/>
  <c r="K51" i="10"/>
  <c r="T44" i="3"/>
  <c r="K37" i="3"/>
  <c r="R51" i="9" l="1"/>
  <c r="S52" i="9"/>
  <c r="E52" i="9"/>
  <c r="I52" i="9"/>
  <c r="G51" i="10"/>
  <c r="K52" i="10"/>
  <c r="T45" i="3"/>
  <c r="K38" i="3"/>
  <c r="R52" i="9" l="1"/>
  <c r="S53" i="9"/>
  <c r="I53" i="9"/>
  <c r="E53" i="9"/>
  <c r="K53" i="10"/>
  <c r="G52" i="10"/>
  <c r="T46" i="3"/>
  <c r="K39" i="3"/>
  <c r="R53" i="9" l="1"/>
  <c r="S54" i="9"/>
  <c r="I54" i="9"/>
  <c r="E54" i="9"/>
  <c r="K54" i="10"/>
  <c r="G53" i="10"/>
  <c r="T47" i="3"/>
  <c r="K40" i="3"/>
  <c r="R54" i="9" l="1"/>
  <c r="S55" i="9"/>
  <c r="I55" i="9"/>
  <c r="E55" i="9"/>
  <c r="K55" i="10"/>
  <c r="G54" i="10"/>
  <c r="T48" i="3"/>
  <c r="K41" i="3"/>
  <c r="R55" i="9" l="1"/>
  <c r="S56" i="9"/>
  <c r="E56" i="9"/>
  <c r="I56" i="9"/>
  <c r="G55" i="10"/>
  <c r="K56" i="10"/>
  <c r="T49" i="3"/>
  <c r="K42" i="3"/>
  <c r="R56" i="9" l="1"/>
  <c r="S57" i="9"/>
  <c r="I57" i="9"/>
  <c r="E57" i="9"/>
  <c r="K57" i="10"/>
  <c r="G56" i="10"/>
  <c r="T50" i="3"/>
  <c r="K43" i="3"/>
  <c r="R57" i="9" l="1"/>
  <c r="S58" i="9"/>
  <c r="I58" i="9"/>
  <c r="E58" i="9"/>
  <c r="K58" i="10"/>
  <c r="G57" i="10"/>
  <c r="T51" i="3"/>
  <c r="K44" i="3"/>
  <c r="R58" i="9" l="1"/>
  <c r="S59" i="9"/>
  <c r="I59" i="9"/>
  <c r="E59" i="9"/>
  <c r="G58" i="10"/>
  <c r="K59" i="10"/>
  <c r="T52" i="3"/>
  <c r="K45" i="3"/>
  <c r="R59" i="9" l="1"/>
  <c r="S60" i="9"/>
  <c r="E60" i="9"/>
  <c r="I60" i="9"/>
  <c r="G59" i="10"/>
  <c r="K60" i="10"/>
  <c r="T53" i="3"/>
  <c r="K46" i="3"/>
  <c r="R60" i="9" l="1"/>
  <c r="S61" i="9"/>
  <c r="I61" i="9"/>
  <c r="E61" i="9"/>
  <c r="K61" i="10"/>
  <c r="G60" i="10"/>
  <c r="T54" i="3"/>
  <c r="K47" i="3"/>
  <c r="R61" i="9" l="1"/>
  <c r="S62" i="9"/>
  <c r="I62" i="9"/>
  <c r="E62" i="9"/>
  <c r="K62" i="10"/>
  <c r="G61" i="10"/>
  <c r="T55" i="3"/>
  <c r="K48" i="3"/>
  <c r="R62" i="9" l="1"/>
  <c r="S63" i="9"/>
  <c r="I63" i="9"/>
  <c r="E63" i="9"/>
  <c r="G62" i="10"/>
  <c r="K63" i="10"/>
  <c r="T56" i="3"/>
  <c r="K49" i="3"/>
  <c r="R63" i="9" l="1"/>
  <c r="S64" i="9"/>
  <c r="E64" i="9"/>
  <c r="I64" i="9"/>
  <c r="G63" i="10"/>
  <c r="K64" i="10"/>
  <c r="T57" i="3"/>
  <c r="K50" i="3"/>
  <c r="R64" i="9" l="1"/>
  <c r="S65" i="9"/>
  <c r="I65" i="9"/>
  <c r="E65" i="9"/>
  <c r="K65" i="10"/>
  <c r="G64" i="10"/>
  <c r="T58" i="3"/>
  <c r="K51" i="3"/>
  <c r="R65" i="9" l="1"/>
  <c r="S66" i="9"/>
  <c r="I66" i="9"/>
  <c r="E66" i="9"/>
  <c r="K66" i="10"/>
  <c r="G65" i="10"/>
  <c r="T59" i="3"/>
  <c r="K52" i="3"/>
  <c r="R66" i="9" l="1"/>
  <c r="S67" i="9"/>
  <c r="I67" i="9"/>
  <c r="E67" i="9"/>
  <c r="K67" i="10"/>
  <c r="G66" i="10"/>
  <c r="T60" i="3"/>
  <c r="K53" i="3"/>
  <c r="R67" i="9" l="1"/>
  <c r="S68" i="9"/>
  <c r="E68" i="9"/>
  <c r="I68" i="9"/>
  <c r="G67" i="10"/>
  <c r="K68" i="10"/>
  <c r="T61" i="3"/>
  <c r="K54" i="3"/>
  <c r="R68" i="9" l="1"/>
  <c r="S69" i="9"/>
  <c r="I69" i="9"/>
  <c r="E69" i="9"/>
  <c r="K69" i="10"/>
  <c r="G68" i="10"/>
  <c r="T62" i="3"/>
  <c r="K55" i="3"/>
  <c r="R69" i="9" l="1"/>
  <c r="S70" i="9"/>
  <c r="I70" i="9"/>
  <c r="E70" i="9"/>
  <c r="K70" i="10"/>
  <c r="G69" i="10"/>
  <c r="T63" i="3"/>
  <c r="K56" i="3"/>
  <c r="R70" i="9" l="1"/>
  <c r="S71" i="9"/>
  <c r="I71" i="9"/>
  <c r="E71" i="9"/>
  <c r="G70" i="10"/>
  <c r="K71" i="10"/>
  <c r="T64" i="3"/>
  <c r="K57" i="3"/>
  <c r="R71" i="9" l="1"/>
  <c r="S72" i="9"/>
  <c r="E72" i="9"/>
  <c r="I72" i="9"/>
  <c r="G71" i="10"/>
  <c r="K72" i="10"/>
  <c r="T65" i="3"/>
  <c r="K58" i="3"/>
  <c r="R72" i="9" l="1"/>
  <c r="S73" i="9"/>
  <c r="I73" i="9"/>
  <c r="E73" i="9"/>
  <c r="K73" i="10"/>
  <c r="G72" i="10"/>
  <c r="T66" i="3"/>
  <c r="K59" i="3"/>
  <c r="R73" i="9" l="1"/>
  <c r="S74" i="9"/>
  <c r="I74" i="9"/>
  <c r="E74" i="9"/>
  <c r="K74" i="10"/>
  <c r="G73" i="10"/>
  <c r="T67" i="3"/>
  <c r="K60" i="3"/>
  <c r="R74" i="9" l="1"/>
  <c r="S75" i="9"/>
  <c r="I75" i="9"/>
  <c r="E75" i="9"/>
  <c r="K75" i="10"/>
  <c r="G74" i="10"/>
  <c r="T68" i="3"/>
  <c r="K61" i="3"/>
  <c r="R75" i="9" l="1"/>
  <c r="S76" i="9"/>
  <c r="E76" i="9"/>
  <c r="I76" i="9"/>
  <c r="G75" i="10"/>
  <c r="K76" i="10"/>
  <c r="T69" i="3"/>
  <c r="K62" i="3"/>
  <c r="R76" i="9" l="1"/>
  <c r="S77" i="9"/>
  <c r="I77" i="9"/>
  <c r="E77" i="9"/>
  <c r="K77" i="10"/>
  <c r="G76" i="10"/>
  <c r="T70" i="3"/>
  <c r="K63" i="3"/>
  <c r="R77" i="9" l="1"/>
  <c r="S78" i="9"/>
  <c r="I78" i="9"/>
  <c r="E78" i="9"/>
  <c r="K78" i="10"/>
  <c r="G77" i="10"/>
  <c r="T71" i="3"/>
  <c r="K64" i="3"/>
  <c r="R78" i="9" l="1"/>
  <c r="S79" i="9"/>
  <c r="I79" i="9"/>
  <c r="E79" i="9"/>
  <c r="G78" i="10"/>
  <c r="K79" i="10"/>
  <c r="T72" i="3"/>
  <c r="K65" i="3"/>
  <c r="R79" i="9" l="1"/>
  <c r="S80" i="9"/>
  <c r="E80" i="9"/>
  <c r="I80" i="9"/>
  <c r="G79" i="10"/>
  <c r="K80" i="10"/>
  <c r="T73" i="3"/>
  <c r="K66" i="3"/>
  <c r="R80" i="9" l="1"/>
  <c r="S81" i="9"/>
  <c r="I81" i="9"/>
  <c r="E81" i="9"/>
  <c r="K81" i="10"/>
  <c r="G80" i="10"/>
  <c r="T74" i="3"/>
  <c r="K67" i="3"/>
  <c r="R81" i="9" l="1"/>
  <c r="S82" i="9"/>
  <c r="I82" i="9"/>
  <c r="E82" i="9"/>
  <c r="K82" i="10"/>
  <c r="G81" i="10"/>
  <c r="T75" i="3"/>
  <c r="K68" i="3"/>
  <c r="R82" i="9" l="1"/>
  <c r="S83" i="9"/>
  <c r="I83" i="9"/>
  <c r="E83" i="9"/>
  <c r="G82" i="10"/>
  <c r="K83" i="10"/>
  <c r="T76" i="3"/>
  <c r="K69" i="3"/>
  <c r="R83" i="9" l="1"/>
  <c r="S84" i="9"/>
  <c r="E84" i="9"/>
  <c r="I84" i="9"/>
  <c r="G83" i="10"/>
  <c r="K84" i="10"/>
  <c r="T77" i="3"/>
  <c r="K70" i="3"/>
  <c r="R84" i="9" l="1"/>
  <c r="S85" i="9"/>
  <c r="I85" i="9"/>
  <c r="E85" i="9"/>
  <c r="K85" i="10"/>
  <c r="G84" i="10"/>
  <c r="T78" i="3"/>
  <c r="K71" i="3"/>
  <c r="R85" i="9" l="1"/>
  <c r="S86" i="9"/>
  <c r="I86" i="9"/>
  <c r="E86" i="9"/>
  <c r="K86" i="10"/>
  <c r="G85" i="10"/>
  <c r="T79" i="3"/>
  <c r="K72" i="3"/>
  <c r="R86" i="9" l="1"/>
  <c r="S87" i="9"/>
  <c r="I87" i="9"/>
  <c r="E87" i="9"/>
  <c r="K87" i="10"/>
  <c r="G86" i="10"/>
  <c r="T80" i="3"/>
  <c r="K73" i="3"/>
  <c r="R87" i="9" l="1"/>
  <c r="S88" i="9"/>
  <c r="E88" i="9"/>
  <c r="I88" i="9"/>
  <c r="G87" i="10"/>
  <c r="K88" i="10"/>
  <c r="T81" i="3"/>
  <c r="K74" i="3"/>
  <c r="R88" i="9" l="1"/>
  <c r="S89" i="9"/>
  <c r="I89" i="9"/>
  <c r="E89" i="9"/>
  <c r="K89" i="10"/>
  <c r="G88" i="10"/>
  <c r="T82" i="3"/>
  <c r="K75" i="3"/>
  <c r="R89" i="9" l="1"/>
  <c r="S90" i="9"/>
  <c r="I90" i="9"/>
  <c r="E90" i="9"/>
  <c r="K90" i="10"/>
  <c r="G89" i="10"/>
  <c r="T83" i="3"/>
  <c r="K76" i="3"/>
  <c r="R90" i="9" l="1"/>
  <c r="S91" i="9"/>
  <c r="I91" i="9"/>
  <c r="E91" i="9"/>
  <c r="G90" i="10"/>
  <c r="K91" i="10"/>
  <c r="T84" i="3"/>
  <c r="K77" i="3"/>
  <c r="R91" i="9" l="1"/>
  <c r="S92" i="9"/>
  <c r="E92" i="9"/>
  <c r="I92" i="9"/>
  <c r="G91" i="10"/>
  <c r="K92" i="10"/>
  <c r="T85" i="3"/>
  <c r="K78" i="3"/>
  <c r="R92" i="9" l="1"/>
  <c r="S93" i="9"/>
  <c r="I93" i="9"/>
  <c r="E93" i="9"/>
  <c r="K93" i="10"/>
  <c r="G92" i="10"/>
  <c r="T86" i="3"/>
  <c r="K79" i="3"/>
  <c r="R93" i="9" l="1"/>
  <c r="S94" i="9"/>
  <c r="I94" i="9"/>
  <c r="E94" i="9"/>
  <c r="K94" i="10"/>
  <c r="G93" i="10"/>
  <c r="T87" i="3"/>
  <c r="K80" i="3"/>
  <c r="R94" i="9" l="1"/>
  <c r="S95" i="9"/>
  <c r="I95" i="9"/>
  <c r="E95" i="9"/>
  <c r="G94" i="10"/>
  <c r="K95" i="10"/>
  <c r="T88" i="3"/>
  <c r="K81" i="3"/>
  <c r="R95" i="9" l="1"/>
  <c r="S96" i="9"/>
  <c r="E96" i="9"/>
  <c r="I96" i="9"/>
  <c r="G95" i="10"/>
  <c r="K96" i="10"/>
  <c r="T89" i="3"/>
  <c r="K82" i="3"/>
  <c r="R96" i="9" l="1"/>
  <c r="S97" i="9"/>
  <c r="I97" i="9"/>
  <c r="E97" i="9"/>
  <c r="K97" i="10"/>
  <c r="G96" i="10"/>
  <c r="T90" i="3"/>
  <c r="K83" i="3"/>
  <c r="R97" i="9" l="1"/>
  <c r="S98" i="9"/>
  <c r="I98" i="9"/>
  <c r="E98" i="9"/>
  <c r="K98" i="10"/>
  <c r="G97" i="10"/>
  <c r="T91" i="3"/>
  <c r="K84" i="3"/>
  <c r="R98" i="9" l="1"/>
  <c r="S99" i="9"/>
  <c r="I99" i="9"/>
  <c r="E99" i="9"/>
  <c r="K99" i="10"/>
  <c r="G98" i="10"/>
  <c r="T92" i="3"/>
  <c r="K85" i="3"/>
  <c r="R99" i="9" l="1"/>
  <c r="S100" i="9"/>
  <c r="E100" i="9"/>
  <c r="I100" i="9"/>
  <c r="G99" i="10"/>
  <c r="K100" i="10"/>
  <c r="T93" i="3"/>
  <c r="K86" i="3"/>
  <c r="R100" i="9" l="1"/>
  <c r="S101" i="9"/>
  <c r="E101" i="9"/>
  <c r="I101" i="9"/>
  <c r="G100" i="10"/>
  <c r="T94" i="3"/>
  <c r="K87" i="3"/>
  <c r="R101" i="9" l="1"/>
  <c r="G101" i="10"/>
  <c r="K101" i="10"/>
  <c r="T95" i="3"/>
  <c r="K88" i="3"/>
  <c r="T96" i="3" l="1"/>
  <c r="K89" i="3"/>
  <c r="T97" i="3" l="1"/>
  <c r="K90" i="3"/>
  <c r="T98" i="3" l="1"/>
  <c r="K91" i="3"/>
  <c r="T99" i="3" l="1"/>
  <c r="K92" i="3"/>
  <c r="T100" i="3" l="1"/>
  <c r="K93" i="3"/>
  <c r="T101" i="3" l="1"/>
  <c r="K94" i="3"/>
  <c r="K95" i="3" l="1"/>
  <c r="K96" i="3" l="1"/>
  <c r="K97" i="3" l="1"/>
  <c r="K98" i="3" l="1"/>
  <c r="K99" i="3" l="1"/>
  <c r="K101" i="3" l="1"/>
  <c r="K100" i="3"/>
  <c r="C14" i="3" l="1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3" i="3"/>
  <c r="G4" i="3"/>
  <c r="N3" i="3"/>
  <c r="N4" i="3" l="1"/>
  <c r="G6" i="3"/>
  <c r="G5" i="3"/>
  <c r="N5" i="3" l="1"/>
  <c r="N6" i="3"/>
  <c r="G7" i="3"/>
  <c r="N7" i="3" l="1"/>
  <c r="G8" i="3"/>
  <c r="N8" i="3" l="1"/>
  <c r="G9" i="3"/>
  <c r="N9" i="3" l="1"/>
  <c r="G10" i="3"/>
  <c r="N10" i="3" l="1"/>
  <c r="G11" i="3"/>
  <c r="N11" i="3" l="1"/>
  <c r="G12" i="3"/>
  <c r="N12" i="3" l="1"/>
  <c r="G13" i="3"/>
  <c r="N13" i="3" l="1"/>
  <c r="G14" i="3"/>
  <c r="N14" i="3" l="1"/>
  <c r="G15" i="3"/>
  <c r="AD5" i="3"/>
  <c r="AR26" i="3" s="1"/>
  <c r="AC5" i="3"/>
  <c r="AC6" i="3" s="1"/>
  <c r="AQ25" i="3" s="1"/>
  <c r="AL28" i="3"/>
  <c r="AM30" i="3"/>
  <c r="AL23" i="3"/>
  <c r="AF25" i="3"/>
  <c r="AM23" i="3"/>
  <c r="AM32" i="3"/>
  <c r="AM28" i="3"/>
  <c r="AL24" i="3"/>
  <c r="AM27" i="3"/>
  <c r="AM24" i="3"/>
  <c r="AM25" i="3"/>
  <c r="AM26" i="3"/>
  <c r="AM29" i="3"/>
  <c r="AL26" i="3"/>
  <c r="AH26" i="3"/>
  <c r="AL25" i="3"/>
  <c r="AK25" i="3"/>
  <c r="AM31" i="3"/>
  <c r="AI25" i="3"/>
  <c r="AL27" i="3"/>
  <c r="AL30" i="3"/>
  <c r="AL29" i="3"/>
  <c r="AJ26" i="3"/>
  <c r="AL32" i="3"/>
  <c r="AL33" i="3"/>
  <c r="AL31" i="3"/>
  <c r="AM33" i="3"/>
  <c r="N15" i="3" l="1"/>
  <c r="G16" i="3"/>
  <c r="AQ30" i="3"/>
  <c r="AQ26" i="3"/>
  <c r="AR30" i="3"/>
  <c r="AC7" i="3"/>
  <c r="AD6" i="3"/>
  <c r="AK30" i="3"/>
  <c r="AF26" i="3"/>
  <c r="AH30" i="3"/>
  <c r="AF30" i="3"/>
  <c r="AJ30" i="3"/>
  <c r="AI26" i="3"/>
  <c r="AI30" i="3"/>
  <c r="AK26" i="3"/>
  <c r="N16" i="3" l="1"/>
  <c r="G17" i="3"/>
  <c r="AD7" i="3"/>
  <c r="AR25" i="3"/>
  <c r="AC8" i="3"/>
  <c r="AC9" i="3" s="1"/>
  <c r="AC10" i="3" s="1"/>
  <c r="AQ29" i="3"/>
  <c r="AK29" i="3"/>
  <c r="AF29" i="3"/>
  <c r="AH25" i="3"/>
  <c r="AJ25" i="3"/>
  <c r="AI29" i="3"/>
  <c r="N17" i="3" l="1"/>
  <c r="G18" i="3"/>
  <c r="AC11" i="3"/>
  <c r="AQ28" i="3"/>
  <c r="AQ31" i="3"/>
  <c r="AD8" i="3"/>
  <c r="AD9" i="3" s="1"/>
  <c r="AD10" i="3" s="1"/>
  <c r="AR29" i="3"/>
  <c r="AF31" i="3"/>
  <c r="AI31" i="3"/>
  <c r="AF28" i="3"/>
  <c r="AJ29" i="3"/>
  <c r="AK28" i="3"/>
  <c r="AK31" i="3"/>
  <c r="AH29" i="3"/>
  <c r="AI28" i="3"/>
  <c r="N18" i="3" l="1"/>
  <c r="G19" i="3"/>
  <c r="AD11" i="3"/>
  <c r="AR31" i="3"/>
  <c r="AR28" i="3"/>
  <c r="AC12" i="3"/>
  <c r="AQ24" i="3"/>
  <c r="AH28" i="3"/>
  <c r="AI24" i="3"/>
  <c r="AJ31" i="3"/>
  <c r="AH31" i="3"/>
  <c r="AF24" i="3"/>
  <c r="AK24" i="3"/>
  <c r="AJ28" i="3"/>
  <c r="N19" i="3" l="1"/>
  <c r="G20" i="3"/>
  <c r="AC13" i="3"/>
  <c r="AQ23" i="3" s="1"/>
  <c r="AQ27" i="3"/>
  <c r="AD12" i="3"/>
  <c r="AR24" i="3"/>
  <c r="AH24" i="3"/>
  <c r="AF27" i="3"/>
  <c r="AJ24" i="3"/>
  <c r="AI27" i="3"/>
  <c r="AK27" i="3"/>
  <c r="AK23" i="3"/>
  <c r="AF23" i="3"/>
  <c r="AI23" i="3"/>
  <c r="N20" i="3" l="1"/>
  <c r="G21" i="3"/>
  <c r="AD13" i="3"/>
  <c r="AR23" i="3" s="1"/>
  <c r="AR27" i="3"/>
  <c r="AJ23" i="3"/>
  <c r="AH23" i="3"/>
  <c r="AJ27" i="3"/>
  <c r="AH27" i="3"/>
  <c r="N21" i="3" l="1"/>
  <c r="G22" i="3"/>
  <c r="N22" i="3" l="1"/>
  <c r="G23" i="3"/>
  <c r="N23" i="3" l="1"/>
  <c r="G24" i="3"/>
  <c r="N24" i="3" l="1"/>
  <c r="G25" i="3"/>
  <c r="N25" i="3" l="1"/>
  <c r="G26" i="3"/>
  <c r="N26" i="3" l="1"/>
  <c r="G27" i="3"/>
  <c r="N27" i="3" l="1"/>
  <c r="G28" i="3"/>
  <c r="N28" i="3" l="1"/>
  <c r="G29" i="3"/>
  <c r="N29" i="3" l="1"/>
  <c r="G30" i="3"/>
  <c r="N30" i="3" l="1"/>
  <c r="G31" i="3"/>
  <c r="N31" i="3" l="1"/>
  <c r="G32" i="3"/>
  <c r="N32" i="3" l="1"/>
  <c r="G33" i="3"/>
  <c r="N33" i="3" l="1"/>
  <c r="G34" i="3"/>
  <c r="N34" i="3" l="1"/>
  <c r="G35" i="3"/>
  <c r="N35" i="3" l="1"/>
  <c r="G36" i="3"/>
  <c r="N36" i="3" l="1"/>
  <c r="G37" i="3"/>
  <c r="N37" i="3" l="1"/>
  <c r="G38" i="3"/>
  <c r="N38" i="3" l="1"/>
  <c r="G39" i="3"/>
  <c r="N39" i="3" l="1"/>
  <c r="G40" i="3"/>
  <c r="N40" i="3" l="1"/>
  <c r="G41" i="3"/>
  <c r="N41" i="3" l="1"/>
  <c r="G42" i="3"/>
  <c r="N42" i="3" l="1"/>
  <c r="G43" i="3"/>
  <c r="N43" i="3" l="1"/>
  <c r="G44" i="3"/>
  <c r="N44" i="3" l="1"/>
  <c r="G45" i="3"/>
  <c r="N45" i="3" l="1"/>
  <c r="G46" i="3"/>
  <c r="N46" i="3" l="1"/>
  <c r="G47" i="3"/>
  <c r="N47" i="3" l="1"/>
  <c r="G48" i="3"/>
  <c r="N48" i="3" l="1"/>
  <c r="G49" i="3"/>
  <c r="N49" i="3" l="1"/>
  <c r="G50" i="3"/>
  <c r="N50" i="3" l="1"/>
  <c r="G51" i="3"/>
  <c r="N51" i="3" l="1"/>
  <c r="G52" i="3"/>
  <c r="N52" i="3" l="1"/>
  <c r="G53" i="3"/>
  <c r="N53" i="3" l="1"/>
  <c r="G54" i="3"/>
  <c r="N54" i="3" l="1"/>
  <c r="G55" i="3"/>
  <c r="N55" i="3" l="1"/>
  <c r="G56" i="3"/>
  <c r="N56" i="3" l="1"/>
  <c r="G57" i="3"/>
  <c r="N57" i="3" l="1"/>
  <c r="G58" i="3"/>
  <c r="N58" i="3" l="1"/>
  <c r="G59" i="3"/>
  <c r="N59" i="3" l="1"/>
  <c r="G60" i="3"/>
  <c r="N60" i="3" l="1"/>
  <c r="G61" i="3"/>
  <c r="N61" i="3" l="1"/>
  <c r="G62" i="3"/>
  <c r="N62" i="3" l="1"/>
  <c r="G63" i="3"/>
  <c r="N63" i="3" l="1"/>
  <c r="G64" i="3"/>
  <c r="N64" i="3" l="1"/>
  <c r="G65" i="3"/>
  <c r="N65" i="3" l="1"/>
  <c r="G66" i="3"/>
  <c r="N66" i="3" l="1"/>
  <c r="G67" i="3"/>
  <c r="N67" i="3" l="1"/>
  <c r="G68" i="3"/>
  <c r="N68" i="3" l="1"/>
  <c r="G69" i="3"/>
  <c r="N69" i="3" l="1"/>
  <c r="G70" i="3"/>
  <c r="N70" i="3" l="1"/>
  <c r="G71" i="3"/>
  <c r="N71" i="3" l="1"/>
  <c r="G72" i="3"/>
  <c r="N72" i="3" l="1"/>
  <c r="G73" i="3"/>
  <c r="N73" i="3" l="1"/>
  <c r="G74" i="3"/>
  <c r="N74" i="3" l="1"/>
  <c r="G75" i="3"/>
  <c r="N75" i="3" l="1"/>
  <c r="G76" i="3"/>
  <c r="N76" i="3" l="1"/>
  <c r="G77" i="3"/>
  <c r="N77" i="3" l="1"/>
  <c r="G78" i="3"/>
  <c r="N78" i="3" l="1"/>
  <c r="G79" i="3"/>
  <c r="N79" i="3" l="1"/>
  <c r="G80" i="3"/>
  <c r="N80" i="3" l="1"/>
  <c r="G81" i="3"/>
  <c r="N81" i="3" l="1"/>
  <c r="G82" i="3"/>
  <c r="N82" i="3" l="1"/>
  <c r="G83" i="3"/>
  <c r="N83" i="3" l="1"/>
  <c r="G84" i="3"/>
  <c r="N84" i="3" l="1"/>
  <c r="G85" i="3"/>
  <c r="N85" i="3" l="1"/>
  <c r="G86" i="3"/>
  <c r="N86" i="3" l="1"/>
  <c r="G87" i="3"/>
  <c r="N87" i="3" l="1"/>
  <c r="G88" i="3"/>
  <c r="N88" i="3" l="1"/>
  <c r="G89" i="3"/>
  <c r="N89" i="3" l="1"/>
  <c r="G90" i="3"/>
  <c r="N90" i="3" l="1"/>
  <c r="G91" i="3"/>
  <c r="N91" i="3" l="1"/>
  <c r="G92" i="3"/>
  <c r="N92" i="3" l="1"/>
  <c r="G93" i="3"/>
  <c r="N93" i="3" l="1"/>
  <c r="G94" i="3"/>
  <c r="N94" i="3" l="1"/>
  <c r="G95" i="3"/>
  <c r="N95" i="3" l="1"/>
  <c r="G96" i="3"/>
  <c r="N96" i="3" l="1"/>
  <c r="G97" i="3"/>
  <c r="N97" i="3" l="1"/>
  <c r="G98" i="3"/>
  <c r="N98" i="3" l="1"/>
  <c r="G99" i="3"/>
  <c r="N99" i="3" l="1"/>
  <c r="G100" i="3"/>
  <c r="N100" i="3" l="1"/>
  <c r="G101" i="3"/>
  <c r="N101" i="3" l="1"/>
  <c r="AR32" i="3"/>
  <c r="AQ32" i="3"/>
  <c r="AF5" i="3"/>
  <c r="AF6" i="3" s="1"/>
  <c r="AF7" i="3" s="1"/>
  <c r="AF8" i="3" s="1"/>
  <c r="AF9" i="3" s="1"/>
  <c r="AF10" i="3" s="1"/>
  <c r="AF11" i="3" s="1"/>
  <c r="AF12" i="3" s="1"/>
  <c r="AF13" i="3" s="1"/>
  <c r="AG5" i="3"/>
  <c r="AG6" i="3" s="1"/>
  <c r="AG7" i="3" s="1"/>
  <c r="AG8" i="3" s="1"/>
  <c r="AG9" i="3" s="1"/>
  <c r="AG10" i="3" s="1"/>
  <c r="AG11" i="3" s="1"/>
  <c r="AG12" i="3" s="1"/>
  <c r="AG13" i="3" s="1"/>
  <c r="AJ4" i="3"/>
  <c r="AI4" i="3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44" i="1"/>
  <c r="AK32" i="3"/>
  <c r="AH32" i="3"/>
  <c r="AJ32" i="3"/>
  <c r="AI32" i="3"/>
  <c r="AF32" i="3"/>
  <c r="AJ5" i="3" l="1"/>
  <c r="AI5" i="3"/>
  <c r="AI6" i="3" l="1"/>
  <c r="AJ6" i="3"/>
  <c r="AI7" i="3"/>
  <c r="AJ8" i="3" l="1"/>
  <c r="AJ7" i="3"/>
  <c r="AI8" i="3"/>
  <c r="AJ9" i="3" l="1"/>
  <c r="AI9" i="3"/>
  <c r="AI10" i="3" l="1"/>
  <c r="AJ10" i="3" l="1"/>
  <c r="AI11" i="3"/>
  <c r="AJ11" i="3" l="1"/>
  <c r="AI12" i="3"/>
  <c r="AQ33" i="3" l="1"/>
  <c r="AJ12" i="3"/>
  <c r="AI13" i="3"/>
  <c r="AI33" i="3"/>
  <c r="AK33" i="3"/>
  <c r="AF33" i="3"/>
  <c r="AR33" i="3" l="1"/>
  <c r="AJ13" i="3"/>
  <c r="AH33" i="3"/>
  <c r="AJ33" i="3"/>
  <c r="U44" i="1" l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T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L80" i="1" l="1"/>
  <c r="K80" i="1"/>
  <c r="J80" i="1"/>
  <c r="I80" i="1"/>
  <c r="H80" i="1"/>
  <c r="G80" i="1"/>
  <c r="W80" i="1" s="1"/>
  <c r="F80" i="1"/>
  <c r="E80" i="1"/>
  <c r="L79" i="1"/>
  <c r="K79" i="1"/>
  <c r="J79" i="1"/>
  <c r="I79" i="1"/>
  <c r="H79" i="1"/>
  <c r="T79" i="1" s="1"/>
  <c r="G79" i="1"/>
  <c r="W79" i="1" s="1"/>
  <c r="F79" i="1"/>
  <c r="E79" i="1"/>
  <c r="L78" i="1"/>
  <c r="K78" i="1"/>
  <c r="J78" i="1"/>
  <c r="I78" i="1"/>
  <c r="H78" i="1"/>
  <c r="T78" i="1" s="1"/>
  <c r="G78" i="1"/>
  <c r="W78" i="1" s="1"/>
  <c r="F78" i="1"/>
  <c r="E78" i="1"/>
  <c r="L77" i="1"/>
  <c r="K77" i="1"/>
  <c r="J77" i="1"/>
  <c r="I77" i="1"/>
  <c r="H77" i="1"/>
  <c r="G77" i="1"/>
  <c r="W77" i="1" s="1"/>
  <c r="F77" i="1"/>
  <c r="E77" i="1"/>
  <c r="L76" i="1"/>
  <c r="K76" i="1"/>
  <c r="J76" i="1"/>
  <c r="I76" i="1"/>
  <c r="H76" i="1"/>
  <c r="G76" i="1"/>
  <c r="W76" i="1" s="1"/>
  <c r="F76" i="1"/>
  <c r="E76" i="1"/>
  <c r="L75" i="1"/>
  <c r="K75" i="1"/>
  <c r="J75" i="1"/>
  <c r="I75" i="1"/>
  <c r="H75" i="1"/>
  <c r="T75" i="1" s="1"/>
  <c r="G75" i="1"/>
  <c r="W75" i="1" s="1"/>
  <c r="F75" i="1"/>
  <c r="E75" i="1"/>
  <c r="L74" i="1"/>
  <c r="K74" i="1"/>
  <c r="J74" i="1"/>
  <c r="I74" i="1"/>
  <c r="H74" i="1"/>
  <c r="T74" i="1" s="1"/>
  <c r="G74" i="1"/>
  <c r="W74" i="1" s="1"/>
  <c r="F74" i="1"/>
  <c r="E74" i="1"/>
  <c r="L39" i="1"/>
  <c r="K39" i="1"/>
  <c r="J39" i="1"/>
  <c r="I39" i="1"/>
  <c r="H39" i="1"/>
  <c r="G39" i="1"/>
  <c r="F39" i="1"/>
  <c r="E39" i="1"/>
  <c r="L38" i="1"/>
  <c r="K38" i="1"/>
  <c r="J38" i="1"/>
  <c r="I38" i="1"/>
  <c r="H38" i="1"/>
  <c r="G38" i="1"/>
  <c r="F38" i="1"/>
  <c r="E38" i="1"/>
  <c r="L37" i="1"/>
  <c r="K37" i="1"/>
  <c r="J37" i="1"/>
  <c r="I37" i="1"/>
  <c r="H37" i="1"/>
  <c r="G37" i="1"/>
  <c r="F37" i="1"/>
  <c r="E37" i="1"/>
  <c r="L36" i="1"/>
  <c r="K36" i="1"/>
  <c r="J36" i="1"/>
  <c r="I36" i="1"/>
  <c r="H36" i="1"/>
  <c r="G36" i="1"/>
  <c r="F36" i="1"/>
  <c r="E36" i="1"/>
  <c r="L35" i="1"/>
  <c r="K35" i="1"/>
  <c r="J35" i="1"/>
  <c r="I35" i="1"/>
  <c r="H35" i="1"/>
  <c r="G35" i="1"/>
  <c r="F35" i="1"/>
  <c r="E35" i="1"/>
  <c r="L34" i="1"/>
  <c r="K34" i="1"/>
  <c r="J34" i="1"/>
  <c r="I34" i="1"/>
  <c r="H34" i="1"/>
  <c r="G34" i="1"/>
  <c r="F34" i="1"/>
  <c r="E34" i="1"/>
  <c r="T80" i="1" l="1"/>
  <c r="T76" i="1"/>
  <c r="T77" i="1"/>
</calcChain>
</file>

<file path=xl/sharedStrings.xml><?xml version="1.0" encoding="utf-8"?>
<sst xmlns="http://schemas.openxmlformats.org/spreadsheetml/2006/main" count="1217" uniqueCount="709">
  <si>
    <r>
      <t>npc</t>
    </r>
    <r>
      <rPr>
        <b/>
        <sz val="10"/>
        <color theme="0"/>
        <rFont val="宋体"/>
        <family val="3"/>
        <charset val="134"/>
      </rPr>
      <t>基础</t>
    </r>
    <r>
      <rPr>
        <sz val="10"/>
        <color theme="1"/>
        <rFont val="宋体"/>
        <family val="3"/>
        <charset val="134"/>
      </rPr>
      <t>础</t>
    </r>
    <phoneticPr fontId="2" type="noConversion"/>
  </si>
  <si>
    <t>基础职业</t>
    <phoneticPr fontId="2" type="noConversion"/>
  </si>
  <si>
    <t>hp</t>
    <phoneticPr fontId="2" type="noConversion"/>
  </si>
  <si>
    <t>sp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</si>
  <si>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</si>
  <si>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</si>
  <si>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</si>
  <si>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</si>
  <si>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</si>
  <si>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</si>
  <si>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威尔</t>
  </si>
  <si>
    <t>炼金术师</t>
    <phoneticPr fontId="2" type="noConversion"/>
  </si>
  <si>
    <t>月爁</t>
  </si>
  <si>
    <t>战士</t>
    <phoneticPr fontId="2" type="noConversion"/>
  </si>
  <si>
    <t>艾米莉塔</t>
  </si>
  <si>
    <t>魔法师</t>
    <phoneticPr fontId="2" type="noConversion"/>
  </si>
  <si>
    <t>塞维尔</t>
  </si>
  <si>
    <t>弓箭手</t>
    <phoneticPr fontId="2" type="noConversion"/>
  </si>
  <si>
    <t>雷格拉</t>
  </si>
  <si>
    <t>炼金术师</t>
    <phoneticPr fontId="2" type="noConversion"/>
  </si>
  <si>
    <t>络纱娜</t>
  </si>
  <si>
    <t>神职侍女</t>
  </si>
  <si>
    <t>僧侣</t>
    <phoneticPr fontId="2" type="noConversion"/>
  </si>
  <si>
    <t>水那</t>
  </si>
  <si>
    <t>魔法师</t>
    <phoneticPr fontId="2" type="noConversion"/>
  </si>
  <si>
    <t>火狐</t>
  </si>
  <si>
    <t>战斗大师</t>
    <phoneticPr fontId="2" type="noConversion"/>
  </si>
  <si>
    <t>克莱尔</t>
  </si>
  <si>
    <t>弓箭手</t>
    <phoneticPr fontId="2" type="noConversion"/>
  </si>
  <si>
    <t>梅洛蒂亚娜</t>
  </si>
  <si>
    <t>圣骑士</t>
    <phoneticPr fontId="2" type="noConversion"/>
  </si>
  <si>
    <t>莎露媞</t>
  </si>
  <si>
    <t>盗贼</t>
    <phoneticPr fontId="2" type="noConversion"/>
  </si>
  <si>
    <t>克尔安奴</t>
  </si>
  <si>
    <t>幻兽</t>
  </si>
  <si>
    <t>武斗家</t>
    <phoneticPr fontId="2" type="noConversion"/>
  </si>
  <si>
    <t>狐伯莲</t>
  </si>
  <si>
    <t>舞师</t>
    <phoneticPr fontId="2" type="noConversion"/>
  </si>
  <si>
    <t>雷龙</t>
  </si>
  <si>
    <t>魔法战士</t>
    <phoneticPr fontId="2" type="noConversion"/>
  </si>
  <si>
    <t>伊丽莎斯</t>
  </si>
  <si>
    <t>吟游诗人</t>
    <phoneticPr fontId="2" type="noConversion"/>
  </si>
  <si>
    <t>死神</t>
  </si>
  <si>
    <t>魔物猎人</t>
    <phoneticPr fontId="2" type="noConversion"/>
  </si>
  <si>
    <t>露丝</t>
  </si>
  <si>
    <t>战斗大师</t>
    <phoneticPr fontId="2" type="noConversion"/>
  </si>
  <si>
    <t>伊琳娜</t>
  </si>
  <si>
    <t>伊夫琳</t>
  </si>
  <si>
    <t>海贼</t>
    <phoneticPr fontId="2" type="noConversion"/>
  </si>
  <si>
    <t>莉莉</t>
  </si>
  <si>
    <t>超级明星</t>
    <phoneticPr fontId="2" type="noConversion"/>
  </si>
  <si>
    <t>普罗阿</t>
  </si>
  <si>
    <t>滑稽师</t>
    <phoneticPr fontId="2" type="noConversion"/>
  </si>
  <si>
    <t>菲尼莉</t>
  </si>
  <si>
    <t>贤者</t>
    <phoneticPr fontId="2" type="noConversion"/>
  </si>
  <si>
    <t>女佣</t>
  </si>
  <si>
    <t>女佣（邪恶）</t>
  </si>
  <si>
    <t>超级明星</t>
    <phoneticPr fontId="2" type="noConversion"/>
  </si>
  <si>
    <t>纳斯塔西娅</t>
  </si>
  <si>
    <t>依库瑞娅</t>
  </si>
  <si>
    <t>男佣兵</t>
  </si>
  <si>
    <t>女佣兵</t>
  </si>
  <si>
    <t>战士</t>
    <phoneticPr fontId="2" type="noConversion"/>
  </si>
  <si>
    <t>东方国将军</t>
    <phoneticPr fontId="2" type="noConversion"/>
  </si>
  <si>
    <t>死神强化版</t>
    <phoneticPr fontId="2" type="noConversion"/>
  </si>
  <si>
    <t>柯丽雅</t>
    <phoneticPr fontId="2" type="noConversion"/>
  </si>
  <si>
    <t>id</t>
    <phoneticPr fontId="2" type="noConversion"/>
  </si>
  <si>
    <t>物理</t>
    <phoneticPr fontId="2" type="noConversion"/>
  </si>
  <si>
    <t>地脉</t>
    <phoneticPr fontId="2" type="noConversion"/>
  </si>
  <si>
    <t>冷却</t>
    <phoneticPr fontId="2" type="noConversion"/>
  </si>
  <si>
    <t>火炎</t>
    <phoneticPr fontId="2" type="noConversion"/>
  </si>
  <si>
    <t>神圣</t>
    <phoneticPr fontId="2" type="noConversion"/>
  </si>
  <si>
    <t>黑暗</t>
    <phoneticPr fontId="2" type="noConversion"/>
  </si>
  <si>
    <t>电击</t>
    <phoneticPr fontId="2" type="noConversion"/>
  </si>
  <si>
    <t>舞师</t>
    <phoneticPr fontId="2" type="noConversion"/>
  </si>
  <si>
    <t>魔法战士</t>
    <phoneticPr fontId="2" type="noConversion"/>
  </si>
  <si>
    <t>海贼</t>
    <phoneticPr fontId="2" type="noConversion"/>
  </si>
  <si>
    <t>东方国将军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</si>
  <si>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基础成长</t>
    </r>
    <phoneticPr fontId="2" type="noConversion"/>
  </si>
  <si>
    <t>基础职业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</si>
  <si>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</si>
  <si>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</si>
  <si>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</si>
  <si>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</si>
  <si>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</si>
  <si>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</si>
  <si>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物理</t>
    <phoneticPr fontId="2" type="noConversion"/>
  </si>
  <si>
    <t>冷却</t>
    <phoneticPr fontId="2" type="noConversion"/>
  </si>
  <si>
    <t>火炎</t>
    <phoneticPr fontId="2" type="noConversion"/>
  </si>
  <si>
    <t>黑暗</t>
    <phoneticPr fontId="2" type="noConversion"/>
  </si>
  <si>
    <t>炼金术师</t>
    <phoneticPr fontId="2" type="noConversion"/>
  </si>
  <si>
    <t>战士</t>
    <phoneticPr fontId="2" type="noConversion"/>
  </si>
  <si>
    <t>魔法师</t>
    <phoneticPr fontId="2" type="noConversion"/>
  </si>
  <si>
    <t>弓箭手</t>
    <phoneticPr fontId="2" type="noConversion"/>
  </si>
  <si>
    <t>炼金术师</t>
    <phoneticPr fontId="2" type="noConversion"/>
  </si>
  <si>
    <t>僧侣</t>
    <phoneticPr fontId="2" type="noConversion"/>
  </si>
  <si>
    <t>战斗大师</t>
    <phoneticPr fontId="2" type="noConversion"/>
  </si>
  <si>
    <t>弓箭手</t>
    <phoneticPr fontId="2" type="noConversion"/>
  </si>
  <si>
    <t>圣骑士</t>
    <phoneticPr fontId="2" type="noConversion"/>
  </si>
  <si>
    <t>武斗家</t>
    <phoneticPr fontId="2" type="noConversion"/>
  </si>
  <si>
    <t>魔法战士</t>
    <phoneticPr fontId="2" type="noConversion"/>
  </si>
  <si>
    <t>吟游诗人</t>
    <phoneticPr fontId="2" type="noConversion"/>
  </si>
  <si>
    <t>魔物猎人</t>
    <phoneticPr fontId="2" type="noConversion"/>
  </si>
  <si>
    <t>超级明星</t>
    <phoneticPr fontId="2" type="noConversion"/>
  </si>
  <si>
    <t>滑稽师</t>
    <phoneticPr fontId="2" type="noConversion"/>
  </si>
  <si>
    <t>贤者</t>
    <phoneticPr fontId="2" type="noConversion"/>
  </si>
  <si>
    <t>超级明星</t>
    <phoneticPr fontId="2" type="noConversion"/>
  </si>
  <si>
    <t>战士</t>
    <phoneticPr fontId="2" type="noConversion"/>
  </si>
  <si>
    <t>战斗大师</t>
    <phoneticPr fontId="2" type="noConversion"/>
  </si>
  <si>
    <t>死神强化版</t>
    <phoneticPr fontId="2" type="noConversion"/>
  </si>
  <si>
    <t>柯丽雅</t>
    <phoneticPr fontId="2" type="noConversion"/>
  </si>
  <si>
    <t>属性偏重</t>
  </si>
  <si>
    <t>职业类型</t>
  </si>
  <si>
    <t>hp</t>
  </si>
  <si>
    <t>sp</t>
  </si>
  <si>
    <t>物攻</t>
  </si>
  <si>
    <t>物防</t>
  </si>
  <si>
    <t>魔攻</t>
  </si>
  <si>
    <t>魔防</t>
  </si>
  <si>
    <t>敏捷</t>
  </si>
  <si>
    <t>幸运</t>
  </si>
  <si>
    <t>物理</t>
  </si>
  <si>
    <t>地脉</t>
  </si>
  <si>
    <t>冷却</t>
  </si>
  <si>
    <t>火炎</t>
  </si>
  <si>
    <t>神圣</t>
  </si>
  <si>
    <t>黑暗</t>
  </si>
  <si>
    <t>电击</t>
  </si>
  <si>
    <t>战士</t>
  </si>
  <si>
    <t>武斗家</t>
  </si>
  <si>
    <t>魔法师</t>
  </si>
  <si>
    <t>僧侣</t>
  </si>
  <si>
    <t>舞师</t>
  </si>
  <si>
    <t>盗贼</t>
  </si>
  <si>
    <t>弓箭手</t>
  </si>
  <si>
    <t>吟游诗人</t>
  </si>
  <si>
    <t>滑稽师</t>
  </si>
  <si>
    <t>炼金术师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</si>
  <si>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</si>
  <si>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</si>
  <si>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</si>
  <si>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</si>
  <si>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</si>
  <si>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</si>
  <si>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</si>
  <si>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天地雷鳴士</t>
  </si>
  <si>
    <t>神之手</t>
  </si>
  <si>
    <t>勇者</t>
  </si>
  <si>
    <t>hp</t>
    <phoneticPr fontId="2" type="noConversion"/>
  </si>
  <si>
    <t>atk</t>
    <phoneticPr fontId="2" type="noConversion"/>
  </si>
  <si>
    <t>hit</t>
    <phoneticPr fontId="2" type="noConversion"/>
  </si>
  <si>
    <t>被击中</t>
    <phoneticPr fontId="2" type="noConversion"/>
  </si>
  <si>
    <t>hp</t>
    <phoneticPr fontId="2" type="noConversion"/>
  </si>
  <si>
    <t>atk</t>
    <phoneticPr fontId="2" type="noConversion"/>
  </si>
  <si>
    <t>atk</t>
    <phoneticPr fontId="2" type="noConversion"/>
  </si>
  <si>
    <t>hp1</t>
    <phoneticPr fontId="2" type="noConversion"/>
  </si>
  <si>
    <t>atk1</t>
    <phoneticPr fontId="2" type="noConversion"/>
  </si>
  <si>
    <t>totalHP</t>
    <phoneticPr fontId="2" type="noConversion"/>
  </si>
  <si>
    <t>totalATK</t>
    <phoneticPr fontId="2" type="noConversion"/>
  </si>
  <si>
    <t>lvl</t>
    <phoneticPr fontId="2" type="noConversion"/>
  </si>
  <si>
    <t>幸运</t>
    <phoneticPr fontId="2" type="noConversion"/>
  </si>
  <si>
    <t>战斗大师</t>
    <phoneticPr fontId="2" type="noConversion"/>
  </si>
  <si>
    <t>魔法战士</t>
    <phoneticPr fontId="2" type="noConversion"/>
  </si>
  <si>
    <t>魔物猎人</t>
    <phoneticPr fontId="2" type="noConversion"/>
  </si>
  <si>
    <t>魔物猎人</t>
    <phoneticPr fontId="2" type="noConversion"/>
  </si>
  <si>
    <t>东方国将军</t>
    <phoneticPr fontId="2" type="noConversion"/>
  </si>
  <si>
    <t>东方国将军</t>
    <phoneticPr fontId="2" type="noConversion"/>
  </si>
  <si>
    <t>战斗大师</t>
    <phoneticPr fontId="2" type="noConversion"/>
  </si>
  <si>
    <t>死神强化版</t>
    <phoneticPr fontId="2" type="noConversion"/>
  </si>
  <si>
    <t>魔物猎人</t>
    <phoneticPr fontId="2" type="noConversion"/>
  </si>
  <si>
    <t>魔物猎人</t>
    <phoneticPr fontId="2" type="noConversion"/>
  </si>
  <si>
    <t>柯丽雅</t>
    <phoneticPr fontId="2" type="noConversion"/>
  </si>
  <si>
    <t>魔法战士</t>
    <phoneticPr fontId="2" type="noConversion"/>
  </si>
  <si>
    <t>柯丽雅</t>
    <phoneticPr fontId="2" type="noConversion"/>
  </si>
  <si>
    <r>
      <rPr>
        <sz val="10"/>
        <color theme="1"/>
        <rFont val="宋体"/>
        <family val="2"/>
      </rPr>
      <t>被击中</t>
    </r>
    <phoneticPr fontId="2" type="noConversion"/>
  </si>
  <si>
    <r>
      <rPr>
        <sz val="10"/>
        <color theme="1"/>
        <rFont val="宋体"/>
        <family val="2"/>
      </rPr>
      <t>命中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</si>
  <si>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</si>
  <si>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</si>
  <si>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</si>
  <si>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</si>
  <si>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</si>
  <si>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</si>
  <si>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</si>
  <si>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</si>
  <si>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</si>
  <si>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</si>
  <si>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</si>
  <si>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sz val="10"/>
        <color theme="1"/>
        <rFont val="宋体"/>
        <family val="2"/>
      </rPr>
      <t>威尔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</si>
  <si>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</si>
  <si>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</si>
  <si>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月爁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</si>
  <si>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</si>
  <si>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</si>
  <si>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艾米莉塔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</si>
  <si>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</si>
  <si>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</si>
  <si>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塞维尔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</si>
  <si>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</si>
  <si>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</si>
  <si>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雷格拉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</si>
  <si>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</si>
  <si>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</si>
  <si>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络纱娜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</si>
  <si>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</si>
  <si>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神职侍女</t>
    </r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</si>
  <si>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</si>
  <si>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</si>
  <si>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水那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</si>
  <si>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</si>
  <si>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</si>
  <si>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火狐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</si>
  <si>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</si>
  <si>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</si>
  <si>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克莱尔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</si>
  <si>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</si>
  <si>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</si>
  <si>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梅洛蒂亚娜</t>
    </r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</si>
  <si>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</si>
  <si>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</si>
  <si>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莎露媞</t>
    </r>
  </si>
  <si>
    <r>
      <rPr>
        <sz val="10"/>
        <color theme="1"/>
        <rFont val="宋体"/>
        <family val="2"/>
      </rPr>
      <t>盗贼</t>
    </r>
    <phoneticPr fontId="2" type="noConversion"/>
  </si>
  <si>
    <r>
      <rPr>
        <sz val="10"/>
        <color theme="1"/>
        <rFont val="宋体"/>
        <family val="2"/>
      </rPr>
      <t>克尔安奴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</si>
  <si>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</si>
  <si>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</si>
  <si>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幻兽</t>
    </r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</si>
  <si>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</si>
  <si>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</si>
  <si>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狐伯莲</t>
    </r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</si>
  <si>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</si>
  <si>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</si>
  <si>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雷龙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</si>
  <si>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</si>
  <si>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伊丽莎斯</t>
    </r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</si>
  <si>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</si>
  <si>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</si>
  <si>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死神</t>
    </r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</si>
  <si>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</si>
  <si>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</si>
  <si>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露丝</t>
    </r>
  </si>
  <si>
    <r>
      <rPr>
        <sz val="10"/>
        <color theme="1"/>
        <rFont val="宋体"/>
        <family val="2"/>
      </rPr>
      <t>伊琳娜</t>
    </r>
  </si>
  <si>
    <r>
      <rPr>
        <sz val="10"/>
        <color theme="1"/>
        <rFont val="宋体"/>
        <family val="2"/>
      </rPr>
      <t>伊夫琳</t>
    </r>
  </si>
  <si>
    <r>
      <rPr>
        <sz val="10"/>
        <color theme="1"/>
        <rFont val="宋体"/>
        <family val="2"/>
      </rPr>
      <t>海贼</t>
    </r>
    <phoneticPr fontId="2" type="noConversion"/>
  </si>
  <si>
    <r>
      <rPr>
        <sz val="10"/>
        <color theme="1"/>
        <rFont val="宋体"/>
        <family val="2"/>
      </rPr>
      <t>莉莉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</si>
  <si>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</si>
  <si>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</si>
  <si>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普罗阿</t>
    </r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</si>
  <si>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</si>
  <si>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</si>
  <si>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菲尼莉</t>
    </r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</si>
  <si>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</si>
  <si>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</si>
  <si>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女佣</t>
    </r>
  </si>
  <si>
    <r>
      <rPr>
        <sz val="10"/>
        <color theme="1"/>
        <rFont val="宋体"/>
        <family val="2"/>
      </rPr>
      <t>女佣（邪恶）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</si>
  <si>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</si>
  <si>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纳斯塔西娅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</si>
  <si>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</si>
  <si>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</si>
  <si>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依库瑞娅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</si>
  <si>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</si>
  <si>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</si>
  <si>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男佣兵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</si>
  <si>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</si>
  <si>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</si>
  <si>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女佣兵</t>
    </r>
  </si>
  <si>
    <t>闪避</t>
    <phoneticPr fontId="2" type="noConversion"/>
  </si>
  <si>
    <t>命中</t>
    <phoneticPr fontId="2" type="noConversion"/>
  </si>
  <si>
    <t>物理攻击</t>
    <phoneticPr fontId="2" type="noConversion"/>
  </si>
  <si>
    <t>魔法攻击</t>
    <phoneticPr fontId="2" type="noConversion"/>
  </si>
  <si>
    <t>抗性</t>
    <phoneticPr fontId="2" type="noConversion"/>
  </si>
  <si>
    <t>最终击中率</t>
    <phoneticPr fontId="2" type="noConversion"/>
  </si>
  <si>
    <r>
      <rPr>
        <sz val="10"/>
        <color theme="1"/>
        <rFont val="宋体"/>
        <family val="3"/>
        <charset val="134"/>
      </rPr>
      <t>最终击中率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攻击方命中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（</t>
    </r>
    <r>
      <rPr>
        <sz val="10"/>
        <color theme="1"/>
        <rFont val="Arial"/>
        <family val="2"/>
      </rPr>
      <t>1-</t>
    </r>
    <r>
      <rPr>
        <sz val="10"/>
        <color theme="1"/>
        <rFont val="宋体"/>
        <family val="3"/>
        <charset val="134"/>
      </rPr>
      <t>防御方闪避）</t>
    </r>
    <phoneticPr fontId="2" type="noConversion"/>
  </si>
  <si>
    <r>
      <rPr>
        <sz val="10"/>
        <color theme="1"/>
        <rFont val="宋体"/>
        <family val="3"/>
        <charset val="134"/>
      </rPr>
      <t>闪避率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敏捷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等级系数</t>
    </r>
    <phoneticPr fontId="2" type="noConversion"/>
  </si>
  <si>
    <t>白</t>
    <phoneticPr fontId="2" type="noConversion"/>
  </si>
  <si>
    <t>蓝</t>
    <phoneticPr fontId="2" type="noConversion"/>
  </si>
  <si>
    <t>橙</t>
    <phoneticPr fontId="2" type="noConversion"/>
  </si>
  <si>
    <t>职业总减伤</t>
    <phoneticPr fontId="2" type="noConversion"/>
  </si>
  <si>
    <t>抗性减伤</t>
    <phoneticPr fontId="2" type="noConversion"/>
  </si>
  <si>
    <t>闪避减伤</t>
    <phoneticPr fontId="2" type="noConversion"/>
  </si>
  <si>
    <t>总敏捷</t>
    <phoneticPr fontId="2" type="noConversion"/>
  </si>
  <si>
    <t>装备敏捷</t>
    <phoneticPr fontId="2" type="noConversion"/>
  </si>
  <si>
    <t>每点敏捷增加闪避</t>
    <phoneticPr fontId="2" type="noConversion"/>
  </si>
  <si>
    <t>分类</t>
    <phoneticPr fontId="2" type="noConversion"/>
  </si>
  <si>
    <t>颜色</t>
    <phoneticPr fontId="2" type="noConversion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</si>
  <si>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</si>
  <si>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</si>
  <si>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</si>
  <si>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</si>
  <si>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最小副属性数量</t>
    <phoneticPr fontId="2" type="noConversion"/>
  </si>
  <si>
    <t>最大副属性数量</t>
    <phoneticPr fontId="2" type="noConversion"/>
  </si>
  <si>
    <t>生命能力</t>
    <phoneticPr fontId="2" type="noConversion"/>
  </si>
  <si>
    <t>物攻能力</t>
    <phoneticPr fontId="2" type="noConversion"/>
  </si>
  <si>
    <t>魔攻能力</t>
    <phoneticPr fontId="2" type="noConversion"/>
  </si>
  <si>
    <t>物防能力</t>
    <phoneticPr fontId="2" type="noConversion"/>
  </si>
  <si>
    <t>魔防能力</t>
    <phoneticPr fontId="2" type="noConversion"/>
  </si>
  <si>
    <t>人物等级</t>
    <phoneticPr fontId="2" type="noConversion"/>
  </si>
  <si>
    <t>职业等级</t>
    <phoneticPr fontId="2" type="noConversion"/>
  </si>
  <si>
    <t>职业</t>
    <phoneticPr fontId="2" type="noConversion"/>
  </si>
  <si>
    <t>id</t>
    <phoneticPr fontId="2" type="noConversion"/>
  </si>
  <si>
    <t>物防</t>
    <phoneticPr fontId="2" type="noConversion"/>
  </si>
  <si>
    <t>魔防</t>
    <phoneticPr fontId="2" type="noConversion"/>
  </si>
  <si>
    <t>坚韧</t>
    <phoneticPr fontId="2" type="noConversion"/>
  </si>
  <si>
    <t>伤害</t>
    <phoneticPr fontId="2" type="noConversion"/>
  </si>
  <si>
    <r>
      <rPr>
        <b/>
        <i/>
        <sz val="10"/>
        <color theme="0"/>
        <rFont val="宋体"/>
        <family val="3"/>
        <charset val="134"/>
      </rPr>
      <t>平衡</t>
    </r>
    <r>
      <rPr>
        <b/>
        <i/>
        <sz val="10"/>
        <color theme="0"/>
        <rFont val="Arial"/>
        <family val="2"/>
      </rPr>
      <t>id</t>
    </r>
    <phoneticPr fontId="2" type="noConversion"/>
  </si>
  <si>
    <t>能力系数</t>
    <phoneticPr fontId="2" type="noConversion"/>
  </si>
  <si>
    <t>法杖</t>
    <phoneticPr fontId="2" type="noConversion"/>
  </si>
  <si>
    <t>枪</t>
  </si>
  <si>
    <t>剑</t>
  </si>
  <si>
    <t>法杖</t>
  </si>
  <si>
    <t>烟斗</t>
  </si>
  <si>
    <t>刀</t>
  </si>
  <si>
    <t>镰刀</t>
  </si>
  <si>
    <t>爪</t>
  </si>
  <si>
    <t>锤子</t>
    <phoneticPr fontId="2" type="noConversion"/>
  </si>
  <si>
    <t>刀</t>
    <phoneticPr fontId="2" type="noConversion"/>
  </si>
  <si>
    <t>拳套</t>
    <phoneticPr fontId="2" type="noConversion"/>
  </si>
  <si>
    <t>枪</t>
    <phoneticPr fontId="2" type="noConversion"/>
  </si>
  <si>
    <t>镰刀</t>
    <phoneticPr fontId="2" type="noConversion"/>
  </si>
  <si>
    <t>弓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</si>
  <si>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</si>
  <si>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</si>
  <si>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</si>
  <si>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</si>
  <si>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</si>
  <si>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</si>
  <si>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武器类型</t>
    <phoneticPr fontId="2" type="noConversion"/>
  </si>
  <si>
    <t>坚韧</t>
    <phoneticPr fontId="2" type="noConversion"/>
  </si>
  <si>
    <t>伤害</t>
    <phoneticPr fontId="2" type="noConversion"/>
  </si>
  <si>
    <t>id</t>
    <phoneticPr fontId="2" type="noConversion"/>
  </si>
  <si>
    <t>id</t>
    <phoneticPr fontId="2" type="noConversion"/>
  </si>
  <si>
    <t>类别</t>
    <phoneticPr fontId="2" type="noConversion"/>
  </si>
  <si>
    <r>
      <rPr>
        <sz val="10"/>
        <color theme="1"/>
        <rFont val="宋体"/>
        <family val="3"/>
        <charset val="134"/>
      </rPr>
      <t>均衡</t>
    </r>
    <r>
      <rPr>
        <sz val="10"/>
        <color theme="1"/>
        <rFont val="Arial"/>
        <family val="2"/>
      </rPr>
      <t>1</t>
    </r>
    <phoneticPr fontId="2" type="noConversion"/>
  </si>
  <si>
    <r>
      <rPr>
        <sz val="10"/>
        <color theme="1"/>
        <rFont val="宋体"/>
        <family val="3"/>
        <charset val="134"/>
      </rPr>
      <t>均衡</t>
    </r>
    <r>
      <rPr>
        <sz val="10"/>
        <color theme="1"/>
        <rFont val="Arial"/>
        <family val="2"/>
      </rPr>
      <t>2</t>
    </r>
    <phoneticPr fontId="2" type="noConversion"/>
  </si>
  <si>
    <r>
      <rPr>
        <sz val="10"/>
        <color theme="1"/>
        <rFont val="宋体"/>
        <family val="3"/>
        <charset val="134"/>
      </rPr>
      <t>均衡</t>
    </r>
    <r>
      <rPr>
        <sz val="10"/>
        <color theme="1"/>
        <rFont val="Arial"/>
        <family val="2"/>
      </rPr>
      <t>3</t>
    </r>
    <phoneticPr fontId="2" type="noConversion"/>
  </si>
  <si>
    <t>系数</t>
    <phoneticPr fontId="2" type="noConversion"/>
  </si>
  <si>
    <t>武器</t>
    <phoneticPr fontId="2" type="noConversion"/>
  </si>
  <si>
    <t>武器属性</t>
    <phoneticPr fontId="2" type="noConversion"/>
  </si>
  <si>
    <t>电击</t>
    <phoneticPr fontId="2" type="noConversion"/>
  </si>
  <si>
    <t>地脉</t>
    <phoneticPr fontId="2" type="noConversion"/>
  </si>
  <si>
    <t>火炎</t>
    <phoneticPr fontId="2" type="noConversion"/>
  </si>
  <si>
    <t>冷却</t>
    <phoneticPr fontId="2" type="noConversion"/>
  </si>
  <si>
    <t>主属性</t>
    <phoneticPr fontId="2" type="noConversion"/>
  </si>
  <si>
    <t>闪避</t>
    <phoneticPr fontId="2" type="noConversion"/>
  </si>
  <si>
    <t>id</t>
    <phoneticPr fontId="2" type="noConversion"/>
  </si>
  <si>
    <t>装备部位</t>
    <phoneticPr fontId="2" type="noConversion"/>
  </si>
  <si>
    <t>戒指</t>
    <phoneticPr fontId="2" type="noConversion"/>
  </si>
  <si>
    <t>项链</t>
    <phoneticPr fontId="2" type="noConversion"/>
  </si>
  <si>
    <t>hp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</si>
  <si>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</si>
  <si>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</si>
  <si>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</si>
  <si>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</si>
  <si>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t>敏捷</t>
    <phoneticPr fontId="2" type="noConversion"/>
  </si>
  <si>
    <t>幸运</t>
    <phoneticPr fontId="2" type="noConversion"/>
  </si>
  <si>
    <t>暴击率</t>
    <phoneticPr fontId="2" type="noConversion"/>
  </si>
  <si>
    <t>暴击伤害</t>
    <phoneticPr fontId="2" type="noConversion"/>
  </si>
  <si>
    <t>物理伤害</t>
    <phoneticPr fontId="2" type="noConversion"/>
  </si>
  <si>
    <t>地脉伤害</t>
    <phoneticPr fontId="2" type="noConversion"/>
  </si>
  <si>
    <t>冷却伤害</t>
    <phoneticPr fontId="2" type="noConversion"/>
  </si>
  <si>
    <t>火炎伤害</t>
    <phoneticPr fontId="2" type="noConversion"/>
  </si>
  <si>
    <t>神圣伤害</t>
    <phoneticPr fontId="2" type="noConversion"/>
  </si>
  <si>
    <t>黑暗伤害</t>
    <phoneticPr fontId="2" type="noConversion"/>
  </si>
  <si>
    <t>额外伤害</t>
    <phoneticPr fontId="2" type="noConversion"/>
  </si>
  <si>
    <t>物理抗性</t>
    <phoneticPr fontId="2" type="noConversion"/>
  </si>
  <si>
    <t>地脉抗性</t>
    <phoneticPr fontId="2" type="noConversion"/>
  </si>
  <si>
    <t>冷却抗性</t>
    <phoneticPr fontId="2" type="noConversion"/>
  </si>
  <si>
    <t>火炎抗性</t>
    <phoneticPr fontId="2" type="noConversion"/>
  </si>
  <si>
    <t>神圣抗性</t>
    <phoneticPr fontId="2" type="noConversion"/>
  </si>
  <si>
    <t>黑暗抗性</t>
    <phoneticPr fontId="2" type="noConversion"/>
  </si>
  <si>
    <t>飞行系</t>
    <phoneticPr fontId="2" type="noConversion"/>
  </si>
  <si>
    <t>龙系</t>
    <phoneticPr fontId="2" type="noConversion"/>
  </si>
  <si>
    <t>僵尸系</t>
    <phoneticPr fontId="2" type="noConversion"/>
  </si>
  <si>
    <t>土系</t>
    <phoneticPr fontId="2" type="noConversion"/>
  </si>
  <si>
    <t>金属系</t>
    <phoneticPr fontId="2" type="noConversion"/>
  </si>
  <si>
    <t>sp</t>
    <phoneticPr fontId="2" type="noConversion"/>
  </si>
  <si>
    <t>武器</t>
    <phoneticPr fontId="2" type="noConversion"/>
  </si>
  <si>
    <t>id</t>
    <phoneticPr fontId="2" type="noConversion"/>
  </si>
  <si>
    <t>简写</t>
    <phoneticPr fontId="2" type="noConversion"/>
  </si>
  <si>
    <t>效果</t>
    <phoneticPr fontId="2" type="noConversion"/>
  </si>
  <si>
    <t>明细</t>
    <phoneticPr fontId="2" type="noConversion"/>
  </si>
  <si>
    <t>唯一</t>
    <phoneticPr fontId="2" type="noConversion"/>
  </si>
  <si>
    <t>人物等级</t>
    <phoneticPr fontId="2" type="noConversion"/>
  </si>
  <si>
    <t>职业等级</t>
    <phoneticPr fontId="2" type="noConversion"/>
  </si>
  <si>
    <t>装备幸运</t>
    <phoneticPr fontId="2" type="noConversion"/>
  </si>
  <si>
    <t>npc幸运</t>
    <phoneticPr fontId="2" type="noConversion"/>
  </si>
  <si>
    <t>职业总命中</t>
    <phoneticPr fontId="2" type="noConversion"/>
  </si>
  <si>
    <t>npc命中</t>
    <phoneticPr fontId="2" type="noConversion"/>
  </si>
  <si>
    <t>最小命中</t>
    <phoneticPr fontId="2" type="noConversion"/>
  </si>
  <si>
    <t>绿</t>
    <phoneticPr fontId="2" type="noConversion"/>
  </si>
  <si>
    <r>
      <rPr>
        <sz val="10"/>
        <color theme="1"/>
        <rFont val="宋体"/>
        <family val="3"/>
        <charset val="134"/>
      </rPr>
      <t>命中率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幸运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（幸运+0.5*敌人等级）</t>
    </r>
    <phoneticPr fontId="2" type="noConversion"/>
  </si>
  <si>
    <r>
      <rPr>
        <sz val="10"/>
        <color theme="1"/>
        <rFont val="Arial Unicode MS"/>
        <family val="2"/>
        <charset val="134"/>
      </rPr>
      <t>魔物猎人</t>
    </r>
    <phoneticPr fontId="2" type="noConversion"/>
  </si>
  <si>
    <r>
      <rPr>
        <sz val="10"/>
        <color theme="1"/>
        <rFont val="Arial Unicode MS"/>
        <family val="2"/>
        <charset val="134"/>
      </rPr>
      <t>海贼</t>
    </r>
    <phoneticPr fontId="2" type="noConversion"/>
  </si>
  <si>
    <r>
      <rPr>
        <sz val="10"/>
        <color theme="1"/>
        <rFont val="Arial Unicode MS"/>
        <family val="2"/>
        <charset val="134"/>
      </rPr>
      <t>魔法战士</t>
    </r>
    <phoneticPr fontId="2" type="noConversion"/>
  </si>
  <si>
    <r>
      <rPr>
        <sz val="10"/>
        <color theme="1"/>
        <rFont val="Arial Unicode MS"/>
        <family val="2"/>
        <charset val="134"/>
      </rPr>
      <t>贤者</t>
    </r>
    <phoneticPr fontId="2" type="noConversion"/>
  </si>
  <si>
    <r>
      <rPr>
        <sz val="10"/>
        <color theme="1"/>
        <rFont val="Arial Unicode MS"/>
        <family val="2"/>
        <charset val="134"/>
      </rPr>
      <t>神之手</t>
    </r>
    <phoneticPr fontId="2" type="noConversion"/>
  </si>
  <si>
    <r>
      <rPr>
        <sz val="10"/>
        <color theme="1"/>
        <rFont val="宋体"/>
        <family val="3"/>
        <charset val="134"/>
      </rPr>
      <t>魔法师</t>
    </r>
    <phoneticPr fontId="2" type="noConversion"/>
  </si>
  <si>
    <r>
      <rPr>
        <sz val="10"/>
        <color theme="1"/>
        <rFont val="Arial Unicode MS"/>
        <family val="2"/>
        <charset val="134"/>
      </rPr>
      <t>战斗大师</t>
    </r>
    <phoneticPr fontId="2" type="noConversion"/>
  </si>
  <si>
    <r>
      <rPr>
        <sz val="10"/>
        <color theme="1"/>
        <rFont val="Arial Unicode MS"/>
        <family val="2"/>
        <charset val="134"/>
      </rPr>
      <t>圣骑士</t>
    </r>
    <phoneticPr fontId="2" type="noConversion"/>
  </si>
  <si>
    <r>
      <rPr>
        <sz val="10"/>
        <color theme="1"/>
        <rFont val="Arial Unicode MS"/>
        <family val="2"/>
        <charset val="134"/>
      </rPr>
      <t>天地雷鳴士</t>
    </r>
    <phoneticPr fontId="2" type="noConversion"/>
  </si>
  <si>
    <r>
      <rPr>
        <sz val="10"/>
        <color theme="1"/>
        <rFont val="Arial Unicode MS"/>
        <family val="2"/>
        <charset val="134"/>
      </rPr>
      <t>勇者</t>
    </r>
    <phoneticPr fontId="2" type="noConversion"/>
  </si>
  <si>
    <r>
      <rPr>
        <sz val="10"/>
        <color theme="1"/>
        <rFont val="Arial Unicode MS"/>
        <family val="2"/>
        <charset val="134"/>
      </rPr>
      <t>超级明星</t>
    </r>
    <phoneticPr fontId="2" type="noConversion"/>
  </si>
  <si>
    <r>
      <rPr>
        <sz val="10"/>
        <color theme="1"/>
        <rFont val="宋体"/>
        <family val="3"/>
        <charset val="134"/>
      </rPr>
      <t>弓箭手</t>
    </r>
    <phoneticPr fontId="2" type="noConversion"/>
  </si>
  <si>
    <r>
      <rPr>
        <sz val="10"/>
        <color theme="1"/>
        <rFont val="宋体"/>
        <family val="3"/>
        <charset val="134"/>
      </rPr>
      <t>炼金术师</t>
    </r>
    <phoneticPr fontId="2" type="noConversion"/>
  </si>
  <si>
    <r>
      <rPr>
        <sz val="10"/>
        <color theme="1"/>
        <rFont val="Arial Unicode MS"/>
        <family val="2"/>
        <charset val="134"/>
      </rPr>
      <t>武斗家</t>
    </r>
    <phoneticPr fontId="2" type="noConversion"/>
  </si>
  <si>
    <r>
      <rPr>
        <sz val="10"/>
        <color theme="1"/>
        <rFont val="Arial Unicode MS"/>
        <family val="2"/>
        <charset val="134"/>
      </rPr>
      <t>僧侣</t>
    </r>
    <phoneticPr fontId="2" type="noConversion"/>
  </si>
  <si>
    <r>
      <rPr>
        <sz val="10"/>
        <color theme="1"/>
        <rFont val="Arial Unicode MS"/>
        <family val="2"/>
        <charset val="134"/>
      </rPr>
      <t>舞师</t>
    </r>
    <phoneticPr fontId="2" type="noConversion"/>
  </si>
  <si>
    <r>
      <rPr>
        <sz val="10"/>
        <color theme="1"/>
        <rFont val="Arial Unicode MS"/>
        <family val="2"/>
        <charset val="134"/>
      </rPr>
      <t>盗贼</t>
    </r>
    <phoneticPr fontId="2" type="noConversion"/>
  </si>
  <si>
    <r>
      <rPr>
        <sz val="10"/>
        <color theme="1"/>
        <rFont val="Arial Unicode MS"/>
        <family val="2"/>
        <charset val="134"/>
      </rPr>
      <t>吟游诗人</t>
    </r>
    <phoneticPr fontId="2" type="noConversion"/>
  </si>
  <si>
    <r>
      <rPr>
        <sz val="10"/>
        <color theme="1"/>
        <rFont val="Arial Unicode MS"/>
        <family val="2"/>
        <charset val="134"/>
      </rPr>
      <t>滑稽师</t>
    </r>
    <phoneticPr fontId="2" type="noConversion"/>
  </si>
  <si>
    <t>系数</t>
    <phoneticPr fontId="2" type="noConversion"/>
  </si>
  <si>
    <t>名字</t>
    <phoneticPr fontId="2" type="noConversion"/>
  </si>
  <si>
    <t>能力</t>
    <phoneticPr fontId="2" type="noConversion"/>
  </si>
  <si>
    <r>
      <rPr>
        <sz val="10"/>
        <color theme="1"/>
        <rFont val="宋体"/>
        <family val="3"/>
        <charset val="134"/>
      </rPr>
      <t>【赫拉蒂姆之锤】物攻</t>
    </r>
    <r>
      <rPr>
        <sz val="10"/>
        <color theme="1"/>
        <rFont val="Arial"/>
        <family val="2"/>
      </rPr>
      <t xml:space="preserve">+55 </t>
    </r>
    <r>
      <rPr>
        <sz val="10"/>
        <color theme="1"/>
        <rFont val="宋体"/>
        <family val="3"/>
        <charset val="134"/>
      </rPr>
      <t>魔攻</t>
    </r>
    <r>
      <rPr>
        <sz val="10"/>
        <color theme="1"/>
        <rFont val="Arial"/>
        <family val="2"/>
      </rPr>
      <t xml:space="preserve">+33 </t>
    </r>
    <r>
      <rPr>
        <sz val="10"/>
        <color theme="1"/>
        <rFont val="宋体"/>
        <family val="3"/>
        <charset val="134"/>
      </rPr>
      <t>增加</t>
    </r>
    <r>
      <rPr>
        <sz val="10"/>
        <color theme="1"/>
        <rFont val="Arial"/>
        <family val="2"/>
      </rPr>
      <t>20%</t>
    </r>
    <r>
      <rPr>
        <sz val="10"/>
        <color theme="1"/>
        <rFont val="宋体"/>
        <family val="3"/>
        <charset val="134"/>
      </rPr>
      <t>伤害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神圣攻击</t>
    </r>
    <r>
      <rPr>
        <sz val="10"/>
        <color theme="1"/>
        <rFont val="Arial"/>
        <family val="2"/>
      </rPr>
      <t xml:space="preserve">+30 </t>
    </r>
    <r>
      <rPr>
        <sz val="10"/>
        <color theme="1"/>
        <rFont val="宋体"/>
        <family val="3"/>
        <charset val="134"/>
      </rPr>
      <t>幸运</t>
    </r>
    <r>
      <rPr>
        <sz val="10"/>
        <color theme="1"/>
        <rFont val="Arial"/>
        <family val="2"/>
      </rPr>
      <t xml:space="preserve">+20 </t>
    </r>
    <r>
      <rPr>
        <sz val="10"/>
        <color theme="1"/>
        <rFont val="宋体"/>
        <family val="3"/>
        <charset val="134"/>
      </rPr>
      <t>龙系</t>
    </r>
    <r>
      <rPr>
        <sz val="10"/>
        <color theme="1"/>
        <rFont val="Arial"/>
        <family val="2"/>
      </rPr>
      <t xml:space="preserve">+20% </t>
    </r>
    <r>
      <rPr>
        <sz val="10"/>
        <color theme="1"/>
        <rFont val="宋体"/>
        <family val="3"/>
        <charset val="134"/>
      </rPr>
      <t>暴击率</t>
    </r>
    <r>
      <rPr>
        <sz val="10"/>
        <color theme="1"/>
        <rFont val="Arial"/>
        <family val="2"/>
      </rPr>
      <t>+5%</t>
    </r>
    <phoneticPr fontId="2" type="noConversion"/>
  </si>
  <si>
    <t>敏捷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</si>
  <si>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敏捷</t>
    </r>
    <phoneticPr fontId="2" type="noConversion"/>
  </si>
  <si>
    <t>npc抗性减伤</t>
    <phoneticPr fontId="2" type="noConversion"/>
  </si>
  <si>
    <t>npc抗性</t>
    <phoneticPr fontId="2" type="noConversion"/>
  </si>
  <si>
    <t>装备抗性</t>
    <phoneticPr fontId="2" type="noConversion"/>
  </si>
  <si>
    <t>火炎抗性</t>
    <phoneticPr fontId="2" type="noConversion"/>
  </si>
  <si>
    <t>锤子</t>
    <phoneticPr fontId="2" type="noConversion"/>
  </si>
  <si>
    <t>剑</t>
    <phoneticPr fontId="2" type="noConversion"/>
  </si>
  <si>
    <t>战士</t>
    <phoneticPr fontId="2" type="noConversion"/>
  </si>
  <si>
    <t>弓箭手</t>
    <phoneticPr fontId="2" type="noConversion"/>
  </si>
  <si>
    <t>炼金术师</t>
    <phoneticPr fontId="2" type="noConversion"/>
  </si>
  <si>
    <t>圣骑士</t>
    <phoneticPr fontId="2" type="noConversion"/>
  </si>
  <si>
    <t>盗贼</t>
    <phoneticPr fontId="2" type="noConversion"/>
  </si>
  <si>
    <t>吟游诗人</t>
    <phoneticPr fontId="2" type="noConversion"/>
  </si>
  <si>
    <t>魔物猎人</t>
    <phoneticPr fontId="2" type="noConversion"/>
  </si>
  <si>
    <t>魔法战士</t>
    <phoneticPr fontId="2" type="noConversion"/>
  </si>
  <si>
    <t>海贼</t>
    <phoneticPr fontId="2" type="noConversion"/>
  </si>
  <si>
    <t>贤者</t>
    <phoneticPr fontId="2" type="noConversion"/>
  </si>
  <si>
    <t>超级明星</t>
    <phoneticPr fontId="2" type="noConversion"/>
  </si>
  <si>
    <t>球</t>
    <phoneticPr fontId="2" type="noConversion"/>
  </si>
  <si>
    <t>弓</t>
    <phoneticPr fontId="2" type="noConversion"/>
  </si>
  <si>
    <t>球</t>
    <phoneticPr fontId="2" type="noConversion"/>
  </si>
  <si>
    <t>锤子</t>
    <phoneticPr fontId="2" type="noConversion"/>
  </si>
  <si>
    <t>牙齿</t>
    <phoneticPr fontId="2" type="noConversion"/>
  </si>
  <si>
    <t>弓</t>
    <phoneticPr fontId="2" type="noConversion"/>
  </si>
  <si>
    <t>拳套</t>
    <phoneticPr fontId="2" type="noConversion"/>
  </si>
  <si>
    <t>扇子</t>
    <phoneticPr fontId="2" type="noConversion"/>
  </si>
  <si>
    <t>初始职业</t>
    <phoneticPr fontId="2" type="noConversion"/>
  </si>
  <si>
    <t>初始武器</t>
    <phoneticPr fontId="2" type="noConversion"/>
  </si>
  <si>
    <t>balance</t>
    <phoneticPr fontId="2" type="noConversion"/>
  </si>
  <si>
    <t>坚韧</t>
    <phoneticPr fontId="2" type="noConversion"/>
  </si>
  <si>
    <t>伤害</t>
    <phoneticPr fontId="2" type="noConversion"/>
  </si>
  <si>
    <t>抗性参数</t>
    <phoneticPr fontId="2" type="noConversion"/>
  </si>
  <si>
    <t>命中参数</t>
    <phoneticPr fontId="2" type="noConversion"/>
  </si>
  <si>
    <t>物理减伤</t>
    <phoneticPr fontId="2" type="noConversion"/>
  </si>
  <si>
    <r>
      <rPr>
        <sz val="10"/>
        <color theme="1"/>
        <rFont val="宋体"/>
        <family val="3"/>
        <charset val="134"/>
      </rPr>
      <t>【赫拉蒂姆之锤】</t>
    </r>
    <r>
      <rPr>
        <sz val="10"/>
        <color theme="1"/>
        <rFont val="Arial"/>
        <family val="2"/>
      </rPr>
      <t>lv8 [55-100]</t>
    </r>
    <r>
      <rPr>
        <sz val="10"/>
        <color theme="1"/>
        <rFont val="宋体"/>
        <family val="3"/>
        <charset val="134"/>
      </rPr>
      <t>攻击</t>
    </r>
    <r>
      <rPr>
        <sz val="10"/>
        <color theme="1"/>
        <rFont val="Arial"/>
        <family val="2"/>
      </rPr>
      <t xml:space="preserve"> [20-55]</t>
    </r>
    <r>
      <rPr>
        <sz val="10"/>
        <color theme="1"/>
        <rFont val="宋体"/>
        <family val="3"/>
        <charset val="134"/>
      </rPr>
      <t>神圣攻击</t>
    </r>
    <r>
      <rPr>
        <sz val="10"/>
        <color theme="1"/>
        <rFont val="Arial"/>
        <family val="2"/>
      </rPr>
      <t xml:space="preserve"> #</t>
    </r>
    <r>
      <rPr>
        <sz val="10"/>
        <color theme="1"/>
        <rFont val="宋体"/>
        <family val="3"/>
        <charset val="134"/>
      </rPr>
      <t>圣光消耗魔法降低</t>
    </r>
    <r>
      <rPr>
        <sz val="10"/>
        <color theme="1"/>
        <rFont val="Arial"/>
        <family val="2"/>
      </rPr>
      <t>50% +5</t>
    </r>
    <r>
      <rPr>
        <sz val="10"/>
        <color theme="1"/>
        <rFont val="宋体"/>
        <family val="3"/>
        <charset val="134"/>
      </rPr>
      <t>随机属性</t>
    </r>
    <r>
      <rPr>
        <sz val="10"/>
        <color theme="1"/>
        <rFont val="Arial"/>
        <family val="2"/>
      </rPr>
      <t xml:space="preserve"> </t>
    </r>
    <phoneticPr fontId="2" type="noConversion"/>
  </si>
  <si>
    <t>等级</t>
    <phoneticPr fontId="2" type="noConversion"/>
  </si>
  <si>
    <t>职业等级</t>
    <phoneticPr fontId="2" type="noConversion"/>
  </si>
  <si>
    <t>防御减免参数</t>
    <phoneticPr fontId="2" type="noConversion"/>
  </si>
  <si>
    <t>物理伤害=（物理攻击*（1-物防减伤%）*（1-物理抗性%）+附带属性攻击*（1-物防减伤%）*（1-对应属性抗性%））*痛打值*（1+额外伤害%）</t>
    <phoneticPr fontId="2" type="noConversion"/>
  </si>
  <si>
    <t>魔法伤害=（魔法攻击*（1-魔防减伤%）*（1-技能属性对应抗性%）+附带属性攻击*（1-魔防减伤%）*（1-对应属性抗性%））*痛打值*（1+额外伤害%）*技能伤害系数</t>
    <phoneticPr fontId="2" type="noConversion"/>
  </si>
  <si>
    <t>防御减伤</t>
    <phoneticPr fontId="2" type="noConversion"/>
  </si>
  <si>
    <t>总防御减免</t>
    <phoneticPr fontId="2" type="noConversion"/>
  </si>
  <si>
    <t>装备抗性</t>
    <phoneticPr fontId="2" type="noConversion"/>
  </si>
  <si>
    <t>总抗性减免</t>
    <phoneticPr fontId="2" type="noConversion"/>
  </si>
  <si>
    <t>装备护甲</t>
    <phoneticPr fontId="2" type="noConversion"/>
  </si>
  <si>
    <t>增益护甲</t>
    <phoneticPr fontId="2" type="noConversion"/>
  </si>
  <si>
    <t>增益抗性</t>
    <phoneticPr fontId="2" type="noConversion"/>
  </si>
  <si>
    <t>物防</t>
    <phoneticPr fontId="2" type="noConversion"/>
  </si>
  <si>
    <t>抗性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</si>
  <si>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伤害减免</t>
    </r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</si>
  <si>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防御</t>
    </r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</si>
  <si>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护甲</t>
    </r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</si>
  <si>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抗性</t>
    </r>
    <phoneticPr fontId="2" type="noConversion"/>
  </si>
  <si>
    <t>等级</t>
    <phoneticPr fontId="2" type="noConversion"/>
  </si>
  <si>
    <t>职业等级</t>
    <phoneticPr fontId="2" type="noConversion"/>
  </si>
  <si>
    <t>装备闪避</t>
    <phoneticPr fontId="2" type="noConversion"/>
  </si>
  <si>
    <t>总闪避</t>
    <phoneticPr fontId="2" type="noConversion"/>
  </si>
  <si>
    <t>装备敏捷</t>
    <phoneticPr fontId="2" type="noConversion"/>
  </si>
  <si>
    <t>每点敏捷增加闪避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</si>
  <si>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闪避</t>
    </r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</si>
  <si>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敏捷</t>
    </r>
    <phoneticPr fontId="2" type="noConversion"/>
  </si>
  <si>
    <t>抗性</t>
    <phoneticPr fontId="2" type="noConversion"/>
  </si>
  <si>
    <t>敏捷</t>
    <phoneticPr fontId="2" type="noConversion"/>
  </si>
  <si>
    <t>人物属性</t>
    <phoneticPr fontId="2" type="noConversion"/>
  </si>
  <si>
    <r>
      <rPr>
        <sz val="10"/>
        <color theme="1"/>
        <rFont val="宋体"/>
        <family val="3"/>
        <charset val="134"/>
      </rPr>
      <t>减免伤害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抗性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（抗性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敌人等级</t>
    </r>
    <r>
      <rPr>
        <sz val="10"/>
        <color theme="1"/>
        <rFont val="Arial"/>
        <family val="2"/>
      </rPr>
      <t>*5.6667</t>
    </r>
    <r>
      <rPr>
        <sz val="10"/>
        <color theme="1"/>
        <rFont val="宋体"/>
        <family val="3"/>
        <charset val="134"/>
      </rPr>
      <t>）</t>
    </r>
    <phoneticPr fontId="2" type="noConversion"/>
  </si>
  <si>
    <t>物理减伤=物防/(物防+敌人等级*5.6667）</t>
    <phoneticPr fontId="2" type="noConversion"/>
  </si>
  <si>
    <t>魔法减伤</t>
    <phoneticPr fontId="2" type="noConversion"/>
  </si>
  <si>
    <t>魔法减伤=魔防/(魔防+敌人等级*5.6667）</t>
    <phoneticPr fontId="2" type="noConversion"/>
  </si>
  <si>
    <t>套装物防</t>
    <phoneticPr fontId="2" type="noConversion"/>
  </si>
  <si>
    <t>套装hp</t>
    <phoneticPr fontId="2" type="noConversion"/>
  </si>
  <si>
    <t>套装物攻</t>
    <phoneticPr fontId="2" type="noConversion"/>
  </si>
  <si>
    <t>套装魔攻</t>
    <phoneticPr fontId="2" type="noConversion"/>
  </si>
  <si>
    <t>套装魔防</t>
    <phoneticPr fontId="2" type="noConversion"/>
  </si>
  <si>
    <r>
      <rPr>
        <sz val="10"/>
        <color theme="1"/>
        <rFont val="宋体"/>
        <family val="3"/>
        <charset val="134"/>
      </rPr>
      <t>锤子</t>
    </r>
    <phoneticPr fontId="2" type="noConversion"/>
  </si>
  <si>
    <r>
      <rPr>
        <sz val="10"/>
        <color theme="1"/>
        <rFont val="宋体"/>
        <family val="3"/>
        <charset val="134"/>
      </rPr>
      <t>枪</t>
    </r>
    <phoneticPr fontId="2" type="noConversion"/>
  </si>
  <si>
    <r>
      <rPr>
        <sz val="10"/>
        <color theme="1"/>
        <rFont val="宋体"/>
        <family val="3"/>
        <charset val="134"/>
      </rPr>
      <t>镰刀</t>
    </r>
    <phoneticPr fontId="2" type="noConversion"/>
  </si>
  <si>
    <r>
      <rPr>
        <sz val="10"/>
        <color theme="1"/>
        <rFont val="宋体"/>
        <family val="3"/>
        <charset val="134"/>
      </rPr>
      <t>法杖</t>
    </r>
    <phoneticPr fontId="2" type="noConversion"/>
  </si>
  <si>
    <r>
      <rPr>
        <sz val="10"/>
        <color theme="1"/>
        <rFont val="宋体"/>
        <family val="3"/>
        <charset val="134"/>
      </rPr>
      <t>弓</t>
    </r>
    <phoneticPr fontId="2" type="noConversion"/>
  </si>
  <si>
    <r>
      <rPr>
        <sz val="10"/>
        <color theme="1"/>
        <rFont val="宋体"/>
        <family val="3"/>
        <charset val="134"/>
      </rPr>
      <t>烟斗</t>
    </r>
    <phoneticPr fontId="2" type="noConversion"/>
  </si>
  <si>
    <r>
      <rPr>
        <sz val="10"/>
        <color theme="1"/>
        <rFont val="宋体"/>
        <family val="3"/>
        <charset val="134"/>
      </rPr>
      <t>扇子</t>
    </r>
    <phoneticPr fontId="2" type="noConversion"/>
  </si>
  <si>
    <r>
      <rPr>
        <sz val="10"/>
        <color theme="1"/>
        <rFont val="宋体"/>
        <family val="3"/>
        <charset val="134"/>
      </rPr>
      <t>牙齿</t>
    </r>
    <phoneticPr fontId="2" type="noConversion"/>
  </si>
  <si>
    <r>
      <rPr>
        <sz val="10"/>
        <color theme="1"/>
        <rFont val="宋体"/>
        <family val="3"/>
        <charset val="134"/>
      </rPr>
      <t>爪</t>
    </r>
    <phoneticPr fontId="2" type="noConversion"/>
  </si>
  <si>
    <r>
      <rPr>
        <sz val="10"/>
        <color theme="1"/>
        <rFont val="宋体"/>
        <family val="3"/>
        <charset val="134"/>
      </rPr>
      <t>剑</t>
    </r>
    <phoneticPr fontId="2" type="noConversion"/>
  </si>
  <si>
    <r>
      <rPr>
        <sz val="10"/>
        <color theme="1"/>
        <rFont val="宋体"/>
        <family val="3"/>
        <charset val="134"/>
      </rPr>
      <t>刀</t>
    </r>
    <phoneticPr fontId="2" type="noConversion"/>
  </si>
  <si>
    <r>
      <rPr>
        <sz val="10"/>
        <color theme="1"/>
        <rFont val="宋体"/>
        <family val="3"/>
        <charset val="134"/>
      </rPr>
      <t>拳套</t>
    </r>
    <phoneticPr fontId="2" type="noConversion"/>
  </si>
  <si>
    <r>
      <rPr>
        <sz val="10"/>
        <color theme="1"/>
        <rFont val="宋体"/>
        <family val="3"/>
        <charset val="134"/>
      </rPr>
      <t>球</t>
    </r>
    <phoneticPr fontId="2" type="noConversion"/>
  </si>
  <si>
    <t>锤子</t>
    <phoneticPr fontId="2" type="noConversion"/>
  </si>
  <si>
    <t>拳套</t>
    <phoneticPr fontId="2" type="noConversion"/>
  </si>
  <si>
    <t>枪</t>
    <phoneticPr fontId="2" type="noConversion"/>
  </si>
  <si>
    <t>镰刀</t>
    <phoneticPr fontId="2" type="noConversion"/>
  </si>
  <si>
    <t>法杖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</si>
  <si>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</si>
  <si>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</si>
  <si>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</si>
  <si>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爪</t>
    <phoneticPr fontId="2" type="noConversion"/>
  </si>
  <si>
    <t>剑</t>
    <phoneticPr fontId="2" type="noConversion"/>
  </si>
  <si>
    <t>戒指</t>
    <phoneticPr fontId="2" type="noConversion"/>
  </si>
  <si>
    <t>项链</t>
    <phoneticPr fontId="2" type="noConversion"/>
  </si>
  <si>
    <t>学徒级</t>
    <phoneticPr fontId="2" type="noConversion"/>
  </si>
  <si>
    <t>专家级</t>
    <phoneticPr fontId="2" type="noConversion"/>
  </si>
  <si>
    <t>大师级</t>
    <phoneticPr fontId="2" type="noConversion"/>
  </si>
  <si>
    <t>宗师级</t>
    <phoneticPr fontId="2" type="noConversion"/>
  </si>
  <si>
    <t>显赫级</t>
    <phoneticPr fontId="2" type="noConversion"/>
  </si>
  <si>
    <t>尊荣级</t>
    <phoneticPr fontId="2" type="noConversion"/>
  </si>
  <si>
    <t>至尊级</t>
    <phoneticPr fontId="2" type="noConversion"/>
  </si>
  <si>
    <t>绝旨级</t>
    <phoneticPr fontId="2" type="noConversion"/>
  </si>
  <si>
    <t>天工级</t>
    <phoneticPr fontId="2" type="noConversion"/>
  </si>
  <si>
    <t>魔法</t>
    <phoneticPr fontId="2" type="noConversion"/>
  </si>
  <si>
    <t>传奇</t>
    <phoneticPr fontId="2" type="noConversion"/>
  </si>
  <si>
    <t>歌德</t>
    <phoneticPr fontId="2" type="noConversion"/>
  </si>
  <si>
    <t>颓废</t>
    <phoneticPr fontId="2" type="noConversion"/>
  </si>
  <si>
    <t>刀</t>
    <phoneticPr fontId="2" type="noConversion"/>
  </si>
  <si>
    <t>玄铁</t>
  </si>
  <si>
    <t>玄铁</t>
    <phoneticPr fontId="2" type="noConversion"/>
  </si>
  <si>
    <t>水晶</t>
  </si>
  <si>
    <t>水晶</t>
    <phoneticPr fontId="2" type="noConversion"/>
  </si>
  <si>
    <t>精钢</t>
    <phoneticPr fontId="2" type="noConversion"/>
  </si>
  <si>
    <t>白银</t>
  </si>
  <si>
    <t>白银</t>
    <phoneticPr fontId="2" type="noConversion"/>
  </si>
  <si>
    <t>虚幻</t>
    <phoneticPr fontId="2" type="noConversion"/>
  </si>
  <si>
    <t>空灵</t>
    <phoneticPr fontId="2" type="noConversion"/>
  </si>
  <si>
    <t>混乱</t>
    <phoneticPr fontId="2" type="noConversion"/>
  </si>
  <si>
    <t>青铜</t>
  </si>
  <si>
    <t>异灵</t>
  </si>
  <si>
    <t>流星</t>
  </si>
  <si>
    <t>破旧的</t>
    <phoneticPr fontId="2" type="noConversion"/>
  </si>
  <si>
    <t>普通的</t>
    <phoneticPr fontId="2" type="noConversion"/>
  </si>
  <si>
    <t>初级的</t>
    <phoneticPr fontId="2" type="noConversion"/>
  </si>
  <si>
    <t>锤</t>
    <phoneticPr fontId="2" type="noConversion"/>
  </si>
  <si>
    <t>普通</t>
    <phoneticPr fontId="2" type="noConversion"/>
  </si>
  <si>
    <t>刀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</si>
  <si>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</si>
  <si>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</si>
  <si>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</si>
  <si>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</si>
  <si>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</si>
  <si>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</si>
  <si>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</si>
  <si>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</si>
  <si>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</si>
  <si>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</si>
  <si>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</si>
  <si>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</si>
  <si>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</si>
  <si>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</si>
  <si>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</si>
  <si>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</si>
  <si>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</si>
  <si>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</si>
  <si>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</si>
  <si>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</si>
  <si>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</si>
  <si>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</si>
  <si>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</si>
  <si>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</si>
  <si>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</si>
  <si>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奥丁之锤</t>
    <phoneticPr fontId="2" type="noConversion"/>
  </si>
  <si>
    <t>卢卡之锤</t>
    <phoneticPr fontId="2" type="noConversion"/>
  </si>
  <si>
    <t>奥丁之刀</t>
    <phoneticPr fontId="2" type="noConversion"/>
  </si>
  <si>
    <t>奥丁拳套</t>
    <phoneticPr fontId="2" type="noConversion"/>
  </si>
  <si>
    <t>奥丁之枪</t>
    <phoneticPr fontId="2" type="noConversion"/>
  </si>
  <si>
    <t>奥丁镰刀</t>
    <phoneticPr fontId="2" type="noConversion"/>
  </si>
  <si>
    <t>奥丁法杖</t>
    <phoneticPr fontId="2" type="noConversion"/>
  </si>
  <si>
    <t>奥丁之弓</t>
    <phoneticPr fontId="2" type="noConversion"/>
  </si>
  <si>
    <t>奥丁烟斗</t>
    <phoneticPr fontId="2" type="noConversion"/>
  </si>
  <si>
    <t>奥丁扇子</t>
    <phoneticPr fontId="2" type="noConversion"/>
  </si>
  <si>
    <t>奥丁牙齿</t>
    <phoneticPr fontId="2" type="noConversion"/>
  </si>
  <si>
    <t>奥丁之球</t>
    <phoneticPr fontId="2" type="noConversion"/>
  </si>
  <si>
    <t>奥丁之爪</t>
    <phoneticPr fontId="2" type="noConversion"/>
  </si>
  <si>
    <t>奥丁之剑</t>
    <phoneticPr fontId="2" type="noConversion"/>
  </si>
  <si>
    <t>卢卡之锤</t>
    <phoneticPr fontId="2" type="noConversion"/>
  </si>
  <si>
    <t>卢卡拳套</t>
    <phoneticPr fontId="2" type="noConversion"/>
  </si>
  <si>
    <t>卢卡之枪</t>
    <phoneticPr fontId="2" type="noConversion"/>
  </si>
  <si>
    <t>卢卡镰刀</t>
    <phoneticPr fontId="2" type="noConversion"/>
  </si>
  <si>
    <t>卢卡法杖</t>
    <phoneticPr fontId="2" type="noConversion"/>
  </si>
  <si>
    <t>卢卡之弓</t>
    <phoneticPr fontId="2" type="noConversion"/>
  </si>
  <si>
    <t>卢卡烟斗</t>
    <phoneticPr fontId="2" type="noConversion"/>
  </si>
  <si>
    <t>卢卡扇子</t>
    <phoneticPr fontId="2" type="noConversion"/>
  </si>
  <si>
    <t>卢卡牙齿</t>
    <phoneticPr fontId="2" type="noConversion"/>
  </si>
  <si>
    <t>卢卡之球</t>
    <phoneticPr fontId="2" type="noConversion"/>
  </si>
  <si>
    <t>卢卡之爪</t>
    <phoneticPr fontId="2" type="noConversion"/>
  </si>
  <si>
    <t>卢卡之剑</t>
    <phoneticPr fontId="2" type="noConversion"/>
  </si>
  <si>
    <t>坎珀之锤</t>
    <phoneticPr fontId="2" type="noConversion"/>
  </si>
  <si>
    <t>坎珀之刃</t>
    <phoneticPr fontId="2" type="noConversion"/>
  </si>
  <si>
    <t>坎珀拳套</t>
    <phoneticPr fontId="2" type="noConversion"/>
  </si>
  <si>
    <t>坎珀尖枪</t>
    <phoneticPr fontId="2" type="noConversion"/>
  </si>
  <si>
    <t>坎珀镰刀</t>
    <phoneticPr fontId="2" type="noConversion"/>
  </si>
  <si>
    <t>坎珀法杖</t>
    <phoneticPr fontId="2" type="noConversion"/>
  </si>
  <si>
    <t>坎珀骨弓</t>
    <phoneticPr fontId="2" type="noConversion"/>
  </si>
  <si>
    <t>坎珀烟斗</t>
    <phoneticPr fontId="2" type="noConversion"/>
  </si>
  <si>
    <t>坎珀扇子</t>
    <phoneticPr fontId="2" type="noConversion"/>
  </si>
  <si>
    <t>坎珀牙齿</t>
    <phoneticPr fontId="2" type="noConversion"/>
  </si>
  <si>
    <t>坎珀之球</t>
    <phoneticPr fontId="2" type="noConversion"/>
  </si>
  <si>
    <t>坎珀之爪</t>
    <phoneticPr fontId="2" type="noConversion"/>
  </si>
  <si>
    <t>坎珀之剑</t>
    <phoneticPr fontId="2" type="noConversion"/>
  </si>
  <si>
    <t>希尔戒指</t>
    <phoneticPr fontId="2" type="noConversion"/>
  </si>
  <si>
    <t>卡尔斯项链</t>
    <phoneticPr fontId="2" type="noConversion"/>
  </si>
  <si>
    <t>阿蒙之星</t>
    <phoneticPr fontId="2" type="noConversion"/>
  </si>
  <si>
    <t>亚马逊人</t>
    <phoneticPr fontId="2" type="noConversion"/>
  </si>
  <si>
    <t>阿尔泰亚</t>
    <phoneticPr fontId="2" type="noConversion"/>
  </si>
  <si>
    <t>比奥斯</t>
    <phoneticPr fontId="2" type="noConversion"/>
  </si>
  <si>
    <t>费恩利刃</t>
    <phoneticPr fontId="2" type="noConversion"/>
  </si>
  <si>
    <t>费恩魔锤</t>
    <phoneticPr fontId="2" type="noConversion"/>
  </si>
  <si>
    <t>费恩拳套</t>
    <phoneticPr fontId="2" type="noConversion"/>
  </si>
  <si>
    <t>费恩尖枪</t>
    <phoneticPr fontId="2" type="noConversion"/>
  </si>
  <si>
    <t>费恩镰刀</t>
    <phoneticPr fontId="2" type="noConversion"/>
  </si>
  <si>
    <t>费恩权杖</t>
    <phoneticPr fontId="2" type="noConversion"/>
  </si>
  <si>
    <t>费恩骨弓</t>
    <phoneticPr fontId="2" type="noConversion"/>
  </si>
  <si>
    <t>费恩烟斗</t>
    <phoneticPr fontId="2" type="noConversion"/>
  </si>
  <si>
    <t>费恩扇子</t>
    <phoneticPr fontId="2" type="noConversion"/>
  </si>
  <si>
    <t>费恩牙齿</t>
    <phoneticPr fontId="2" type="noConversion"/>
  </si>
  <si>
    <t>费恩之球</t>
    <phoneticPr fontId="2" type="noConversion"/>
  </si>
  <si>
    <t>费恩之爪</t>
    <phoneticPr fontId="2" type="noConversion"/>
  </si>
  <si>
    <t>费恩之剑</t>
    <phoneticPr fontId="2" type="noConversion"/>
  </si>
  <si>
    <t>卡尔卡斯</t>
    <phoneticPr fontId="2" type="noConversion"/>
  </si>
  <si>
    <t>卢比项链</t>
    <phoneticPr fontId="2" type="noConversion"/>
  </si>
  <si>
    <t>迪马斯之锤</t>
    <phoneticPr fontId="2" type="noConversion"/>
  </si>
  <si>
    <t>多隆之眼</t>
    <phoneticPr fontId="2" type="noConversion"/>
  </si>
  <si>
    <t>欧罗巴项链</t>
    <phoneticPr fontId="2" type="noConversion"/>
  </si>
  <si>
    <t>海伦之心</t>
    <phoneticPr fontId="2" type="noConversion"/>
  </si>
  <si>
    <t>女神法杖</t>
    <phoneticPr fontId="2" type="noConversion"/>
  </si>
  <si>
    <t>海格力斯</t>
    <phoneticPr fontId="2" type="noConversion"/>
  </si>
  <si>
    <t>迅战戒指</t>
    <phoneticPr fontId="2" type="noConversion"/>
  </si>
  <si>
    <t>酒神之锤</t>
    <phoneticPr fontId="2" type="noConversion"/>
  </si>
  <si>
    <t>酒神之刀</t>
    <phoneticPr fontId="2" type="noConversion"/>
  </si>
  <si>
    <t>酒神拳套</t>
    <phoneticPr fontId="2" type="noConversion"/>
  </si>
  <si>
    <t>酒神之枪</t>
    <phoneticPr fontId="2" type="noConversion"/>
  </si>
  <si>
    <t>酒神镰刀</t>
    <phoneticPr fontId="2" type="noConversion"/>
  </si>
  <si>
    <t>酒神法杖</t>
    <phoneticPr fontId="2" type="noConversion"/>
  </si>
  <si>
    <t>酒神之弓</t>
    <phoneticPr fontId="2" type="noConversion"/>
  </si>
  <si>
    <t>酒神烟斗</t>
    <phoneticPr fontId="2" type="noConversion"/>
  </si>
  <si>
    <t>酒神扇子</t>
    <phoneticPr fontId="2" type="noConversion"/>
  </si>
  <si>
    <t>酒神牙齿</t>
    <phoneticPr fontId="2" type="noConversion"/>
  </si>
  <si>
    <t>酒神之球</t>
    <phoneticPr fontId="2" type="noConversion"/>
  </si>
  <si>
    <t>酒神之爪</t>
    <phoneticPr fontId="2" type="noConversion"/>
  </si>
  <si>
    <t>酒神之剑</t>
    <phoneticPr fontId="2" type="noConversion"/>
  </si>
  <si>
    <t>血魔之戒</t>
    <phoneticPr fontId="2" type="noConversion"/>
  </si>
  <si>
    <t>斯库卡吊坠</t>
    <phoneticPr fontId="2" type="noConversion"/>
  </si>
  <si>
    <t>萨耳珀冬</t>
    <phoneticPr fontId="2" type="noConversion"/>
  </si>
  <si>
    <t>西农</t>
    <phoneticPr fontId="2" type="noConversion"/>
  </si>
  <si>
    <t>乌拉尼亚</t>
    <phoneticPr fontId="2" type="noConversion"/>
  </si>
  <si>
    <t>拉米亚之戒</t>
    <phoneticPr fontId="2" type="noConversion"/>
  </si>
  <si>
    <t>迪马斯之刀</t>
    <phoneticPr fontId="2" type="noConversion"/>
  </si>
  <si>
    <t>迪马斯拳套</t>
    <phoneticPr fontId="2" type="noConversion"/>
  </si>
  <si>
    <t>迪马斯尖枪</t>
    <phoneticPr fontId="2" type="noConversion"/>
  </si>
  <si>
    <t>迪马斯镰刀</t>
    <phoneticPr fontId="2" type="noConversion"/>
  </si>
  <si>
    <t>迪马斯法杖</t>
    <phoneticPr fontId="2" type="noConversion"/>
  </si>
  <si>
    <t>迪马斯硬弓</t>
    <phoneticPr fontId="2" type="noConversion"/>
  </si>
  <si>
    <t>迪马斯烟斗</t>
    <phoneticPr fontId="2" type="noConversion"/>
  </si>
  <si>
    <t>迪马斯扇子</t>
    <phoneticPr fontId="2" type="noConversion"/>
  </si>
  <si>
    <t>迪马斯牙齿</t>
    <phoneticPr fontId="2" type="noConversion"/>
  </si>
  <si>
    <t>迪马斯之球</t>
    <phoneticPr fontId="2" type="noConversion"/>
  </si>
  <si>
    <t>迪马斯之爪</t>
    <phoneticPr fontId="2" type="noConversion"/>
  </si>
  <si>
    <t>迪马斯之剑</t>
    <phoneticPr fontId="2" type="noConversion"/>
  </si>
  <si>
    <t>盖亚之锤</t>
    <phoneticPr fontId="2" type="noConversion"/>
  </si>
  <si>
    <t>潘多拉之锤</t>
    <phoneticPr fontId="2" type="noConversion"/>
  </si>
  <si>
    <t>潘多拉之刀</t>
    <phoneticPr fontId="2" type="noConversion"/>
  </si>
  <si>
    <t>潘多拉拳套</t>
    <phoneticPr fontId="2" type="noConversion"/>
  </si>
  <si>
    <t>潘多拉之枪</t>
    <phoneticPr fontId="2" type="noConversion"/>
  </si>
  <si>
    <t>潘多拉镰刀</t>
    <phoneticPr fontId="2" type="noConversion"/>
  </si>
  <si>
    <t>潘多拉法杖</t>
    <phoneticPr fontId="2" type="noConversion"/>
  </si>
  <si>
    <t>潘多拉玉弓</t>
    <phoneticPr fontId="2" type="noConversion"/>
  </si>
  <si>
    <t>潘多拉烟斗</t>
    <phoneticPr fontId="2" type="noConversion"/>
  </si>
  <si>
    <t>潘多拉扇子</t>
    <phoneticPr fontId="2" type="noConversion"/>
  </si>
  <si>
    <t>潘多拉牙齿</t>
    <phoneticPr fontId="2" type="noConversion"/>
  </si>
  <si>
    <t>潘多拉之球</t>
    <phoneticPr fontId="2" type="noConversion"/>
  </si>
  <si>
    <t>潘多拉之爪</t>
    <phoneticPr fontId="2" type="noConversion"/>
  </si>
  <si>
    <t>潘多拉之剑</t>
    <phoneticPr fontId="2" type="noConversion"/>
  </si>
  <si>
    <t>宙斯之刃</t>
    <phoneticPr fontId="2" type="noConversion"/>
  </si>
  <si>
    <t>泰丽儿神弓</t>
    <phoneticPr fontId="2" type="noConversion"/>
  </si>
  <si>
    <t>赫拉之扇</t>
    <phoneticPr fontId="2" type="noConversion"/>
  </si>
  <si>
    <t>卡帕纽斯之爪</t>
    <phoneticPr fontId="2" type="noConversion"/>
  </si>
  <si>
    <t>缪斯之锤</t>
    <phoneticPr fontId="2" type="noConversion"/>
  </si>
  <si>
    <t>缪斯之刀</t>
    <phoneticPr fontId="2" type="noConversion"/>
  </si>
  <si>
    <t>缪斯之拳</t>
    <phoneticPr fontId="2" type="noConversion"/>
  </si>
  <si>
    <t>缪斯之枪</t>
    <phoneticPr fontId="2" type="noConversion"/>
  </si>
  <si>
    <t>缪斯镰刀</t>
    <phoneticPr fontId="2" type="noConversion"/>
  </si>
  <si>
    <t>缪斯法杖</t>
    <phoneticPr fontId="2" type="noConversion"/>
  </si>
  <si>
    <t>缪斯弓</t>
    <phoneticPr fontId="2" type="noConversion"/>
  </si>
  <si>
    <t>缪斯烟斗</t>
    <phoneticPr fontId="2" type="noConversion"/>
  </si>
  <si>
    <t>缪斯扇子</t>
    <phoneticPr fontId="2" type="noConversion"/>
  </si>
  <si>
    <t>缪斯牙齿</t>
    <phoneticPr fontId="2" type="noConversion"/>
  </si>
  <si>
    <t>缪斯之球</t>
    <phoneticPr fontId="2" type="noConversion"/>
  </si>
  <si>
    <t>缪斯之爪</t>
    <phoneticPr fontId="2" type="noConversion"/>
  </si>
  <si>
    <t>缪斯之剑</t>
    <phoneticPr fontId="2" type="noConversion"/>
  </si>
  <si>
    <t>欧罗巴之球</t>
    <phoneticPr fontId="2" type="noConversion"/>
  </si>
  <si>
    <t>卡德摩斯拳套</t>
    <phoneticPr fontId="2" type="noConversion"/>
  </si>
  <si>
    <t>衣卒尔之枪</t>
    <phoneticPr fontId="2" type="noConversion"/>
  </si>
  <si>
    <t>塔罗斯镰刀</t>
    <phoneticPr fontId="2" type="noConversion"/>
  </si>
  <si>
    <t>梅西烟斗</t>
    <phoneticPr fontId="2" type="noConversion"/>
  </si>
  <si>
    <t>涅琉斯牙齿</t>
    <phoneticPr fontId="2" type="noConversion"/>
  </si>
  <si>
    <t>修正hp</t>
    <phoneticPr fontId="2" type="noConversion"/>
  </si>
  <si>
    <t>修正物攻</t>
    <phoneticPr fontId="2" type="noConversion"/>
  </si>
  <si>
    <t>修正物防</t>
    <phoneticPr fontId="2" type="noConversion"/>
  </si>
  <si>
    <t>修正魔攻</t>
    <phoneticPr fontId="2" type="noConversion"/>
  </si>
  <si>
    <t>修正魔防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</si>
</sst>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%"/>
    <numFmt numFmtId="177" formatCode="0.0_ "/>
    <numFmt numFmtId="178" formatCode="0_ "/>
    <numFmt numFmtId="179" formatCode="0.00_);[Red]\(0.00\)"/>
  </numFmts>
  <fonts count="17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color theme="0"/>
      <name val="Arial"/>
      <family val="2"/>
    </font>
    <font>
      <b/>
      <sz val="10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0"/>
      <name val="宋体"/>
      <family val="2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2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0" tint="-0.499984740745262"/>
      <name val="Arial"/>
      <family val="2"/>
    </font>
    <font>
      <sz val="10"/>
      <color theme="1"/>
      <name val="Arial Unicode MS"/>
      <family val="2"/>
      <charset val="134"/>
    </font>
    <font>
      <sz val="10"/>
      <color theme="0"/>
      <name val="宋体"/>
      <family val="3"/>
      <charset val="134"/>
    </font>
    <font>
      <sz val="10"/>
      <color theme="0" tint="-0.499984740745262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5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8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0" fontId="1" fillId="11" borderId="0" xfId="0" applyNumberFormat="1" applyFont="1" applyFill="1" applyAlignment="1">
      <alignment horizontal="center" vertical="center"/>
    </xf>
    <xf numFmtId="9" fontId="1" fillId="11" borderId="0" xfId="0" applyNumberFormat="1" applyFont="1" applyFill="1" applyAlignment="1">
      <alignment horizontal="center" vertical="center"/>
    </xf>
    <xf numFmtId="10" fontId="1" fillId="11" borderId="0" xfId="0" applyNumberFormat="1" applyFont="1" applyFill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8" fillId="6" borderId="0" xfId="0" applyNumberFormat="1" applyFont="1" applyFill="1" applyAlignment="1">
      <alignment horizontal="center" vertical="center"/>
    </xf>
    <xf numFmtId="0" fontId="7" fillId="6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77" fontId="1" fillId="0" borderId="0" xfId="0" applyNumberFormat="1" applyFont="1" applyAlignment="1">
      <alignment horizontal="center" vertical="center"/>
    </xf>
    <xf numFmtId="179" fontId="1" fillId="0" borderId="0" xfId="0" applyNumberFormat="1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0" fontId="1" fillId="10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10" fontId="8" fillId="6" borderId="1" xfId="0" applyNumberFormat="1" applyFont="1" applyFill="1" applyBorder="1" applyAlignment="1">
      <alignment horizontal="center" vertical="center"/>
    </xf>
    <xf numFmtId="0" fontId="1" fillId="11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9" fontId="1" fillId="0" borderId="1" xfId="0" applyNumberFormat="1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17"/>
  <sheetViews>
    <sheetView workbookViewId="0">
      <selection activeCell="C8" sqref="C8"/>
    </sheetView>
  </sheetViews>
  <sheetFormatPr defaultRowHeight="12.75" x14ac:dyDescent="0.15"/>
  <cols>
    <col min="1" max="2" width="9" style="1"/>
    <col min="3" max="3" width="118.75" style="1" customWidth="1"/>
    <col min="4" max="4" width="10.375" style="1" customWidth="1"/>
    <col min="5" max="16384" width="9" style="1"/>
  </cols>
  <sheetData>
    <row r="1" spans="2:3" x14ac:dyDescent="0.15">
      <c r="B1" s="16" t="s">
        <v>266</v>
      </c>
      <c r="C1" s="59" t="s">
        <v>451</v>
      </c>
    </row>
    <row r="2" spans="2:3" x14ac:dyDescent="0.15">
      <c r="B2" s="16" t="s">
        <v>267</v>
      </c>
      <c r="C2" s="59" t="s">
        <v>452</v>
      </c>
    </row>
    <row r="3" spans="2:3" x14ac:dyDescent="0.15">
      <c r="B3" s="16" t="s">
        <v>446</v>
      </c>
      <c r="C3" s="16" t="s">
        <v>478</v>
      </c>
    </row>
    <row r="4" spans="2:3" x14ac:dyDescent="0.15">
      <c r="B4" s="16" t="s">
        <v>479</v>
      </c>
      <c r="C4" s="16" t="s">
        <v>480</v>
      </c>
    </row>
    <row r="5" spans="2:3" x14ac:dyDescent="0.15">
      <c r="B5" s="16" t="s">
        <v>268</v>
      </c>
      <c r="C5" s="1" t="s">
        <v>477</v>
      </c>
    </row>
    <row r="6" spans="2:3" x14ac:dyDescent="0.15">
      <c r="B6" s="16" t="s">
        <v>265</v>
      </c>
      <c r="C6" s="1" t="s">
        <v>388</v>
      </c>
    </row>
    <row r="7" spans="2:3" x14ac:dyDescent="0.15">
      <c r="B7" s="16" t="s">
        <v>264</v>
      </c>
      <c r="C7" s="1" t="s">
        <v>271</v>
      </c>
    </row>
    <row r="8" spans="2:3" x14ac:dyDescent="0.15">
      <c r="B8" s="16" t="s">
        <v>269</v>
      </c>
      <c r="C8" s="1" t="s">
        <v>270</v>
      </c>
    </row>
    <row r="13" spans="2:3" x14ac:dyDescent="0.15">
      <c r="B13" s="16" t="s">
        <v>450</v>
      </c>
      <c r="C13" s="1">
        <v>9</v>
      </c>
    </row>
    <row r="14" spans="2:3" x14ac:dyDescent="0.15">
      <c r="B14" s="16" t="s">
        <v>444</v>
      </c>
      <c r="C14" s="1">
        <v>9</v>
      </c>
    </row>
    <row r="15" spans="2:3" x14ac:dyDescent="0.15">
      <c r="B15" s="16" t="s">
        <v>445</v>
      </c>
      <c r="C15" s="1">
        <v>0.5</v>
      </c>
    </row>
    <row r="16" spans="2:3" x14ac:dyDescent="0.15">
      <c r="C16" s="16"/>
    </row>
    <row r="17" spans="3:3" x14ac:dyDescent="0.15">
      <c r="C17" s="1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102"/>
  <sheetViews>
    <sheetView workbookViewId="0">
      <selection activeCell="I63" sqref="I63"/>
    </sheetView>
  </sheetViews>
  <sheetFormatPr defaultRowHeight="12.75" x14ac:dyDescent="0.15"/>
  <cols>
    <col min="1" max="3" width="9" style="1"/>
    <col min="4" max="4" width="11.75" style="1" customWidth="1"/>
    <col min="5" max="5" width="10.75" style="1" customWidth="1"/>
    <col min="6" max="6" width="10.75" style="61" customWidth="1"/>
    <col min="7" max="16384" width="9" style="1"/>
  </cols>
  <sheetData>
    <row r="1" spans="2:15" x14ac:dyDescent="0.15">
      <c r="F1" s="1">
        <f>(F3-E3*F3)/(B3*E3)</f>
        <v>5.666666666666667</v>
      </c>
    </row>
    <row r="2" spans="2:15" x14ac:dyDescent="0.15">
      <c r="B2" s="39" t="s">
        <v>448</v>
      </c>
      <c r="C2" s="39" t="s">
        <v>449</v>
      </c>
      <c r="D2" s="38" t="s">
        <v>462</v>
      </c>
      <c r="E2" s="38" t="s">
        <v>463</v>
      </c>
      <c r="F2" s="38" t="s">
        <v>464</v>
      </c>
      <c r="G2" s="39" t="s">
        <v>457</v>
      </c>
      <c r="H2" s="39" t="s">
        <v>454</v>
      </c>
      <c r="I2" s="38" t="s">
        <v>465</v>
      </c>
      <c r="J2" s="39" t="s">
        <v>455</v>
      </c>
      <c r="K2" s="39" t="s">
        <v>456</v>
      </c>
      <c r="L2" s="38"/>
      <c r="M2" s="39" t="s">
        <v>458</v>
      </c>
      <c r="N2" s="39"/>
      <c r="O2" s="39" t="s">
        <v>459</v>
      </c>
    </row>
    <row r="3" spans="2:15" x14ac:dyDescent="0.15">
      <c r="B3" s="2">
        <v>1</v>
      </c>
      <c r="C3" s="2">
        <v>1</v>
      </c>
      <c r="D3" s="64">
        <v>0.7</v>
      </c>
      <c r="E3" s="64">
        <v>0.15</v>
      </c>
      <c r="F3" s="65">
        <v>1</v>
      </c>
      <c r="G3" s="2">
        <f>ROUND((F3*H3-F3+$F$1*H3*B3)/(1-H3),0)</f>
        <v>8</v>
      </c>
      <c r="H3" s="64">
        <v>0.6</v>
      </c>
      <c r="I3" s="2">
        <v>0.1</v>
      </c>
      <c r="J3" s="2">
        <f>ROUND((I3*K3-I3+$F$1*K3*B3)/(1-K3),0)</f>
        <v>2</v>
      </c>
      <c r="K3" s="66">
        <f>1-(1-D3)/(1-H3)</f>
        <v>0.24999999999999989</v>
      </c>
      <c r="L3" s="2"/>
      <c r="M3" s="2">
        <f>G3*1.2</f>
        <v>9.6</v>
      </c>
      <c r="N3" s="2">
        <f>M3/(M3+B3*$F$1)</f>
        <v>0.62882096069868998</v>
      </c>
      <c r="O3" s="2">
        <f>1-(1-D3)/(1-N3)</f>
        <v>0.19176470588235273</v>
      </c>
    </row>
    <row r="4" spans="2:15" x14ac:dyDescent="0.15">
      <c r="B4" s="2">
        <v>2</v>
      </c>
      <c r="C4" s="2">
        <v>1</v>
      </c>
      <c r="D4" s="67">
        <f>D3+0.002</f>
        <v>0.70199999999999996</v>
      </c>
      <c r="E4" s="64">
        <v>0.15</v>
      </c>
      <c r="F4" s="21">
        <v>2</v>
      </c>
      <c r="G4" s="2">
        <f t="shared" ref="G4:G67" si="0">ROUND((F4*H4-F4+$F$1*H4*B4)/(1-H4),0)</f>
        <v>15</v>
      </c>
      <c r="H4" s="64">
        <v>0.6</v>
      </c>
      <c r="I4" s="2">
        <v>0.2</v>
      </c>
      <c r="J4" s="2">
        <f t="shared" ref="J4:J67" si="1">ROUND((I4*K4-I4+$F$1*K4*B4)/(1-K4),0)</f>
        <v>4</v>
      </c>
      <c r="K4" s="66">
        <f t="shared" ref="K4:K67" si="2">1-(1-D4)/(1-H4)</f>
        <v>0.25499999999999989</v>
      </c>
      <c r="L4" s="2"/>
      <c r="M4" s="2">
        <f t="shared" ref="M4:M67" si="3">G4*1.2</f>
        <v>18</v>
      </c>
      <c r="N4" s="2">
        <f t="shared" ref="N4:N67" si="4">M4/(M4+B4*$F$1)</f>
        <v>0.61363636363636354</v>
      </c>
      <c r="O4" s="2">
        <f t="shared" ref="O4:O67" si="5">1-(1-D4)/(1-N4)</f>
        <v>0.22870588235294131</v>
      </c>
    </row>
    <row r="5" spans="2:15" x14ac:dyDescent="0.15">
      <c r="B5" s="2">
        <v>3</v>
      </c>
      <c r="C5" s="2">
        <v>1</v>
      </c>
      <c r="D5" s="67">
        <f t="shared" ref="D5:D68" si="6">D4+0.002</f>
        <v>0.70399999999999996</v>
      </c>
      <c r="E5" s="64">
        <v>0.15</v>
      </c>
      <c r="F5" s="65">
        <v>3</v>
      </c>
      <c r="G5" s="2">
        <f t="shared" si="0"/>
        <v>23</v>
      </c>
      <c r="H5" s="64">
        <v>0.6</v>
      </c>
      <c r="I5" s="2">
        <v>0.3</v>
      </c>
      <c r="J5" s="2">
        <f t="shared" si="1"/>
        <v>6</v>
      </c>
      <c r="K5" s="66">
        <f t="shared" si="2"/>
        <v>0.2599999999999999</v>
      </c>
      <c r="L5" s="2"/>
      <c r="M5" s="2">
        <f t="shared" si="3"/>
        <v>27.599999999999998</v>
      </c>
      <c r="N5" s="2">
        <f t="shared" si="4"/>
        <v>0.6188340807174888</v>
      </c>
      <c r="O5" s="2">
        <f t="shared" si="5"/>
        <v>0.22343529411764695</v>
      </c>
    </row>
    <row r="6" spans="2:15" x14ac:dyDescent="0.15">
      <c r="B6" s="2">
        <v>4</v>
      </c>
      <c r="C6" s="2">
        <v>1</v>
      </c>
      <c r="D6" s="67">
        <f t="shared" si="6"/>
        <v>0.70599999999999996</v>
      </c>
      <c r="E6" s="64">
        <v>0.15</v>
      </c>
      <c r="F6" s="21">
        <v>4</v>
      </c>
      <c r="G6" s="2">
        <f t="shared" si="0"/>
        <v>30</v>
      </c>
      <c r="H6" s="64">
        <v>0.6</v>
      </c>
      <c r="I6" s="2">
        <v>0.4</v>
      </c>
      <c r="J6" s="2">
        <f t="shared" si="1"/>
        <v>8</v>
      </c>
      <c r="K6" s="66">
        <f t="shared" si="2"/>
        <v>0.2649999999999999</v>
      </c>
      <c r="L6" s="2"/>
      <c r="M6" s="2">
        <f t="shared" si="3"/>
        <v>36</v>
      </c>
      <c r="N6" s="2">
        <f t="shared" si="4"/>
        <v>0.61363636363636354</v>
      </c>
      <c r="O6" s="2">
        <f t="shared" si="5"/>
        <v>0.23905882352941188</v>
      </c>
    </row>
    <row r="7" spans="2:15" x14ac:dyDescent="0.15">
      <c r="B7" s="2">
        <v>5</v>
      </c>
      <c r="C7" s="2">
        <v>1</v>
      </c>
      <c r="D7" s="67">
        <f t="shared" si="6"/>
        <v>0.70799999999999996</v>
      </c>
      <c r="E7" s="64">
        <v>0.15</v>
      </c>
      <c r="F7" s="65">
        <v>5</v>
      </c>
      <c r="G7" s="2">
        <f t="shared" si="0"/>
        <v>38</v>
      </c>
      <c r="H7" s="64">
        <v>0.6</v>
      </c>
      <c r="I7" s="2">
        <v>0.5</v>
      </c>
      <c r="J7" s="2">
        <f>ROUND((I7*K7-I7+$F$1*K7*B7)/(1-K7),0)</f>
        <v>10</v>
      </c>
      <c r="K7" s="66">
        <f t="shared" si="2"/>
        <v>0.26999999999999991</v>
      </c>
      <c r="L7" s="2"/>
      <c r="M7" s="2">
        <f t="shared" si="3"/>
        <v>45.6</v>
      </c>
      <c r="N7" s="2">
        <f t="shared" si="4"/>
        <v>0.61677186654643823</v>
      </c>
      <c r="O7" s="2">
        <f t="shared" si="5"/>
        <v>0.2380517647058823</v>
      </c>
    </row>
    <row r="8" spans="2:15" x14ac:dyDescent="0.15">
      <c r="B8" s="2">
        <v>6</v>
      </c>
      <c r="C8" s="2">
        <v>1</v>
      </c>
      <c r="D8" s="67">
        <f t="shared" si="6"/>
        <v>0.71</v>
      </c>
      <c r="E8" s="64">
        <v>0.15</v>
      </c>
      <c r="F8" s="21">
        <v>6</v>
      </c>
      <c r="G8" s="2">
        <f t="shared" si="0"/>
        <v>45</v>
      </c>
      <c r="H8" s="64">
        <v>0.6</v>
      </c>
      <c r="I8" s="2">
        <v>0.6</v>
      </c>
      <c r="J8" s="2">
        <f t="shared" si="1"/>
        <v>12</v>
      </c>
      <c r="K8" s="66">
        <f t="shared" si="2"/>
        <v>0.27499999999999991</v>
      </c>
      <c r="L8" s="2"/>
      <c r="M8" s="2">
        <f t="shared" si="3"/>
        <v>54</v>
      </c>
      <c r="N8" s="2">
        <f t="shared" si="4"/>
        <v>0.61363636363636365</v>
      </c>
      <c r="O8" s="2">
        <f t="shared" si="5"/>
        <v>0.24941176470588222</v>
      </c>
    </row>
    <row r="9" spans="2:15" x14ac:dyDescent="0.15">
      <c r="B9" s="2">
        <v>7</v>
      </c>
      <c r="C9" s="2">
        <v>1</v>
      </c>
      <c r="D9" s="67">
        <f t="shared" si="6"/>
        <v>0.71199999999999997</v>
      </c>
      <c r="E9" s="64">
        <v>0.15</v>
      </c>
      <c r="F9" s="65">
        <v>7</v>
      </c>
      <c r="G9" s="2">
        <f t="shared" si="0"/>
        <v>53</v>
      </c>
      <c r="H9" s="64">
        <v>0.6</v>
      </c>
      <c r="I9" s="2">
        <v>0.7</v>
      </c>
      <c r="J9" s="2">
        <f t="shared" si="1"/>
        <v>15</v>
      </c>
      <c r="K9" s="66">
        <f t="shared" si="2"/>
        <v>0.27999999999999992</v>
      </c>
      <c r="L9" s="2"/>
      <c r="M9" s="2">
        <f t="shared" si="3"/>
        <v>63.599999999999994</v>
      </c>
      <c r="N9" s="2">
        <f t="shared" si="4"/>
        <v>0.61588121368624915</v>
      </c>
      <c r="O9" s="2">
        <f t="shared" si="5"/>
        <v>0.25023193277310929</v>
      </c>
    </row>
    <row r="10" spans="2:15" x14ac:dyDescent="0.15">
      <c r="B10" s="2">
        <v>8</v>
      </c>
      <c r="C10" s="2">
        <v>1</v>
      </c>
      <c r="D10" s="67">
        <f t="shared" si="6"/>
        <v>0.71399999999999997</v>
      </c>
      <c r="E10" s="64">
        <v>0.15</v>
      </c>
      <c r="F10" s="21">
        <v>8</v>
      </c>
      <c r="G10" s="2">
        <f t="shared" si="0"/>
        <v>60</v>
      </c>
      <c r="H10" s="64">
        <v>0.6</v>
      </c>
      <c r="I10" s="2">
        <v>0.8</v>
      </c>
      <c r="J10" s="2">
        <f t="shared" si="1"/>
        <v>17</v>
      </c>
      <c r="K10" s="66">
        <f t="shared" si="2"/>
        <v>0.28499999999999992</v>
      </c>
      <c r="L10" s="2"/>
      <c r="M10" s="2">
        <f t="shared" si="3"/>
        <v>72</v>
      </c>
      <c r="N10" s="2">
        <f t="shared" si="4"/>
        <v>0.61363636363636354</v>
      </c>
      <c r="O10" s="2">
        <f t="shared" si="5"/>
        <v>0.25976470588235301</v>
      </c>
    </row>
    <row r="11" spans="2:15" x14ac:dyDescent="0.15">
      <c r="B11" s="2">
        <v>9</v>
      </c>
      <c r="C11" s="2">
        <v>1</v>
      </c>
      <c r="D11" s="67">
        <f t="shared" si="6"/>
        <v>0.71599999999999997</v>
      </c>
      <c r="E11" s="64">
        <v>0.15</v>
      </c>
      <c r="F11" s="65">
        <v>9</v>
      </c>
      <c r="G11" s="2">
        <f t="shared" si="0"/>
        <v>68</v>
      </c>
      <c r="H11" s="64">
        <v>0.6</v>
      </c>
      <c r="I11" s="2">
        <v>0.9</v>
      </c>
      <c r="J11" s="2">
        <f t="shared" si="1"/>
        <v>20</v>
      </c>
      <c r="K11" s="66">
        <f t="shared" si="2"/>
        <v>0.28999999999999992</v>
      </c>
      <c r="L11" s="2"/>
      <c r="M11" s="2">
        <f t="shared" si="3"/>
        <v>81.599999999999994</v>
      </c>
      <c r="N11" s="2">
        <f t="shared" si="4"/>
        <v>0.61538461538461542</v>
      </c>
      <c r="O11" s="2">
        <f t="shared" si="5"/>
        <v>0.26159999999999983</v>
      </c>
    </row>
    <row r="12" spans="2:15" x14ac:dyDescent="0.15">
      <c r="B12" s="2">
        <v>10</v>
      </c>
      <c r="C12" s="2">
        <v>1</v>
      </c>
      <c r="D12" s="67">
        <f t="shared" si="6"/>
        <v>0.71799999999999997</v>
      </c>
      <c r="E12" s="64">
        <v>0.15</v>
      </c>
      <c r="F12" s="21">
        <v>10</v>
      </c>
      <c r="G12" s="2">
        <f t="shared" si="0"/>
        <v>75</v>
      </c>
      <c r="H12" s="64">
        <v>0.6</v>
      </c>
      <c r="I12" s="2">
        <v>1</v>
      </c>
      <c r="J12" s="2">
        <f t="shared" si="1"/>
        <v>23</v>
      </c>
      <c r="K12" s="66">
        <f t="shared" si="2"/>
        <v>0.29499999999999993</v>
      </c>
      <c r="L12" s="2"/>
      <c r="M12" s="2">
        <f t="shared" si="3"/>
        <v>90</v>
      </c>
      <c r="N12" s="2">
        <f t="shared" si="4"/>
        <v>0.61363636363636354</v>
      </c>
      <c r="O12" s="2">
        <f t="shared" si="5"/>
        <v>0.27011764705882368</v>
      </c>
    </row>
    <row r="13" spans="2:15" x14ac:dyDescent="0.15">
      <c r="B13" s="2">
        <v>11</v>
      </c>
      <c r="C13" s="2">
        <f>C3+1</f>
        <v>2</v>
      </c>
      <c r="D13" s="67">
        <f t="shared" si="6"/>
        <v>0.72</v>
      </c>
      <c r="E13" s="64">
        <v>0.15</v>
      </c>
      <c r="F13" s="65">
        <v>11</v>
      </c>
      <c r="G13" s="2">
        <f t="shared" si="0"/>
        <v>83</v>
      </c>
      <c r="H13" s="64">
        <v>0.6</v>
      </c>
      <c r="I13" s="2">
        <v>1.1000000000000001</v>
      </c>
      <c r="J13" s="2">
        <f t="shared" si="1"/>
        <v>26</v>
      </c>
      <c r="K13" s="66">
        <f t="shared" si="2"/>
        <v>0.29999999999999993</v>
      </c>
      <c r="L13" s="2"/>
      <c r="M13" s="2">
        <f t="shared" si="3"/>
        <v>99.6</v>
      </c>
      <c r="N13" s="2">
        <f t="shared" si="4"/>
        <v>0.61506792918896658</v>
      </c>
      <c r="O13" s="2">
        <f t="shared" si="5"/>
        <v>0.27259893048128347</v>
      </c>
    </row>
    <row r="14" spans="2:15" x14ac:dyDescent="0.15">
      <c r="B14" s="2">
        <v>12</v>
      </c>
      <c r="C14" s="2">
        <f t="shared" ref="C14:C77" si="7">C4+1</f>
        <v>2</v>
      </c>
      <c r="D14" s="67">
        <f t="shared" si="6"/>
        <v>0.72199999999999998</v>
      </c>
      <c r="E14" s="64">
        <v>0.15</v>
      </c>
      <c r="F14" s="21">
        <v>12</v>
      </c>
      <c r="G14" s="2">
        <f t="shared" si="0"/>
        <v>90</v>
      </c>
      <c r="H14" s="64">
        <v>0.6</v>
      </c>
      <c r="I14" s="2">
        <v>1.2</v>
      </c>
      <c r="J14" s="2">
        <f t="shared" si="1"/>
        <v>29</v>
      </c>
      <c r="K14" s="66">
        <f t="shared" si="2"/>
        <v>0.30499999999999994</v>
      </c>
      <c r="L14" s="2"/>
      <c r="M14" s="2">
        <f t="shared" si="3"/>
        <v>108</v>
      </c>
      <c r="N14" s="2">
        <f t="shared" si="4"/>
        <v>0.61363636363636365</v>
      </c>
      <c r="O14" s="2">
        <f t="shared" si="5"/>
        <v>0.28047058823529403</v>
      </c>
    </row>
    <row r="15" spans="2:15" x14ac:dyDescent="0.15">
      <c r="B15" s="2">
        <v>13</v>
      </c>
      <c r="C15" s="2">
        <f t="shared" si="7"/>
        <v>2</v>
      </c>
      <c r="D15" s="67">
        <f t="shared" si="6"/>
        <v>0.72399999999999998</v>
      </c>
      <c r="E15" s="64">
        <v>0.15</v>
      </c>
      <c r="F15" s="65">
        <v>13</v>
      </c>
      <c r="G15" s="2">
        <f t="shared" si="0"/>
        <v>98</v>
      </c>
      <c r="H15" s="64">
        <v>0.6</v>
      </c>
      <c r="I15" s="2">
        <v>1.3</v>
      </c>
      <c r="J15" s="2">
        <f t="shared" si="1"/>
        <v>32</v>
      </c>
      <c r="K15" s="66">
        <f t="shared" si="2"/>
        <v>0.30999999999999994</v>
      </c>
      <c r="L15" s="2"/>
      <c r="M15" s="2">
        <f t="shared" si="3"/>
        <v>117.6</v>
      </c>
      <c r="N15" s="2">
        <f t="shared" si="4"/>
        <v>0.61484837922621127</v>
      </c>
      <c r="O15" s="2">
        <f t="shared" si="5"/>
        <v>0.28339909502262428</v>
      </c>
    </row>
    <row r="16" spans="2:15" x14ac:dyDescent="0.15">
      <c r="B16" s="2">
        <v>14</v>
      </c>
      <c r="C16" s="2">
        <f t="shared" si="7"/>
        <v>2</v>
      </c>
      <c r="D16" s="67">
        <f t="shared" si="6"/>
        <v>0.72599999999999998</v>
      </c>
      <c r="E16" s="64">
        <v>0.15</v>
      </c>
      <c r="F16" s="21">
        <v>14</v>
      </c>
      <c r="G16" s="2">
        <f t="shared" si="0"/>
        <v>105</v>
      </c>
      <c r="H16" s="64">
        <v>0.6</v>
      </c>
      <c r="I16" s="2">
        <v>1.4</v>
      </c>
      <c r="J16" s="2">
        <f t="shared" si="1"/>
        <v>35</v>
      </c>
      <c r="K16" s="66">
        <f t="shared" si="2"/>
        <v>0.31499999999999995</v>
      </c>
      <c r="L16" s="2"/>
      <c r="M16" s="2">
        <f t="shared" si="3"/>
        <v>126</v>
      </c>
      <c r="N16" s="2">
        <f t="shared" si="4"/>
        <v>0.61363636363636365</v>
      </c>
      <c r="O16" s="2">
        <f t="shared" si="5"/>
        <v>0.29082352941176459</v>
      </c>
    </row>
    <row r="17" spans="2:15" x14ac:dyDescent="0.15">
      <c r="B17" s="2">
        <v>15</v>
      </c>
      <c r="C17" s="2">
        <f t="shared" si="7"/>
        <v>2</v>
      </c>
      <c r="D17" s="67">
        <f t="shared" si="6"/>
        <v>0.72799999999999998</v>
      </c>
      <c r="E17" s="64">
        <v>0.15</v>
      </c>
      <c r="F17" s="65">
        <v>15</v>
      </c>
      <c r="G17" s="2">
        <f t="shared" si="0"/>
        <v>113</v>
      </c>
      <c r="H17" s="64">
        <v>0.6</v>
      </c>
      <c r="I17" s="2">
        <v>1.5</v>
      </c>
      <c r="J17" s="2">
        <f t="shared" si="1"/>
        <v>39</v>
      </c>
      <c r="K17" s="66">
        <f t="shared" si="2"/>
        <v>0.31999999999999995</v>
      </c>
      <c r="L17" s="2"/>
      <c r="M17" s="2">
        <f t="shared" si="3"/>
        <v>135.6</v>
      </c>
      <c r="N17" s="2">
        <f t="shared" si="4"/>
        <v>0.61468721668177695</v>
      </c>
      <c r="O17" s="2">
        <f t="shared" si="5"/>
        <v>0.29408000000000001</v>
      </c>
    </row>
    <row r="18" spans="2:15" x14ac:dyDescent="0.15">
      <c r="B18" s="2">
        <v>16</v>
      </c>
      <c r="C18" s="2">
        <f t="shared" si="7"/>
        <v>2</v>
      </c>
      <c r="D18" s="67">
        <f t="shared" si="6"/>
        <v>0.73</v>
      </c>
      <c r="E18" s="64">
        <v>0.15</v>
      </c>
      <c r="F18" s="21">
        <v>16</v>
      </c>
      <c r="G18" s="2">
        <f t="shared" si="0"/>
        <v>120</v>
      </c>
      <c r="H18" s="64">
        <v>0.6</v>
      </c>
      <c r="I18" s="2">
        <v>1.6</v>
      </c>
      <c r="J18" s="2">
        <f t="shared" si="1"/>
        <v>42</v>
      </c>
      <c r="K18" s="66">
        <f t="shared" si="2"/>
        <v>0.32499999999999996</v>
      </c>
      <c r="L18" s="2"/>
      <c r="M18" s="2">
        <f t="shared" si="3"/>
        <v>144</v>
      </c>
      <c r="N18" s="2">
        <f t="shared" si="4"/>
        <v>0.61363636363636354</v>
      </c>
      <c r="O18" s="2">
        <f t="shared" si="5"/>
        <v>0.30117647058823538</v>
      </c>
    </row>
    <row r="19" spans="2:15" x14ac:dyDescent="0.15">
      <c r="B19" s="2">
        <v>17</v>
      </c>
      <c r="C19" s="2">
        <f t="shared" si="7"/>
        <v>2</v>
      </c>
      <c r="D19" s="67">
        <f t="shared" si="6"/>
        <v>0.73199999999999998</v>
      </c>
      <c r="E19" s="64">
        <v>0.15</v>
      </c>
      <c r="F19" s="65">
        <v>17</v>
      </c>
      <c r="G19" s="2">
        <f t="shared" si="0"/>
        <v>128</v>
      </c>
      <c r="H19" s="64">
        <v>0.6</v>
      </c>
      <c r="I19" s="2">
        <v>1.7</v>
      </c>
      <c r="J19" s="2">
        <f t="shared" si="1"/>
        <v>46</v>
      </c>
      <c r="K19" s="66">
        <f t="shared" si="2"/>
        <v>0.32999999999999996</v>
      </c>
      <c r="L19" s="2"/>
      <c r="M19" s="2">
        <f t="shared" si="3"/>
        <v>153.6</v>
      </c>
      <c r="N19" s="2">
        <f t="shared" si="4"/>
        <v>0.61456388370232062</v>
      </c>
      <c r="O19" s="2">
        <f t="shared" si="5"/>
        <v>0.30468373702422136</v>
      </c>
    </row>
    <row r="20" spans="2:15" x14ac:dyDescent="0.15">
      <c r="B20" s="2">
        <v>18</v>
      </c>
      <c r="C20" s="2">
        <f t="shared" si="7"/>
        <v>2</v>
      </c>
      <c r="D20" s="67">
        <f t="shared" si="6"/>
        <v>0.73399999999999999</v>
      </c>
      <c r="E20" s="64">
        <v>0.15</v>
      </c>
      <c r="F20" s="21">
        <v>18</v>
      </c>
      <c r="G20" s="2">
        <f t="shared" si="0"/>
        <v>135</v>
      </c>
      <c r="H20" s="64">
        <v>0.6</v>
      </c>
      <c r="I20" s="2">
        <v>1.8</v>
      </c>
      <c r="J20" s="2">
        <f t="shared" si="1"/>
        <v>50</v>
      </c>
      <c r="K20" s="66">
        <f t="shared" si="2"/>
        <v>0.33499999999999996</v>
      </c>
      <c r="L20" s="2"/>
      <c r="M20" s="2">
        <f t="shared" si="3"/>
        <v>162</v>
      </c>
      <c r="N20" s="2">
        <f t="shared" si="4"/>
        <v>0.61363636363636365</v>
      </c>
      <c r="O20" s="2">
        <f t="shared" si="5"/>
        <v>0.31152941176470583</v>
      </c>
    </row>
    <row r="21" spans="2:15" x14ac:dyDescent="0.15">
      <c r="B21" s="2">
        <v>19</v>
      </c>
      <c r="C21" s="2">
        <f t="shared" si="7"/>
        <v>2</v>
      </c>
      <c r="D21" s="67">
        <f t="shared" si="6"/>
        <v>0.73599999999999999</v>
      </c>
      <c r="E21" s="64">
        <v>0.15</v>
      </c>
      <c r="F21" s="65">
        <v>19</v>
      </c>
      <c r="G21" s="2">
        <f t="shared" si="0"/>
        <v>143</v>
      </c>
      <c r="H21" s="64">
        <v>0.6</v>
      </c>
      <c r="I21" s="2">
        <v>1.9</v>
      </c>
      <c r="J21" s="2">
        <f t="shared" si="1"/>
        <v>54</v>
      </c>
      <c r="K21" s="66">
        <f t="shared" si="2"/>
        <v>0.33999999999999997</v>
      </c>
      <c r="L21" s="2"/>
      <c r="M21" s="2">
        <f t="shared" si="3"/>
        <v>171.6</v>
      </c>
      <c r="N21" s="2">
        <f t="shared" si="4"/>
        <v>0.61446645977560277</v>
      </c>
      <c r="O21" s="2">
        <f t="shared" si="5"/>
        <v>0.3152346749226006</v>
      </c>
    </row>
    <row r="22" spans="2:15" x14ac:dyDescent="0.15">
      <c r="B22" s="2">
        <v>20</v>
      </c>
      <c r="C22" s="2">
        <f t="shared" si="7"/>
        <v>2</v>
      </c>
      <c r="D22" s="67">
        <f t="shared" si="6"/>
        <v>0.73799999999999999</v>
      </c>
      <c r="E22" s="64">
        <v>0.15</v>
      </c>
      <c r="F22" s="21">
        <v>20</v>
      </c>
      <c r="G22" s="2">
        <f t="shared" si="0"/>
        <v>150</v>
      </c>
      <c r="H22" s="64">
        <v>0.6</v>
      </c>
      <c r="I22" s="2">
        <v>2</v>
      </c>
      <c r="J22" s="2">
        <f t="shared" si="1"/>
        <v>58</v>
      </c>
      <c r="K22" s="66">
        <f t="shared" si="2"/>
        <v>0.34499999999999997</v>
      </c>
      <c r="L22" s="2"/>
      <c r="M22" s="2">
        <f t="shared" si="3"/>
        <v>180</v>
      </c>
      <c r="N22" s="2">
        <f t="shared" si="4"/>
        <v>0.61363636363636354</v>
      </c>
      <c r="O22" s="2">
        <f t="shared" si="5"/>
        <v>0.32188235294117662</v>
      </c>
    </row>
    <row r="23" spans="2:15" x14ac:dyDescent="0.15">
      <c r="B23" s="2">
        <v>21</v>
      </c>
      <c r="C23" s="2">
        <f t="shared" si="7"/>
        <v>3</v>
      </c>
      <c r="D23" s="67">
        <f t="shared" si="6"/>
        <v>0.74</v>
      </c>
      <c r="E23" s="64">
        <v>0.15</v>
      </c>
      <c r="F23" s="65">
        <v>21</v>
      </c>
      <c r="G23" s="2">
        <f t="shared" si="0"/>
        <v>158</v>
      </c>
      <c r="H23" s="64">
        <v>0.6</v>
      </c>
      <c r="I23" s="2">
        <v>2.1</v>
      </c>
      <c r="J23" s="2">
        <f t="shared" si="1"/>
        <v>62</v>
      </c>
      <c r="K23" s="66">
        <f t="shared" si="2"/>
        <v>0.35</v>
      </c>
      <c r="L23" s="2"/>
      <c r="M23" s="2">
        <f t="shared" si="3"/>
        <v>189.6</v>
      </c>
      <c r="N23" s="2">
        <f t="shared" si="4"/>
        <v>0.61438755670771217</v>
      </c>
      <c r="O23" s="2">
        <f t="shared" si="5"/>
        <v>0.32574789915966396</v>
      </c>
    </row>
    <row r="24" spans="2:15" x14ac:dyDescent="0.15">
      <c r="B24" s="2">
        <v>22</v>
      </c>
      <c r="C24" s="2">
        <f t="shared" si="7"/>
        <v>3</v>
      </c>
      <c r="D24" s="67">
        <f t="shared" si="6"/>
        <v>0.74199999999999999</v>
      </c>
      <c r="E24" s="64">
        <v>0.15</v>
      </c>
      <c r="F24" s="21">
        <v>22</v>
      </c>
      <c r="G24" s="2">
        <f t="shared" si="0"/>
        <v>165</v>
      </c>
      <c r="H24" s="64">
        <v>0.6</v>
      </c>
      <c r="I24" s="2">
        <v>2.2000000000000002</v>
      </c>
      <c r="J24" s="2">
        <f t="shared" si="1"/>
        <v>66</v>
      </c>
      <c r="K24" s="66">
        <f t="shared" si="2"/>
        <v>0.35499999999999998</v>
      </c>
      <c r="L24" s="2"/>
      <c r="M24" s="2">
        <f t="shared" si="3"/>
        <v>198</v>
      </c>
      <c r="N24" s="2">
        <f t="shared" si="4"/>
        <v>0.61363636363636365</v>
      </c>
      <c r="O24" s="2">
        <f t="shared" si="5"/>
        <v>0.33223529411764707</v>
      </c>
    </row>
    <row r="25" spans="2:15" x14ac:dyDescent="0.15">
      <c r="B25" s="2">
        <v>23</v>
      </c>
      <c r="C25" s="2">
        <f t="shared" si="7"/>
        <v>3</v>
      </c>
      <c r="D25" s="67">
        <f t="shared" si="6"/>
        <v>0.74399999999999999</v>
      </c>
      <c r="E25" s="64">
        <v>0.15</v>
      </c>
      <c r="F25" s="65">
        <v>23</v>
      </c>
      <c r="G25" s="2">
        <f t="shared" si="0"/>
        <v>173</v>
      </c>
      <c r="H25" s="64">
        <v>0.6</v>
      </c>
      <c r="I25" s="2">
        <v>2.2999999999999998</v>
      </c>
      <c r="J25" s="2">
        <f t="shared" si="1"/>
        <v>71</v>
      </c>
      <c r="K25" s="66">
        <f t="shared" si="2"/>
        <v>0.36</v>
      </c>
      <c r="L25" s="2"/>
      <c r="M25" s="2">
        <f t="shared" si="3"/>
        <v>207.6</v>
      </c>
      <c r="N25" s="2">
        <f t="shared" si="4"/>
        <v>0.61432235154862891</v>
      </c>
      <c r="O25" s="2">
        <f t="shared" si="5"/>
        <v>0.33623324808184141</v>
      </c>
    </row>
    <row r="26" spans="2:15" x14ac:dyDescent="0.15">
      <c r="B26" s="2">
        <v>24</v>
      </c>
      <c r="C26" s="2">
        <f t="shared" si="7"/>
        <v>3</v>
      </c>
      <c r="D26" s="67">
        <f t="shared" si="6"/>
        <v>0.746</v>
      </c>
      <c r="E26" s="64">
        <v>0.15</v>
      </c>
      <c r="F26" s="21">
        <v>24</v>
      </c>
      <c r="G26" s="2">
        <f t="shared" si="0"/>
        <v>180</v>
      </c>
      <c r="H26" s="64">
        <v>0.6</v>
      </c>
      <c r="I26" s="2">
        <v>2.4</v>
      </c>
      <c r="J26" s="2">
        <f t="shared" si="1"/>
        <v>76</v>
      </c>
      <c r="K26" s="66">
        <f t="shared" si="2"/>
        <v>0.36499999999999999</v>
      </c>
      <c r="L26" s="2"/>
      <c r="M26" s="2">
        <f t="shared" si="3"/>
        <v>216</v>
      </c>
      <c r="N26" s="2">
        <f t="shared" si="4"/>
        <v>0.61363636363636365</v>
      </c>
      <c r="O26" s="2">
        <f t="shared" si="5"/>
        <v>0.34258823529411764</v>
      </c>
    </row>
    <row r="27" spans="2:15" x14ac:dyDescent="0.15">
      <c r="B27" s="2">
        <v>25</v>
      </c>
      <c r="C27" s="2">
        <f t="shared" si="7"/>
        <v>3</v>
      </c>
      <c r="D27" s="67">
        <f t="shared" si="6"/>
        <v>0.748</v>
      </c>
      <c r="E27" s="64">
        <v>0.15</v>
      </c>
      <c r="F27" s="65">
        <v>25</v>
      </c>
      <c r="G27" s="2">
        <f t="shared" si="0"/>
        <v>188</v>
      </c>
      <c r="H27" s="64">
        <v>0.6</v>
      </c>
      <c r="I27" s="2">
        <v>2.5</v>
      </c>
      <c r="J27" s="2">
        <f t="shared" si="1"/>
        <v>81</v>
      </c>
      <c r="K27" s="66">
        <f t="shared" si="2"/>
        <v>0.37</v>
      </c>
      <c r="L27" s="2"/>
      <c r="M27" s="2">
        <f t="shared" si="3"/>
        <v>225.6</v>
      </c>
      <c r="N27" s="2">
        <f t="shared" si="4"/>
        <v>0.61426756217099288</v>
      </c>
      <c r="O27" s="2">
        <f t="shared" si="5"/>
        <v>0.34669741176470592</v>
      </c>
    </row>
    <row r="28" spans="2:15" x14ac:dyDescent="0.15">
      <c r="B28" s="2">
        <v>26</v>
      </c>
      <c r="C28" s="2">
        <f t="shared" si="7"/>
        <v>3</v>
      </c>
      <c r="D28" s="67">
        <f t="shared" si="6"/>
        <v>0.75</v>
      </c>
      <c r="E28" s="64">
        <v>0.15</v>
      </c>
      <c r="F28" s="21">
        <v>26</v>
      </c>
      <c r="G28" s="2">
        <f t="shared" si="0"/>
        <v>195</v>
      </c>
      <c r="H28" s="64">
        <v>0.6</v>
      </c>
      <c r="I28" s="2">
        <v>2.6</v>
      </c>
      <c r="J28" s="2">
        <f t="shared" si="1"/>
        <v>86</v>
      </c>
      <c r="K28" s="66">
        <f t="shared" si="2"/>
        <v>0.375</v>
      </c>
      <c r="L28" s="2"/>
      <c r="M28" s="2">
        <f t="shared" si="3"/>
        <v>234</v>
      </c>
      <c r="N28" s="2">
        <f t="shared" si="4"/>
        <v>0.61363636363636354</v>
      </c>
      <c r="O28" s="2">
        <f t="shared" si="5"/>
        <v>0.35294117647058842</v>
      </c>
    </row>
    <row r="29" spans="2:15" x14ac:dyDescent="0.15">
      <c r="B29" s="2">
        <v>27</v>
      </c>
      <c r="C29" s="2">
        <f t="shared" si="7"/>
        <v>3</v>
      </c>
      <c r="D29" s="67">
        <f t="shared" si="6"/>
        <v>0.752</v>
      </c>
      <c r="E29" s="64">
        <v>0.15</v>
      </c>
      <c r="F29" s="65">
        <v>27</v>
      </c>
      <c r="G29" s="2">
        <f t="shared" si="0"/>
        <v>203</v>
      </c>
      <c r="H29" s="64">
        <v>0.6</v>
      </c>
      <c r="I29" s="2">
        <v>2.7</v>
      </c>
      <c r="J29" s="2">
        <f t="shared" si="1"/>
        <v>91</v>
      </c>
      <c r="K29" s="66">
        <f t="shared" si="2"/>
        <v>0.38</v>
      </c>
      <c r="L29" s="2"/>
      <c r="M29" s="2">
        <f t="shared" si="3"/>
        <v>243.6</v>
      </c>
      <c r="N29" s="2">
        <f t="shared" si="4"/>
        <v>0.61422087745839637</v>
      </c>
      <c r="O29" s="2">
        <f t="shared" si="5"/>
        <v>0.35714509803921568</v>
      </c>
    </row>
    <row r="30" spans="2:15" x14ac:dyDescent="0.15">
      <c r="B30" s="2">
        <v>28</v>
      </c>
      <c r="C30" s="2">
        <f t="shared" si="7"/>
        <v>3</v>
      </c>
      <c r="D30" s="67">
        <f t="shared" si="6"/>
        <v>0.754</v>
      </c>
      <c r="E30" s="64">
        <v>0.15</v>
      </c>
      <c r="F30" s="21">
        <v>28</v>
      </c>
      <c r="G30" s="2">
        <f t="shared" si="0"/>
        <v>210</v>
      </c>
      <c r="H30" s="64">
        <v>0.6</v>
      </c>
      <c r="I30" s="2">
        <v>2.8</v>
      </c>
      <c r="J30" s="2">
        <f t="shared" si="1"/>
        <v>97</v>
      </c>
      <c r="K30" s="66">
        <f t="shared" si="2"/>
        <v>0.38500000000000001</v>
      </c>
      <c r="L30" s="2"/>
      <c r="M30" s="2">
        <f t="shared" si="3"/>
        <v>252</v>
      </c>
      <c r="N30" s="2">
        <f t="shared" si="4"/>
        <v>0.61363636363636365</v>
      </c>
      <c r="O30" s="2">
        <f t="shared" si="5"/>
        <v>0.36329411764705877</v>
      </c>
    </row>
    <row r="31" spans="2:15" x14ac:dyDescent="0.15">
      <c r="B31" s="2">
        <v>29</v>
      </c>
      <c r="C31" s="2">
        <f t="shared" si="7"/>
        <v>3</v>
      </c>
      <c r="D31" s="67">
        <f t="shared" si="6"/>
        <v>0.75600000000000001</v>
      </c>
      <c r="E31" s="64">
        <v>0.15</v>
      </c>
      <c r="F31" s="65">
        <v>29</v>
      </c>
      <c r="G31" s="2">
        <f t="shared" si="0"/>
        <v>218</v>
      </c>
      <c r="H31" s="64">
        <v>0.6</v>
      </c>
      <c r="I31" s="2">
        <v>2.9</v>
      </c>
      <c r="J31" s="2">
        <f t="shared" si="1"/>
        <v>102</v>
      </c>
      <c r="K31" s="66">
        <f t="shared" si="2"/>
        <v>0.39</v>
      </c>
      <c r="L31" s="2"/>
      <c r="M31" s="2">
        <f t="shared" si="3"/>
        <v>261.59999999999997</v>
      </c>
      <c r="N31" s="2">
        <f t="shared" si="4"/>
        <v>0.61418062294568787</v>
      </c>
      <c r="O31" s="2">
        <f t="shared" si="5"/>
        <v>0.36757971602434081</v>
      </c>
    </row>
    <row r="32" spans="2:15" x14ac:dyDescent="0.15">
      <c r="B32" s="2">
        <v>30</v>
      </c>
      <c r="C32" s="2">
        <f t="shared" si="7"/>
        <v>3</v>
      </c>
      <c r="D32" s="67">
        <f t="shared" si="6"/>
        <v>0.75800000000000001</v>
      </c>
      <c r="E32" s="64">
        <v>0.15</v>
      </c>
      <c r="F32" s="21">
        <v>30</v>
      </c>
      <c r="G32" s="2">
        <f t="shared" si="0"/>
        <v>225</v>
      </c>
      <c r="H32" s="64">
        <v>0.6</v>
      </c>
      <c r="I32" s="2">
        <v>3</v>
      </c>
      <c r="J32" s="2">
        <f t="shared" si="1"/>
        <v>108</v>
      </c>
      <c r="K32" s="66">
        <f t="shared" si="2"/>
        <v>0.39500000000000002</v>
      </c>
      <c r="L32" s="2"/>
      <c r="M32" s="2">
        <f t="shared" si="3"/>
        <v>270</v>
      </c>
      <c r="N32" s="2">
        <f t="shared" si="4"/>
        <v>0.61363636363636365</v>
      </c>
      <c r="O32" s="2">
        <f t="shared" si="5"/>
        <v>0.37364705882352944</v>
      </c>
    </row>
    <row r="33" spans="2:15" x14ac:dyDescent="0.15">
      <c r="B33" s="2">
        <v>31</v>
      </c>
      <c r="C33" s="2">
        <f t="shared" si="7"/>
        <v>4</v>
      </c>
      <c r="D33" s="67">
        <f t="shared" si="6"/>
        <v>0.76</v>
      </c>
      <c r="E33" s="64">
        <v>0.15</v>
      </c>
      <c r="F33" s="65">
        <v>31</v>
      </c>
      <c r="G33" s="2">
        <f t="shared" si="0"/>
        <v>233</v>
      </c>
      <c r="H33" s="64">
        <v>0.6</v>
      </c>
      <c r="I33" s="2">
        <v>3.1</v>
      </c>
      <c r="J33" s="2">
        <f t="shared" si="1"/>
        <v>114</v>
      </c>
      <c r="K33" s="66">
        <f t="shared" si="2"/>
        <v>0.4</v>
      </c>
      <c r="L33" s="2"/>
      <c r="M33" s="2">
        <f t="shared" si="3"/>
        <v>279.59999999999997</v>
      </c>
      <c r="N33" s="2">
        <f t="shared" si="4"/>
        <v>0.61414555571826035</v>
      </c>
      <c r="O33" s="2">
        <f t="shared" si="5"/>
        <v>0.37800379506641368</v>
      </c>
    </row>
    <row r="34" spans="2:15" x14ac:dyDescent="0.15">
      <c r="B34" s="2">
        <v>32</v>
      </c>
      <c r="C34" s="2">
        <f t="shared" si="7"/>
        <v>4</v>
      </c>
      <c r="D34" s="67">
        <f t="shared" si="6"/>
        <v>0.76200000000000001</v>
      </c>
      <c r="E34" s="64">
        <v>0.15</v>
      </c>
      <c r="F34" s="21">
        <v>32</v>
      </c>
      <c r="G34" s="2">
        <f t="shared" si="0"/>
        <v>240</v>
      </c>
      <c r="H34" s="64">
        <v>0.6</v>
      </c>
      <c r="I34" s="2">
        <v>3.2</v>
      </c>
      <c r="J34" s="2">
        <f t="shared" si="1"/>
        <v>120</v>
      </c>
      <c r="K34" s="66">
        <f t="shared" si="2"/>
        <v>0.40500000000000003</v>
      </c>
      <c r="L34" s="2"/>
      <c r="M34" s="2">
        <f t="shared" si="3"/>
        <v>288</v>
      </c>
      <c r="N34" s="2">
        <f t="shared" si="4"/>
        <v>0.61363636363636354</v>
      </c>
      <c r="O34" s="2">
        <f t="shared" si="5"/>
        <v>0.38400000000000023</v>
      </c>
    </row>
    <row r="35" spans="2:15" x14ac:dyDescent="0.15">
      <c r="B35" s="2">
        <v>33</v>
      </c>
      <c r="C35" s="2">
        <f t="shared" si="7"/>
        <v>4</v>
      </c>
      <c r="D35" s="67">
        <f t="shared" si="6"/>
        <v>0.76400000000000001</v>
      </c>
      <c r="E35" s="64">
        <v>0.15</v>
      </c>
      <c r="F35" s="65">
        <v>33</v>
      </c>
      <c r="G35" s="2">
        <f t="shared" si="0"/>
        <v>248</v>
      </c>
      <c r="H35" s="64">
        <v>0.6</v>
      </c>
      <c r="I35" s="2">
        <v>3.3</v>
      </c>
      <c r="J35" s="2">
        <f t="shared" si="1"/>
        <v>127</v>
      </c>
      <c r="K35" s="66">
        <f t="shared" si="2"/>
        <v>0.41000000000000003</v>
      </c>
      <c r="L35" s="2"/>
      <c r="M35" s="2">
        <f t="shared" si="3"/>
        <v>297.59999999999997</v>
      </c>
      <c r="N35" s="2">
        <f t="shared" si="4"/>
        <v>0.61411473380107306</v>
      </c>
      <c r="O35" s="2">
        <f t="shared" si="5"/>
        <v>0.38841925133689836</v>
      </c>
    </row>
    <row r="36" spans="2:15" x14ac:dyDescent="0.15">
      <c r="B36" s="2">
        <v>34</v>
      </c>
      <c r="C36" s="2">
        <f t="shared" si="7"/>
        <v>4</v>
      </c>
      <c r="D36" s="67">
        <f t="shared" si="6"/>
        <v>0.76600000000000001</v>
      </c>
      <c r="E36" s="64">
        <v>0.15</v>
      </c>
      <c r="F36" s="21">
        <v>34</v>
      </c>
      <c r="G36" s="2">
        <f t="shared" si="0"/>
        <v>255</v>
      </c>
      <c r="H36" s="64">
        <v>0.6</v>
      </c>
      <c r="I36" s="2">
        <v>3.4</v>
      </c>
      <c r="J36" s="2">
        <f t="shared" si="1"/>
        <v>133</v>
      </c>
      <c r="K36" s="66">
        <f t="shared" si="2"/>
        <v>0.41500000000000004</v>
      </c>
      <c r="L36" s="2"/>
      <c r="M36" s="2">
        <f t="shared" si="3"/>
        <v>306</v>
      </c>
      <c r="N36" s="2">
        <f t="shared" si="4"/>
        <v>0.61363636363636365</v>
      </c>
      <c r="O36" s="2">
        <f t="shared" si="5"/>
        <v>0.39435294117647057</v>
      </c>
    </row>
    <row r="37" spans="2:15" x14ac:dyDescent="0.15">
      <c r="B37" s="2">
        <v>35</v>
      </c>
      <c r="C37" s="2">
        <f t="shared" si="7"/>
        <v>4</v>
      </c>
      <c r="D37" s="67">
        <f t="shared" si="6"/>
        <v>0.76800000000000002</v>
      </c>
      <c r="E37" s="64">
        <v>0.15</v>
      </c>
      <c r="F37" s="65">
        <v>35</v>
      </c>
      <c r="G37" s="2">
        <f t="shared" si="0"/>
        <v>263</v>
      </c>
      <c r="H37" s="64">
        <v>0.6</v>
      </c>
      <c r="I37" s="2">
        <v>3.5</v>
      </c>
      <c r="J37" s="2">
        <f t="shared" si="1"/>
        <v>140</v>
      </c>
      <c r="K37" s="66">
        <f t="shared" si="2"/>
        <v>0.42000000000000004</v>
      </c>
      <c r="L37" s="2"/>
      <c r="M37" s="2">
        <f t="shared" si="3"/>
        <v>315.59999999999997</v>
      </c>
      <c r="N37" s="2">
        <f t="shared" si="4"/>
        <v>0.61408743027630042</v>
      </c>
      <c r="O37" s="2">
        <f t="shared" si="5"/>
        <v>0.39882756302521016</v>
      </c>
    </row>
    <row r="38" spans="2:15" x14ac:dyDescent="0.15">
      <c r="B38" s="2">
        <v>36</v>
      </c>
      <c r="C38" s="2">
        <f t="shared" si="7"/>
        <v>4</v>
      </c>
      <c r="D38" s="67">
        <f t="shared" si="6"/>
        <v>0.77</v>
      </c>
      <c r="E38" s="64">
        <v>0.15</v>
      </c>
      <c r="F38" s="21">
        <v>36</v>
      </c>
      <c r="G38" s="2">
        <f t="shared" si="0"/>
        <v>270</v>
      </c>
      <c r="H38" s="64">
        <v>0.6</v>
      </c>
      <c r="I38" s="2">
        <v>3.6</v>
      </c>
      <c r="J38" s="2">
        <f t="shared" si="1"/>
        <v>147</v>
      </c>
      <c r="K38" s="66">
        <f t="shared" si="2"/>
        <v>0.42500000000000004</v>
      </c>
      <c r="L38" s="2"/>
      <c r="M38" s="2">
        <f t="shared" si="3"/>
        <v>324</v>
      </c>
      <c r="N38" s="2">
        <f t="shared" si="4"/>
        <v>0.61363636363636365</v>
      </c>
      <c r="O38" s="2">
        <f t="shared" si="5"/>
        <v>0.40470588235294125</v>
      </c>
    </row>
    <row r="39" spans="2:15" x14ac:dyDescent="0.15">
      <c r="B39" s="2">
        <v>37</v>
      </c>
      <c r="C39" s="2">
        <f t="shared" si="7"/>
        <v>4</v>
      </c>
      <c r="D39" s="67">
        <f t="shared" si="6"/>
        <v>0.77200000000000002</v>
      </c>
      <c r="E39" s="64">
        <v>0.15</v>
      </c>
      <c r="F39" s="65">
        <v>37</v>
      </c>
      <c r="G39" s="2">
        <f t="shared" si="0"/>
        <v>278</v>
      </c>
      <c r="H39" s="64">
        <v>0.6</v>
      </c>
      <c r="I39" s="2">
        <v>3.7</v>
      </c>
      <c r="J39" s="2">
        <f t="shared" si="1"/>
        <v>154</v>
      </c>
      <c r="K39" s="66">
        <f t="shared" si="2"/>
        <v>0.43000000000000005</v>
      </c>
      <c r="L39" s="2"/>
      <c r="M39" s="2">
        <f t="shared" si="3"/>
        <v>333.59999999999997</v>
      </c>
      <c r="N39" s="2">
        <f t="shared" si="4"/>
        <v>0.61406307522395376</v>
      </c>
      <c r="O39" s="2">
        <f t="shared" si="5"/>
        <v>0.40922988871224186</v>
      </c>
    </row>
    <row r="40" spans="2:15" x14ac:dyDescent="0.15">
      <c r="B40" s="2">
        <v>38</v>
      </c>
      <c r="C40" s="2">
        <f t="shared" si="7"/>
        <v>4</v>
      </c>
      <c r="D40" s="67">
        <f t="shared" si="6"/>
        <v>0.77400000000000002</v>
      </c>
      <c r="E40" s="64">
        <v>0.15</v>
      </c>
      <c r="F40" s="21">
        <v>38</v>
      </c>
      <c r="G40" s="2">
        <f t="shared" si="0"/>
        <v>285</v>
      </c>
      <c r="H40" s="64">
        <v>0.6</v>
      </c>
      <c r="I40" s="2">
        <v>3.8</v>
      </c>
      <c r="J40" s="2">
        <f t="shared" si="1"/>
        <v>162</v>
      </c>
      <c r="K40" s="66">
        <f t="shared" si="2"/>
        <v>0.43500000000000005</v>
      </c>
      <c r="L40" s="2"/>
      <c r="M40" s="2">
        <f t="shared" si="3"/>
        <v>342</v>
      </c>
      <c r="N40" s="2">
        <f t="shared" si="4"/>
        <v>0.61363636363636365</v>
      </c>
      <c r="O40" s="2">
        <f t="shared" si="5"/>
        <v>0.41505882352941181</v>
      </c>
    </row>
    <row r="41" spans="2:15" x14ac:dyDescent="0.15">
      <c r="B41" s="2">
        <v>39</v>
      </c>
      <c r="C41" s="2">
        <f t="shared" si="7"/>
        <v>4</v>
      </c>
      <c r="D41" s="67">
        <f t="shared" si="6"/>
        <v>0.77600000000000002</v>
      </c>
      <c r="E41" s="64">
        <v>0.15</v>
      </c>
      <c r="F41" s="65">
        <v>39</v>
      </c>
      <c r="G41" s="2">
        <f t="shared" si="0"/>
        <v>293</v>
      </c>
      <c r="H41" s="64">
        <v>0.6</v>
      </c>
      <c r="I41" s="2">
        <v>3.9</v>
      </c>
      <c r="J41" s="2">
        <f t="shared" si="1"/>
        <v>170</v>
      </c>
      <c r="K41" s="66">
        <f t="shared" si="2"/>
        <v>0.44000000000000006</v>
      </c>
      <c r="L41" s="2"/>
      <c r="M41" s="2">
        <f t="shared" si="3"/>
        <v>351.59999999999997</v>
      </c>
      <c r="N41" s="2">
        <f t="shared" si="4"/>
        <v>0.61404121550820823</v>
      </c>
      <c r="O41" s="2">
        <f t="shared" si="5"/>
        <v>0.41962714932126699</v>
      </c>
    </row>
    <row r="42" spans="2:15" x14ac:dyDescent="0.15">
      <c r="B42" s="2">
        <v>40</v>
      </c>
      <c r="C42" s="2">
        <f t="shared" si="7"/>
        <v>4</v>
      </c>
      <c r="D42" s="67">
        <f t="shared" si="6"/>
        <v>0.77800000000000002</v>
      </c>
      <c r="E42" s="64">
        <v>0.15</v>
      </c>
      <c r="F42" s="21">
        <v>40</v>
      </c>
      <c r="G42" s="2">
        <f t="shared" si="0"/>
        <v>300</v>
      </c>
      <c r="H42" s="64">
        <v>0.6</v>
      </c>
      <c r="I42" s="2">
        <v>4</v>
      </c>
      <c r="J42" s="2">
        <f t="shared" si="1"/>
        <v>178</v>
      </c>
      <c r="K42" s="66">
        <f t="shared" si="2"/>
        <v>0.44500000000000006</v>
      </c>
      <c r="L42" s="2"/>
      <c r="M42" s="2">
        <f t="shared" si="3"/>
        <v>360</v>
      </c>
      <c r="N42" s="2">
        <f t="shared" si="4"/>
        <v>0.61363636363636354</v>
      </c>
      <c r="O42" s="2">
        <f t="shared" si="5"/>
        <v>0.4254117647058826</v>
      </c>
    </row>
    <row r="43" spans="2:15" x14ac:dyDescent="0.15">
      <c r="B43" s="2">
        <v>41</v>
      </c>
      <c r="C43" s="2">
        <f t="shared" si="7"/>
        <v>5</v>
      </c>
      <c r="D43" s="67">
        <f t="shared" si="6"/>
        <v>0.78</v>
      </c>
      <c r="E43" s="64">
        <v>0.15</v>
      </c>
      <c r="F43" s="65">
        <v>41</v>
      </c>
      <c r="G43" s="2">
        <f t="shared" si="0"/>
        <v>308</v>
      </c>
      <c r="H43" s="64">
        <v>0.6</v>
      </c>
      <c r="I43" s="2">
        <v>4.0999999999999996</v>
      </c>
      <c r="J43" s="2">
        <f t="shared" si="1"/>
        <v>186</v>
      </c>
      <c r="K43" s="66">
        <f t="shared" si="2"/>
        <v>0.45000000000000007</v>
      </c>
      <c r="L43" s="2"/>
      <c r="M43" s="2">
        <f t="shared" si="3"/>
        <v>369.59999999999997</v>
      </c>
      <c r="N43" s="2">
        <f t="shared" si="4"/>
        <v>0.61402148632185183</v>
      </c>
      <c r="O43" s="2">
        <f t="shared" si="5"/>
        <v>0.43002008608321385</v>
      </c>
    </row>
    <row r="44" spans="2:15" x14ac:dyDescent="0.15">
      <c r="B44" s="2">
        <v>42</v>
      </c>
      <c r="C44" s="2">
        <f t="shared" si="7"/>
        <v>5</v>
      </c>
      <c r="D44" s="67">
        <f t="shared" si="6"/>
        <v>0.78200000000000003</v>
      </c>
      <c r="E44" s="64">
        <v>0.15</v>
      </c>
      <c r="F44" s="21">
        <v>42</v>
      </c>
      <c r="G44" s="2">
        <f t="shared" si="0"/>
        <v>315</v>
      </c>
      <c r="H44" s="64">
        <v>0.6</v>
      </c>
      <c r="I44" s="2">
        <v>4.2</v>
      </c>
      <c r="J44" s="2">
        <f t="shared" si="1"/>
        <v>194</v>
      </c>
      <c r="K44" s="66">
        <f t="shared" si="2"/>
        <v>0.45500000000000007</v>
      </c>
      <c r="L44" s="2"/>
      <c r="M44" s="2">
        <f t="shared" si="3"/>
        <v>378</v>
      </c>
      <c r="N44" s="2">
        <f t="shared" si="4"/>
        <v>0.61363636363636365</v>
      </c>
      <c r="O44" s="2">
        <f t="shared" si="5"/>
        <v>0.43576470588235305</v>
      </c>
    </row>
    <row r="45" spans="2:15" x14ac:dyDescent="0.15">
      <c r="B45" s="2">
        <v>43</v>
      </c>
      <c r="C45" s="2">
        <f t="shared" si="7"/>
        <v>5</v>
      </c>
      <c r="D45" s="67">
        <f t="shared" si="6"/>
        <v>0.78400000000000003</v>
      </c>
      <c r="E45" s="64">
        <v>0.15</v>
      </c>
      <c r="F45" s="65">
        <v>43</v>
      </c>
      <c r="G45" s="2">
        <f t="shared" si="0"/>
        <v>323</v>
      </c>
      <c r="H45" s="64">
        <v>0.6</v>
      </c>
      <c r="I45" s="2">
        <v>4.3</v>
      </c>
      <c r="J45" s="2">
        <f t="shared" si="1"/>
        <v>203</v>
      </c>
      <c r="K45" s="66">
        <f t="shared" si="2"/>
        <v>0.46000000000000008</v>
      </c>
      <c r="L45" s="2"/>
      <c r="M45" s="2">
        <f t="shared" si="3"/>
        <v>387.59999999999997</v>
      </c>
      <c r="N45" s="2">
        <f t="shared" si="4"/>
        <v>0.6140035906642729</v>
      </c>
      <c r="O45" s="2">
        <f t="shared" si="5"/>
        <v>0.44040930232558151</v>
      </c>
    </row>
    <row r="46" spans="2:15" x14ac:dyDescent="0.15">
      <c r="B46" s="2">
        <v>44</v>
      </c>
      <c r="C46" s="2">
        <f t="shared" si="7"/>
        <v>5</v>
      </c>
      <c r="D46" s="67">
        <f t="shared" si="6"/>
        <v>0.78600000000000003</v>
      </c>
      <c r="E46" s="64">
        <v>0.15</v>
      </c>
      <c r="F46" s="21">
        <v>44</v>
      </c>
      <c r="G46" s="2">
        <f t="shared" si="0"/>
        <v>330</v>
      </c>
      <c r="H46" s="64">
        <v>0.6</v>
      </c>
      <c r="I46" s="2">
        <v>4.4000000000000004</v>
      </c>
      <c r="J46" s="2">
        <f t="shared" si="1"/>
        <v>212</v>
      </c>
      <c r="K46" s="66">
        <f t="shared" si="2"/>
        <v>0.46500000000000008</v>
      </c>
      <c r="L46" s="2"/>
      <c r="M46" s="2">
        <f t="shared" si="3"/>
        <v>396</v>
      </c>
      <c r="N46" s="2">
        <f t="shared" si="4"/>
        <v>0.61363636363636365</v>
      </c>
      <c r="O46" s="2">
        <f t="shared" si="5"/>
        <v>0.44611764705882362</v>
      </c>
    </row>
    <row r="47" spans="2:15" x14ac:dyDescent="0.15">
      <c r="B47" s="2">
        <v>45</v>
      </c>
      <c r="C47" s="2">
        <f t="shared" si="7"/>
        <v>5</v>
      </c>
      <c r="D47" s="67">
        <f t="shared" si="6"/>
        <v>0.78800000000000003</v>
      </c>
      <c r="E47" s="64">
        <v>0.15</v>
      </c>
      <c r="F47" s="65">
        <v>45</v>
      </c>
      <c r="G47" s="2">
        <f t="shared" si="0"/>
        <v>338</v>
      </c>
      <c r="H47" s="64">
        <v>0.6</v>
      </c>
      <c r="I47" s="2">
        <v>4.5</v>
      </c>
      <c r="J47" s="2">
        <f t="shared" si="1"/>
        <v>222</v>
      </c>
      <c r="K47" s="66">
        <f t="shared" si="2"/>
        <v>0.47000000000000008</v>
      </c>
      <c r="L47" s="2"/>
      <c r="M47" s="2">
        <f t="shared" si="3"/>
        <v>405.59999999999997</v>
      </c>
      <c r="N47" s="2">
        <f t="shared" si="4"/>
        <v>0.61398728428701188</v>
      </c>
      <c r="O47" s="2">
        <f t="shared" si="5"/>
        <v>0.45079529411764707</v>
      </c>
    </row>
    <row r="48" spans="2:15" x14ac:dyDescent="0.15">
      <c r="B48" s="2">
        <v>46</v>
      </c>
      <c r="C48" s="2">
        <f t="shared" si="7"/>
        <v>5</v>
      </c>
      <c r="D48" s="67">
        <f t="shared" si="6"/>
        <v>0.79</v>
      </c>
      <c r="E48" s="64">
        <v>0.15</v>
      </c>
      <c r="F48" s="21">
        <v>46</v>
      </c>
      <c r="G48" s="2">
        <f t="shared" si="0"/>
        <v>345</v>
      </c>
      <c r="H48" s="64">
        <v>0.6</v>
      </c>
      <c r="I48" s="2">
        <v>4.5999999999999996</v>
      </c>
      <c r="J48" s="2">
        <f t="shared" si="1"/>
        <v>231</v>
      </c>
      <c r="K48" s="66">
        <f t="shared" si="2"/>
        <v>0.47500000000000009</v>
      </c>
      <c r="L48" s="2"/>
      <c r="M48" s="2">
        <f t="shared" si="3"/>
        <v>414</v>
      </c>
      <c r="N48" s="2">
        <f t="shared" si="4"/>
        <v>0.61363636363636354</v>
      </c>
      <c r="O48" s="2">
        <f t="shared" si="5"/>
        <v>0.45647058823529441</v>
      </c>
    </row>
    <row r="49" spans="2:15" x14ac:dyDescent="0.15">
      <c r="B49" s="2">
        <v>47</v>
      </c>
      <c r="C49" s="2">
        <f t="shared" si="7"/>
        <v>5</v>
      </c>
      <c r="D49" s="67">
        <f t="shared" si="6"/>
        <v>0.79200000000000004</v>
      </c>
      <c r="E49" s="64">
        <v>0.15</v>
      </c>
      <c r="F49" s="65">
        <v>47</v>
      </c>
      <c r="G49" s="2">
        <f t="shared" si="0"/>
        <v>353</v>
      </c>
      <c r="H49" s="64">
        <v>0.6</v>
      </c>
      <c r="I49" s="2">
        <v>4.7</v>
      </c>
      <c r="J49" s="2">
        <f t="shared" si="1"/>
        <v>241</v>
      </c>
      <c r="K49" s="66">
        <f t="shared" si="2"/>
        <v>0.48000000000000009</v>
      </c>
      <c r="L49" s="2"/>
      <c r="M49" s="2">
        <f t="shared" si="3"/>
        <v>423.59999999999997</v>
      </c>
      <c r="N49" s="2">
        <f t="shared" si="4"/>
        <v>0.61397236447965975</v>
      </c>
      <c r="O49" s="2">
        <f t="shared" si="5"/>
        <v>0.4611784730913645</v>
      </c>
    </row>
    <row r="50" spans="2:15" x14ac:dyDescent="0.15">
      <c r="B50" s="2">
        <v>48</v>
      </c>
      <c r="C50" s="2">
        <f t="shared" si="7"/>
        <v>5</v>
      </c>
      <c r="D50" s="67">
        <f t="shared" si="6"/>
        <v>0.79400000000000004</v>
      </c>
      <c r="E50" s="64">
        <v>0.15</v>
      </c>
      <c r="F50" s="21">
        <v>48</v>
      </c>
      <c r="G50" s="2">
        <f t="shared" si="0"/>
        <v>360</v>
      </c>
      <c r="H50" s="64">
        <v>0.6</v>
      </c>
      <c r="I50" s="2">
        <v>4.8</v>
      </c>
      <c r="J50" s="2">
        <f t="shared" si="1"/>
        <v>251</v>
      </c>
      <c r="K50" s="66">
        <f t="shared" si="2"/>
        <v>0.4850000000000001</v>
      </c>
      <c r="L50" s="2"/>
      <c r="M50" s="2">
        <f t="shared" si="3"/>
        <v>432</v>
      </c>
      <c r="N50" s="2">
        <f t="shared" si="4"/>
        <v>0.61363636363636365</v>
      </c>
      <c r="O50" s="2">
        <f t="shared" si="5"/>
        <v>0.46682352941176475</v>
      </c>
    </row>
    <row r="51" spans="2:15" x14ac:dyDescent="0.15">
      <c r="B51" s="2">
        <v>49</v>
      </c>
      <c r="C51" s="2">
        <f t="shared" si="7"/>
        <v>5</v>
      </c>
      <c r="D51" s="67">
        <f t="shared" si="6"/>
        <v>0.79600000000000004</v>
      </c>
      <c r="E51" s="64">
        <v>0.15</v>
      </c>
      <c r="F51" s="65">
        <v>49</v>
      </c>
      <c r="G51" s="2">
        <f t="shared" si="0"/>
        <v>368</v>
      </c>
      <c r="H51" s="64">
        <v>0.6</v>
      </c>
      <c r="I51" s="2">
        <v>4.9000000000000004</v>
      </c>
      <c r="J51" s="2">
        <f t="shared" si="1"/>
        <v>262</v>
      </c>
      <c r="K51" s="66">
        <f t="shared" si="2"/>
        <v>0.4900000000000001</v>
      </c>
      <c r="L51" s="2"/>
      <c r="M51" s="2">
        <f t="shared" si="3"/>
        <v>441.59999999999997</v>
      </c>
      <c r="N51" s="2">
        <f t="shared" si="4"/>
        <v>0.61395866159977752</v>
      </c>
      <c r="O51" s="2">
        <f t="shared" si="5"/>
        <v>0.4715591836734695</v>
      </c>
    </row>
    <row r="52" spans="2:15" x14ac:dyDescent="0.15">
      <c r="B52" s="2">
        <v>50</v>
      </c>
      <c r="C52" s="2">
        <f t="shared" si="7"/>
        <v>5</v>
      </c>
      <c r="D52" s="67">
        <f t="shared" si="6"/>
        <v>0.79800000000000004</v>
      </c>
      <c r="E52" s="64">
        <v>0.15</v>
      </c>
      <c r="F52" s="21">
        <v>50</v>
      </c>
      <c r="G52" s="2">
        <f t="shared" si="0"/>
        <v>375</v>
      </c>
      <c r="H52" s="64">
        <v>0.6</v>
      </c>
      <c r="I52" s="2">
        <v>5</v>
      </c>
      <c r="J52" s="2">
        <f t="shared" si="1"/>
        <v>273</v>
      </c>
      <c r="K52" s="66">
        <f t="shared" si="2"/>
        <v>0.49500000000000011</v>
      </c>
      <c r="L52" s="2"/>
      <c r="M52" s="2">
        <f t="shared" si="3"/>
        <v>450</v>
      </c>
      <c r="N52" s="2">
        <f t="shared" si="4"/>
        <v>0.61363636363636365</v>
      </c>
      <c r="O52" s="2">
        <f t="shared" si="5"/>
        <v>0.47717647058823542</v>
      </c>
    </row>
    <row r="53" spans="2:15" x14ac:dyDescent="0.15">
      <c r="B53" s="2">
        <v>51</v>
      </c>
      <c r="C53" s="2">
        <f t="shared" si="7"/>
        <v>6</v>
      </c>
      <c r="D53" s="67">
        <f t="shared" si="6"/>
        <v>0.8</v>
      </c>
      <c r="E53" s="64">
        <v>0.15</v>
      </c>
      <c r="F53" s="65">
        <v>51</v>
      </c>
      <c r="G53" s="2">
        <f t="shared" si="0"/>
        <v>383</v>
      </c>
      <c r="H53" s="64">
        <v>0.6</v>
      </c>
      <c r="I53" s="2">
        <v>5.0999999999999996</v>
      </c>
      <c r="J53" s="2">
        <f t="shared" si="1"/>
        <v>284</v>
      </c>
      <c r="K53" s="66">
        <f t="shared" si="2"/>
        <v>0.50000000000000011</v>
      </c>
      <c r="L53" s="2"/>
      <c r="M53" s="2">
        <f t="shared" si="3"/>
        <v>459.59999999999997</v>
      </c>
      <c r="N53" s="2">
        <f t="shared" si="4"/>
        <v>0.61394603259417579</v>
      </c>
      <c r="O53" s="2">
        <f t="shared" si="5"/>
        <v>0.48193771626297588</v>
      </c>
    </row>
    <row r="54" spans="2:15" x14ac:dyDescent="0.15">
      <c r="B54" s="2">
        <v>52</v>
      </c>
      <c r="C54" s="2">
        <f t="shared" si="7"/>
        <v>6</v>
      </c>
      <c r="D54" s="67">
        <f t="shared" si="6"/>
        <v>0.80200000000000005</v>
      </c>
      <c r="E54" s="64">
        <v>0.15</v>
      </c>
      <c r="F54" s="21">
        <v>52</v>
      </c>
      <c r="G54" s="2">
        <f t="shared" si="0"/>
        <v>390</v>
      </c>
      <c r="H54" s="64">
        <v>0.6</v>
      </c>
      <c r="I54" s="2">
        <v>5.2</v>
      </c>
      <c r="J54" s="2">
        <f t="shared" si="1"/>
        <v>295</v>
      </c>
      <c r="K54" s="66">
        <f t="shared" si="2"/>
        <v>0.50500000000000012</v>
      </c>
      <c r="L54" s="2"/>
      <c r="M54" s="2">
        <f t="shared" si="3"/>
        <v>468</v>
      </c>
      <c r="N54" s="2">
        <f t="shared" si="4"/>
        <v>0.61363636363636354</v>
      </c>
      <c r="O54" s="2">
        <f t="shared" si="5"/>
        <v>0.4875294117647061</v>
      </c>
    </row>
    <row r="55" spans="2:15" x14ac:dyDescent="0.15">
      <c r="B55" s="2">
        <v>53</v>
      </c>
      <c r="C55" s="2">
        <f t="shared" si="7"/>
        <v>6</v>
      </c>
      <c r="D55" s="67">
        <f t="shared" si="6"/>
        <v>0.80400000000000005</v>
      </c>
      <c r="E55" s="64">
        <v>0.15</v>
      </c>
      <c r="F55" s="65">
        <v>53</v>
      </c>
      <c r="G55" s="2">
        <f t="shared" si="0"/>
        <v>398</v>
      </c>
      <c r="H55" s="64">
        <v>0.6</v>
      </c>
      <c r="I55" s="2">
        <v>5.3</v>
      </c>
      <c r="J55" s="2">
        <f t="shared" si="1"/>
        <v>307</v>
      </c>
      <c r="K55" s="66">
        <f t="shared" si="2"/>
        <v>0.51000000000000012</v>
      </c>
      <c r="L55" s="2"/>
      <c r="M55" s="2">
        <f t="shared" si="3"/>
        <v>477.59999999999997</v>
      </c>
      <c r="N55" s="2">
        <f t="shared" si="4"/>
        <v>0.61393435598594559</v>
      </c>
      <c r="O55" s="2">
        <f t="shared" si="5"/>
        <v>0.49231431742508347</v>
      </c>
    </row>
    <row r="56" spans="2:15" x14ac:dyDescent="0.15">
      <c r="B56" s="2">
        <v>54</v>
      </c>
      <c r="C56" s="2">
        <f t="shared" si="7"/>
        <v>6</v>
      </c>
      <c r="D56" s="67">
        <f t="shared" si="6"/>
        <v>0.80600000000000005</v>
      </c>
      <c r="E56" s="64">
        <v>0.15</v>
      </c>
      <c r="F56" s="21">
        <v>54</v>
      </c>
      <c r="G56" s="2">
        <f t="shared" si="0"/>
        <v>405</v>
      </c>
      <c r="H56" s="64">
        <v>0.6</v>
      </c>
      <c r="I56" s="2">
        <v>5.4</v>
      </c>
      <c r="J56" s="2">
        <f t="shared" si="1"/>
        <v>320</v>
      </c>
      <c r="K56" s="66">
        <f t="shared" si="2"/>
        <v>0.51500000000000012</v>
      </c>
      <c r="L56" s="2"/>
      <c r="M56" s="2">
        <f t="shared" si="3"/>
        <v>486</v>
      </c>
      <c r="N56" s="2">
        <f t="shared" si="4"/>
        <v>0.61363636363636365</v>
      </c>
      <c r="O56" s="2">
        <f t="shared" si="5"/>
        <v>0.49788235294117655</v>
      </c>
    </row>
    <row r="57" spans="2:15" x14ac:dyDescent="0.15">
      <c r="B57" s="2">
        <v>55</v>
      </c>
      <c r="C57" s="2">
        <f t="shared" si="7"/>
        <v>6</v>
      </c>
      <c r="D57" s="67">
        <f t="shared" si="6"/>
        <v>0.80800000000000005</v>
      </c>
      <c r="E57" s="64">
        <v>0.15</v>
      </c>
      <c r="F57" s="65">
        <v>55</v>
      </c>
      <c r="G57" s="2">
        <f t="shared" si="0"/>
        <v>413</v>
      </c>
      <c r="H57" s="64">
        <v>0.6</v>
      </c>
      <c r="I57" s="2">
        <v>5.5</v>
      </c>
      <c r="J57" s="2">
        <f t="shared" si="1"/>
        <v>332</v>
      </c>
      <c r="K57" s="66">
        <f t="shared" si="2"/>
        <v>0.52000000000000013</v>
      </c>
      <c r="L57" s="2"/>
      <c r="M57" s="2">
        <f t="shared" si="3"/>
        <v>495.59999999999997</v>
      </c>
      <c r="N57" s="2">
        <f t="shared" si="4"/>
        <v>0.61392352795441407</v>
      </c>
      <c r="O57" s="2">
        <f t="shared" si="5"/>
        <v>0.50268919786096267</v>
      </c>
    </row>
    <row r="58" spans="2:15" x14ac:dyDescent="0.15">
      <c r="B58" s="2">
        <v>56</v>
      </c>
      <c r="C58" s="2">
        <f t="shared" si="7"/>
        <v>6</v>
      </c>
      <c r="D58" s="67">
        <f t="shared" si="6"/>
        <v>0.81</v>
      </c>
      <c r="E58" s="64">
        <v>0.15</v>
      </c>
      <c r="F58" s="21">
        <v>56</v>
      </c>
      <c r="G58" s="2">
        <f t="shared" si="0"/>
        <v>420</v>
      </c>
      <c r="H58" s="64">
        <v>0.6</v>
      </c>
      <c r="I58" s="2">
        <v>5.6</v>
      </c>
      <c r="J58" s="2">
        <f t="shared" si="1"/>
        <v>345</v>
      </c>
      <c r="K58" s="66">
        <f t="shared" si="2"/>
        <v>0.52500000000000013</v>
      </c>
      <c r="L58" s="2"/>
      <c r="M58" s="2">
        <f t="shared" si="3"/>
        <v>504</v>
      </c>
      <c r="N58" s="2">
        <f t="shared" si="4"/>
        <v>0.61363636363636365</v>
      </c>
      <c r="O58" s="2">
        <f t="shared" si="5"/>
        <v>0.50823529411764712</v>
      </c>
    </row>
    <row r="59" spans="2:15" x14ac:dyDescent="0.15">
      <c r="B59" s="2">
        <v>57</v>
      </c>
      <c r="C59" s="2">
        <f t="shared" si="7"/>
        <v>6</v>
      </c>
      <c r="D59" s="67">
        <f t="shared" si="6"/>
        <v>0.81200000000000006</v>
      </c>
      <c r="E59" s="64">
        <v>0.15</v>
      </c>
      <c r="F59" s="65">
        <v>57</v>
      </c>
      <c r="G59" s="2">
        <f t="shared" si="0"/>
        <v>428</v>
      </c>
      <c r="H59" s="64">
        <v>0.6</v>
      </c>
      <c r="I59" s="2">
        <v>5.7</v>
      </c>
      <c r="J59" s="2">
        <f t="shared" si="1"/>
        <v>359</v>
      </c>
      <c r="K59" s="66">
        <f t="shared" si="2"/>
        <v>0.53000000000000014</v>
      </c>
      <c r="L59" s="2"/>
      <c r="M59" s="2">
        <f t="shared" si="3"/>
        <v>513.6</v>
      </c>
      <c r="N59" s="2">
        <f t="shared" si="4"/>
        <v>0.61391345923978002</v>
      </c>
      <c r="O59" s="2">
        <f t="shared" si="5"/>
        <v>0.51306253869969054</v>
      </c>
    </row>
    <row r="60" spans="2:15" x14ac:dyDescent="0.15">
      <c r="B60" s="2">
        <v>58</v>
      </c>
      <c r="C60" s="2">
        <f t="shared" si="7"/>
        <v>6</v>
      </c>
      <c r="D60" s="67">
        <f t="shared" si="6"/>
        <v>0.81400000000000006</v>
      </c>
      <c r="E60" s="64">
        <v>0.15</v>
      </c>
      <c r="F60" s="21">
        <v>58</v>
      </c>
      <c r="G60" s="2">
        <f t="shared" si="0"/>
        <v>435</v>
      </c>
      <c r="H60" s="64">
        <v>0.6</v>
      </c>
      <c r="I60" s="2">
        <v>5.8</v>
      </c>
      <c r="J60" s="2">
        <f t="shared" si="1"/>
        <v>372</v>
      </c>
      <c r="K60" s="66">
        <f t="shared" si="2"/>
        <v>0.53500000000000014</v>
      </c>
      <c r="L60" s="2"/>
      <c r="M60" s="2">
        <f t="shared" si="3"/>
        <v>522</v>
      </c>
      <c r="N60" s="2">
        <f t="shared" si="4"/>
        <v>0.61363636363636354</v>
      </c>
      <c r="O60" s="2">
        <f t="shared" si="5"/>
        <v>0.51858823529411791</v>
      </c>
    </row>
    <row r="61" spans="2:15" x14ac:dyDescent="0.15">
      <c r="B61" s="2">
        <v>59</v>
      </c>
      <c r="C61" s="2">
        <f t="shared" si="7"/>
        <v>6</v>
      </c>
      <c r="D61" s="67">
        <f t="shared" si="6"/>
        <v>0.81600000000000006</v>
      </c>
      <c r="E61" s="64">
        <v>0.15</v>
      </c>
      <c r="F61" s="65">
        <v>59</v>
      </c>
      <c r="G61" s="2">
        <f t="shared" si="0"/>
        <v>443</v>
      </c>
      <c r="H61" s="64">
        <v>0.6</v>
      </c>
      <c r="I61" s="2">
        <v>5.9</v>
      </c>
      <c r="J61" s="2">
        <f t="shared" si="1"/>
        <v>387</v>
      </c>
      <c r="K61" s="66">
        <f t="shared" si="2"/>
        <v>0.54000000000000015</v>
      </c>
      <c r="L61" s="2"/>
      <c r="M61" s="2">
        <f t="shared" si="3"/>
        <v>531.6</v>
      </c>
      <c r="N61" s="2">
        <f t="shared" si="4"/>
        <v>0.61390407267688041</v>
      </c>
      <c r="O61" s="2">
        <f t="shared" si="5"/>
        <v>0.52343449651046881</v>
      </c>
    </row>
    <row r="62" spans="2:15" x14ac:dyDescent="0.15">
      <c r="B62" s="2">
        <v>60</v>
      </c>
      <c r="C62" s="2">
        <f t="shared" si="7"/>
        <v>6</v>
      </c>
      <c r="D62" s="67">
        <f t="shared" si="6"/>
        <v>0.81800000000000006</v>
      </c>
      <c r="E62" s="64">
        <v>0.15</v>
      </c>
      <c r="F62" s="21">
        <v>60</v>
      </c>
      <c r="G62" s="2">
        <f t="shared" si="0"/>
        <v>450</v>
      </c>
      <c r="H62" s="64">
        <v>0.6</v>
      </c>
      <c r="I62" s="2">
        <v>6</v>
      </c>
      <c r="J62" s="2">
        <f t="shared" si="1"/>
        <v>401</v>
      </c>
      <c r="K62" s="66">
        <f t="shared" si="2"/>
        <v>0.54500000000000015</v>
      </c>
      <c r="L62" s="2"/>
      <c r="M62" s="2">
        <f t="shared" si="3"/>
        <v>540</v>
      </c>
      <c r="N62" s="2">
        <f t="shared" si="4"/>
        <v>0.61363636363636365</v>
      </c>
      <c r="O62" s="2">
        <f t="shared" si="5"/>
        <v>0.52894117647058836</v>
      </c>
    </row>
    <row r="63" spans="2:15" x14ac:dyDescent="0.15">
      <c r="B63" s="2">
        <v>61</v>
      </c>
      <c r="C63" s="2">
        <f t="shared" si="7"/>
        <v>7</v>
      </c>
      <c r="D63" s="67">
        <f t="shared" si="6"/>
        <v>0.82000000000000006</v>
      </c>
      <c r="E63" s="64">
        <v>0.15</v>
      </c>
      <c r="F63" s="65">
        <v>61</v>
      </c>
      <c r="G63" s="2">
        <f t="shared" si="0"/>
        <v>458</v>
      </c>
      <c r="H63" s="64">
        <v>0.6</v>
      </c>
      <c r="I63" s="2">
        <v>6.1</v>
      </c>
      <c r="J63" s="2">
        <f t="shared" si="1"/>
        <v>416</v>
      </c>
      <c r="K63" s="66">
        <f t="shared" si="2"/>
        <v>0.55000000000000016</v>
      </c>
      <c r="L63" s="2"/>
      <c r="M63" s="2">
        <f t="shared" si="3"/>
        <v>549.6</v>
      </c>
      <c r="N63" s="2">
        <f t="shared" si="4"/>
        <v>0.6138953012137911</v>
      </c>
      <c r="O63" s="2">
        <f t="shared" si="5"/>
        <v>0.5338052073288333</v>
      </c>
    </row>
    <row r="64" spans="2:15" x14ac:dyDescent="0.15">
      <c r="B64" s="2">
        <v>62</v>
      </c>
      <c r="C64" s="2">
        <f t="shared" si="7"/>
        <v>7</v>
      </c>
      <c r="D64" s="67">
        <f t="shared" si="6"/>
        <v>0.82200000000000006</v>
      </c>
      <c r="E64" s="64">
        <v>0.15</v>
      </c>
      <c r="F64" s="21">
        <v>62</v>
      </c>
      <c r="G64" s="2">
        <f t="shared" si="0"/>
        <v>465</v>
      </c>
      <c r="H64" s="64">
        <v>0.6</v>
      </c>
      <c r="I64" s="2">
        <v>6.2</v>
      </c>
      <c r="J64" s="2">
        <f t="shared" si="1"/>
        <v>432</v>
      </c>
      <c r="K64" s="66">
        <f t="shared" si="2"/>
        <v>0.55500000000000016</v>
      </c>
      <c r="L64" s="2"/>
      <c r="M64" s="2">
        <f t="shared" si="3"/>
        <v>558</v>
      </c>
      <c r="N64" s="2">
        <f t="shared" si="4"/>
        <v>0.61363636363636365</v>
      </c>
      <c r="O64" s="2">
        <f t="shared" si="5"/>
        <v>0.53929411764705892</v>
      </c>
    </row>
    <row r="65" spans="2:15" x14ac:dyDescent="0.15">
      <c r="B65" s="2">
        <v>63</v>
      </c>
      <c r="C65" s="2">
        <f t="shared" si="7"/>
        <v>7</v>
      </c>
      <c r="D65" s="67">
        <f t="shared" si="6"/>
        <v>0.82400000000000007</v>
      </c>
      <c r="E65" s="64">
        <v>0.15</v>
      </c>
      <c r="F65" s="65">
        <v>63</v>
      </c>
      <c r="G65" s="2">
        <f t="shared" si="0"/>
        <v>473</v>
      </c>
      <c r="H65" s="64">
        <v>0.6</v>
      </c>
      <c r="I65" s="2">
        <v>6.3</v>
      </c>
      <c r="J65" s="2">
        <f t="shared" si="1"/>
        <v>448</v>
      </c>
      <c r="K65" s="66">
        <f t="shared" si="2"/>
        <v>0.56000000000000016</v>
      </c>
      <c r="L65" s="2"/>
      <c r="M65" s="2">
        <f t="shared" si="3"/>
        <v>567.6</v>
      </c>
      <c r="N65" s="2">
        <f t="shared" si="4"/>
        <v>0.61388708630759248</v>
      </c>
      <c r="O65" s="2">
        <f t="shared" si="5"/>
        <v>0.54417478991596657</v>
      </c>
    </row>
    <row r="66" spans="2:15" x14ac:dyDescent="0.15">
      <c r="B66" s="2">
        <v>64</v>
      </c>
      <c r="C66" s="2">
        <f t="shared" si="7"/>
        <v>7</v>
      </c>
      <c r="D66" s="67">
        <f t="shared" si="6"/>
        <v>0.82600000000000007</v>
      </c>
      <c r="E66" s="64">
        <v>0.15</v>
      </c>
      <c r="F66" s="21">
        <v>64</v>
      </c>
      <c r="G66" s="2">
        <f t="shared" si="0"/>
        <v>480</v>
      </c>
      <c r="H66" s="64">
        <v>0.6</v>
      </c>
      <c r="I66" s="2">
        <v>6.4</v>
      </c>
      <c r="J66" s="2">
        <f t="shared" si="1"/>
        <v>465</v>
      </c>
      <c r="K66" s="66">
        <f t="shared" si="2"/>
        <v>0.56500000000000017</v>
      </c>
      <c r="L66" s="2"/>
      <c r="M66" s="2">
        <f t="shared" si="3"/>
        <v>576</v>
      </c>
      <c r="N66" s="2">
        <f t="shared" si="4"/>
        <v>0.61363636363636354</v>
      </c>
      <c r="O66" s="2">
        <f t="shared" si="5"/>
        <v>0.54964705882352971</v>
      </c>
    </row>
    <row r="67" spans="2:15" x14ac:dyDescent="0.15">
      <c r="B67" s="2">
        <v>65</v>
      </c>
      <c r="C67" s="2">
        <f t="shared" si="7"/>
        <v>7</v>
      </c>
      <c r="D67" s="67">
        <f t="shared" si="6"/>
        <v>0.82800000000000007</v>
      </c>
      <c r="E67" s="64">
        <v>0.15</v>
      </c>
      <c r="F67" s="65">
        <v>65</v>
      </c>
      <c r="G67" s="2">
        <f t="shared" si="0"/>
        <v>488</v>
      </c>
      <c r="H67" s="64">
        <v>0.6</v>
      </c>
      <c r="I67" s="2">
        <v>6.5</v>
      </c>
      <c r="J67" s="2">
        <f t="shared" si="1"/>
        <v>482</v>
      </c>
      <c r="K67" s="66">
        <f t="shared" si="2"/>
        <v>0.57000000000000017</v>
      </c>
      <c r="L67" s="2"/>
      <c r="M67" s="2">
        <f t="shared" si="3"/>
        <v>585.6</v>
      </c>
      <c r="N67" s="2">
        <f t="shared" si="4"/>
        <v>0.61387937661611569</v>
      </c>
      <c r="O67" s="2">
        <f t="shared" si="5"/>
        <v>0.55454334841628983</v>
      </c>
    </row>
    <row r="68" spans="2:15" x14ac:dyDescent="0.15">
      <c r="B68" s="2">
        <v>66</v>
      </c>
      <c r="C68" s="2">
        <f t="shared" si="7"/>
        <v>7</v>
      </c>
      <c r="D68" s="67">
        <f t="shared" si="6"/>
        <v>0.83000000000000007</v>
      </c>
      <c r="E68" s="64">
        <v>0.15</v>
      </c>
      <c r="F68" s="21">
        <v>66</v>
      </c>
      <c r="G68" s="2">
        <f t="shared" ref="G68:G101" si="8">ROUND((F68*H68-F68+$F$1*H68*B68)/(1-H68),0)</f>
        <v>495</v>
      </c>
      <c r="H68" s="64">
        <v>0.6</v>
      </c>
      <c r="I68" s="2">
        <v>6.6</v>
      </c>
      <c r="J68" s="2">
        <f t="shared" ref="J68:J101" si="9">ROUND((I68*K68-I68+$F$1*K68*B68)/(1-K68),0)</f>
        <v>499</v>
      </c>
      <c r="K68" s="66">
        <f t="shared" ref="K68:K101" si="10">1-(1-D68)/(1-H68)</f>
        <v>0.57500000000000018</v>
      </c>
      <c r="L68" s="2"/>
      <c r="M68" s="2">
        <f t="shared" ref="M68:M101" si="11">G68*1.2</f>
        <v>594</v>
      </c>
      <c r="N68" s="2">
        <f t="shared" ref="N68:N101" si="12">M68/(M68+B68*$F$1)</f>
        <v>0.61363636363636365</v>
      </c>
      <c r="O68" s="2">
        <f t="shared" ref="O68:O101" si="13">1-(1-D68)/(1-N68)</f>
        <v>0.56000000000000016</v>
      </c>
    </row>
    <row r="69" spans="2:15" x14ac:dyDescent="0.15">
      <c r="B69" s="2">
        <v>67</v>
      </c>
      <c r="C69" s="2">
        <f t="shared" si="7"/>
        <v>7</v>
      </c>
      <c r="D69" s="67">
        <f t="shared" ref="D69:D101" si="14">D68+0.002</f>
        <v>0.83200000000000007</v>
      </c>
      <c r="E69" s="64">
        <v>0.15</v>
      </c>
      <c r="F69" s="65">
        <v>67</v>
      </c>
      <c r="G69" s="2">
        <f t="shared" si="8"/>
        <v>503</v>
      </c>
      <c r="H69" s="64">
        <v>0.6</v>
      </c>
      <c r="I69" s="2">
        <v>6.7</v>
      </c>
      <c r="J69" s="2">
        <f t="shared" si="9"/>
        <v>518</v>
      </c>
      <c r="K69" s="66">
        <f t="shared" si="10"/>
        <v>0.58000000000000018</v>
      </c>
      <c r="L69" s="2"/>
      <c r="M69" s="2">
        <f t="shared" si="11"/>
        <v>603.6</v>
      </c>
      <c r="N69" s="2">
        <f t="shared" si="12"/>
        <v>0.61387212692385928</v>
      </c>
      <c r="O69" s="2">
        <f t="shared" si="13"/>
        <v>0.56491097453906947</v>
      </c>
    </row>
    <row r="70" spans="2:15" x14ac:dyDescent="0.15">
      <c r="B70" s="2">
        <v>68</v>
      </c>
      <c r="C70" s="2">
        <f t="shared" si="7"/>
        <v>7</v>
      </c>
      <c r="D70" s="67">
        <f t="shared" si="14"/>
        <v>0.83400000000000007</v>
      </c>
      <c r="E70" s="64">
        <v>0.15</v>
      </c>
      <c r="F70" s="21">
        <v>68</v>
      </c>
      <c r="G70" s="2">
        <f t="shared" si="8"/>
        <v>510</v>
      </c>
      <c r="H70" s="64">
        <v>0.6</v>
      </c>
      <c r="I70" s="2">
        <v>6.8</v>
      </c>
      <c r="J70" s="2">
        <f t="shared" si="9"/>
        <v>536</v>
      </c>
      <c r="K70" s="66">
        <f t="shared" si="10"/>
        <v>0.58500000000000019</v>
      </c>
      <c r="L70" s="2"/>
      <c r="M70" s="2">
        <f t="shared" si="11"/>
        <v>612</v>
      </c>
      <c r="N70" s="2">
        <f t="shared" si="12"/>
        <v>0.61363636363636365</v>
      </c>
      <c r="O70" s="2">
        <f t="shared" si="13"/>
        <v>0.57035294117647073</v>
      </c>
    </row>
    <row r="71" spans="2:15" x14ac:dyDescent="0.15">
      <c r="B71" s="2">
        <v>69</v>
      </c>
      <c r="C71" s="2">
        <f t="shared" si="7"/>
        <v>7</v>
      </c>
      <c r="D71" s="67">
        <f t="shared" si="14"/>
        <v>0.83600000000000008</v>
      </c>
      <c r="E71" s="64">
        <v>0.15</v>
      </c>
      <c r="F71" s="65">
        <v>69</v>
      </c>
      <c r="G71" s="2">
        <f t="shared" si="8"/>
        <v>518</v>
      </c>
      <c r="H71" s="64">
        <v>0.6</v>
      </c>
      <c r="I71" s="2">
        <v>6.9</v>
      </c>
      <c r="J71" s="2">
        <f t="shared" si="9"/>
        <v>556</v>
      </c>
      <c r="K71" s="66">
        <f t="shared" si="10"/>
        <v>0.59000000000000019</v>
      </c>
      <c r="L71" s="2"/>
      <c r="M71" s="2">
        <f t="shared" si="11"/>
        <v>621.6</v>
      </c>
      <c r="N71" s="2">
        <f t="shared" si="12"/>
        <v>0.61386529725459216</v>
      </c>
      <c r="O71" s="2">
        <f t="shared" si="13"/>
        <v>0.57527774936061404</v>
      </c>
    </row>
    <row r="72" spans="2:15" x14ac:dyDescent="0.15">
      <c r="B72" s="2">
        <v>70</v>
      </c>
      <c r="C72" s="2">
        <f t="shared" si="7"/>
        <v>7</v>
      </c>
      <c r="D72" s="67">
        <f t="shared" si="14"/>
        <v>0.83800000000000008</v>
      </c>
      <c r="E72" s="64">
        <v>0.15</v>
      </c>
      <c r="F72" s="21">
        <v>70</v>
      </c>
      <c r="G72" s="2">
        <f t="shared" si="8"/>
        <v>525</v>
      </c>
      <c r="H72" s="64">
        <v>0.6</v>
      </c>
      <c r="I72" s="2">
        <v>7</v>
      </c>
      <c r="J72" s="2">
        <f t="shared" si="9"/>
        <v>576</v>
      </c>
      <c r="K72" s="66">
        <f t="shared" si="10"/>
        <v>0.5950000000000002</v>
      </c>
      <c r="L72" s="2"/>
      <c r="M72" s="2">
        <f t="shared" si="11"/>
        <v>630</v>
      </c>
      <c r="N72" s="2">
        <f t="shared" si="12"/>
        <v>0.61363636363636365</v>
      </c>
      <c r="O72" s="2">
        <f t="shared" si="13"/>
        <v>0.5807058823529414</v>
      </c>
    </row>
    <row r="73" spans="2:15" x14ac:dyDescent="0.15">
      <c r="B73" s="2">
        <v>71</v>
      </c>
      <c r="C73" s="2">
        <f t="shared" si="7"/>
        <v>8</v>
      </c>
      <c r="D73" s="67">
        <f t="shared" si="14"/>
        <v>0.84000000000000008</v>
      </c>
      <c r="E73" s="64">
        <v>0.15</v>
      </c>
      <c r="F73" s="65">
        <v>71</v>
      </c>
      <c r="G73" s="2">
        <f t="shared" si="8"/>
        <v>533</v>
      </c>
      <c r="H73" s="64">
        <v>0.6</v>
      </c>
      <c r="I73" s="2">
        <v>7.1</v>
      </c>
      <c r="J73" s="2">
        <f t="shared" si="9"/>
        <v>596</v>
      </c>
      <c r="K73" s="66">
        <f t="shared" si="10"/>
        <v>0.6000000000000002</v>
      </c>
      <c r="L73" s="2"/>
      <c r="M73" s="2">
        <f t="shared" si="11"/>
        <v>639.6</v>
      </c>
      <c r="N73" s="2">
        <f t="shared" si="12"/>
        <v>0.61385885213385372</v>
      </c>
      <c r="O73" s="2">
        <f t="shared" si="13"/>
        <v>0.58564374482187265</v>
      </c>
    </row>
    <row r="74" spans="2:15" x14ac:dyDescent="0.15">
      <c r="B74" s="2">
        <v>72</v>
      </c>
      <c r="C74" s="2">
        <f t="shared" si="7"/>
        <v>8</v>
      </c>
      <c r="D74" s="67">
        <f t="shared" si="14"/>
        <v>0.84200000000000008</v>
      </c>
      <c r="E74" s="64">
        <v>0.15</v>
      </c>
      <c r="F74" s="21">
        <v>72</v>
      </c>
      <c r="G74" s="2">
        <f t="shared" si="8"/>
        <v>540</v>
      </c>
      <c r="H74" s="64">
        <v>0.6</v>
      </c>
      <c r="I74" s="2">
        <v>7.2</v>
      </c>
      <c r="J74" s="2">
        <f t="shared" si="9"/>
        <v>618</v>
      </c>
      <c r="K74" s="66">
        <f t="shared" si="10"/>
        <v>0.6050000000000002</v>
      </c>
      <c r="L74" s="2"/>
      <c r="M74" s="2">
        <f t="shared" si="11"/>
        <v>648</v>
      </c>
      <c r="N74" s="2">
        <f t="shared" si="12"/>
        <v>0.61363636363636365</v>
      </c>
      <c r="O74" s="2">
        <f t="shared" si="13"/>
        <v>0.59105882352941197</v>
      </c>
    </row>
    <row r="75" spans="2:15" x14ac:dyDescent="0.15">
      <c r="B75" s="2">
        <v>73</v>
      </c>
      <c r="C75" s="2">
        <f t="shared" si="7"/>
        <v>8</v>
      </c>
      <c r="D75" s="67">
        <f t="shared" si="14"/>
        <v>0.84400000000000008</v>
      </c>
      <c r="E75" s="64">
        <v>0.15</v>
      </c>
      <c r="F75" s="65">
        <v>73</v>
      </c>
      <c r="G75" s="2">
        <f t="shared" si="8"/>
        <v>548</v>
      </c>
      <c r="H75" s="64">
        <v>0.6</v>
      </c>
      <c r="I75" s="2">
        <v>7.3</v>
      </c>
      <c r="J75" s="2">
        <f t="shared" si="9"/>
        <v>640</v>
      </c>
      <c r="K75" s="66">
        <f t="shared" si="10"/>
        <v>0.61000000000000021</v>
      </c>
      <c r="L75" s="2"/>
      <c r="M75" s="2">
        <f t="shared" si="11"/>
        <v>657.6</v>
      </c>
      <c r="N75" s="2">
        <f t="shared" si="12"/>
        <v>0.61385275997261812</v>
      </c>
      <c r="O75" s="2">
        <f t="shared" si="13"/>
        <v>0.59600902497985508</v>
      </c>
    </row>
    <row r="76" spans="2:15" x14ac:dyDescent="0.15">
      <c r="B76" s="2">
        <v>74</v>
      </c>
      <c r="C76" s="2">
        <f t="shared" si="7"/>
        <v>8</v>
      </c>
      <c r="D76" s="67">
        <f t="shared" si="14"/>
        <v>0.84600000000000009</v>
      </c>
      <c r="E76" s="64">
        <v>0.15</v>
      </c>
      <c r="F76" s="21">
        <v>74</v>
      </c>
      <c r="G76" s="2">
        <f t="shared" si="8"/>
        <v>555</v>
      </c>
      <c r="H76" s="64">
        <v>0.6</v>
      </c>
      <c r="I76" s="2">
        <v>7.4</v>
      </c>
      <c r="J76" s="2">
        <f t="shared" si="9"/>
        <v>662</v>
      </c>
      <c r="K76" s="66">
        <f t="shared" si="10"/>
        <v>0.61500000000000021</v>
      </c>
      <c r="L76" s="2"/>
      <c r="M76" s="2">
        <f t="shared" si="11"/>
        <v>666</v>
      </c>
      <c r="N76" s="2">
        <f t="shared" si="12"/>
        <v>0.61363636363636354</v>
      </c>
      <c r="O76" s="2">
        <f t="shared" si="13"/>
        <v>0.60141176470588276</v>
      </c>
    </row>
    <row r="77" spans="2:15" x14ac:dyDescent="0.15">
      <c r="B77" s="2">
        <v>75</v>
      </c>
      <c r="C77" s="2">
        <f t="shared" si="7"/>
        <v>8</v>
      </c>
      <c r="D77" s="67">
        <f t="shared" si="14"/>
        <v>0.84800000000000009</v>
      </c>
      <c r="E77" s="64">
        <v>0.15</v>
      </c>
      <c r="F77" s="65">
        <v>75</v>
      </c>
      <c r="G77" s="2">
        <f t="shared" si="8"/>
        <v>563</v>
      </c>
      <c r="H77" s="64">
        <v>0.6</v>
      </c>
      <c r="I77" s="2">
        <v>7.5</v>
      </c>
      <c r="J77" s="2">
        <f t="shared" si="9"/>
        <v>686</v>
      </c>
      <c r="K77" s="66">
        <f t="shared" si="10"/>
        <v>0.62000000000000022</v>
      </c>
      <c r="L77" s="2"/>
      <c r="M77" s="2">
        <f t="shared" si="11"/>
        <v>675.6</v>
      </c>
      <c r="N77" s="2">
        <f t="shared" si="12"/>
        <v>0.61384699254951847</v>
      </c>
      <c r="O77" s="2">
        <f t="shared" si="13"/>
        <v>0.60637364705882368</v>
      </c>
    </row>
    <row r="78" spans="2:15" x14ac:dyDescent="0.15">
      <c r="B78" s="2">
        <v>76</v>
      </c>
      <c r="C78" s="2">
        <f t="shared" ref="C78:C101" si="15">C68+1</f>
        <v>8</v>
      </c>
      <c r="D78" s="67">
        <f t="shared" si="14"/>
        <v>0.85000000000000009</v>
      </c>
      <c r="E78" s="64">
        <v>0.15</v>
      </c>
      <c r="F78" s="21">
        <v>76</v>
      </c>
      <c r="G78" s="2">
        <f t="shared" si="8"/>
        <v>570</v>
      </c>
      <c r="H78" s="64">
        <v>0.6</v>
      </c>
      <c r="I78" s="2">
        <v>7.6</v>
      </c>
      <c r="J78" s="2">
        <f t="shared" si="9"/>
        <v>710</v>
      </c>
      <c r="K78" s="66">
        <f t="shared" si="10"/>
        <v>0.62500000000000022</v>
      </c>
      <c r="L78" s="2"/>
      <c r="M78" s="2">
        <f t="shared" si="11"/>
        <v>684</v>
      </c>
      <c r="N78" s="2">
        <f t="shared" si="12"/>
        <v>0.61363636363636365</v>
      </c>
      <c r="O78" s="2">
        <f t="shared" si="13"/>
        <v>0.61176470588235321</v>
      </c>
    </row>
    <row r="79" spans="2:15" x14ac:dyDescent="0.15">
      <c r="B79" s="2">
        <v>77</v>
      </c>
      <c r="C79" s="2">
        <f t="shared" si="15"/>
        <v>8</v>
      </c>
      <c r="D79" s="67">
        <f t="shared" si="14"/>
        <v>0.85200000000000009</v>
      </c>
      <c r="E79" s="64">
        <v>0.15</v>
      </c>
      <c r="F79" s="65">
        <v>77</v>
      </c>
      <c r="G79" s="2">
        <f t="shared" si="8"/>
        <v>578</v>
      </c>
      <c r="H79" s="64">
        <v>0.6</v>
      </c>
      <c r="I79" s="2">
        <v>7.7</v>
      </c>
      <c r="J79" s="2">
        <f t="shared" si="9"/>
        <v>735</v>
      </c>
      <c r="K79" s="66">
        <f t="shared" si="10"/>
        <v>0.63000000000000023</v>
      </c>
      <c r="L79" s="2"/>
      <c r="M79" s="2">
        <f t="shared" si="11"/>
        <v>693.6</v>
      </c>
      <c r="N79" s="2">
        <f t="shared" si="12"/>
        <v>0.6138415245737211</v>
      </c>
      <c r="O79" s="2">
        <f t="shared" si="13"/>
        <v>0.61673766233766258</v>
      </c>
    </row>
    <row r="80" spans="2:15" x14ac:dyDescent="0.15">
      <c r="B80" s="2">
        <v>78</v>
      </c>
      <c r="C80" s="2">
        <f t="shared" si="15"/>
        <v>8</v>
      </c>
      <c r="D80" s="67">
        <f t="shared" si="14"/>
        <v>0.85400000000000009</v>
      </c>
      <c r="E80" s="64">
        <v>0.15</v>
      </c>
      <c r="F80" s="21">
        <v>78</v>
      </c>
      <c r="G80" s="2">
        <f t="shared" si="8"/>
        <v>585</v>
      </c>
      <c r="H80" s="64">
        <v>0.6</v>
      </c>
      <c r="I80" s="2">
        <v>7.8</v>
      </c>
      <c r="J80" s="2">
        <f t="shared" si="9"/>
        <v>761</v>
      </c>
      <c r="K80" s="66">
        <f t="shared" si="10"/>
        <v>0.63500000000000023</v>
      </c>
      <c r="L80" s="2"/>
      <c r="M80" s="2">
        <f t="shared" si="11"/>
        <v>702</v>
      </c>
      <c r="N80" s="2">
        <f t="shared" si="12"/>
        <v>0.61363636363636365</v>
      </c>
      <c r="O80" s="2">
        <f t="shared" si="13"/>
        <v>0.62211764705882378</v>
      </c>
    </row>
    <row r="81" spans="2:15" x14ac:dyDescent="0.15">
      <c r="B81" s="2">
        <v>79</v>
      </c>
      <c r="C81" s="2">
        <f t="shared" si="15"/>
        <v>8</v>
      </c>
      <c r="D81" s="67">
        <f t="shared" si="14"/>
        <v>0.85600000000000009</v>
      </c>
      <c r="E81" s="64">
        <v>0.15</v>
      </c>
      <c r="F81" s="65">
        <v>79</v>
      </c>
      <c r="G81" s="2">
        <f t="shared" si="8"/>
        <v>593</v>
      </c>
      <c r="H81" s="64">
        <v>0.6</v>
      </c>
      <c r="I81" s="2">
        <v>7.9</v>
      </c>
      <c r="J81" s="2">
        <f t="shared" si="9"/>
        <v>788</v>
      </c>
      <c r="K81" s="66">
        <f t="shared" si="10"/>
        <v>0.64000000000000024</v>
      </c>
      <c r="L81" s="2"/>
      <c r="M81" s="2">
        <f t="shared" si="11"/>
        <v>711.6</v>
      </c>
      <c r="N81" s="2">
        <f t="shared" si="12"/>
        <v>0.61383633331416421</v>
      </c>
      <c r="O81" s="2">
        <f t="shared" si="13"/>
        <v>0.6271011169024574</v>
      </c>
    </row>
    <row r="82" spans="2:15" x14ac:dyDescent="0.15">
      <c r="B82" s="2">
        <v>80</v>
      </c>
      <c r="C82" s="2">
        <f t="shared" si="15"/>
        <v>8</v>
      </c>
      <c r="D82" s="67">
        <f t="shared" si="14"/>
        <v>0.8580000000000001</v>
      </c>
      <c r="E82" s="64">
        <v>0.15</v>
      </c>
      <c r="F82" s="21">
        <v>80</v>
      </c>
      <c r="G82" s="2">
        <f t="shared" si="8"/>
        <v>600</v>
      </c>
      <c r="H82" s="64">
        <v>0.6</v>
      </c>
      <c r="I82" s="2">
        <v>8</v>
      </c>
      <c r="J82" s="2">
        <f t="shared" si="9"/>
        <v>816</v>
      </c>
      <c r="K82" s="66">
        <f t="shared" si="10"/>
        <v>0.64500000000000024</v>
      </c>
      <c r="L82" s="2"/>
      <c r="M82" s="2">
        <f t="shared" si="11"/>
        <v>720</v>
      </c>
      <c r="N82" s="2">
        <f t="shared" si="12"/>
        <v>0.61363636363636354</v>
      </c>
      <c r="O82" s="2">
        <f t="shared" si="13"/>
        <v>0.63247058823529445</v>
      </c>
    </row>
    <row r="83" spans="2:15" x14ac:dyDescent="0.15">
      <c r="B83" s="2">
        <v>81</v>
      </c>
      <c r="C83" s="2">
        <f t="shared" si="15"/>
        <v>9</v>
      </c>
      <c r="D83" s="67">
        <f t="shared" si="14"/>
        <v>0.8600000000000001</v>
      </c>
      <c r="E83" s="64">
        <v>0.15</v>
      </c>
      <c r="F83" s="65">
        <v>81</v>
      </c>
      <c r="G83" s="2">
        <f t="shared" si="8"/>
        <v>608</v>
      </c>
      <c r="H83" s="64">
        <v>0.6</v>
      </c>
      <c r="I83" s="2">
        <v>8.1</v>
      </c>
      <c r="J83" s="2">
        <f t="shared" si="9"/>
        <v>844</v>
      </c>
      <c r="K83" s="66">
        <f t="shared" si="10"/>
        <v>0.65000000000000024</v>
      </c>
      <c r="L83" s="2"/>
      <c r="M83" s="2">
        <f t="shared" si="11"/>
        <v>729.6</v>
      </c>
      <c r="N83" s="2">
        <f t="shared" si="12"/>
        <v>0.61383139828369515</v>
      </c>
      <c r="O83" s="2">
        <f t="shared" si="13"/>
        <v>0.63746405228758185</v>
      </c>
    </row>
    <row r="84" spans="2:15" x14ac:dyDescent="0.15">
      <c r="B84" s="2">
        <v>82</v>
      </c>
      <c r="C84" s="2">
        <f t="shared" si="15"/>
        <v>9</v>
      </c>
      <c r="D84" s="67">
        <f t="shared" si="14"/>
        <v>0.8620000000000001</v>
      </c>
      <c r="E84" s="64">
        <v>0.15</v>
      </c>
      <c r="F84" s="21">
        <v>82</v>
      </c>
      <c r="G84" s="2">
        <f t="shared" si="8"/>
        <v>615</v>
      </c>
      <c r="H84" s="64">
        <v>0.6</v>
      </c>
      <c r="I84" s="2">
        <v>8.1999999999999993</v>
      </c>
      <c r="J84" s="2">
        <f t="shared" si="9"/>
        <v>874</v>
      </c>
      <c r="K84" s="66">
        <f t="shared" si="10"/>
        <v>0.65500000000000025</v>
      </c>
      <c r="L84" s="2"/>
      <c r="M84" s="2">
        <f t="shared" si="11"/>
        <v>738</v>
      </c>
      <c r="N84" s="2">
        <f t="shared" si="12"/>
        <v>0.61363636363636365</v>
      </c>
      <c r="O84" s="2">
        <f t="shared" si="13"/>
        <v>0.64282352941176502</v>
      </c>
    </row>
    <row r="85" spans="2:15" x14ac:dyDescent="0.15">
      <c r="B85" s="2">
        <v>83</v>
      </c>
      <c r="C85" s="2">
        <f t="shared" si="15"/>
        <v>9</v>
      </c>
      <c r="D85" s="67">
        <f t="shared" si="14"/>
        <v>0.8640000000000001</v>
      </c>
      <c r="E85" s="64">
        <v>0.15</v>
      </c>
      <c r="F85" s="65">
        <v>83</v>
      </c>
      <c r="G85" s="2">
        <f t="shared" si="8"/>
        <v>623</v>
      </c>
      <c r="H85" s="64">
        <v>0.6</v>
      </c>
      <c r="I85" s="2">
        <v>8.3000000000000007</v>
      </c>
      <c r="J85" s="2">
        <f t="shared" si="9"/>
        <v>905</v>
      </c>
      <c r="K85" s="66">
        <f t="shared" si="10"/>
        <v>0.66000000000000025</v>
      </c>
      <c r="L85" s="2"/>
      <c r="M85" s="2">
        <f t="shared" si="11"/>
        <v>747.6</v>
      </c>
      <c r="N85" s="2">
        <f t="shared" si="12"/>
        <v>0.61382670096885428</v>
      </c>
      <c r="O85" s="2">
        <f t="shared" si="13"/>
        <v>0.64782650602409664</v>
      </c>
    </row>
    <row r="86" spans="2:15" x14ac:dyDescent="0.15">
      <c r="B86" s="2">
        <v>84</v>
      </c>
      <c r="C86" s="2">
        <f t="shared" si="15"/>
        <v>9</v>
      </c>
      <c r="D86" s="67">
        <f t="shared" si="14"/>
        <v>0.8660000000000001</v>
      </c>
      <c r="E86" s="64">
        <v>0.15</v>
      </c>
      <c r="F86" s="21">
        <v>84</v>
      </c>
      <c r="G86" s="2">
        <f t="shared" si="8"/>
        <v>630</v>
      </c>
      <c r="H86" s="64">
        <v>0.6</v>
      </c>
      <c r="I86" s="2">
        <v>8.4</v>
      </c>
      <c r="J86" s="2">
        <f t="shared" si="9"/>
        <v>936</v>
      </c>
      <c r="K86" s="66">
        <f t="shared" si="10"/>
        <v>0.66500000000000026</v>
      </c>
      <c r="L86" s="2"/>
      <c r="M86" s="2">
        <f t="shared" si="11"/>
        <v>756</v>
      </c>
      <c r="N86" s="2">
        <f t="shared" si="12"/>
        <v>0.61363636363636365</v>
      </c>
      <c r="O86" s="2">
        <f t="shared" si="13"/>
        <v>0.65317647058823547</v>
      </c>
    </row>
    <row r="87" spans="2:15" x14ac:dyDescent="0.15">
      <c r="B87" s="2">
        <v>85</v>
      </c>
      <c r="C87" s="2">
        <f t="shared" si="15"/>
        <v>9</v>
      </c>
      <c r="D87" s="67">
        <f t="shared" si="14"/>
        <v>0.8680000000000001</v>
      </c>
      <c r="E87" s="64">
        <v>0.15</v>
      </c>
      <c r="F87" s="65">
        <v>85</v>
      </c>
      <c r="G87" s="2">
        <f t="shared" si="8"/>
        <v>638</v>
      </c>
      <c r="H87" s="64">
        <v>0.6</v>
      </c>
      <c r="I87" s="2">
        <v>8.5</v>
      </c>
      <c r="J87" s="2">
        <f t="shared" si="9"/>
        <v>969</v>
      </c>
      <c r="K87" s="66">
        <f t="shared" si="10"/>
        <v>0.67000000000000026</v>
      </c>
      <c r="L87" s="2"/>
      <c r="M87" s="2">
        <f t="shared" si="11"/>
        <v>765.6</v>
      </c>
      <c r="N87" s="2">
        <f t="shared" si="12"/>
        <v>0.61382222459778724</v>
      </c>
      <c r="O87" s="2">
        <f t="shared" si="13"/>
        <v>0.65818851211072693</v>
      </c>
    </row>
    <row r="88" spans="2:15" x14ac:dyDescent="0.15">
      <c r="B88" s="2">
        <v>86</v>
      </c>
      <c r="C88" s="2">
        <f t="shared" si="15"/>
        <v>9</v>
      </c>
      <c r="D88" s="67">
        <f t="shared" si="14"/>
        <v>0.87000000000000011</v>
      </c>
      <c r="E88" s="64">
        <v>0.15</v>
      </c>
      <c r="F88" s="21">
        <v>86</v>
      </c>
      <c r="G88" s="2">
        <f t="shared" si="8"/>
        <v>645</v>
      </c>
      <c r="H88" s="64">
        <v>0.6</v>
      </c>
      <c r="I88" s="2">
        <v>8.6</v>
      </c>
      <c r="J88" s="2">
        <f t="shared" si="9"/>
        <v>1004</v>
      </c>
      <c r="K88" s="66">
        <f t="shared" si="10"/>
        <v>0.67500000000000027</v>
      </c>
      <c r="L88" s="2"/>
      <c r="M88" s="2">
        <f t="shared" si="11"/>
        <v>774</v>
      </c>
      <c r="N88" s="2">
        <f t="shared" si="12"/>
        <v>0.61363636363636354</v>
      </c>
      <c r="O88" s="2">
        <f t="shared" si="13"/>
        <v>0.66352941176470626</v>
      </c>
    </row>
    <row r="89" spans="2:15" x14ac:dyDescent="0.15">
      <c r="B89" s="2">
        <v>87</v>
      </c>
      <c r="C89" s="2">
        <f t="shared" si="15"/>
        <v>9</v>
      </c>
      <c r="D89" s="67">
        <f t="shared" si="14"/>
        <v>0.87200000000000011</v>
      </c>
      <c r="E89" s="64">
        <v>0.15</v>
      </c>
      <c r="F89" s="65">
        <v>87</v>
      </c>
      <c r="G89" s="2">
        <f t="shared" si="8"/>
        <v>653</v>
      </c>
      <c r="H89" s="64">
        <v>0.6</v>
      </c>
      <c r="I89" s="2">
        <v>8.6999999999999993</v>
      </c>
      <c r="J89" s="2">
        <f t="shared" si="9"/>
        <v>1039</v>
      </c>
      <c r="K89" s="66">
        <f t="shared" si="10"/>
        <v>0.68000000000000027</v>
      </c>
      <c r="L89" s="2"/>
      <c r="M89" s="2">
        <f t="shared" si="11"/>
        <v>783.6</v>
      </c>
      <c r="N89" s="2">
        <f t="shared" si="12"/>
        <v>0.61381795394015359</v>
      </c>
      <c r="O89" s="2">
        <f t="shared" si="13"/>
        <v>0.66855010141987847</v>
      </c>
    </row>
    <row r="90" spans="2:15" x14ac:dyDescent="0.15">
      <c r="B90" s="2">
        <v>88</v>
      </c>
      <c r="C90" s="2">
        <f t="shared" si="15"/>
        <v>9</v>
      </c>
      <c r="D90" s="67">
        <f t="shared" si="14"/>
        <v>0.87400000000000011</v>
      </c>
      <c r="E90" s="64">
        <v>0.15</v>
      </c>
      <c r="F90" s="21">
        <v>88</v>
      </c>
      <c r="G90" s="2">
        <f t="shared" si="8"/>
        <v>660</v>
      </c>
      <c r="H90" s="64">
        <v>0.6</v>
      </c>
      <c r="I90" s="2">
        <v>8.8000000000000007</v>
      </c>
      <c r="J90" s="2">
        <f t="shared" si="9"/>
        <v>1076</v>
      </c>
      <c r="K90" s="66">
        <f t="shared" si="10"/>
        <v>0.68500000000000028</v>
      </c>
      <c r="L90" s="2"/>
      <c r="M90" s="2">
        <f t="shared" si="11"/>
        <v>792</v>
      </c>
      <c r="N90" s="2">
        <f t="shared" si="12"/>
        <v>0.61363636363636365</v>
      </c>
      <c r="O90" s="2">
        <f t="shared" si="13"/>
        <v>0.67388235294117682</v>
      </c>
    </row>
    <row r="91" spans="2:15" x14ac:dyDescent="0.15">
      <c r="B91" s="2">
        <v>89</v>
      </c>
      <c r="C91" s="2">
        <f t="shared" si="15"/>
        <v>9</v>
      </c>
      <c r="D91" s="67">
        <f t="shared" si="14"/>
        <v>0.87600000000000011</v>
      </c>
      <c r="E91" s="64">
        <v>0.15</v>
      </c>
      <c r="F91" s="65">
        <v>89</v>
      </c>
      <c r="G91" s="2">
        <f t="shared" si="8"/>
        <v>668</v>
      </c>
      <c r="H91" s="64">
        <v>0.6</v>
      </c>
      <c r="I91" s="2">
        <v>8.9</v>
      </c>
      <c r="J91" s="2">
        <f t="shared" si="9"/>
        <v>1114</v>
      </c>
      <c r="K91" s="66">
        <f t="shared" si="10"/>
        <v>0.69000000000000028</v>
      </c>
      <c r="L91" s="2"/>
      <c r="M91" s="2">
        <f t="shared" si="11"/>
        <v>801.6</v>
      </c>
      <c r="N91" s="2">
        <f t="shared" si="12"/>
        <v>0.61381387513400376</v>
      </c>
      <c r="O91" s="2">
        <f t="shared" si="13"/>
        <v>0.6789113020489097</v>
      </c>
    </row>
    <row r="92" spans="2:15" x14ac:dyDescent="0.15">
      <c r="B92" s="2">
        <v>90</v>
      </c>
      <c r="C92" s="2">
        <f t="shared" si="15"/>
        <v>9</v>
      </c>
      <c r="D92" s="67">
        <f t="shared" si="14"/>
        <v>0.87800000000000011</v>
      </c>
      <c r="E92" s="64">
        <v>0.15</v>
      </c>
      <c r="F92" s="21">
        <v>90</v>
      </c>
      <c r="G92" s="2">
        <f t="shared" si="8"/>
        <v>675</v>
      </c>
      <c r="H92" s="64">
        <v>0.6</v>
      </c>
      <c r="I92" s="2">
        <v>9</v>
      </c>
      <c r="J92" s="2">
        <f t="shared" si="9"/>
        <v>1153</v>
      </c>
      <c r="K92" s="66">
        <f t="shared" si="10"/>
        <v>0.69500000000000028</v>
      </c>
      <c r="L92" s="2"/>
      <c r="M92" s="2">
        <f t="shared" si="11"/>
        <v>810</v>
      </c>
      <c r="N92" s="2">
        <f t="shared" si="12"/>
        <v>0.61363636363636365</v>
      </c>
      <c r="O92" s="2">
        <f t="shared" si="13"/>
        <v>0.68423529411764727</v>
      </c>
    </row>
    <row r="93" spans="2:15" x14ac:dyDescent="0.15">
      <c r="B93" s="2">
        <v>91</v>
      </c>
      <c r="C93" s="2">
        <f t="shared" si="15"/>
        <v>10</v>
      </c>
      <c r="D93" s="67">
        <f t="shared" si="14"/>
        <v>0.88000000000000012</v>
      </c>
      <c r="E93" s="64">
        <v>0.15</v>
      </c>
      <c r="F93" s="65">
        <v>91</v>
      </c>
      <c r="G93" s="2">
        <f t="shared" si="8"/>
        <v>683</v>
      </c>
      <c r="H93" s="64">
        <v>0.6</v>
      </c>
      <c r="I93" s="2">
        <v>9.1</v>
      </c>
      <c r="J93" s="2">
        <f t="shared" si="9"/>
        <v>1194</v>
      </c>
      <c r="K93" s="66">
        <f t="shared" si="10"/>
        <v>0.70000000000000029</v>
      </c>
      <c r="L93" s="2"/>
      <c r="M93" s="2">
        <f t="shared" si="11"/>
        <v>819.6</v>
      </c>
      <c r="N93" s="2">
        <f t="shared" si="12"/>
        <v>0.61380997553547345</v>
      </c>
      <c r="O93" s="2">
        <f t="shared" si="13"/>
        <v>0.68927213962508116</v>
      </c>
    </row>
    <row r="94" spans="2:15" x14ac:dyDescent="0.15">
      <c r="B94" s="2">
        <v>92</v>
      </c>
      <c r="C94" s="2">
        <f t="shared" si="15"/>
        <v>10</v>
      </c>
      <c r="D94" s="67">
        <f t="shared" si="14"/>
        <v>0.88200000000000012</v>
      </c>
      <c r="E94" s="64">
        <v>0.15</v>
      </c>
      <c r="F94" s="21">
        <v>92</v>
      </c>
      <c r="G94" s="2">
        <f t="shared" si="8"/>
        <v>690</v>
      </c>
      <c r="H94" s="64">
        <v>0.6</v>
      </c>
      <c r="I94" s="2">
        <v>9.1999999999999993</v>
      </c>
      <c r="J94" s="2">
        <f t="shared" si="9"/>
        <v>1237</v>
      </c>
      <c r="K94" s="66">
        <f t="shared" si="10"/>
        <v>0.70500000000000029</v>
      </c>
      <c r="L94" s="2"/>
      <c r="M94" s="2">
        <f t="shared" si="11"/>
        <v>828</v>
      </c>
      <c r="N94" s="2">
        <f t="shared" si="12"/>
        <v>0.61363636363636354</v>
      </c>
      <c r="O94" s="2">
        <f t="shared" si="13"/>
        <v>0.69458823529411795</v>
      </c>
    </row>
    <row r="95" spans="2:15" x14ac:dyDescent="0.15">
      <c r="B95" s="2">
        <v>93</v>
      </c>
      <c r="C95" s="2">
        <f t="shared" si="15"/>
        <v>10</v>
      </c>
      <c r="D95" s="67">
        <f t="shared" si="14"/>
        <v>0.88400000000000012</v>
      </c>
      <c r="E95" s="64">
        <v>0.15</v>
      </c>
      <c r="F95" s="65">
        <v>93</v>
      </c>
      <c r="G95" s="2">
        <f t="shared" si="8"/>
        <v>698</v>
      </c>
      <c r="H95" s="64">
        <v>0.6</v>
      </c>
      <c r="I95" s="2">
        <v>9.3000000000000007</v>
      </c>
      <c r="J95" s="2">
        <f t="shared" si="9"/>
        <v>1281</v>
      </c>
      <c r="K95" s="66">
        <f t="shared" si="10"/>
        <v>0.7100000000000003</v>
      </c>
      <c r="L95" s="2"/>
      <c r="M95" s="2">
        <f t="shared" si="11"/>
        <v>837.6</v>
      </c>
      <c r="N95" s="2">
        <f t="shared" si="12"/>
        <v>0.61380624358786462</v>
      </c>
      <c r="O95" s="2">
        <f t="shared" si="13"/>
        <v>0.69963263757115779</v>
      </c>
    </row>
    <row r="96" spans="2:15" x14ac:dyDescent="0.15">
      <c r="B96" s="2">
        <v>94</v>
      </c>
      <c r="C96" s="2">
        <f t="shared" si="15"/>
        <v>10</v>
      </c>
      <c r="D96" s="67">
        <f t="shared" si="14"/>
        <v>0.88600000000000012</v>
      </c>
      <c r="E96" s="64">
        <v>0.15</v>
      </c>
      <c r="F96" s="21">
        <v>94</v>
      </c>
      <c r="G96" s="2">
        <f t="shared" si="8"/>
        <v>705</v>
      </c>
      <c r="H96" s="64">
        <v>0.6</v>
      </c>
      <c r="I96" s="2">
        <v>9.4</v>
      </c>
      <c r="J96" s="2">
        <f t="shared" si="9"/>
        <v>1327</v>
      </c>
      <c r="K96" s="66">
        <f t="shared" si="10"/>
        <v>0.7150000000000003</v>
      </c>
      <c r="L96" s="2"/>
      <c r="M96" s="2">
        <f t="shared" si="11"/>
        <v>846</v>
      </c>
      <c r="N96" s="2">
        <f t="shared" si="12"/>
        <v>0.61363636363636365</v>
      </c>
      <c r="O96" s="2">
        <f t="shared" si="13"/>
        <v>0.70494117647058852</v>
      </c>
    </row>
    <row r="97" spans="2:15" x14ac:dyDescent="0.15">
      <c r="B97" s="2">
        <v>95</v>
      </c>
      <c r="C97" s="2">
        <f t="shared" si="15"/>
        <v>10</v>
      </c>
      <c r="D97" s="67">
        <f t="shared" si="14"/>
        <v>0.88800000000000012</v>
      </c>
      <c r="E97" s="64">
        <v>0.15</v>
      </c>
      <c r="F97" s="65">
        <v>95</v>
      </c>
      <c r="G97" s="2">
        <f t="shared" si="8"/>
        <v>713</v>
      </c>
      <c r="H97" s="64">
        <v>0.6</v>
      </c>
      <c r="I97" s="2">
        <v>9.5</v>
      </c>
      <c r="J97" s="2">
        <f t="shared" si="9"/>
        <v>1375</v>
      </c>
      <c r="K97" s="66">
        <f t="shared" si="10"/>
        <v>0.72000000000000031</v>
      </c>
      <c r="L97" s="2"/>
      <c r="M97" s="2">
        <f t="shared" si="11"/>
        <v>855.6</v>
      </c>
      <c r="N97" s="2">
        <f t="shared" si="12"/>
        <v>0.61380266870725519</v>
      </c>
      <c r="O97" s="2">
        <f t="shared" si="13"/>
        <v>0.70999281733746167</v>
      </c>
    </row>
    <row r="98" spans="2:15" x14ac:dyDescent="0.15">
      <c r="B98" s="2">
        <v>96</v>
      </c>
      <c r="C98" s="2">
        <f t="shared" si="15"/>
        <v>10</v>
      </c>
      <c r="D98" s="67">
        <f t="shared" si="14"/>
        <v>0.89000000000000012</v>
      </c>
      <c r="E98" s="64">
        <v>0.15</v>
      </c>
      <c r="F98" s="21">
        <v>96</v>
      </c>
      <c r="G98" s="2">
        <f t="shared" si="8"/>
        <v>720</v>
      </c>
      <c r="H98" s="64">
        <v>0.6</v>
      </c>
      <c r="I98" s="2">
        <v>9.6</v>
      </c>
      <c r="J98" s="2">
        <f t="shared" si="9"/>
        <v>1425</v>
      </c>
      <c r="K98" s="66">
        <f t="shared" si="10"/>
        <v>0.72500000000000031</v>
      </c>
      <c r="L98" s="2"/>
      <c r="M98" s="2">
        <f t="shared" si="11"/>
        <v>864</v>
      </c>
      <c r="N98" s="2">
        <f t="shared" si="12"/>
        <v>0.61363636363636365</v>
      </c>
      <c r="O98" s="2">
        <f t="shared" si="13"/>
        <v>0.71529411764705908</v>
      </c>
    </row>
    <row r="99" spans="2:15" x14ac:dyDescent="0.15">
      <c r="B99" s="2">
        <v>97</v>
      </c>
      <c r="C99" s="2">
        <f t="shared" si="15"/>
        <v>10</v>
      </c>
      <c r="D99" s="67">
        <f t="shared" si="14"/>
        <v>0.89200000000000013</v>
      </c>
      <c r="E99" s="64">
        <v>0.15</v>
      </c>
      <c r="F99" s="65">
        <v>97</v>
      </c>
      <c r="G99" s="2">
        <f t="shared" si="8"/>
        <v>728</v>
      </c>
      <c r="H99" s="64">
        <v>0.6</v>
      </c>
      <c r="I99" s="2">
        <v>9.6999999999999993</v>
      </c>
      <c r="J99" s="2">
        <f t="shared" si="9"/>
        <v>1476</v>
      </c>
      <c r="K99" s="66">
        <f t="shared" si="10"/>
        <v>0.73000000000000032</v>
      </c>
      <c r="L99" s="2"/>
      <c r="M99" s="2">
        <f t="shared" si="11"/>
        <v>873.6</v>
      </c>
      <c r="N99" s="2">
        <f t="shared" si="12"/>
        <v>0.61379924118225671</v>
      </c>
      <c r="O99" s="2">
        <f t="shared" si="13"/>
        <v>0.72035269860521567</v>
      </c>
    </row>
    <row r="100" spans="2:15" x14ac:dyDescent="0.15">
      <c r="B100" s="2">
        <v>98</v>
      </c>
      <c r="C100" s="2">
        <f t="shared" si="15"/>
        <v>10</v>
      </c>
      <c r="D100" s="67">
        <f t="shared" si="14"/>
        <v>0.89400000000000013</v>
      </c>
      <c r="E100" s="64">
        <v>0.15</v>
      </c>
      <c r="F100" s="21">
        <v>98</v>
      </c>
      <c r="G100" s="2">
        <f t="shared" si="8"/>
        <v>735</v>
      </c>
      <c r="H100" s="64">
        <v>0.6</v>
      </c>
      <c r="I100" s="2">
        <v>9.8000000000000007</v>
      </c>
      <c r="J100" s="2">
        <f t="shared" si="9"/>
        <v>1530</v>
      </c>
      <c r="K100" s="66">
        <f t="shared" si="10"/>
        <v>0.73500000000000032</v>
      </c>
      <c r="L100" s="2"/>
      <c r="M100" s="2">
        <f t="shared" si="11"/>
        <v>882</v>
      </c>
      <c r="N100" s="2">
        <f t="shared" si="12"/>
        <v>0.61363636363636354</v>
      </c>
      <c r="O100" s="2">
        <f t="shared" si="13"/>
        <v>0.72564705882352976</v>
      </c>
    </row>
    <row r="101" spans="2:15" x14ac:dyDescent="0.15">
      <c r="B101" s="2">
        <v>99</v>
      </c>
      <c r="C101" s="2">
        <f t="shared" si="15"/>
        <v>10</v>
      </c>
      <c r="D101" s="67">
        <f t="shared" si="14"/>
        <v>0.89600000000000013</v>
      </c>
      <c r="E101" s="64">
        <v>0.15</v>
      </c>
      <c r="F101" s="65">
        <v>99</v>
      </c>
      <c r="G101" s="2">
        <f t="shared" si="8"/>
        <v>743</v>
      </c>
      <c r="H101" s="64">
        <v>0.6</v>
      </c>
      <c r="I101" s="2">
        <v>9.9</v>
      </c>
      <c r="J101" s="2">
        <f t="shared" si="9"/>
        <v>1587</v>
      </c>
      <c r="K101" s="66">
        <f t="shared" si="10"/>
        <v>0.74000000000000032</v>
      </c>
      <c r="L101" s="2"/>
      <c r="M101" s="2">
        <f t="shared" si="11"/>
        <v>891.6</v>
      </c>
      <c r="N101" s="2">
        <f t="shared" si="12"/>
        <v>0.61379595208591498</v>
      </c>
      <c r="O101" s="2">
        <f t="shared" si="13"/>
        <v>0.73071229946524086</v>
      </c>
    </row>
    <row r="102" spans="2:15" x14ac:dyDescent="0.15">
      <c r="H102" s="29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U101"/>
  <sheetViews>
    <sheetView workbookViewId="0">
      <selection activeCell="U92" sqref="U92"/>
    </sheetView>
  </sheetViews>
  <sheetFormatPr defaultRowHeight="12.75" x14ac:dyDescent="0.15"/>
  <cols>
    <col min="1" max="8" width="9" style="1"/>
    <col min="9" max="9" width="15.875" style="1" customWidth="1"/>
    <col min="10" max="16384" width="9" style="1"/>
  </cols>
  <sheetData>
    <row r="2" spans="2:21" x14ac:dyDescent="0.15">
      <c r="B2" s="62" t="s">
        <v>466</v>
      </c>
      <c r="C2" s="62" t="s">
        <v>467</v>
      </c>
      <c r="D2" s="63" t="s">
        <v>472</v>
      </c>
      <c r="E2" s="62" t="s">
        <v>468</v>
      </c>
      <c r="F2" s="62" t="s">
        <v>469</v>
      </c>
      <c r="G2" s="63" t="s">
        <v>473</v>
      </c>
      <c r="H2" s="62" t="s">
        <v>470</v>
      </c>
      <c r="I2" s="62" t="s">
        <v>471</v>
      </c>
      <c r="N2" s="69" t="s">
        <v>380</v>
      </c>
      <c r="O2" s="69" t="s">
        <v>381</v>
      </c>
      <c r="P2" s="69" t="s">
        <v>384</v>
      </c>
      <c r="Q2" s="69" t="s">
        <v>384</v>
      </c>
      <c r="R2" s="69" t="s">
        <v>385</v>
      </c>
      <c r="S2" s="69" t="s">
        <v>383</v>
      </c>
      <c r="T2" s="69" t="s">
        <v>382</v>
      </c>
      <c r="U2" s="70" t="s">
        <v>386</v>
      </c>
    </row>
    <row r="3" spans="2:21" x14ac:dyDescent="0.15">
      <c r="B3" s="2">
        <v>1</v>
      </c>
      <c r="C3" s="2">
        <v>1</v>
      </c>
      <c r="D3" s="64">
        <v>0.1</v>
      </c>
      <c r="E3" s="64">
        <f>F3-D3</f>
        <v>0.19999999999999998</v>
      </c>
      <c r="F3" s="64">
        <v>0.3</v>
      </c>
      <c r="G3" s="2">
        <v>1</v>
      </c>
      <c r="H3" s="2">
        <f>ROUND(E3/I3,0)</f>
        <v>2</v>
      </c>
      <c r="I3" s="2">
        <f>D3/G3</f>
        <v>0.1</v>
      </c>
      <c r="L3" s="30"/>
      <c r="M3" s="30"/>
      <c r="N3" s="21">
        <v>1</v>
      </c>
      <c r="O3" s="21">
        <v>1</v>
      </c>
      <c r="P3" s="64">
        <f>50%+Q3</f>
        <v>0.95</v>
      </c>
      <c r="Q3" s="64">
        <v>0.45</v>
      </c>
      <c r="R3" s="64">
        <f>S3/(S3+N3*5)+50%</f>
        <v>0.66666666666666663</v>
      </c>
      <c r="S3" s="21">
        <v>1</v>
      </c>
      <c r="T3" s="21">
        <f>ROUND((S3*Q3-S3+5*Q3*N3)/(1-Q3),0)</f>
        <v>3</v>
      </c>
      <c r="U3" s="66">
        <f>(S3+T3)/(S3+T3+N3*5)</f>
        <v>0.44444444444444442</v>
      </c>
    </row>
    <row r="4" spans="2:21" x14ac:dyDescent="0.15">
      <c r="B4" s="2">
        <v>2</v>
      </c>
      <c r="C4" s="2">
        <v>1</v>
      </c>
      <c r="D4" s="66">
        <f>D3-0.0005</f>
        <v>9.9500000000000005E-2</v>
      </c>
      <c r="E4" s="64">
        <f t="shared" ref="E4:E67" si="0">F4-D4</f>
        <v>0.20049999999999998</v>
      </c>
      <c r="F4" s="64">
        <v>0.3</v>
      </c>
      <c r="G4" s="2">
        <v>2</v>
      </c>
      <c r="H4" s="2">
        <f t="shared" ref="H4:H67" si="1">ROUND(E4/I4,0)</f>
        <v>4</v>
      </c>
      <c r="I4" s="2">
        <f t="shared" ref="I4:I67" si="2">D4/G4</f>
        <v>4.9750000000000003E-2</v>
      </c>
      <c r="L4" s="30"/>
      <c r="M4" s="30"/>
      <c r="N4" s="21">
        <v>2</v>
      </c>
      <c r="O4" s="21">
        <v>1</v>
      </c>
      <c r="P4" s="64">
        <f t="shared" ref="P4:P67" si="3">50%+Q4</f>
        <v>0.95</v>
      </c>
      <c r="Q4" s="64">
        <v>0.45</v>
      </c>
      <c r="R4" s="64">
        <f t="shared" ref="R4:R67" si="4">S4/(S4+N4*5)+50%</f>
        <v>0.66666666666666663</v>
      </c>
      <c r="S4" s="21">
        <f>S3+1</f>
        <v>2</v>
      </c>
      <c r="T4" s="21">
        <f t="shared" ref="T4:T67" si="5">ROUND((S4*Q4-S4+5*Q4*N4)/(1-Q4),0)</f>
        <v>6</v>
      </c>
      <c r="U4" s="66">
        <f t="shared" ref="U4:U12" si="6">(S4+T4)/(S4+T4+N4*5)</f>
        <v>0.44444444444444442</v>
      </c>
    </row>
    <row r="5" spans="2:21" x14ac:dyDescent="0.15">
      <c r="B5" s="2">
        <v>3</v>
      </c>
      <c r="C5" s="2">
        <v>1</v>
      </c>
      <c r="D5" s="66">
        <f t="shared" ref="D5:D68" si="7">D4-0.0005</f>
        <v>9.9000000000000005E-2</v>
      </c>
      <c r="E5" s="64">
        <f t="shared" si="0"/>
        <v>0.20099999999999998</v>
      </c>
      <c r="F5" s="64">
        <v>0.3</v>
      </c>
      <c r="G5" s="2">
        <v>3</v>
      </c>
      <c r="H5" s="2">
        <f t="shared" si="1"/>
        <v>6</v>
      </c>
      <c r="I5" s="2">
        <f t="shared" si="2"/>
        <v>3.3000000000000002E-2</v>
      </c>
      <c r="L5" s="30"/>
      <c r="M5" s="30"/>
      <c r="N5" s="21">
        <v>3</v>
      </c>
      <c r="O5" s="21">
        <v>1</v>
      </c>
      <c r="P5" s="64">
        <f t="shared" si="3"/>
        <v>0.95</v>
      </c>
      <c r="Q5" s="64">
        <v>0.45</v>
      </c>
      <c r="R5" s="64">
        <f t="shared" si="4"/>
        <v>0.66666666666666663</v>
      </c>
      <c r="S5" s="21">
        <f t="shared" ref="S5:S68" si="8">S4+1</f>
        <v>3</v>
      </c>
      <c r="T5" s="21">
        <f t="shared" si="5"/>
        <v>9</v>
      </c>
      <c r="U5" s="66">
        <f t="shared" si="6"/>
        <v>0.44444444444444442</v>
      </c>
    </row>
    <row r="6" spans="2:21" x14ac:dyDescent="0.15">
      <c r="B6" s="2">
        <v>4</v>
      </c>
      <c r="C6" s="2">
        <v>1</v>
      </c>
      <c r="D6" s="66">
        <f t="shared" si="7"/>
        <v>9.8500000000000004E-2</v>
      </c>
      <c r="E6" s="64">
        <f t="shared" si="0"/>
        <v>0.20149999999999998</v>
      </c>
      <c r="F6" s="64">
        <v>0.3</v>
      </c>
      <c r="G6" s="2">
        <v>4</v>
      </c>
      <c r="H6" s="2">
        <f t="shared" si="1"/>
        <v>8</v>
      </c>
      <c r="I6" s="2">
        <f t="shared" si="2"/>
        <v>2.4625000000000001E-2</v>
      </c>
      <c r="L6" s="30"/>
      <c r="M6" s="30"/>
      <c r="N6" s="21">
        <v>4</v>
      </c>
      <c r="O6" s="21">
        <v>1</v>
      </c>
      <c r="P6" s="64">
        <f t="shared" si="3"/>
        <v>0.95</v>
      </c>
      <c r="Q6" s="64">
        <v>0.45</v>
      </c>
      <c r="R6" s="64">
        <f t="shared" si="4"/>
        <v>0.66666666666666663</v>
      </c>
      <c r="S6" s="21">
        <f t="shared" si="8"/>
        <v>4</v>
      </c>
      <c r="T6" s="21">
        <f t="shared" si="5"/>
        <v>12</v>
      </c>
      <c r="U6" s="66">
        <f t="shared" si="6"/>
        <v>0.44444444444444442</v>
      </c>
    </row>
    <row r="7" spans="2:21" x14ac:dyDescent="0.15">
      <c r="B7" s="2">
        <v>5</v>
      </c>
      <c r="C7" s="2">
        <v>1</v>
      </c>
      <c r="D7" s="66">
        <f t="shared" si="7"/>
        <v>9.8000000000000004E-2</v>
      </c>
      <c r="E7" s="64">
        <f t="shared" si="0"/>
        <v>0.20199999999999999</v>
      </c>
      <c r="F7" s="64">
        <v>0.3</v>
      </c>
      <c r="G7" s="2">
        <v>5</v>
      </c>
      <c r="H7" s="2">
        <f t="shared" si="1"/>
        <v>10</v>
      </c>
      <c r="I7" s="2">
        <f t="shared" si="2"/>
        <v>1.9599999999999999E-2</v>
      </c>
      <c r="L7" s="30"/>
      <c r="M7" s="30"/>
      <c r="N7" s="21">
        <v>5</v>
      </c>
      <c r="O7" s="21">
        <v>1</v>
      </c>
      <c r="P7" s="64">
        <f t="shared" si="3"/>
        <v>0.95</v>
      </c>
      <c r="Q7" s="64">
        <v>0.45</v>
      </c>
      <c r="R7" s="64">
        <f t="shared" si="4"/>
        <v>0.66666666666666663</v>
      </c>
      <c r="S7" s="21">
        <f t="shared" si="8"/>
        <v>5</v>
      </c>
      <c r="T7" s="21">
        <f t="shared" si="5"/>
        <v>15</v>
      </c>
      <c r="U7" s="66">
        <f t="shared" si="6"/>
        <v>0.44444444444444442</v>
      </c>
    </row>
    <row r="8" spans="2:21" x14ac:dyDescent="0.15">
      <c r="B8" s="2">
        <v>6</v>
      </c>
      <c r="C8" s="2">
        <v>1</v>
      </c>
      <c r="D8" s="66">
        <f t="shared" si="7"/>
        <v>9.7500000000000003E-2</v>
      </c>
      <c r="E8" s="64">
        <f t="shared" si="0"/>
        <v>0.20249999999999999</v>
      </c>
      <c r="F8" s="64">
        <v>0.3</v>
      </c>
      <c r="G8" s="2">
        <v>6</v>
      </c>
      <c r="H8" s="2">
        <f t="shared" si="1"/>
        <v>12</v>
      </c>
      <c r="I8" s="2">
        <f t="shared" si="2"/>
        <v>1.6250000000000001E-2</v>
      </c>
      <c r="L8" s="30"/>
      <c r="M8" s="30"/>
      <c r="N8" s="21">
        <v>6</v>
      </c>
      <c r="O8" s="21">
        <v>1</v>
      </c>
      <c r="P8" s="64">
        <f t="shared" si="3"/>
        <v>0.95</v>
      </c>
      <c r="Q8" s="64">
        <v>0.45</v>
      </c>
      <c r="R8" s="64">
        <f t="shared" si="4"/>
        <v>0.66666666666666663</v>
      </c>
      <c r="S8" s="21">
        <f t="shared" si="8"/>
        <v>6</v>
      </c>
      <c r="T8" s="21">
        <f t="shared" si="5"/>
        <v>19</v>
      </c>
      <c r="U8" s="66">
        <f t="shared" si="6"/>
        <v>0.45454545454545453</v>
      </c>
    </row>
    <row r="9" spans="2:21" x14ac:dyDescent="0.15">
      <c r="B9" s="2">
        <v>7</v>
      </c>
      <c r="C9" s="2">
        <v>1</v>
      </c>
      <c r="D9" s="66">
        <f t="shared" si="7"/>
        <v>9.7000000000000003E-2</v>
      </c>
      <c r="E9" s="64">
        <f t="shared" si="0"/>
        <v>0.20299999999999999</v>
      </c>
      <c r="F9" s="64">
        <v>0.3</v>
      </c>
      <c r="G9" s="2">
        <v>7</v>
      </c>
      <c r="H9" s="2">
        <f t="shared" si="1"/>
        <v>15</v>
      </c>
      <c r="I9" s="2">
        <f t="shared" si="2"/>
        <v>1.3857142857142858E-2</v>
      </c>
      <c r="L9" s="30"/>
      <c r="M9" s="30"/>
      <c r="N9" s="21">
        <v>7</v>
      </c>
      <c r="O9" s="21">
        <v>1</v>
      </c>
      <c r="P9" s="64">
        <f t="shared" si="3"/>
        <v>0.95</v>
      </c>
      <c r="Q9" s="64">
        <v>0.45</v>
      </c>
      <c r="R9" s="64">
        <f t="shared" si="4"/>
        <v>0.66666666666666663</v>
      </c>
      <c r="S9" s="21">
        <f t="shared" si="8"/>
        <v>7</v>
      </c>
      <c r="T9" s="21">
        <f t="shared" si="5"/>
        <v>22</v>
      </c>
      <c r="U9" s="66">
        <f t="shared" si="6"/>
        <v>0.453125</v>
      </c>
    </row>
    <row r="10" spans="2:21" x14ac:dyDescent="0.15">
      <c r="B10" s="2">
        <v>8</v>
      </c>
      <c r="C10" s="2">
        <v>1</v>
      </c>
      <c r="D10" s="66">
        <f t="shared" si="7"/>
        <v>9.6500000000000002E-2</v>
      </c>
      <c r="E10" s="64">
        <f t="shared" si="0"/>
        <v>0.20349999999999999</v>
      </c>
      <c r="F10" s="64">
        <v>0.3</v>
      </c>
      <c r="G10" s="2">
        <v>8</v>
      </c>
      <c r="H10" s="2">
        <f t="shared" si="1"/>
        <v>17</v>
      </c>
      <c r="I10" s="2">
        <f t="shared" si="2"/>
        <v>1.20625E-2</v>
      </c>
      <c r="L10" s="30"/>
      <c r="M10" s="30"/>
      <c r="N10" s="21">
        <v>8</v>
      </c>
      <c r="O10" s="21">
        <v>1</v>
      </c>
      <c r="P10" s="64">
        <f t="shared" si="3"/>
        <v>0.95</v>
      </c>
      <c r="Q10" s="64">
        <v>0.45</v>
      </c>
      <c r="R10" s="64">
        <f t="shared" si="4"/>
        <v>0.66666666666666663</v>
      </c>
      <c r="S10" s="21">
        <f t="shared" si="8"/>
        <v>8</v>
      </c>
      <c r="T10" s="21">
        <f t="shared" si="5"/>
        <v>25</v>
      </c>
      <c r="U10" s="66">
        <f t="shared" si="6"/>
        <v>0.45205479452054792</v>
      </c>
    </row>
    <row r="11" spans="2:21" x14ac:dyDescent="0.15">
      <c r="B11" s="2">
        <v>9</v>
      </c>
      <c r="C11" s="2">
        <v>1</v>
      </c>
      <c r="D11" s="66">
        <f t="shared" si="7"/>
        <v>9.6000000000000002E-2</v>
      </c>
      <c r="E11" s="64">
        <f t="shared" si="0"/>
        <v>0.20399999999999999</v>
      </c>
      <c r="F11" s="64">
        <v>0.3</v>
      </c>
      <c r="G11" s="2">
        <v>9</v>
      </c>
      <c r="H11" s="2">
        <f t="shared" si="1"/>
        <v>19</v>
      </c>
      <c r="I11" s="2">
        <f t="shared" si="2"/>
        <v>1.0666666666666666E-2</v>
      </c>
      <c r="L11" s="30"/>
      <c r="M11" s="30"/>
      <c r="N11" s="21">
        <v>9</v>
      </c>
      <c r="O11" s="21">
        <v>1</v>
      </c>
      <c r="P11" s="64">
        <f t="shared" si="3"/>
        <v>0.95</v>
      </c>
      <c r="Q11" s="64">
        <v>0.45</v>
      </c>
      <c r="R11" s="64">
        <f t="shared" si="4"/>
        <v>0.66666666666666663</v>
      </c>
      <c r="S11" s="21">
        <f t="shared" si="8"/>
        <v>9</v>
      </c>
      <c r="T11" s="21">
        <f t="shared" si="5"/>
        <v>28</v>
      </c>
      <c r="U11" s="66">
        <f t="shared" si="6"/>
        <v>0.45121951219512196</v>
      </c>
    </row>
    <row r="12" spans="2:21" x14ac:dyDescent="0.15">
      <c r="B12" s="2">
        <v>10</v>
      </c>
      <c r="C12" s="2">
        <v>1</v>
      </c>
      <c r="D12" s="66">
        <f t="shared" si="7"/>
        <v>9.5500000000000002E-2</v>
      </c>
      <c r="E12" s="64">
        <f t="shared" si="0"/>
        <v>0.20449999999999999</v>
      </c>
      <c r="F12" s="64">
        <v>0.3</v>
      </c>
      <c r="G12" s="2">
        <v>10</v>
      </c>
      <c r="H12" s="2">
        <f t="shared" si="1"/>
        <v>21</v>
      </c>
      <c r="I12" s="2">
        <f t="shared" si="2"/>
        <v>9.5499999999999995E-3</v>
      </c>
      <c r="L12" s="30"/>
      <c r="M12" s="30"/>
      <c r="N12" s="21">
        <v>10</v>
      </c>
      <c r="O12" s="21">
        <v>1</v>
      </c>
      <c r="P12" s="64">
        <f t="shared" si="3"/>
        <v>0.95</v>
      </c>
      <c r="Q12" s="64">
        <v>0.45</v>
      </c>
      <c r="R12" s="64">
        <f t="shared" si="4"/>
        <v>0.66666666666666663</v>
      </c>
      <c r="S12" s="21">
        <f t="shared" si="8"/>
        <v>10</v>
      </c>
      <c r="T12" s="21">
        <f t="shared" si="5"/>
        <v>31</v>
      </c>
      <c r="U12" s="66">
        <f t="shared" si="6"/>
        <v>0.45054945054945056</v>
      </c>
    </row>
    <row r="13" spans="2:21" x14ac:dyDescent="0.15">
      <c r="B13" s="2">
        <v>11</v>
      </c>
      <c r="C13" s="2">
        <f>C3+1</f>
        <v>2</v>
      </c>
      <c r="D13" s="66">
        <f t="shared" si="7"/>
        <v>9.5000000000000001E-2</v>
      </c>
      <c r="E13" s="64">
        <f t="shared" si="0"/>
        <v>0.20499999999999999</v>
      </c>
      <c r="F13" s="64">
        <v>0.3</v>
      </c>
      <c r="G13" s="2">
        <v>11</v>
      </c>
      <c r="H13" s="2">
        <f t="shared" si="1"/>
        <v>24</v>
      </c>
      <c r="I13" s="2">
        <f t="shared" si="2"/>
        <v>8.6363636363636365E-3</v>
      </c>
      <c r="L13" s="30"/>
      <c r="M13" s="30"/>
      <c r="N13" s="71">
        <v>11</v>
      </c>
      <c r="O13" s="71">
        <f>O3+1</f>
        <v>2</v>
      </c>
      <c r="P13" s="64">
        <f t="shared" si="3"/>
        <v>0.95</v>
      </c>
      <c r="Q13" s="64">
        <v>0.45</v>
      </c>
      <c r="R13" s="64">
        <f t="shared" si="4"/>
        <v>0.66666666666666663</v>
      </c>
      <c r="S13" s="21">
        <f t="shared" si="8"/>
        <v>11</v>
      </c>
      <c r="T13" s="21">
        <f t="shared" si="5"/>
        <v>34</v>
      </c>
      <c r="U13" s="66">
        <f>(S13+34)/(S13+34+N13*5)</f>
        <v>0.45</v>
      </c>
    </row>
    <row r="14" spans="2:21" x14ac:dyDescent="0.15">
      <c r="B14" s="2">
        <v>12</v>
      </c>
      <c r="C14" s="2">
        <f t="shared" ref="C14:C77" si="9">C4+1</f>
        <v>2</v>
      </c>
      <c r="D14" s="66">
        <f t="shared" si="7"/>
        <v>9.4500000000000001E-2</v>
      </c>
      <c r="E14" s="64">
        <f t="shared" si="0"/>
        <v>0.20549999999999999</v>
      </c>
      <c r="F14" s="64">
        <v>0.3</v>
      </c>
      <c r="G14" s="2">
        <v>12</v>
      </c>
      <c r="H14" s="2">
        <f t="shared" si="1"/>
        <v>26</v>
      </c>
      <c r="I14" s="2">
        <f t="shared" si="2"/>
        <v>7.8750000000000001E-3</v>
      </c>
      <c r="L14" s="30"/>
      <c r="M14" s="30"/>
      <c r="N14" s="21">
        <v>12</v>
      </c>
      <c r="O14" s="21">
        <f t="shared" ref="O14:O77" si="10">O4+1</f>
        <v>2</v>
      </c>
      <c r="P14" s="64">
        <f t="shared" si="3"/>
        <v>0.95</v>
      </c>
      <c r="Q14" s="64">
        <v>0.45</v>
      </c>
      <c r="R14" s="64">
        <f t="shared" si="4"/>
        <v>0.66666666666666663</v>
      </c>
      <c r="S14" s="21">
        <f t="shared" si="8"/>
        <v>12</v>
      </c>
      <c r="T14" s="21">
        <f t="shared" si="5"/>
        <v>37</v>
      </c>
      <c r="U14" s="66">
        <f t="shared" ref="U14:U23" si="11">(S14+34)/(S14+34+N14*5)</f>
        <v>0.43396226415094341</v>
      </c>
    </row>
    <row r="15" spans="2:21" x14ac:dyDescent="0.15">
      <c r="B15" s="2">
        <v>13</v>
      </c>
      <c r="C15" s="2">
        <f t="shared" si="9"/>
        <v>2</v>
      </c>
      <c r="D15" s="66">
        <f t="shared" si="7"/>
        <v>9.4E-2</v>
      </c>
      <c r="E15" s="64">
        <f t="shared" si="0"/>
        <v>0.20599999999999999</v>
      </c>
      <c r="F15" s="64">
        <v>0.3</v>
      </c>
      <c r="G15" s="2">
        <v>13</v>
      </c>
      <c r="H15" s="2">
        <f t="shared" si="1"/>
        <v>28</v>
      </c>
      <c r="I15" s="2">
        <f t="shared" si="2"/>
        <v>7.2307692307692307E-3</v>
      </c>
      <c r="L15" s="30"/>
      <c r="M15" s="30"/>
      <c r="N15" s="21">
        <v>13</v>
      </c>
      <c r="O15" s="21">
        <f t="shared" si="10"/>
        <v>2</v>
      </c>
      <c r="P15" s="64">
        <f t="shared" si="3"/>
        <v>0.95</v>
      </c>
      <c r="Q15" s="64">
        <v>0.45</v>
      </c>
      <c r="R15" s="64">
        <f t="shared" si="4"/>
        <v>0.66666666666666663</v>
      </c>
      <c r="S15" s="21">
        <f t="shared" si="8"/>
        <v>13</v>
      </c>
      <c r="T15" s="21">
        <f t="shared" si="5"/>
        <v>40</v>
      </c>
      <c r="U15" s="66">
        <f t="shared" si="11"/>
        <v>0.41964285714285715</v>
      </c>
    </row>
    <row r="16" spans="2:21" x14ac:dyDescent="0.15">
      <c r="B16" s="2">
        <v>14</v>
      </c>
      <c r="C16" s="2">
        <f t="shared" si="9"/>
        <v>2</v>
      </c>
      <c r="D16" s="66">
        <f t="shared" si="7"/>
        <v>9.35E-2</v>
      </c>
      <c r="E16" s="64">
        <f t="shared" si="0"/>
        <v>0.20649999999999999</v>
      </c>
      <c r="F16" s="64">
        <v>0.3</v>
      </c>
      <c r="G16" s="2">
        <v>14</v>
      </c>
      <c r="H16" s="2">
        <f t="shared" si="1"/>
        <v>31</v>
      </c>
      <c r="I16" s="2">
        <f t="shared" si="2"/>
        <v>6.6785714285714287E-3</v>
      </c>
      <c r="L16" s="30"/>
      <c r="M16" s="30"/>
      <c r="N16" s="21">
        <v>14</v>
      </c>
      <c r="O16" s="21">
        <f t="shared" si="10"/>
        <v>2</v>
      </c>
      <c r="P16" s="64">
        <f t="shared" si="3"/>
        <v>0.95</v>
      </c>
      <c r="Q16" s="64">
        <v>0.45</v>
      </c>
      <c r="R16" s="64">
        <f t="shared" si="4"/>
        <v>0.66666666666666663</v>
      </c>
      <c r="S16" s="21">
        <f t="shared" si="8"/>
        <v>14</v>
      </c>
      <c r="T16" s="21">
        <f t="shared" si="5"/>
        <v>43</v>
      </c>
      <c r="U16" s="66">
        <f t="shared" si="11"/>
        <v>0.40677966101694918</v>
      </c>
    </row>
    <row r="17" spans="2:21" x14ac:dyDescent="0.15">
      <c r="B17" s="2">
        <v>15</v>
      </c>
      <c r="C17" s="2">
        <f t="shared" si="9"/>
        <v>2</v>
      </c>
      <c r="D17" s="66">
        <f t="shared" si="7"/>
        <v>9.2999999999999999E-2</v>
      </c>
      <c r="E17" s="64">
        <f t="shared" si="0"/>
        <v>0.20699999999999999</v>
      </c>
      <c r="F17" s="64">
        <v>0.3</v>
      </c>
      <c r="G17" s="2">
        <v>15</v>
      </c>
      <c r="H17" s="2">
        <f t="shared" si="1"/>
        <v>33</v>
      </c>
      <c r="I17" s="2">
        <f t="shared" si="2"/>
        <v>6.1999999999999998E-3</v>
      </c>
      <c r="L17" s="30"/>
      <c r="M17" s="30"/>
      <c r="N17" s="21">
        <v>15</v>
      </c>
      <c r="O17" s="21">
        <f t="shared" si="10"/>
        <v>2</v>
      </c>
      <c r="P17" s="64">
        <f t="shared" si="3"/>
        <v>0.95</v>
      </c>
      <c r="Q17" s="64">
        <v>0.45</v>
      </c>
      <c r="R17" s="64">
        <f t="shared" si="4"/>
        <v>0.66666666666666663</v>
      </c>
      <c r="S17" s="21">
        <f t="shared" si="8"/>
        <v>15</v>
      </c>
      <c r="T17" s="21">
        <f t="shared" si="5"/>
        <v>46</v>
      </c>
      <c r="U17" s="66">
        <f t="shared" si="11"/>
        <v>0.39516129032258063</v>
      </c>
    </row>
    <row r="18" spans="2:21" x14ac:dyDescent="0.15">
      <c r="B18" s="2">
        <v>16</v>
      </c>
      <c r="C18" s="2">
        <f t="shared" si="9"/>
        <v>2</v>
      </c>
      <c r="D18" s="66">
        <f t="shared" si="7"/>
        <v>9.2499999999999999E-2</v>
      </c>
      <c r="E18" s="64">
        <f t="shared" si="0"/>
        <v>0.20749999999999999</v>
      </c>
      <c r="F18" s="64">
        <v>0.3</v>
      </c>
      <c r="G18" s="2">
        <v>16</v>
      </c>
      <c r="H18" s="2">
        <f t="shared" si="1"/>
        <v>36</v>
      </c>
      <c r="I18" s="2">
        <f t="shared" si="2"/>
        <v>5.7812499999999999E-3</v>
      </c>
      <c r="L18" s="30"/>
      <c r="M18" s="30"/>
      <c r="N18" s="21">
        <v>16</v>
      </c>
      <c r="O18" s="21">
        <f t="shared" si="10"/>
        <v>2</v>
      </c>
      <c r="P18" s="64">
        <f t="shared" si="3"/>
        <v>0.95</v>
      </c>
      <c r="Q18" s="64">
        <v>0.45</v>
      </c>
      <c r="R18" s="64">
        <f t="shared" si="4"/>
        <v>0.66666666666666663</v>
      </c>
      <c r="S18" s="21">
        <f t="shared" si="8"/>
        <v>16</v>
      </c>
      <c r="T18" s="21">
        <f t="shared" si="5"/>
        <v>49</v>
      </c>
      <c r="U18" s="66">
        <f t="shared" si="11"/>
        <v>0.38461538461538464</v>
      </c>
    </row>
    <row r="19" spans="2:21" x14ac:dyDescent="0.15">
      <c r="B19" s="2">
        <v>17</v>
      </c>
      <c r="C19" s="2">
        <f t="shared" si="9"/>
        <v>2</v>
      </c>
      <c r="D19" s="66">
        <f t="shared" si="7"/>
        <v>9.1999999999999998E-2</v>
      </c>
      <c r="E19" s="64">
        <f t="shared" si="0"/>
        <v>0.20799999999999999</v>
      </c>
      <c r="F19" s="64">
        <v>0.3</v>
      </c>
      <c r="G19" s="2">
        <v>17</v>
      </c>
      <c r="H19" s="2">
        <f t="shared" si="1"/>
        <v>38</v>
      </c>
      <c r="I19" s="2">
        <f t="shared" si="2"/>
        <v>5.4117647058823529E-3</v>
      </c>
      <c r="L19" s="30"/>
      <c r="M19" s="30"/>
      <c r="N19" s="21">
        <v>17</v>
      </c>
      <c r="O19" s="21">
        <f t="shared" si="10"/>
        <v>2</v>
      </c>
      <c r="P19" s="64">
        <f t="shared" si="3"/>
        <v>0.95</v>
      </c>
      <c r="Q19" s="64">
        <v>0.45</v>
      </c>
      <c r="R19" s="64">
        <f t="shared" si="4"/>
        <v>0.66666666666666663</v>
      </c>
      <c r="S19" s="21">
        <f t="shared" si="8"/>
        <v>17</v>
      </c>
      <c r="T19" s="21">
        <f t="shared" si="5"/>
        <v>53</v>
      </c>
      <c r="U19" s="66">
        <f t="shared" si="11"/>
        <v>0.375</v>
      </c>
    </row>
    <row r="20" spans="2:21" x14ac:dyDescent="0.15">
      <c r="B20" s="2">
        <v>18</v>
      </c>
      <c r="C20" s="2">
        <f t="shared" si="9"/>
        <v>2</v>
      </c>
      <c r="D20" s="66">
        <f t="shared" si="7"/>
        <v>9.1499999999999998E-2</v>
      </c>
      <c r="E20" s="64">
        <f t="shared" si="0"/>
        <v>0.20849999999999999</v>
      </c>
      <c r="F20" s="64">
        <v>0.3</v>
      </c>
      <c r="G20" s="2">
        <v>18</v>
      </c>
      <c r="H20" s="2">
        <f t="shared" si="1"/>
        <v>41</v>
      </c>
      <c r="I20" s="2">
        <f t="shared" si="2"/>
        <v>5.0833333333333329E-3</v>
      </c>
      <c r="L20" s="30"/>
      <c r="M20" s="30"/>
      <c r="N20" s="21">
        <v>18</v>
      </c>
      <c r="O20" s="21">
        <f t="shared" si="10"/>
        <v>2</v>
      </c>
      <c r="P20" s="64">
        <f t="shared" si="3"/>
        <v>0.95</v>
      </c>
      <c r="Q20" s="64">
        <v>0.45</v>
      </c>
      <c r="R20" s="64">
        <f t="shared" si="4"/>
        <v>0.66666666666666663</v>
      </c>
      <c r="S20" s="21">
        <f t="shared" si="8"/>
        <v>18</v>
      </c>
      <c r="T20" s="21">
        <f t="shared" si="5"/>
        <v>56</v>
      </c>
      <c r="U20" s="66">
        <f t="shared" si="11"/>
        <v>0.36619718309859156</v>
      </c>
    </row>
    <row r="21" spans="2:21" x14ac:dyDescent="0.15">
      <c r="B21" s="2">
        <v>19</v>
      </c>
      <c r="C21" s="2">
        <f t="shared" si="9"/>
        <v>2</v>
      </c>
      <c r="D21" s="66">
        <f t="shared" si="7"/>
        <v>9.0999999999999998E-2</v>
      </c>
      <c r="E21" s="64">
        <f t="shared" si="0"/>
        <v>0.20899999999999999</v>
      </c>
      <c r="F21" s="64">
        <v>0.3</v>
      </c>
      <c r="G21" s="2">
        <v>19</v>
      </c>
      <c r="H21" s="2">
        <f t="shared" si="1"/>
        <v>44</v>
      </c>
      <c r="I21" s="2">
        <f t="shared" si="2"/>
        <v>4.7894736842105266E-3</v>
      </c>
      <c r="L21" s="30"/>
      <c r="M21" s="30"/>
      <c r="N21" s="21">
        <v>19</v>
      </c>
      <c r="O21" s="21">
        <f t="shared" si="10"/>
        <v>2</v>
      </c>
      <c r="P21" s="64">
        <f t="shared" si="3"/>
        <v>0.95</v>
      </c>
      <c r="Q21" s="64">
        <v>0.45</v>
      </c>
      <c r="R21" s="64">
        <f t="shared" si="4"/>
        <v>0.66666666666666663</v>
      </c>
      <c r="S21" s="21">
        <f t="shared" si="8"/>
        <v>19</v>
      </c>
      <c r="T21" s="21">
        <f t="shared" si="5"/>
        <v>59</v>
      </c>
      <c r="U21" s="66">
        <f t="shared" si="11"/>
        <v>0.35810810810810811</v>
      </c>
    </row>
    <row r="22" spans="2:21" x14ac:dyDescent="0.15">
      <c r="B22" s="2">
        <v>20</v>
      </c>
      <c r="C22" s="2">
        <f t="shared" si="9"/>
        <v>2</v>
      </c>
      <c r="D22" s="66">
        <f t="shared" si="7"/>
        <v>9.0499999999999997E-2</v>
      </c>
      <c r="E22" s="64">
        <f t="shared" si="0"/>
        <v>0.20949999999999999</v>
      </c>
      <c r="F22" s="64">
        <v>0.3</v>
      </c>
      <c r="G22" s="2">
        <v>20</v>
      </c>
      <c r="H22" s="2">
        <f t="shared" si="1"/>
        <v>46</v>
      </c>
      <c r="I22" s="2">
        <f t="shared" si="2"/>
        <v>4.5249999999999995E-3</v>
      </c>
      <c r="L22" s="30"/>
      <c r="M22" s="30"/>
      <c r="N22" s="21">
        <v>20</v>
      </c>
      <c r="O22" s="21">
        <f t="shared" si="10"/>
        <v>2</v>
      </c>
      <c r="P22" s="64">
        <f t="shared" si="3"/>
        <v>0.95</v>
      </c>
      <c r="Q22" s="64">
        <v>0.45</v>
      </c>
      <c r="R22" s="64">
        <f t="shared" si="4"/>
        <v>0.66666666666666663</v>
      </c>
      <c r="S22" s="21">
        <f t="shared" si="8"/>
        <v>20</v>
      </c>
      <c r="T22" s="21">
        <f t="shared" si="5"/>
        <v>62</v>
      </c>
      <c r="U22" s="66">
        <f t="shared" si="11"/>
        <v>0.35064935064935066</v>
      </c>
    </row>
    <row r="23" spans="2:21" x14ac:dyDescent="0.15">
      <c r="B23" s="2">
        <v>21</v>
      </c>
      <c r="C23" s="2">
        <f t="shared" si="9"/>
        <v>3</v>
      </c>
      <c r="D23" s="66">
        <f t="shared" si="7"/>
        <v>0.09</v>
      </c>
      <c r="E23" s="64">
        <f t="shared" si="0"/>
        <v>0.21</v>
      </c>
      <c r="F23" s="64">
        <v>0.3</v>
      </c>
      <c r="G23" s="2">
        <v>21</v>
      </c>
      <c r="H23" s="2">
        <f t="shared" si="1"/>
        <v>49</v>
      </c>
      <c r="I23" s="2">
        <f t="shared" si="2"/>
        <v>4.2857142857142859E-3</v>
      </c>
      <c r="L23" s="30"/>
      <c r="M23" s="30"/>
      <c r="N23" s="71">
        <v>21</v>
      </c>
      <c r="O23" s="71">
        <f t="shared" si="10"/>
        <v>3</v>
      </c>
      <c r="P23" s="64">
        <f t="shared" si="3"/>
        <v>0.95</v>
      </c>
      <c r="Q23" s="64">
        <v>0.45</v>
      </c>
      <c r="R23" s="64">
        <f t="shared" si="4"/>
        <v>0.66666666666666663</v>
      </c>
      <c r="S23" s="21">
        <f t="shared" si="8"/>
        <v>21</v>
      </c>
      <c r="T23" s="21">
        <f t="shared" si="5"/>
        <v>65</v>
      </c>
      <c r="U23" s="66">
        <f t="shared" si="11"/>
        <v>0.34375</v>
      </c>
    </row>
    <row r="24" spans="2:21" x14ac:dyDescent="0.15">
      <c r="B24" s="2">
        <v>22</v>
      </c>
      <c r="C24" s="2">
        <f t="shared" si="9"/>
        <v>3</v>
      </c>
      <c r="D24" s="66">
        <f t="shared" si="7"/>
        <v>8.9499999999999996E-2</v>
      </c>
      <c r="E24" s="64">
        <f t="shared" si="0"/>
        <v>0.21049999999999999</v>
      </c>
      <c r="F24" s="64">
        <v>0.3</v>
      </c>
      <c r="G24" s="2">
        <v>22</v>
      </c>
      <c r="H24" s="2">
        <f t="shared" si="1"/>
        <v>52</v>
      </c>
      <c r="I24" s="2">
        <f t="shared" si="2"/>
        <v>4.068181818181818E-3</v>
      </c>
      <c r="L24" s="30"/>
      <c r="M24" s="30"/>
      <c r="N24" s="21">
        <v>22</v>
      </c>
      <c r="O24" s="21">
        <f t="shared" si="10"/>
        <v>3</v>
      </c>
      <c r="P24" s="64">
        <f t="shared" si="3"/>
        <v>0.95</v>
      </c>
      <c r="Q24" s="64">
        <v>0.45</v>
      </c>
      <c r="R24" s="64">
        <f t="shared" si="4"/>
        <v>0.66666666666666663</v>
      </c>
      <c r="S24" s="21">
        <f t="shared" si="8"/>
        <v>22</v>
      </c>
      <c r="T24" s="21">
        <f t="shared" si="5"/>
        <v>68</v>
      </c>
      <c r="U24" s="66">
        <f>(S24+68)/(S24+68+N24*5)</f>
        <v>0.45</v>
      </c>
    </row>
    <row r="25" spans="2:21" x14ac:dyDescent="0.15">
      <c r="B25" s="2">
        <v>23</v>
      </c>
      <c r="C25" s="2">
        <f t="shared" si="9"/>
        <v>3</v>
      </c>
      <c r="D25" s="66">
        <f t="shared" si="7"/>
        <v>8.8999999999999996E-2</v>
      </c>
      <c r="E25" s="64">
        <f t="shared" si="0"/>
        <v>0.21099999999999999</v>
      </c>
      <c r="F25" s="64">
        <v>0.3</v>
      </c>
      <c r="G25" s="2">
        <v>23</v>
      </c>
      <c r="H25" s="2">
        <f t="shared" si="1"/>
        <v>55</v>
      </c>
      <c r="I25" s="2">
        <f t="shared" si="2"/>
        <v>3.8695652173913043E-3</v>
      </c>
      <c r="L25" s="30"/>
      <c r="M25" s="30"/>
      <c r="N25" s="21">
        <v>23</v>
      </c>
      <c r="O25" s="21">
        <f t="shared" si="10"/>
        <v>3</v>
      </c>
      <c r="P25" s="64">
        <f t="shared" si="3"/>
        <v>0.95</v>
      </c>
      <c r="Q25" s="64">
        <v>0.45</v>
      </c>
      <c r="R25" s="64">
        <f t="shared" si="4"/>
        <v>0.66666666666666663</v>
      </c>
      <c r="S25" s="21">
        <f t="shared" si="8"/>
        <v>23</v>
      </c>
      <c r="T25" s="21">
        <f t="shared" si="5"/>
        <v>71</v>
      </c>
      <c r="U25" s="66">
        <f t="shared" ref="U25:U32" si="12">(S25+68)/(S25+68+N25*5)</f>
        <v>0.44174757281553401</v>
      </c>
    </row>
    <row r="26" spans="2:21" x14ac:dyDescent="0.15">
      <c r="B26" s="2">
        <v>24</v>
      </c>
      <c r="C26" s="2">
        <f t="shared" si="9"/>
        <v>3</v>
      </c>
      <c r="D26" s="66">
        <f t="shared" si="7"/>
        <v>8.8499999999999995E-2</v>
      </c>
      <c r="E26" s="64">
        <f t="shared" si="0"/>
        <v>0.21149999999999999</v>
      </c>
      <c r="F26" s="64">
        <v>0.3</v>
      </c>
      <c r="G26" s="2">
        <v>24</v>
      </c>
      <c r="H26" s="2">
        <f t="shared" si="1"/>
        <v>57</v>
      </c>
      <c r="I26" s="2">
        <f t="shared" si="2"/>
        <v>3.6874999999999998E-3</v>
      </c>
      <c r="L26" s="30"/>
      <c r="M26" s="30"/>
      <c r="N26" s="21">
        <v>24</v>
      </c>
      <c r="O26" s="21">
        <f t="shared" si="10"/>
        <v>3</v>
      </c>
      <c r="P26" s="64">
        <f t="shared" si="3"/>
        <v>0.95</v>
      </c>
      <c r="Q26" s="64">
        <v>0.45</v>
      </c>
      <c r="R26" s="64">
        <f t="shared" si="4"/>
        <v>0.66666666666666663</v>
      </c>
      <c r="S26" s="21">
        <f t="shared" si="8"/>
        <v>24</v>
      </c>
      <c r="T26" s="21">
        <f t="shared" si="5"/>
        <v>74</v>
      </c>
      <c r="U26" s="66">
        <f t="shared" si="12"/>
        <v>0.43396226415094341</v>
      </c>
    </row>
    <row r="27" spans="2:21" x14ac:dyDescent="0.15">
      <c r="B27" s="2">
        <v>25</v>
      </c>
      <c r="C27" s="2">
        <f t="shared" si="9"/>
        <v>3</v>
      </c>
      <c r="D27" s="66">
        <f t="shared" si="7"/>
        <v>8.7999999999999995E-2</v>
      </c>
      <c r="E27" s="64">
        <f t="shared" si="0"/>
        <v>0.21199999999999999</v>
      </c>
      <c r="F27" s="64">
        <v>0.3</v>
      </c>
      <c r="G27" s="2">
        <v>25</v>
      </c>
      <c r="H27" s="2">
        <f t="shared" si="1"/>
        <v>60</v>
      </c>
      <c r="I27" s="2">
        <f t="shared" si="2"/>
        <v>3.5199999999999997E-3</v>
      </c>
      <c r="L27" s="30"/>
      <c r="M27" s="30"/>
      <c r="N27" s="21">
        <v>25</v>
      </c>
      <c r="O27" s="21">
        <f t="shared" si="10"/>
        <v>3</v>
      </c>
      <c r="P27" s="64">
        <f t="shared" si="3"/>
        <v>0.95</v>
      </c>
      <c r="Q27" s="64">
        <v>0.45</v>
      </c>
      <c r="R27" s="64">
        <f t="shared" si="4"/>
        <v>0.66666666666666663</v>
      </c>
      <c r="S27" s="21">
        <f t="shared" si="8"/>
        <v>25</v>
      </c>
      <c r="T27" s="21">
        <f t="shared" si="5"/>
        <v>77</v>
      </c>
      <c r="U27" s="66">
        <f t="shared" si="12"/>
        <v>0.42660550458715596</v>
      </c>
    </row>
    <row r="28" spans="2:21" x14ac:dyDescent="0.15">
      <c r="B28" s="2">
        <v>26</v>
      </c>
      <c r="C28" s="2">
        <f t="shared" si="9"/>
        <v>3</v>
      </c>
      <c r="D28" s="66">
        <f t="shared" si="7"/>
        <v>8.7499999999999994E-2</v>
      </c>
      <c r="E28" s="64">
        <f t="shared" si="0"/>
        <v>0.21249999999999999</v>
      </c>
      <c r="F28" s="64">
        <v>0.3</v>
      </c>
      <c r="G28" s="2">
        <v>26</v>
      </c>
      <c r="H28" s="2">
        <f t="shared" si="1"/>
        <v>63</v>
      </c>
      <c r="I28" s="2">
        <f t="shared" si="2"/>
        <v>3.3653846153846151E-3</v>
      </c>
      <c r="L28" s="30"/>
      <c r="M28" s="30"/>
      <c r="N28" s="21">
        <v>26</v>
      </c>
      <c r="O28" s="21">
        <f t="shared" si="10"/>
        <v>3</v>
      </c>
      <c r="P28" s="64">
        <f t="shared" si="3"/>
        <v>0.95</v>
      </c>
      <c r="Q28" s="64">
        <v>0.45</v>
      </c>
      <c r="R28" s="64">
        <f t="shared" si="4"/>
        <v>0.66666666666666663</v>
      </c>
      <c r="S28" s="21">
        <f t="shared" si="8"/>
        <v>26</v>
      </c>
      <c r="T28" s="21">
        <f t="shared" si="5"/>
        <v>80</v>
      </c>
      <c r="U28" s="66">
        <f t="shared" si="12"/>
        <v>0.41964285714285715</v>
      </c>
    </row>
    <row r="29" spans="2:21" x14ac:dyDescent="0.15">
      <c r="B29" s="2">
        <v>27</v>
      </c>
      <c r="C29" s="2">
        <f t="shared" si="9"/>
        <v>3</v>
      </c>
      <c r="D29" s="66">
        <f t="shared" si="7"/>
        <v>8.6999999999999994E-2</v>
      </c>
      <c r="E29" s="64">
        <f t="shared" si="0"/>
        <v>0.21299999999999999</v>
      </c>
      <c r="F29" s="64">
        <v>0.3</v>
      </c>
      <c r="G29" s="2">
        <v>27</v>
      </c>
      <c r="H29" s="2">
        <f t="shared" si="1"/>
        <v>66</v>
      </c>
      <c r="I29" s="2">
        <f t="shared" si="2"/>
        <v>3.2222222222222218E-3</v>
      </c>
      <c r="L29" s="30"/>
      <c r="M29" s="30"/>
      <c r="N29" s="21">
        <v>27</v>
      </c>
      <c r="O29" s="21">
        <f t="shared" si="10"/>
        <v>3</v>
      </c>
      <c r="P29" s="64">
        <f t="shared" si="3"/>
        <v>0.95</v>
      </c>
      <c r="Q29" s="64">
        <v>0.45</v>
      </c>
      <c r="R29" s="64">
        <f t="shared" si="4"/>
        <v>0.66666666666666663</v>
      </c>
      <c r="S29" s="21">
        <f t="shared" si="8"/>
        <v>27</v>
      </c>
      <c r="T29" s="21">
        <f t="shared" si="5"/>
        <v>83</v>
      </c>
      <c r="U29" s="66">
        <f t="shared" si="12"/>
        <v>0.41304347826086957</v>
      </c>
    </row>
    <row r="30" spans="2:21" x14ac:dyDescent="0.15">
      <c r="B30" s="2">
        <v>28</v>
      </c>
      <c r="C30" s="2">
        <f t="shared" si="9"/>
        <v>3</v>
      </c>
      <c r="D30" s="66">
        <f t="shared" si="7"/>
        <v>8.6499999999999994E-2</v>
      </c>
      <c r="E30" s="64">
        <f t="shared" si="0"/>
        <v>0.2135</v>
      </c>
      <c r="F30" s="64">
        <v>0.3</v>
      </c>
      <c r="G30" s="2">
        <v>28</v>
      </c>
      <c r="H30" s="2">
        <f t="shared" si="1"/>
        <v>69</v>
      </c>
      <c r="I30" s="2">
        <f t="shared" si="2"/>
        <v>3.0892857142857141E-3</v>
      </c>
      <c r="L30" s="30"/>
      <c r="M30" s="30"/>
      <c r="N30" s="21">
        <v>28</v>
      </c>
      <c r="O30" s="21">
        <f t="shared" si="10"/>
        <v>3</v>
      </c>
      <c r="P30" s="64">
        <f t="shared" si="3"/>
        <v>0.95</v>
      </c>
      <c r="Q30" s="64">
        <v>0.45</v>
      </c>
      <c r="R30" s="64">
        <f t="shared" si="4"/>
        <v>0.66666666666666663</v>
      </c>
      <c r="S30" s="21">
        <f t="shared" si="8"/>
        <v>28</v>
      </c>
      <c r="T30" s="21">
        <f t="shared" si="5"/>
        <v>87</v>
      </c>
      <c r="U30" s="66">
        <f t="shared" si="12"/>
        <v>0.40677966101694918</v>
      </c>
    </row>
    <row r="31" spans="2:21" x14ac:dyDescent="0.15">
      <c r="B31" s="2">
        <v>29</v>
      </c>
      <c r="C31" s="2">
        <f t="shared" si="9"/>
        <v>3</v>
      </c>
      <c r="D31" s="66">
        <f t="shared" si="7"/>
        <v>8.5999999999999993E-2</v>
      </c>
      <c r="E31" s="64">
        <f t="shared" si="0"/>
        <v>0.214</v>
      </c>
      <c r="F31" s="64">
        <v>0.3</v>
      </c>
      <c r="G31" s="2">
        <v>29</v>
      </c>
      <c r="H31" s="2">
        <f t="shared" si="1"/>
        <v>72</v>
      </c>
      <c r="I31" s="2">
        <f t="shared" si="2"/>
        <v>2.9655172413793102E-3</v>
      </c>
      <c r="L31" s="30"/>
      <c r="M31" s="30"/>
      <c r="N31" s="21">
        <v>29</v>
      </c>
      <c r="O31" s="21">
        <f t="shared" si="10"/>
        <v>3</v>
      </c>
      <c r="P31" s="64">
        <f t="shared" si="3"/>
        <v>0.95</v>
      </c>
      <c r="Q31" s="64">
        <v>0.45</v>
      </c>
      <c r="R31" s="64">
        <f t="shared" si="4"/>
        <v>0.66666666666666663</v>
      </c>
      <c r="S31" s="21">
        <f t="shared" si="8"/>
        <v>29</v>
      </c>
      <c r="T31" s="21">
        <f t="shared" si="5"/>
        <v>90</v>
      </c>
      <c r="U31" s="66">
        <f t="shared" si="12"/>
        <v>0.40082644628099173</v>
      </c>
    </row>
    <row r="32" spans="2:21" x14ac:dyDescent="0.15">
      <c r="B32" s="2">
        <v>30</v>
      </c>
      <c r="C32" s="2">
        <f t="shared" si="9"/>
        <v>3</v>
      </c>
      <c r="D32" s="66">
        <f t="shared" si="7"/>
        <v>8.5499999999999993E-2</v>
      </c>
      <c r="E32" s="64">
        <f t="shared" si="0"/>
        <v>0.2145</v>
      </c>
      <c r="F32" s="64">
        <v>0.3</v>
      </c>
      <c r="G32" s="2">
        <v>30</v>
      </c>
      <c r="H32" s="2">
        <f t="shared" si="1"/>
        <v>75</v>
      </c>
      <c r="I32" s="2">
        <f t="shared" si="2"/>
        <v>2.8499999999999997E-3</v>
      </c>
      <c r="L32" s="30"/>
      <c r="M32" s="30"/>
      <c r="N32" s="21">
        <v>30</v>
      </c>
      <c r="O32" s="21">
        <f t="shared" si="10"/>
        <v>3</v>
      </c>
      <c r="P32" s="64">
        <f t="shared" si="3"/>
        <v>0.95</v>
      </c>
      <c r="Q32" s="64">
        <v>0.45</v>
      </c>
      <c r="R32" s="64">
        <f t="shared" si="4"/>
        <v>0.66666666666666663</v>
      </c>
      <c r="S32" s="21">
        <f t="shared" si="8"/>
        <v>30</v>
      </c>
      <c r="T32" s="21">
        <f t="shared" si="5"/>
        <v>93</v>
      </c>
      <c r="U32" s="66">
        <f t="shared" si="12"/>
        <v>0.39516129032258063</v>
      </c>
    </row>
    <row r="33" spans="2:21" x14ac:dyDescent="0.15">
      <c r="B33" s="2">
        <v>31</v>
      </c>
      <c r="C33" s="2">
        <f t="shared" si="9"/>
        <v>4</v>
      </c>
      <c r="D33" s="66">
        <f t="shared" si="7"/>
        <v>8.4999999999999992E-2</v>
      </c>
      <c r="E33" s="64">
        <f t="shared" si="0"/>
        <v>0.215</v>
      </c>
      <c r="F33" s="64">
        <v>0.3</v>
      </c>
      <c r="G33" s="2">
        <v>31</v>
      </c>
      <c r="H33" s="2">
        <f t="shared" si="1"/>
        <v>78</v>
      </c>
      <c r="I33" s="2">
        <f t="shared" si="2"/>
        <v>2.7419354838709676E-3</v>
      </c>
      <c r="L33" s="30"/>
      <c r="M33" s="30"/>
      <c r="N33" s="21">
        <v>31</v>
      </c>
      <c r="O33" s="21">
        <f t="shared" si="10"/>
        <v>4</v>
      </c>
      <c r="P33" s="64">
        <f t="shared" si="3"/>
        <v>0.95</v>
      </c>
      <c r="Q33" s="64">
        <v>0.45</v>
      </c>
      <c r="R33" s="64">
        <f t="shared" si="4"/>
        <v>0.66666666666666663</v>
      </c>
      <c r="S33" s="21">
        <f t="shared" si="8"/>
        <v>31</v>
      </c>
      <c r="T33" s="21">
        <f t="shared" si="5"/>
        <v>96</v>
      </c>
      <c r="U33" s="66">
        <f>(S33+96)/(S33+96+N33*5)</f>
        <v>0.450354609929078</v>
      </c>
    </row>
    <row r="34" spans="2:21" x14ac:dyDescent="0.15">
      <c r="B34" s="2">
        <v>32</v>
      </c>
      <c r="C34" s="2">
        <f t="shared" si="9"/>
        <v>4</v>
      </c>
      <c r="D34" s="66">
        <f t="shared" si="7"/>
        <v>8.4499999999999992E-2</v>
      </c>
      <c r="E34" s="64">
        <f t="shared" si="0"/>
        <v>0.2155</v>
      </c>
      <c r="F34" s="64">
        <v>0.3</v>
      </c>
      <c r="G34" s="2">
        <v>32</v>
      </c>
      <c r="H34" s="2">
        <f t="shared" si="1"/>
        <v>82</v>
      </c>
      <c r="I34" s="2">
        <f t="shared" si="2"/>
        <v>2.6406249999999997E-3</v>
      </c>
      <c r="L34" s="30"/>
      <c r="M34" s="30"/>
      <c r="N34" s="21">
        <v>32</v>
      </c>
      <c r="O34" s="21">
        <f t="shared" si="10"/>
        <v>4</v>
      </c>
      <c r="P34" s="64">
        <f t="shared" si="3"/>
        <v>0.95</v>
      </c>
      <c r="Q34" s="64">
        <v>0.45</v>
      </c>
      <c r="R34" s="64">
        <f t="shared" si="4"/>
        <v>0.66666666666666663</v>
      </c>
      <c r="S34" s="21">
        <f t="shared" si="8"/>
        <v>32</v>
      </c>
      <c r="T34" s="21">
        <f t="shared" si="5"/>
        <v>99</v>
      </c>
      <c r="U34" s="66">
        <f t="shared" ref="U34:U42" si="13">(S34+96)/(S34+96+N34*5)</f>
        <v>0.44444444444444442</v>
      </c>
    </row>
    <row r="35" spans="2:21" x14ac:dyDescent="0.15">
      <c r="B35" s="2">
        <v>33</v>
      </c>
      <c r="C35" s="2">
        <f t="shared" si="9"/>
        <v>4</v>
      </c>
      <c r="D35" s="66">
        <f t="shared" si="7"/>
        <v>8.3999999999999991E-2</v>
      </c>
      <c r="E35" s="64">
        <f t="shared" si="0"/>
        <v>0.216</v>
      </c>
      <c r="F35" s="64">
        <v>0.3</v>
      </c>
      <c r="G35" s="2">
        <v>33</v>
      </c>
      <c r="H35" s="2">
        <f t="shared" si="1"/>
        <v>85</v>
      </c>
      <c r="I35" s="2">
        <f t="shared" si="2"/>
        <v>2.5454545454545452E-3</v>
      </c>
      <c r="L35" s="30"/>
      <c r="M35" s="30"/>
      <c r="N35" s="21">
        <v>33</v>
      </c>
      <c r="O35" s="21">
        <f t="shared" si="10"/>
        <v>4</v>
      </c>
      <c r="P35" s="64">
        <f t="shared" si="3"/>
        <v>0.95</v>
      </c>
      <c r="Q35" s="64">
        <v>0.45</v>
      </c>
      <c r="R35" s="64">
        <f t="shared" si="4"/>
        <v>0.66666666666666663</v>
      </c>
      <c r="S35" s="21">
        <f t="shared" si="8"/>
        <v>33</v>
      </c>
      <c r="T35" s="21">
        <f t="shared" si="5"/>
        <v>102</v>
      </c>
      <c r="U35" s="66">
        <f t="shared" si="13"/>
        <v>0.43877551020408162</v>
      </c>
    </row>
    <row r="36" spans="2:21" x14ac:dyDescent="0.15">
      <c r="B36" s="2">
        <v>34</v>
      </c>
      <c r="C36" s="2">
        <f t="shared" si="9"/>
        <v>4</v>
      </c>
      <c r="D36" s="66">
        <f t="shared" si="7"/>
        <v>8.3499999999999991E-2</v>
      </c>
      <c r="E36" s="64">
        <f t="shared" si="0"/>
        <v>0.2165</v>
      </c>
      <c r="F36" s="64">
        <v>0.3</v>
      </c>
      <c r="G36" s="2">
        <v>34</v>
      </c>
      <c r="H36" s="2">
        <f t="shared" si="1"/>
        <v>88</v>
      </c>
      <c r="I36" s="2">
        <f t="shared" si="2"/>
        <v>2.4558823529411762E-3</v>
      </c>
      <c r="L36" s="30"/>
      <c r="M36" s="30"/>
      <c r="N36" s="21">
        <v>34</v>
      </c>
      <c r="O36" s="21">
        <f t="shared" si="10"/>
        <v>4</v>
      </c>
      <c r="P36" s="64">
        <f t="shared" si="3"/>
        <v>0.95</v>
      </c>
      <c r="Q36" s="64">
        <v>0.45</v>
      </c>
      <c r="R36" s="64">
        <f t="shared" si="4"/>
        <v>0.66666666666666663</v>
      </c>
      <c r="S36" s="21">
        <f t="shared" si="8"/>
        <v>34</v>
      </c>
      <c r="T36" s="21">
        <f t="shared" si="5"/>
        <v>105</v>
      </c>
      <c r="U36" s="66">
        <f t="shared" si="13"/>
        <v>0.43333333333333335</v>
      </c>
    </row>
    <row r="37" spans="2:21" x14ac:dyDescent="0.15">
      <c r="B37" s="2">
        <v>35</v>
      </c>
      <c r="C37" s="2">
        <f t="shared" si="9"/>
        <v>4</v>
      </c>
      <c r="D37" s="66">
        <f t="shared" si="7"/>
        <v>8.299999999999999E-2</v>
      </c>
      <c r="E37" s="64">
        <f t="shared" si="0"/>
        <v>0.217</v>
      </c>
      <c r="F37" s="64">
        <v>0.3</v>
      </c>
      <c r="G37" s="2">
        <v>35</v>
      </c>
      <c r="H37" s="2">
        <f t="shared" si="1"/>
        <v>92</v>
      </c>
      <c r="I37" s="2">
        <f t="shared" si="2"/>
        <v>2.3714285714285712E-3</v>
      </c>
      <c r="L37" s="30"/>
      <c r="M37" s="30"/>
      <c r="N37" s="21">
        <v>35</v>
      </c>
      <c r="O37" s="21">
        <f t="shared" si="10"/>
        <v>4</v>
      </c>
      <c r="P37" s="64">
        <f t="shared" si="3"/>
        <v>0.95</v>
      </c>
      <c r="Q37" s="64">
        <v>0.45</v>
      </c>
      <c r="R37" s="64">
        <f t="shared" si="4"/>
        <v>0.66666666666666663</v>
      </c>
      <c r="S37" s="21">
        <f t="shared" si="8"/>
        <v>35</v>
      </c>
      <c r="T37" s="21">
        <f t="shared" si="5"/>
        <v>108</v>
      </c>
      <c r="U37" s="66">
        <f t="shared" si="13"/>
        <v>0.42810457516339867</v>
      </c>
    </row>
    <row r="38" spans="2:21" x14ac:dyDescent="0.15">
      <c r="B38" s="2">
        <v>36</v>
      </c>
      <c r="C38" s="2">
        <f t="shared" si="9"/>
        <v>4</v>
      </c>
      <c r="D38" s="66">
        <f t="shared" si="7"/>
        <v>8.249999999999999E-2</v>
      </c>
      <c r="E38" s="64">
        <f t="shared" si="0"/>
        <v>0.2175</v>
      </c>
      <c r="F38" s="64">
        <v>0.3</v>
      </c>
      <c r="G38" s="2">
        <v>36</v>
      </c>
      <c r="H38" s="2">
        <f t="shared" si="1"/>
        <v>95</v>
      </c>
      <c r="I38" s="2">
        <f t="shared" si="2"/>
        <v>2.2916666666666662E-3</v>
      </c>
      <c r="L38" s="30"/>
      <c r="M38" s="30"/>
      <c r="N38" s="21">
        <v>36</v>
      </c>
      <c r="O38" s="21">
        <f t="shared" si="10"/>
        <v>4</v>
      </c>
      <c r="P38" s="64">
        <f t="shared" si="3"/>
        <v>0.95</v>
      </c>
      <c r="Q38" s="64">
        <v>0.45</v>
      </c>
      <c r="R38" s="64">
        <f t="shared" si="4"/>
        <v>0.66666666666666663</v>
      </c>
      <c r="S38" s="21">
        <f t="shared" si="8"/>
        <v>36</v>
      </c>
      <c r="T38" s="21">
        <f t="shared" si="5"/>
        <v>111</v>
      </c>
      <c r="U38" s="66">
        <f t="shared" si="13"/>
        <v>0.42307692307692307</v>
      </c>
    </row>
    <row r="39" spans="2:21" x14ac:dyDescent="0.15">
      <c r="B39" s="2">
        <v>37</v>
      </c>
      <c r="C39" s="2">
        <f t="shared" si="9"/>
        <v>4</v>
      </c>
      <c r="D39" s="66">
        <f t="shared" si="7"/>
        <v>8.199999999999999E-2</v>
      </c>
      <c r="E39" s="64">
        <f t="shared" si="0"/>
        <v>0.218</v>
      </c>
      <c r="F39" s="64">
        <v>0.3</v>
      </c>
      <c r="G39" s="2">
        <v>37</v>
      </c>
      <c r="H39" s="2">
        <f t="shared" si="1"/>
        <v>98</v>
      </c>
      <c r="I39" s="2">
        <f t="shared" si="2"/>
        <v>2.216216216216216E-3</v>
      </c>
      <c r="L39" s="30"/>
      <c r="M39" s="30"/>
      <c r="N39" s="21">
        <v>37</v>
      </c>
      <c r="O39" s="21">
        <f t="shared" si="10"/>
        <v>4</v>
      </c>
      <c r="P39" s="64">
        <f t="shared" si="3"/>
        <v>0.95</v>
      </c>
      <c r="Q39" s="64">
        <v>0.45</v>
      </c>
      <c r="R39" s="64">
        <f t="shared" si="4"/>
        <v>0.66666666666666663</v>
      </c>
      <c r="S39" s="21">
        <f t="shared" si="8"/>
        <v>37</v>
      </c>
      <c r="T39" s="21">
        <f t="shared" si="5"/>
        <v>114</v>
      </c>
      <c r="U39" s="66">
        <f t="shared" si="13"/>
        <v>0.41823899371069184</v>
      </c>
    </row>
    <row r="40" spans="2:21" x14ac:dyDescent="0.15">
      <c r="B40" s="2">
        <v>38</v>
      </c>
      <c r="C40" s="2">
        <f t="shared" si="9"/>
        <v>4</v>
      </c>
      <c r="D40" s="66">
        <f t="shared" si="7"/>
        <v>8.1499999999999989E-2</v>
      </c>
      <c r="E40" s="64">
        <f t="shared" si="0"/>
        <v>0.2185</v>
      </c>
      <c r="F40" s="64">
        <v>0.3</v>
      </c>
      <c r="G40" s="2">
        <v>38</v>
      </c>
      <c r="H40" s="2">
        <f t="shared" si="1"/>
        <v>102</v>
      </c>
      <c r="I40" s="2">
        <f t="shared" si="2"/>
        <v>2.1447368421052631E-3</v>
      </c>
      <c r="L40" s="30"/>
      <c r="M40" s="30"/>
      <c r="N40" s="21">
        <v>38</v>
      </c>
      <c r="O40" s="21">
        <f t="shared" si="10"/>
        <v>4</v>
      </c>
      <c r="P40" s="64">
        <f t="shared" si="3"/>
        <v>0.95</v>
      </c>
      <c r="Q40" s="64">
        <v>0.45</v>
      </c>
      <c r="R40" s="64">
        <f t="shared" si="4"/>
        <v>0.66666666666666663</v>
      </c>
      <c r="S40" s="21">
        <f t="shared" si="8"/>
        <v>38</v>
      </c>
      <c r="T40" s="21">
        <f t="shared" si="5"/>
        <v>117</v>
      </c>
      <c r="U40" s="66">
        <f t="shared" si="13"/>
        <v>0.41358024691358025</v>
      </c>
    </row>
    <row r="41" spans="2:21" x14ac:dyDescent="0.15">
      <c r="B41" s="2">
        <v>39</v>
      </c>
      <c r="C41" s="2">
        <f t="shared" si="9"/>
        <v>4</v>
      </c>
      <c r="D41" s="66">
        <f t="shared" si="7"/>
        <v>8.0999999999999989E-2</v>
      </c>
      <c r="E41" s="64">
        <f t="shared" si="0"/>
        <v>0.219</v>
      </c>
      <c r="F41" s="64">
        <v>0.3</v>
      </c>
      <c r="G41" s="2">
        <v>39</v>
      </c>
      <c r="H41" s="2">
        <f t="shared" si="1"/>
        <v>105</v>
      </c>
      <c r="I41" s="2">
        <f t="shared" si="2"/>
        <v>2.0769230769230765E-3</v>
      </c>
      <c r="L41" s="30"/>
      <c r="M41" s="30"/>
      <c r="N41" s="21">
        <v>39</v>
      </c>
      <c r="O41" s="21">
        <f t="shared" si="10"/>
        <v>4</v>
      </c>
      <c r="P41" s="64">
        <f t="shared" si="3"/>
        <v>0.95</v>
      </c>
      <c r="Q41" s="64">
        <v>0.45</v>
      </c>
      <c r="R41" s="64">
        <f t="shared" si="4"/>
        <v>0.66666666666666663</v>
      </c>
      <c r="S41" s="21">
        <f t="shared" si="8"/>
        <v>39</v>
      </c>
      <c r="T41" s="21">
        <f t="shared" si="5"/>
        <v>121</v>
      </c>
      <c r="U41" s="66">
        <f t="shared" si="13"/>
        <v>0.40909090909090912</v>
      </c>
    </row>
    <row r="42" spans="2:21" x14ac:dyDescent="0.15">
      <c r="B42" s="2">
        <v>40</v>
      </c>
      <c r="C42" s="2">
        <f t="shared" si="9"/>
        <v>4</v>
      </c>
      <c r="D42" s="66">
        <f t="shared" si="7"/>
        <v>8.0499999999999988E-2</v>
      </c>
      <c r="E42" s="64">
        <f t="shared" si="0"/>
        <v>0.2195</v>
      </c>
      <c r="F42" s="64">
        <v>0.3</v>
      </c>
      <c r="G42" s="2">
        <v>40</v>
      </c>
      <c r="H42" s="2">
        <f t="shared" si="1"/>
        <v>109</v>
      </c>
      <c r="I42" s="2">
        <f t="shared" si="2"/>
        <v>2.0124999999999995E-3</v>
      </c>
      <c r="L42" s="30"/>
      <c r="M42" s="30"/>
      <c r="N42" s="21">
        <v>40</v>
      </c>
      <c r="O42" s="21">
        <f t="shared" si="10"/>
        <v>4</v>
      </c>
      <c r="P42" s="64">
        <f t="shared" si="3"/>
        <v>0.95</v>
      </c>
      <c r="Q42" s="64">
        <v>0.45</v>
      </c>
      <c r="R42" s="64">
        <f t="shared" si="4"/>
        <v>0.66666666666666663</v>
      </c>
      <c r="S42" s="21">
        <f t="shared" si="8"/>
        <v>40</v>
      </c>
      <c r="T42" s="21">
        <f t="shared" si="5"/>
        <v>124</v>
      </c>
      <c r="U42" s="66">
        <f t="shared" si="13"/>
        <v>0.40476190476190477</v>
      </c>
    </row>
    <row r="43" spans="2:21" x14ac:dyDescent="0.15">
      <c r="B43" s="2">
        <v>41</v>
      </c>
      <c r="C43" s="2">
        <f t="shared" si="9"/>
        <v>5</v>
      </c>
      <c r="D43" s="66">
        <f t="shared" si="7"/>
        <v>7.9999999999999988E-2</v>
      </c>
      <c r="E43" s="64">
        <f t="shared" si="0"/>
        <v>0.22</v>
      </c>
      <c r="F43" s="64">
        <v>0.3</v>
      </c>
      <c r="G43" s="2">
        <v>41</v>
      </c>
      <c r="H43" s="2">
        <f t="shared" si="1"/>
        <v>113</v>
      </c>
      <c r="I43" s="2">
        <f t="shared" si="2"/>
        <v>1.9512195121951217E-3</v>
      </c>
      <c r="L43" s="30"/>
      <c r="M43" s="30"/>
      <c r="N43" s="21">
        <v>41</v>
      </c>
      <c r="O43" s="21">
        <f t="shared" si="10"/>
        <v>5</v>
      </c>
      <c r="P43" s="64">
        <f t="shared" si="3"/>
        <v>0.95</v>
      </c>
      <c r="Q43" s="64">
        <v>0.45</v>
      </c>
      <c r="R43" s="64">
        <f t="shared" si="4"/>
        <v>0.66666666666666663</v>
      </c>
      <c r="S43" s="21">
        <f t="shared" si="8"/>
        <v>41</v>
      </c>
      <c r="T43" s="21">
        <f t="shared" si="5"/>
        <v>127</v>
      </c>
      <c r="U43" s="66">
        <f>(S43+127)/(S43+127+N43*5)</f>
        <v>0.45040214477211798</v>
      </c>
    </row>
    <row r="44" spans="2:21" x14ac:dyDescent="0.15">
      <c r="B44" s="2">
        <v>42</v>
      </c>
      <c r="C44" s="2">
        <f t="shared" si="9"/>
        <v>5</v>
      </c>
      <c r="D44" s="66">
        <f t="shared" si="7"/>
        <v>7.9499999999999987E-2</v>
      </c>
      <c r="E44" s="64">
        <f t="shared" si="0"/>
        <v>0.2205</v>
      </c>
      <c r="F44" s="64">
        <v>0.3</v>
      </c>
      <c r="G44" s="2">
        <v>42</v>
      </c>
      <c r="H44" s="2">
        <f t="shared" si="1"/>
        <v>116</v>
      </c>
      <c r="I44" s="2">
        <f t="shared" si="2"/>
        <v>1.8928571428571425E-3</v>
      </c>
      <c r="L44" s="30"/>
      <c r="M44" s="30"/>
      <c r="N44" s="21">
        <v>42</v>
      </c>
      <c r="O44" s="21">
        <f t="shared" si="10"/>
        <v>5</v>
      </c>
      <c r="P44" s="64">
        <f t="shared" si="3"/>
        <v>0.95</v>
      </c>
      <c r="Q44" s="64">
        <v>0.45</v>
      </c>
      <c r="R44" s="64">
        <f t="shared" si="4"/>
        <v>0.66666666666666663</v>
      </c>
      <c r="S44" s="21">
        <f t="shared" si="8"/>
        <v>42</v>
      </c>
      <c r="T44" s="21">
        <f t="shared" si="5"/>
        <v>130</v>
      </c>
      <c r="U44" s="66">
        <f t="shared" ref="U44:U101" si="14">(S44+127)/(S44+127+N44*5)</f>
        <v>0.44591029023746703</v>
      </c>
    </row>
    <row r="45" spans="2:21" x14ac:dyDescent="0.15">
      <c r="B45" s="2">
        <v>43</v>
      </c>
      <c r="C45" s="2">
        <f t="shared" si="9"/>
        <v>5</v>
      </c>
      <c r="D45" s="66">
        <f t="shared" si="7"/>
        <v>7.8999999999999987E-2</v>
      </c>
      <c r="E45" s="64">
        <f t="shared" si="0"/>
        <v>0.221</v>
      </c>
      <c r="F45" s="64">
        <v>0.3</v>
      </c>
      <c r="G45" s="2">
        <v>43</v>
      </c>
      <c r="H45" s="2">
        <f t="shared" si="1"/>
        <v>120</v>
      </c>
      <c r="I45" s="2">
        <f t="shared" si="2"/>
        <v>1.837209302325581E-3</v>
      </c>
      <c r="L45" s="30"/>
      <c r="M45" s="30"/>
      <c r="N45" s="21">
        <v>43</v>
      </c>
      <c r="O45" s="21">
        <f t="shared" si="10"/>
        <v>5</v>
      </c>
      <c r="P45" s="64">
        <f t="shared" si="3"/>
        <v>0.95</v>
      </c>
      <c r="Q45" s="64">
        <v>0.45</v>
      </c>
      <c r="R45" s="64">
        <f t="shared" si="4"/>
        <v>0.66666666666666663</v>
      </c>
      <c r="S45" s="21">
        <f t="shared" si="8"/>
        <v>43</v>
      </c>
      <c r="T45" s="21">
        <f t="shared" si="5"/>
        <v>133</v>
      </c>
      <c r="U45" s="66">
        <f t="shared" si="14"/>
        <v>0.44155844155844154</v>
      </c>
    </row>
    <row r="46" spans="2:21" x14ac:dyDescent="0.15">
      <c r="B46" s="2">
        <v>44</v>
      </c>
      <c r="C46" s="2">
        <f t="shared" si="9"/>
        <v>5</v>
      </c>
      <c r="D46" s="66">
        <f t="shared" si="7"/>
        <v>7.8499999999999986E-2</v>
      </c>
      <c r="E46" s="64">
        <f t="shared" si="0"/>
        <v>0.2215</v>
      </c>
      <c r="F46" s="64">
        <v>0.3</v>
      </c>
      <c r="G46" s="2">
        <v>44</v>
      </c>
      <c r="H46" s="2">
        <f t="shared" si="1"/>
        <v>124</v>
      </c>
      <c r="I46" s="2">
        <f t="shared" si="2"/>
        <v>1.7840909090909088E-3</v>
      </c>
      <c r="L46" s="30"/>
      <c r="M46" s="30"/>
      <c r="N46" s="21">
        <v>44</v>
      </c>
      <c r="O46" s="21">
        <f t="shared" si="10"/>
        <v>5</v>
      </c>
      <c r="P46" s="64">
        <f t="shared" si="3"/>
        <v>0.95</v>
      </c>
      <c r="Q46" s="64">
        <v>0.45</v>
      </c>
      <c r="R46" s="64">
        <f t="shared" si="4"/>
        <v>0.66666666666666663</v>
      </c>
      <c r="S46" s="21">
        <f t="shared" si="8"/>
        <v>44</v>
      </c>
      <c r="T46" s="21">
        <f t="shared" si="5"/>
        <v>136</v>
      </c>
      <c r="U46" s="66">
        <f t="shared" si="14"/>
        <v>0.4373401534526854</v>
      </c>
    </row>
    <row r="47" spans="2:21" x14ac:dyDescent="0.15">
      <c r="B47" s="2">
        <v>45</v>
      </c>
      <c r="C47" s="2">
        <f t="shared" si="9"/>
        <v>5</v>
      </c>
      <c r="D47" s="66">
        <f t="shared" si="7"/>
        <v>7.7999999999999986E-2</v>
      </c>
      <c r="E47" s="64">
        <f t="shared" si="0"/>
        <v>0.222</v>
      </c>
      <c r="F47" s="64">
        <v>0.3</v>
      </c>
      <c r="G47" s="2">
        <v>45</v>
      </c>
      <c r="H47" s="2">
        <f t="shared" si="1"/>
        <v>128</v>
      </c>
      <c r="I47" s="2">
        <f t="shared" si="2"/>
        <v>1.733333333333333E-3</v>
      </c>
      <c r="L47" s="30"/>
      <c r="M47" s="30"/>
      <c r="N47" s="21">
        <v>45</v>
      </c>
      <c r="O47" s="21">
        <f t="shared" si="10"/>
        <v>5</v>
      </c>
      <c r="P47" s="64">
        <f t="shared" si="3"/>
        <v>0.95</v>
      </c>
      <c r="Q47" s="64">
        <v>0.45</v>
      </c>
      <c r="R47" s="64">
        <f t="shared" si="4"/>
        <v>0.66666666666666663</v>
      </c>
      <c r="S47" s="21">
        <f t="shared" si="8"/>
        <v>45</v>
      </c>
      <c r="T47" s="21">
        <f t="shared" si="5"/>
        <v>139</v>
      </c>
      <c r="U47" s="66">
        <f t="shared" si="14"/>
        <v>0.43324937027707811</v>
      </c>
    </row>
    <row r="48" spans="2:21" x14ac:dyDescent="0.15">
      <c r="B48" s="2">
        <v>46</v>
      </c>
      <c r="C48" s="2">
        <f t="shared" si="9"/>
        <v>5</v>
      </c>
      <c r="D48" s="66">
        <f t="shared" si="7"/>
        <v>7.7499999999999986E-2</v>
      </c>
      <c r="E48" s="64">
        <f t="shared" si="0"/>
        <v>0.2225</v>
      </c>
      <c r="F48" s="64">
        <v>0.3</v>
      </c>
      <c r="G48" s="2">
        <v>46</v>
      </c>
      <c r="H48" s="2">
        <f t="shared" si="1"/>
        <v>132</v>
      </c>
      <c r="I48" s="2">
        <f t="shared" si="2"/>
        <v>1.6847826086956519E-3</v>
      </c>
      <c r="L48" s="30"/>
      <c r="M48" s="30"/>
      <c r="N48" s="21">
        <v>46</v>
      </c>
      <c r="O48" s="21">
        <f t="shared" si="10"/>
        <v>5</v>
      </c>
      <c r="P48" s="64">
        <f t="shared" si="3"/>
        <v>0.95</v>
      </c>
      <c r="Q48" s="64">
        <v>0.45</v>
      </c>
      <c r="R48" s="64">
        <f t="shared" si="4"/>
        <v>0.66666666666666663</v>
      </c>
      <c r="S48" s="21">
        <f t="shared" si="8"/>
        <v>46</v>
      </c>
      <c r="T48" s="21">
        <f t="shared" si="5"/>
        <v>142</v>
      </c>
      <c r="U48" s="66">
        <f t="shared" si="14"/>
        <v>0.4292803970223325</v>
      </c>
    </row>
    <row r="49" spans="2:21" x14ac:dyDescent="0.15">
      <c r="B49" s="2">
        <v>47</v>
      </c>
      <c r="C49" s="2">
        <f t="shared" si="9"/>
        <v>5</v>
      </c>
      <c r="D49" s="66">
        <f t="shared" si="7"/>
        <v>7.6999999999999985E-2</v>
      </c>
      <c r="E49" s="64">
        <f t="shared" si="0"/>
        <v>0.223</v>
      </c>
      <c r="F49" s="64">
        <v>0.3</v>
      </c>
      <c r="G49" s="2">
        <v>47</v>
      </c>
      <c r="H49" s="2">
        <f t="shared" si="1"/>
        <v>136</v>
      </c>
      <c r="I49" s="2">
        <f t="shared" si="2"/>
        <v>1.6382978723404253E-3</v>
      </c>
      <c r="L49" s="30"/>
      <c r="M49" s="30"/>
      <c r="N49" s="21">
        <v>47</v>
      </c>
      <c r="O49" s="21">
        <f t="shared" si="10"/>
        <v>5</v>
      </c>
      <c r="P49" s="64">
        <f t="shared" si="3"/>
        <v>0.95</v>
      </c>
      <c r="Q49" s="64">
        <v>0.45</v>
      </c>
      <c r="R49" s="64">
        <f t="shared" si="4"/>
        <v>0.66666666666666663</v>
      </c>
      <c r="S49" s="21">
        <f t="shared" si="8"/>
        <v>47</v>
      </c>
      <c r="T49" s="21">
        <f t="shared" si="5"/>
        <v>145</v>
      </c>
      <c r="U49" s="66">
        <f t="shared" si="14"/>
        <v>0.42542787286063571</v>
      </c>
    </row>
    <row r="50" spans="2:21" x14ac:dyDescent="0.15">
      <c r="B50" s="2">
        <v>48</v>
      </c>
      <c r="C50" s="2">
        <f t="shared" si="9"/>
        <v>5</v>
      </c>
      <c r="D50" s="66">
        <f t="shared" si="7"/>
        <v>7.6499999999999985E-2</v>
      </c>
      <c r="E50" s="64">
        <f t="shared" si="0"/>
        <v>0.2235</v>
      </c>
      <c r="F50" s="64">
        <v>0.3</v>
      </c>
      <c r="G50" s="2">
        <v>48</v>
      </c>
      <c r="H50" s="2">
        <f t="shared" si="1"/>
        <v>140</v>
      </c>
      <c r="I50" s="2">
        <f t="shared" si="2"/>
        <v>1.5937499999999997E-3</v>
      </c>
      <c r="L50" s="30"/>
      <c r="M50" s="30"/>
      <c r="N50" s="21">
        <v>48</v>
      </c>
      <c r="O50" s="21">
        <f t="shared" si="10"/>
        <v>5</v>
      </c>
      <c r="P50" s="64">
        <f t="shared" si="3"/>
        <v>0.95</v>
      </c>
      <c r="Q50" s="64">
        <v>0.45</v>
      </c>
      <c r="R50" s="64">
        <f t="shared" si="4"/>
        <v>0.66666666666666663</v>
      </c>
      <c r="S50" s="21">
        <f t="shared" si="8"/>
        <v>48</v>
      </c>
      <c r="T50" s="21">
        <f t="shared" si="5"/>
        <v>148</v>
      </c>
      <c r="U50" s="66">
        <f t="shared" si="14"/>
        <v>0.42168674698795183</v>
      </c>
    </row>
    <row r="51" spans="2:21" x14ac:dyDescent="0.15">
      <c r="B51" s="2">
        <v>49</v>
      </c>
      <c r="C51" s="2">
        <f t="shared" si="9"/>
        <v>5</v>
      </c>
      <c r="D51" s="66">
        <f t="shared" si="7"/>
        <v>7.5999999999999984E-2</v>
      </c>
      <c r="E51" s="64">
        <f t="shared" si="0"/>
        <v>0.224</v>
      </c>
      <c r="F51" s="64">
        <v>0.3</v>
      </c>
      <c r="G51" s="2">
        <v>49</v>
      </c>
      <c r="H51" s="2">
        <f t="shared" si="1"/>
        <v>144</v>
      </c>
      <c r="I51" s="2">
        <f t="shared" si="2"/>
        <v>1.5510204081632651E-3</v>
      </c>
      <c r="L51" s="30"/>
      <c r="M51" s="30"/>
      <c r="N51" s="21">
        <v>49</v>
      </c>
      <c r="O51" s="21">
        <f t="shared" si="10"/>
        <v>5</v>
      </c>
      <c r="P51" s="64">
        <f t="shared" si="3"/>
        <v>0.95</v>
      </c>
      <c r="Q51" s="64">
        <v>0.45</v>
      </c>
      <c r="R51" s="64">
        <f t="shared" si="4"/>
        <v>0.66666666666666663</v>
      </c>
      <c r="S51" s="21">
        <f t="shared" si="8"/>
        <v>49</v>
      </c>
      <c r="T51" s="21">
        <f t="shared" si="5"/>
        <v>151</v>
      </c>
      <c r="U51" s="66">
        <f t="shared" si="14"/>
        <v>0.41805225653206651</v>
      </c>
    </row>
    <row r="52" spans="2:21" x14ac:dyDescent="0.15">
      <c r="B52" s="2">
        <v>50</v>
      </c>
      <c r="C52" s="2">
        <f t="shared" si="9"/>
        <v>5</v>
      </c>
      <c r="D52" s="66">
        <f t="shared" si="7"/>
        <v>7.5499999999999984E-2</v>
      </c>
      <c r="E52" s="64">
        <f t="shared" si="0"/>
        <v>0.22450000000000001</v>
      </c>
      <c r="F52" s="64">
        <v>0.3</v>
      </c>
      <c r="G52" s="2">
        <v>50</v>
      </c>
      <c r="H52" s="2">
        <f t="shared" si="1"/>
        <v>149</v>
      </c>
      <c r="I52" s="2">
        <f t="shared" si="2"/>
        <v>1.5099999999999996E-3</v>
      </c>
      <c r="L52" s="30"/>
      <c r="M52" s="30"/>
      <c r="N52" s="21">
        <v>50</v>
      </c>
      <c r="O52" s="21">
        <f t="shared" si="10"/>
        <v>5</v>
      </c>
      <c r="P52" s="64">
        <f t="shared" si="3"/>
        <v>0.95</v>
      </c>
      <c r="Q52" s="64">
        <v>0.45</v>
      </c>
      <c r="R52" s="64">
        <f t="shared" si="4"/>
        <v>0.66666666666666663</v>
      </c>
      <c r="S52" s="21">
        <f t="shared" si="8"/>
        <v>50</v>
      </c>
      <c r="T52" s="21">
        <f t="shared" si="5"/>
        <v>155</v>
      </c>
      <c r="U52" s="66">
        <f t="shared" si="14"/>
        <v>0.41451990632318503</v>
      </c>
    </row>
    <row r="53" spans="2:21" x14ac:dyDescent="0.15">
      <c r="B53" s="2">
        <v>51</v>
      </c>
      <c r="C53" s="2">
        <f t="shared" si="9"/>
        <v>6</v>
      </c>
      <c r="D53" s="66">
        <f t="shared" si="7"/>
        <v>7.4999999999999983E-2</v>
      </c>
      <c r="E53" s="64">
        <f t="shared" si="0"/>
        <v>0.22500000000000001</v>
      </c>
      <c r="F53" s="64">
        <v>0.3</v>
      </c>
      <c r="G53" s="2">
        <v>51</v>
      </c>
      <c r="H53" s="2">
        <f t="shared" si="1"/>
        <v>153</v>
      </c>
      <c r="I53" s="2">
        <f t="shared" si="2"/>
        <v>1.4705882352941174E-3</v>
      </c>
      <c r="L53" s="30"/>
      <c r="M53" s="30"/>
      <c r="N53" s="21">
        <v>51</v>
      </c>
      <c r="O53" s="21">
        <f t="shared" si="10"/>
        <v>6</v>
      </c>
      <c r="P53" s="64">
        <f t="shared" si="3"/>
        <v>0.95</v>
      </c>
      <c r="Q53" s="64">
        <v>0.45</v>
      </c>
      <c r="R53" s="64">
        <f t="shared" si="4"/>
        <v>0.66666666666666663</v>
      </c>
      <c r="S53" s="21">
        <f t="shared" si="8"/>
        <v>51</v>
      </c>
      <c r="T53" s="21">
        <f t="shared" si="5"/>
        <v>158</v>
      </c>
      <c r="U53" s="66">
        <f t="shared" si="14"/>
        <v>0.4110854503464203</v>
      </c>
    </row>
    <row r="54" spans="2:21" x14ac:dyDescent="0.15">
      <c r="B54" s="2">
        <v>52</v>
      </c>
      <c r="C54" s="2">
        <f t="shared" si="9"/>
        <v>6</v>
      </c>
      <c r="D54" s="66">
        <f t="shared" si="7"/>
        <v>7.4499999999999983E-2</v>
      </c>
      <c r="E54" s="64">
        <f t="shared" si="0"/>
        <v>0.22550000000000001</v>
      </c>
      <c r="F54" s="64">
        <v>0.3</v>
      </c>
      <c r="G54" s="2">
        <v>52</v>
      </c>
      <c r="H54" s="2">
        <f t="shared" si="1"/>
        <v>157</v>
      </c>
      <c r="I54" s="2">
        <f t="shared" si="2"/>
        <v>1.4326923076923073E-3</v>
      </c>
      <c r="L54" s="30"/>
      <c r="M54" s="30"/>
      <c r="N54" s="21">
        <v>52</v>
      </c>
      <c r="O54" s="21">
        <f t="shared" si="10"/>
        <v>6</v>
      </c>
      <c r="P54" s="64">
        <f t="shared" si="3"/>
        <v>0.95</v>
      </c>
      <c r="Q54" s="64">
        <v>0.45</v>
      </c>
      <c r="R54" s="64">
        <f t="shared" si="4"/>
        <v>0.66666666666666663</v>
      </c>
      <c r="S54" s="21">
        <f t="shared" si="8"/>
        <v>52</v>
      </c>
      <c r="T54" s="21">
        <f t="shared" si="5"/>
        <v>161</v>
      </c>
      <c r="U54" s="66">
        <f t="shared" si="14"/>
        <v>0.40774487471526194</v>
      </c>
    </row>
    <row r="55" spans="2:21" x14ac:dyDescent="0.15">
      <c r="B55" s="2">
        <v>53</v>
      </c>
      <c r="C55" s="2">
        <f t="shared" si="9"/>
        <v>6</v>
      </c>
      <c r="D55" s="66">
        <f t="shared" si="7"/>
        <v>7.3999999999999982E-2</v>
      </c>
      <c r="E55" s="64">
        <f t="shared" si="0"/>
        <v>0.22600000000000001</v>
      </c>
      <c r="F55" s="64">
        <v>0.3</v>
      </c>
      <c r="G55" s="2">
        <v>53</v>
      </c>
      <c r="H55" s="2">
        <f t="shared" si="1"/>
        <v>162</v>
      </c>
      <c r="I55" s="2">
        <f t="shared" si="2"/>
        <v>1.3962264150943393E-3</v>
      </c>
      <c r="L55" s="30"/>
      <c r="M55" s="30"/>
      <c r="N55" s="21">
        <v>53</v>
      </c>
      <c r="O55" s="21">
        <f t="shared" si="10"/>
        <v>6</v>
      </c>
      <c r="P55" s="64">
        <f t="shared" si="3"/>
        <v>0.95</v>
      </c>
      <c r="Q55" s="64">
        <v>0.45</v>
      </c>
      <c r="R55" s="64">
        <f t="shared" si="4"/>
        <v>0.66666666666666663</v>
      </c>
      <c r="S55" s="21">
        <f t="shared" si="8"/>
        <v>53</v>
      </c>
      <c r="T55" s="21">
        <f t="shared" si="5"/>
        <v>164</v>
      </c>
      <c r="U55" s="66">
        <f t="shared" si="14"/>
        <v>0.4044943820224719</v>
      </c>
    </row>
    <row r="56" spans="2:21" x14ac:dyDescent="0.15">
      <c r="B56" s="2">
        <v>54</v>
      </c>
      <c r="C56" s="2">
        <f t="shared" si="9"/>
        <v>6</v>
      </c>
      <c r="D56" s="66">
        <f t="shared" si="7"/>
        <v>7.3499999999999982E-2</v>
      </c>
      <c r="E56" s="64">
        <f t="shared" si="0"/>
        <v>0.22650000000000001</v>
      </c>
      <c r="F56" s="64">
        <v>0.3</v>
      </c>
      <c r="G56" s="2">
        <v>54</v>
      </c>
      <c r="H56" s="2">
        <f t="shared" si="1"/>
        <v>166</v>
      </c>
      <c r="I56" s="2">
        <f t="shared" si="2"/>
        <v>1.3611111111111107E-3</v>
      </c>
      <c r="L56" s="30"/>
      <c r="M56" s="30"/>
      <c r="N56" s="21">
        <v>54</v>
      </c>
      <c r="O56" s="21">
        <f t="shared" si="10"/>
        <v>6</v>
      </c>
      <c r="P56" s="64">
        <f t="shared" si="3"/>
        <v>0.95</v>
      </c>
      <c r="Q56" s="64">
        <v>0.45</v>
      </c>
      <c r="R56" s="64">
        <f t="shared" si="4"/>
        <v>0.66666666666666663</v>
      </c>
      <c r="S56" s="21">
        <f t="shared" si="8"/>
        <v>54</v>
      </c>
      <c r="T56" s="21">
        <f t="shared" si="5"/>
        <v>167</v>
      </c>
      <c r="U56" s="66">
        <f t="shared" si="14"/>
        <v>0.40133037694013302</v>
      </c>
    </row>
    <row r="57" spans="2:21" x14ac:dyDescent="0.15">
      <c r="B57" s="2">
        <v>55</v>
      </c>
      <c r="C57" s="2">
        <f t="shared" si="9"/>
        <v>6</v>
      </c>
      <c r="D57" s="66">
        <f t="shared" si="7"/>
        <v>7.2999999999999982E-2</v>
      </c>
      <c r="E57" s="64">
        <f t="shared" si="0"/>
        <v>0.22700000000000001</v>
      </c>
      <c r="F57" s="64">
        <v>0.3</v>
      </c>
      <c r="G57" s="2">
        <v>55</v>
      </c>
      <c r="H57" s="2">
        <f t="shared" si="1"/>
        <v>171</v>
      </c>
      <c r="I57" s="2">
        <f t="shared" si="2"/>
        <v>1.3272727272727269E-3</v>
      </c>
      <c r="L57" s="30"/>
      <c r="M57" s="30"/>
      <c r="N57" s="21">
        <v>55</v>
      </c>
      <c r="O57" s="21">
        <f t="shared" si="10"/>
        <v>6</v>
      </c>
      <c r="P57" s="64">
        <f t="shared" si="3"/>
        <v>0.95</v>
      </c>
      <c r="Q57" s="64">
        <v>0.45</v>
      </c>
      <c r="R57" s="64">
        <f t="shared" si="4"/>
        <v>0.66666666666666663</v>
      </c>
      <c r="S57" s="21">
        <f t="shared" si="8"/>
        <v>55</v>
      </c>
      <c r="T57" s="21">
        <f t="shared" si="5"/>
        <v>170</v>
      </c>
      <c r="U57" s="66">
        <f t="shared" si="14"/>
        <v>0.39824945295404812</v>
      </c>
    </row>
    <row r="58" spans="2:21" x14ac:dyDescent="0.15">
      <c r="B58" s="2">
        <v>56</v>
      </c>
      <c r="C58" s="2">
        <f t="shared" si="9"/>
        <v>6</v>
      </c>
      <c r="D58" s="66">
        <f t="shared" si="7"/>
        <v>7.2499999999999981E-2</v>
      </c>
      <c r="E58" s="64">
        <f t="shared" si="0"/>
        <v>0.22750000000000001</v>
      </c>
      <c r="F58" s="64">
        <v>0.3</v>
      </c>
      <c r="G58" s="2">
        <v>56</v>
      </c>
      <c r="H58" s="2">
        <f t="shared" si="1"/>
        <v>176</v>
      </c>
      <c r="I58" s="2">
        <f t="shared" si="2"/>
        <v>1.2946428571428568E-3</v>
      </c>
      <c r="L58" s="30"/>
      <c r="M58" s="30"/>
      <c r="N58" s="21">
        <v>56</v>
      </c>
      <c r="O58" s="21">
        <f t="shared" si="10"/>
        <v>6</v>
      </c>
      <c r="P58" s="64">
        <f t="shared" si="3"/>
        <v>0.95</v>
      </c>
      <c r="Q58" s="64">
        <v>0.45</v>
      </c>
      <c r="R58" s="64">
        <f t="shared" si="4"/>
        <v>0.66666666666666663</v>
      </c>
      <c r="S58" s="21">
        <f t="shared" si="8"/>
        <v>56</v>
      </c>
      <c r="T58" s="21">
        <f t="shared" si="5"/>
        <v>173</v>
      </c>
      <c r="U58" s="66">
        <f t="shared" si="14"/>
        <v>0.39524838012958963</v>
      </c>
    </row>
    <row r="59" spans="2:21" x14ac:dyDescent="0.15">
      <c r="B59" s="2">
        <v>57</v>
      </c>
      <c r="C59" s="2">
        <f t="shared" si="9"/>
        <v>6</v>
      </c>
      <c r="D59" s="66">
        <f t="shared" si="7"/>
        <v>7.1999999999999981E-2</v>
      </c>
      <c r="E59" s="64">
        <f t="shared" si="0"/>
        <v>0.22800000000000001</v>
      </c>
      <c r="F59" s="64">
        <v>0.3</v>
      </c>
      <c r="G59" s="2">
        <v>57</v>
      </c>
      <c r="H59" s="2">
        <f t="shared" si="1"/>
        <v>181</v>
      </c>
      <c r="I59" s="2">
        <f t="shared" si="2"/>
        <v>1.2631578947368417E-3</v>
      </c>
      <c r="L59" s="30"/>
      <c r="M59" s="30"/>
      <c r="N59" s="21">
        <v>57</v>
      </c>
      <c r="O59" s="21">
        <f t="shared" si="10"/>
        <v>6</v>
      </c>
      <c r="P59" s="64">
        <f t="shared" si="3"/>
        <v>0.95</v>
      </c>
      <c r="Q59" s="64">
        <v>0.45</v>
      </c>
      <c r="R59" s="64">
        <f t="shared" si="4"/>
        <v>0.66666666666666663</v>
      </c>
      <c r="S59" s="21">
        <f t="shared" si="8"/>
        <v>57</v>
      </c>
      <c r="T59" s="21">
        <f t="shared" si="5"/>
        <v>176</v>
      </c>
      <c r="U59" s="66">
        <f t="shared" si="14"/>
        <v>0.39232409381663114</v>
      </c>
    </row>
    <row r="60" spans="2:21" x14ac:dyDescent="0.15">
      <c r="B60" s="2">
        <v>58</v>
      </c>
      <c r="C60" s="2">
        <f t="shared" si="9"/>
        <v>6</v>
      </c>
      <c r="D60" s="66">
        <f t="shared" si="7"/>
        <v>7.149999999999998E-2</v>
      </c>
      <c r="E60" s="64">
        <f t="shared" si="0"/>
        <v>0.22850000000000001</v>
      </c>
      <c r="F60" s="64">
        <v>0.3</v>
      </c>
      <c r="G60" s="2">
        <v>58</v>
      </c>
      <c r="H60" s="2">
        <f t="shared" si="1"/>
        <v>185</v>
      </c>
      <c r="I60" s="2">
        <f t="shared" si="2"/>
        <v>1.2327586206896549E-3</v>
      </c>
      <c r="L60" s="30"/>
      <c r="M60" s="30"/>
      <c r="N60" s="21">
        <v>58</v>
      </c>
      <c r="O60" s="21">
        <f t="shared" si="10"/>
        <v>6</v>
      </c>
      <c r="P60" s="64">
        <f t="shared" si="3"/>
        <v>0.95</v>
      </c>
      <c r="Q60" s="64">
        <v>0.45</v>
      </c>
      <c r="R60" s="64">
        <f t="shared" si="4"/>
        <v>0.66666666666666663</v>
      </c>
      <c r="S60" s="21">
        <f t="shared" si="8"/>
        <v>58</v>
      </c>
      <c r="T60" s="21">
        <f t="shared" si="5"/>
        <v>179</v>
      </c>
      <c r="U60" s="66">
        <f t="shared" si="14"/>
        <v>0.38947368421052631</v>
      </c>
    </row>
    <row r="61" spans="2:21" x14ac:dyDescent="0.15">
      <c r="B61" s="2">
        <v>59</v>
      </c>
      <c r="C61" s="2">
        <f t="shared" si="9"/>
        <v>6</v>
      </c>
      <c r="D61" s="66">
        <f t="shared" si="7"/>
        <v>7.099999999999998E-2</v>
      </c>
      <c r="E61" s="64">
        <f t="shared" si="0"/>
        <v>0.22900000000000001</v>
      </c>
      <c r="F61" s="64">
        <v>0.3</v>
      </c>
      <c r="G61" s="2">
        <v>59</v>
      </c>
      <c r="H61" s="2">
        <f t="shared" si="1"/>
        <v>190</v>
      </c>
      <c r="I61" s="2">
        <f t="shared" si="2"/>
        <v>1.2033898305084743E-3</v>
      </c>
      <c r="L61" s="30"/>
      <c r="M61" s="30"/>
      <c r="N61" s="21">
        <v>59</v>
      </c>
      <c r="O61" s="21">
        <f t="shared" si="10"/>
        <v>6</v>
      </c>
      <c r="P61" s="64">
        <f t="shared" si="3"/>
        <v>0.95</v>
      </c>
      <c r="Q61" s="64">
        <v>0.45</v>
      </c>
      <c r="R61" s="64">
        <f t="shared" si="4"/>
        <v>0.66666666666666663</v>
      </c>
      <c r="S61" s="21">
        <f t="shared" si="8"/>
        <v>59</v>
      </c>
      <c r="T61" s="21">
        <f t="shared" si="5"/>
        <v>182</v>
      </c>
      <c r="U61" s="66">
        <f t="shared" si="14"/>
        <v>0.38669438669438672</v>
      </c>
    </row>
    <row r="62" spans="2:21" x14ac:dyDescent="0.15">
      <c r="B62" s="2">
        <v>60</v>
      </c>
      <c r="C62" s="2">
        <f t="shared" si="9"/>
        <v>6</v>
      </c>
      <c r="D62" s="66">
        <f t="shared" si="7"/>
        <v>7.0499999999999979E-2</v>
      </c>
      <c r="E62" s="64">
        <f t="shared" si="0"/>
        <v>0.22950000000000001</v>
      </c>
      <c r="F62" s="64">
        <v>0.3</v>
      </c>
      <c r="G62" s="2">
        <v>60</v>
      </c>
      <c r="H62" s="2">
        <f t="shared" si="1"/>
        <v>195</v>
      </c>
      <c r="I62" s="2">
        <f t="shared" si="2"/>
        <v>1.1749999999999996E-3</v>
      </c>
      <c r="L62" s="30"/>
      <c r="M62" s="30"/>
      <c r="N62" s="21">
        <v>60</v>
      </c>
      <c r="O62" s="21">
        <f t="shared" si="10"/>
        <v>6</v>
      </c>
      <c r="P62" s="64">
        <f t="shared" si="3"/>
        <v>0.95</v>
      </c>
      <c r="Q62" s="64">
        <v>0.45</v>
      </c>
      <c r="R62" s="64">
        <f t="shared" si="4"/>
        <v>0.66666666666666663</v>
      </c>
      <c r="S62" s="21">
        <f t="shared" si="8"/>
        <v>60</v>
      </c>
      <c r="T62" s="21">
        <f t="shared" si="5"/>
        <v>185</v>
      </c>
      <c r="U62" s="66">
        <f t="shared" si="14"/>
        <v>0.38398357289527718</v>
      </c>
    </row>
    <row r="63" spans="2:21" x14ac:dyDescent="0.15">
      <c r="B63" s="2">
        <v>61</v>
      </c>
      <c r="C63" s="2">
        <f t="shared" si="9"/>
        <v>7</v>
      </c>
      <c r="D63" s="66">
        <f t="shared" si="7"/>
        <v>6.9999999999999979E-2</v>
      </c>
      <c r="E63" s="64">
        <f t="shared" si="0"/>
        <v>0.23</v>
      </c>
      <c r="F63" s="64">
        <v>0.3</v>
      </c>
      <c r="G63" s="2">
        <v>61</v>
      </c>
      <c r="H63" s="2">
        <f t="shared" si="1"/>
        <v>200</v>
      </c>
      <c r="I63" s="2">
        <f t="shared" si="2"/>
        <v>1.1475409836065569E-3</v>
      </c>
      <c r="L63" s="30"/>
      <c r="M63" s="30"/>
      <c r="N63" s="21">
        <v>61</v>
      </c>
      <c r="O63" s="21">
        <f t="shared" si="10"/>
        <v>7</v>
      </c>
      <c r="P63" s="64">
        <f t="shared" si="3"/>
        <v>0.95</v>
      </c>
      <c r="Q63" s="64">
        <v>0.45</v>
      </c>
      <c r="R63" s="64">
        <f t="shared" si="4"/>
        <v>0.66666666666666663</v>
      </c>
      <c r="S63" s="21">
        <f t="shared" si="8"/>
        <v>61</v>
      </c>
      <c r="T63" s="21">
        <f t="shared" si="5"/>
        <v>189</v>
      </c>
      <c r="U63" s="66">
        <f t="shared" si="14"/>
        <v>0.38133874239350912</v>
      </c>
    </row>
    <row r="64" spans="2:21" x14ac:dyDescent="0.15">
      <c r="B64" s="2">
        <v>62</v>
      </c>
      <c r="C64" s="2">
        <f t="shared" si="9"/>
        <v>7</v>
      </c>
      <c r="D64" s="66">
        <f t="shared" si="7"/>
        <v>6.9499999999999978E-2</v>
      </c>
      <c r="E64" s="64">
        <f t="shared" si="0"/>
        <v>0.23050000000000001</v>
      </c>
      <c r="F64" s="64">
        <v>0.3</v>
      </c>
      <c r="G64" s="2">
        <v>62</v>
      </c>
      <c r="H64" s="2">
        <f t="shared" si="1"/>
        <v>206</v>
      </c>
      <c r="I64" s="2">
        <f t="shared" si="2"/>
        <v>1.1209677419354836E-3</v>
      </c>
      <c r="L64" s="30"/>
      <c r="M64" s="30"/>
      <c r="N64" s="21">
        <v>62</v>
      </c>
      <c r="O64" s="21">
        <f t="shared" si="10"/>
        <v>7</v>
      </c>
      <c r="P64" s="64">
        <f t="shared" si="3"/>
        <v>0.95</v>
      </c>
      <c r="Q64" s="64">
        <v>0.45</v>
      </c>
      <c r="R64" s="64">
        <f t="shared" si="4"/>
        <v>0.66666666666666663</v>
      </c>
      <c r="S64" s="21">
        <f t="shared" si="8"/>
        <v>62</v>
      </c>
      <c r="T64" s="21">
        <f t="shared" si="5"/>
        <v>192</v>
      </c>
      <c r="U64" s="66">
        <f t="shared" si="14"/>
        <v>0.37875751503006011</v>
      </c>
    </row>
    <row r="65" spans="2:21" x14ac:dyDescent="0.15">
      <c r="B65" s="2">
        <v>63</v>
      </c>
      <c r="C65" s="2">
        <f t="shared" si="9"/>
        <v>7</v>
      </c>
      <c r="D65" s="66">
        <f t="shared" si="7"/>
        <v>6.8999999999999978E-2</v>
      </c>
      <c r="E65" s="64">
        <f t="shared" si="0"/>
        <v>0.23100000000000001</v>
      </c>
      <c r="F65" s="64">
        <v>0.3</v>
      </c>
      <c r="G65" s="2">
        <v>63</v>
      </c>
      <c r="H65" s="2">
        <f t="shared" si="1"/>
        <v>211</v>
      </c>
      <c r="I65" s="2">
        <f t="shared" si="2"/>
        <v>1.0952380952380949E-3</v>
      </c>
      <c r="L65" s="30"/>
      <c r="M65" s="30"/>
      <c r="N65" s="21">
        <v>63</v>
      </c>
      <c r="O65" s="21">
        <f t="shared" si="10"/>
        <v>7</v>
      </c>
      <c r="P65" s="64">
        <f t="shared" si="3"/>
        <v>0.95</v>
      </c>
      <c r="Q65" s="64">
        <v>0.45</v>
      </c>
      <c r="R65" s="64">
        <f t="shared" si="4"/>
        <v>0.66666666666666663</v>
      </c>
      <c r="S65" s="21">
        <f t="shared" si="8"/>
        <v>63</v>
      </c>
      <c r="T65" s="21">
        <f t="shared" si="5"/>
        <v>195</v>
      </c>
      <c r="U65" s="66">
        <f t="shared" si="14"/>
        <v>0.37623762376237624</v>
      </c>
    </row>
    <row r="66" spans="2:21" x14ac:dyDescent="0.15">
      <c r="B66" s="2">
        <v>64</v>
      </c>
      <c r="C66" s="2">
        <f t="shared" si="9"/>
        <v>7</v>
      </c>
      <c r="D66" s="66">
        <f t="shared" si="7"/>
        <v>6.8499999999999978E-2</v>
      </c>
      <c r="E66" s="64">
        <f t="shared" si="0"/>
        <v>0.23150000000000001</v>
      </c>
      <c r="F66" s="64">
        <v>0.3</v>
      </c>
      <c r="G66" s="2">
        <v>64</v>
      </c>
      <c r="H66" s="2">
        <f t="shared" si="1"/>
        <v>216</v>
      </c>
      <c r="I66" s="2">
        <f t="shared" si="2"/>
        <v>1.0703124999999996E-3</v>
      </c>
      <c r="L66" s="30"/>
      <c r="M66" s="30"/>
      <c r="N66" s="21">
        <v>64</v>
      </c>
      <c r="O66" s="21">
        <f t="shared" si="10"/>
        <v>7</v>
      </c>
      <c r="P66" s="64">
        <f t="shared" si="3"/>
        <v>0.95</v>
      </c>
      <c r="Q66" s="64">
        <v>0.45</v>
      </c>
      <c r="R66" s="64">
        <f t="shared" si="4"/>
        <v>0.66666666666666663</v>
      </c>
      <c r="S66" s="21">
        <f t="shared" si="8"/>
        <v>64</v>
      </c>
      <c r="T66" s="21">
        <f t="shared" si="5"/>
        <v>198</v>
      </c>
      <c r="U66" s="66">
        <f t="shared" si="14"/>
        <v>0.37377690802348335</v>
      </c>
    </row>
    <row r="67" spans="2:21" x14ac:dyDescent="0.15">
      <c r="B67" s="2">
        <v>65</v>
      </c>
      <c r="C67" s="2">
        <f t="shared" si="9"/>
        <v>7</v>
      </c>
      <c r="D67" s="66">
        <f t="shared" si="7"/>
        <v>6.7999999999999977E-2</v>
      </c>
      <c r="E67" s="64">
        <f t="shared" si="0"/>
        <v>0.23200000000000001</v>
      </c>
      <c r="F67" s="64">
        <v>0.3</v>
      </c>
      <c r="G67" s="2">
        <v>65</v>
      </c>
      <c r="H67" s="2">
        <f t="shared" si="1"/>
        <v>222</v>
      </c>
      <c r="I67" s="2">
        <f t="shared" si="2"/>
        <v>1.0461538461538457E-3</v>
      </c>
      <c r="L67" s="30"/>
      <c r="M67" s="30"/>
      <c r="N67" s="21">
        <v>65</v>
      </c>
      <c r="O67" s="21">
        <f t="shared" si="10"/>
        <v>7</v>
      </c>
      <c r="P67" s="64">
        <f t="shared" si="3"/>
        <v>0.95</v>
      </c>
      <c r="Q67" s="64">
        <v>0.45</v>
      </c>
      <c r="R67" s="64">
        <f t="shared" si="4"/>
        <v>0.66666666666666663</v>
      </c>
      <c r="S67" s="21">
        <f t="shared" si="8"/>
        <v>65</v>
      </c>
      <c r="T67" s="21">
        <f t="shared" si="5"/>
        <v>201</v>
      </c>
      <c r="U67" s="66">
        <f t="shared" si="14"/>
        <v>0.37137330754352033</v>
      </c>
    </row>
    <row r="68" spans="2:21" x14ac:dyDescent="0.15">
      <c r="B68" s="2">
        <v>66</v>
      </c>
      <c r="C68" s="2">
        <f t="shared" si="9"/>
        <v>7</v>
      </c>
      <c r="D68" s="66">
        <f t="shared" si="7"/>
        <v>6.7499999999999977E-2</v>
      </c>
      <c r="E68" s="64">
        <f t="shared" ref="E68:E101" si="15">F68-D68</f>
        <v>0.23250000000000001</v>
      </c>
      <c r="F68" s="64">
        <v>0.3</v>
      </c>
      <c r="G68" s="2">
        <v>66</v>
      </c>
      <c r="H68" s="2">
        <f t="shared" ref="H68:H101" si="16">ROUND(E68/I68,0)</f>
        <v>227</v>
      </c>
      <c r="I68" s="2">
        <f t="shared" ref="I68:I101" si="17">D68/G68</f>
        <v>1.0227272727272724E-3</v>
      </c>
      <c r="L68" s="30"/>
      <c r="M68" s="30"/>
      <c r="N68" s="21">
        <v>66</v>
      </c>
      <c r="O68" s="21">
        <f t="shared" si="10"/>
        <v>7</v>
      </c>
      <c r="P68" s="64">
        <f t="shared" ref="P68:P101" si="18">50%+Q68</f>
        <v>0.95</v>
      </c>
      <c r="Q68" s="64">
        <v>0.45</v>
      </c>
      <c r="R68" s="64">
        <f t="shared" ref="R68:R101" si="19">S68/(S68+N68*5)+50%</f>
        <v>0.66666666666666663</v>
      </c>
      <c r="S68" s="21">
        <f t="shared" si="8"/>
        <v>66</v>
      </c>
      <c r="T68" s="21">
        <f t="shared" ref="T68:T101" si="20">ROUND((S68*Q68-S68+5*Q68*N68)/(1-Q68),0)</f>
        <v>204</v>
      </c>
      <c r="U68" s="66">
        <f t="shared" si="14"/>
        <v>0.36902485659655831</v>
      </c>
    </row>
    <row r="69" spans="2:21" x14ac:dyDescent="0.15">
      <c r="B69" s="2">
        <v>67</v>
      </c>
      <c r="C69" s="2">
        <f t="shared" si="9"/>
        <v>7</v>
      </c>
      <c r="D69" s="66">
        <f t="shared" ref="D69:D101" si="21">D68-0.0005</f>
        <v>6.6999999999999976E-2</v>
      </c>
      <c r="E69" s="64">
        <f t="shared" si="15"/>
        <v>0.23300000000000001</v>
      </c>
      <c r="F69" s="64">
        <v>0.3</v>
      </c>
      <c r="G69" s="2">
        <v>67</v>
      </c>
      <c r="H69" s="2">
        <f t="shared" si="16"/>
        <v>233</v>
      </c>
      <c r="I69" s="2">
        <f t="shared" si="17"/>
        <v>9.9999999999999959E-4</v>
      </c>
      <c r="L69" s="30"/>
      <c r="M69" s="30"/>
      <c r="N69" s="21">
        <v>67</v>
      </c>
      <c r="O69" s="21">
        <f t="shared" si="10"/>
        <v>7</v>
      </c>
      <c r="P69" s="64">
        <f t="shared" si="18"/>
        <v>0.95</v>
      </c>
      <c r="Q69" s="64">
        <v>0.45</v>
      </c>
      <c r="R69" s="64">
        <f t="shared" si="19"/>
        <v>0.66666666666666663</v>
      </c>
      <c r="S69" s="21">
        <f t="shared" ref="S69:S101" si="22">S68+1</f>
        <v>67</v>
      </c>
      <c r="T69" s="21">
        <f t="shared" si="20"/>
        <v>207</v>
      </c>
      <c r="U69" s="66">
        <f t="shared" si="14"/>
        <v>0.3667296786389414</v>
      </c>
    </row>
    <row r="70" spans="2:21" x14ac:dyDescent="0.15">
      <c r="B70" s="2">
        <v>68</v>
      </c>
      <c r="C70" s="2">
        <f t="shared" si="9"/>
        <v>7</v>
      </c>
      <c r="D70" s="66">
        <f t="shared" si="21"/>
        <v>6.6499999999999976E-2</v>
      </c>
      <c r="E70" s="64">
        <f t="shared" si="15"/>
        <v>0.23350000000000001</v>
      </c>
      <c r="F70" s="64">
        <v>0.3</v>
      </c>
      <c r="G70" s="2">
        <v>68</v>
      </c>
      <c r="H70" s="2">
        <f t="shared" si="16"/>
        <v>239</v>
      </c>
      <c r="I70" s="2">
        <f t="shared" si="17"/>
        <v>9.7794117647058789E-4</v>
      </c>
      <c r="L70" s="30"/>
      <c r="M70" s="30"/>
      <c r="N70" s="21">
        <v>68</v>
      </c>
      <c r="O70" s="21">
        <f t="shared" si="10"/>
        <v>7</v>
      </c>
      <c r="P70" s="64">
        <f t="shared" si="18"/>
        <v>0.95</v>
      </c>
      <c r="Q70" s="64">
        <v>0.45</v>
      </c>
      <c r="R70" s="64">
        <f t="shared" si="19"/>
        <v>0.66666666666666663</v>
      </c>
      <c r="S70" s="21">
        <f t="shared" si="22"/>
        <v>68</v>
      </c>
      <c r="T70" s="21">
        <f t="shared" si="20"/>
        <v>210</v>
      </c>
      <c r="U70" s="66">
        <f t="shared" si="14"/>
        <v>0.3644859813084112</v>
      </c>
    </row>
    <row r="71" spans="2:21" x14ac:dyDescent="0.15">
      <c r="B71" s="2">
        <v>69</v>
      </c>
      <c r="C71" s="2">
        <f t="shared" si="9"/>
        <v>7</v>
      </c>
      <c r="D71" s="66">
        <f t="shared" si="21"/>
        <v>6.5999999999999975E-2</v>
      </c>
      <c r="E71" s="64">
        <f t="shared" si="15"/>
        <v>0.23400000000000001</v>
      </c>
      <c r="F71" s="64">
        <v>0.3</v>
      </c>
      <c r="G71" s="2">
        <v>69</v>
      </c>
      <c r="H71" s="2">
        <f t="shared" si="16"/>
        <v>245</v>
      </c>
      <c r="I71" s="2">
        <f t="shared" si="17"/>
        <v>9.5652173913043437E-4</v>
      </c>
      <c r="L71" s="30"/>
      <c r="M71" s="30"/>
      <c r="N71" s="21">
        <v>69</v>
      </c>
      <c r="O71" s="21">
        <f t="shared" si="10"/>
        <v>7</v>
      </c>
      <c r="P71" s="64">
        <f t="shared" si="18"/>
        <v>0.95</v>
      </c>
      <c r="Q71" s="64">
        <v>0.45</v>
      </c>
      <c r="R71" s="64">
        <f t="shared" si="19"/>
        <v>0.66666666666666663</v>
      </c>
      <c r="S71" s="21">
        <f t="shared" si="22"/>
        <v>69</v>
      </c>
      <c r="T71" s="21">
        <f t="shared" si="20"/>
        <v>213</v>
      </c>
      <c r="U71" s="66">
        <f t="shared" si="14"/>
        <v>0.36229205175600737</v>
      </c>
    </row>
    <row r="72" spans="2:21" x14ac:dyDescent="0.15">
      <c r="B72" s="2">
        <v>70</v>
      </c>
      <c r="C72" s="2">
        <f t="shared" si="9"/>
        <v>7</v>
      </c>
      <c r="D72" s="66">
        <f t="shared" si="21"/>
        <v>6.5499999999999975E-2</v>
      </c>
      <c r="E72" s="64">
        <f t="shared" si="15"/>
        <v>0.23450000000000001</v>
      </c>
      <c r="F72" s="64">
        <v>0.3</v>
      </c>
      <c r="G72" s="2">
        <v>70</v>
      </c>
      <c r="H72" s="2">
        <f t="shared" si="16"/>
        <v>251</v>
      </c>
      <c r="I72" s="2">
        <f t="shared" si="17"/>
        <v>9.3571428571428538E-4</v>
      </c>
      <c r="L72" s="30"/>
      <c r="M72" s="30"/>
      <c r="N72" s="21">
        <v>70</v>
      </c>
      <c r="O72" s="21">
        <f t="shared" si="10"/>
        <v>7</v>
      </c>
      <c r="P72" s="64">
        <f t="shared" si="18"/>
        <v>0.95</v>
      </c>
      <c r="Q72" s="64">
        <v>0.45</v>
      </c>
      <c r="R72" s="64">
        <f t="shared" si="19"/>
        <v>0.66666666666666663</v>
      </c>
      <c r="S72" s="21">
        <f t="shared" si="22"/>
        <v>70</v>
      </c>
      <c r="T72" s="21">
        <f t="shared" si="20"/>
        <v>216</v>
      </c>
      <c r="U72" s="66">
        <f t="shared" si="14"/>
        <v>0.36014625228519198</v>
      </c>
    </row>
    <row r="73" spans="2:21" x14ac:dyDescent="0.15">
      <c r="B73" s="2">
        <v>71</v>
      </c>
      <c r="C73" s="2">
        <f t="shared" si="9"/>
        <v>8</v>
      </c>
      <c r="D73" s="66">
        <f t="shared" si="21"/>
        <v>6.4999999999999974E-2</v>
      </c>
      <c r="E73" s="64">
        <f t="shared" si="15"/>
        <v>0.23500000000000001</v>
      </c>
      <c r="F73" s="64">
        <v>0.3</v>
      </c>
      <c r="G73" s="2">
        <v>71</v>
      </c>
      <c r="H73" s="2">
        <f t="shared" si="16"/>
        <v>257</v>
      </c>
      <c r="I73" s="2">
        <f t="shared" si="17"/>
        <v>9.1549295774647854E-4</v>
      </c>
      <c r="L73" s="30"/>
      <c r="M73" s="30"/>
      <c r="N73" s="21">
        <v>71</v>
      </c>
      <c r="O73" s="21">
        <f t="shared" si="10"/>
        <v>8</v>
      </c>
      <c r="P73" s="64">
        <f t="shared" si="18"/>
        <v>0.95</v>
      </c>
      <c r="Q73" s="64">
        <v>0.45</v>
      </c>
      <c r="R73" s="64">
        <f t="shared" si="19"/>
        <v>0.66666666666666663</v>
      </c>
      <c r="S73" s="21">
        <f t="shared" si="22"/>
        <v>71</v>
      </c>
      <c r="T73" s="21">
        <f t="shared" si="20"/>
        <v>219</v>
      </c>
      <c r="U73" s="66">
        <f t="shared" si="14"/>
        <v>0.35804701627486435</v>
      </c>
    </row>
    <row r="74" spans="2:21" x14ac:dyDescent="0.15">
      <c r="B74" s="2">
        <v>72</v>
      </c>
      <c r="C74" s="2">
        <f t="shared" si="9"/>
        <v>8</v>
      </c>
      <c r="D74" s="66">
        <f t="shared" si="21"/>
        <v>6.4499999999999974E-2</v>
      </c>
      <c r="E74" s="64">
        <f t="shared" si="15"/>
        <v>0.23550000000000001</v>
      </c>
      <c r="F74" s="64">
        <v>0.3</v>
      </c>
      <c r="G74" s="2">
        <v>72</v>
      </c>
      <c r="H74" s="2">
        <f t="shared" si="16"/>
        <v>263</v>
      </c>
      <c r="I74" s="2">
        <f t="shared" si="17"/>
        <v>8.9583333333333301E-4</v>
      </c>
      <c r="L74" s="30"/>
      <c r="M74" s="30"/>
      <c r="N74" s="21">
        <v>72</v>
      </c>
      <c r="O74" s="21">
        <f t="shared" si="10"/>
        <v>8</v>
      </c>
      <c r="P74" s="64">
        <f t="shared" si="18"/>
        <v>0.95</v>
      </c>
      <c r="Q74" s="64">
        <v>0.45</v>
      </c>
      <c r="R74" s="64">
        <f t="shared" si="19"/>
        <v>0.66666666666666663</v>
      </c>
      <c r="S74" s="21">
        <f t="shared" si="22"/>
        <v>72</v>
      </c>
      <c r="T74" s="21">
        <f t="shared" si="20"/>
        <v>223</v>
      </c>
      <c r="U74" s="66">
        <f t="shared" si="14"/>
        <v>0.35599284436493739</v>
      </c>
    </row>
    <row r="75" spans="2:21" x14ac:dyDescent="0.15">
      <c r="B75" s="2">
        <v>73</v>
      </c>
      <c r="C75" s="2">
        <f t="shared" si="9"/>
        <v>8</v>
      </c>
      <c r="D75" s="66">
        <f t="shared" si="21"/>
        <v>6.3999999999999974E-2</v>
      </c>
      <c r="E75" s="64">
        <f t="shared" si="15"/>
        <v>0.23600000000000002</v>
      </c>
      <c r="F75" s="64">
        <v>0.3</v>
      </c>
      <c r="G75" s="2">
        <v>73</v>
      </c>
      <c r="H75" s="2">
        <f t="shared" si="16"/>
        <v>269</v>
      </c>
      <c r="I75" s="2">
        <f t="shared" si="17"/>
        <v>8.7671232876712288E-4</v>
      </c>
      <c r="L75" s="30"/>
      <c r="M75" s="30"/>
      <c r="N75" s="21">
        <v>73</v>
      </c>
      <c r="O75" s="21">
        <f t="shared" si="10"/>
        <v>8</v>
      </c>
      <c r="P75" s="64">
        <f t="shared" si="18"/>
        <v>0.95</v>
      </c>
      <c r="Q75" s="64">
        <v>0.45</v>
      </c>
      <c r="R75" s="64">
        <f t="shared" si="19"/>
        <v>0.66666666666666663</v>
      </c>
      <c r="S75" s="21">
        <f t="shared" si="22"/>
        <v>73</v>
      </c>
      <c r="T75" s="21">
        <f t="shared" si="20"/>
        <v>226</v>
      </c>
      <c r="U75" s="66">
        <f t="shared" si="14"/>
        <v>0.35398230088495575</v>
      </c>
    </row>
    <row r="76" spans="2:21" x14ac:dyDescent="0.15">
      <c r="B76" s="2">
        <v>74</v>
      </c>
      <c r="C76" s="2">
        <f t="shared" si="9"/>
        <v>8</v>
      </c>
      <c r="D76" s="66">
        <f t="shared" si="21"/>
        <v>6.3499999999999973E-2</v>
      </c>
      <c r="E76" s="64">
        <f t="shared" si="15"/>
        <v>0.23650000000000002</v>
      </c>
      <c r="F76" s="64">
        <v>0.3</v>
      </c>
      <c r="G76" s="2">
        <v>74</v>
      </c>
      <c r="H76" s="2">
        <f t="shared" si="16"/>
        <v>276</v>
      </c>
      <c r="I76" s="2">
        <f t="shared" si="17"/>
        <v>8.5810810810810776E-4</v>
      </c>
      <c r="L76" s="30"/>
      <c r="M76" s="30"/>
      <c r="N76" s="21">
        <v>74</v>
      </c>
      <c r="O76" s="21">
        <f t="shared" si="10"/>
        <v>8</v>
      </c>
      <c r="P76" s="64">
        <f t="shared" si="18"/>
        <v>0.95</v>
      </c>
      <c r="Q76" s="64">
        <v>0.45</v>
      </c>
      <c r="R76" s="64">
        <f t="shared" si="19"/>
        <v>0.66666666666666663</v>
      </c>
      <c r="S76" s="21">
        <f t="shared" si="22"/>
        <v>74</v>
      </c>
      <c r="T76" s="21">
        <f t="shared" si="20"/>
        <v>229</v>
      </c>
      <c r="U76" s="66">
        <f t="shared" si="14"/>
        <v>0.35201401050788089</v>
      </c>
    </row>
    <row r="77" spans="2:21" x14ac:dyDescent="0.15">
      <c r="B77" s="2">
        <v>75</v>
      </c>
      <c r="C77" s="2">
        <f t="shared" si="9"/>
        <v>8</v>
      </c>
      <c r="D77" s="66">
        <f t="shared" si="21"/>
        <v>6.2999999999999973E-2</v>
      </c>
      <c r="E77" s="64">
        <f t="shared" si="15"/>
        <v>0.23700000000000002</v>
      </c>
      <c r="F77" s="64">
        <v>0.3</v>
      </c>
      <c r="G77" s="2">
        <v>75</v>
      </c>
      <c r="H77" s="2">
        <f t="shared" si="16"/>
        <v>282</v>
      </c>
      <c r="I77" s="2">
        <f t="shared" si="17"/>
        <v>8.399999999999996E-4</v>
      </c>
      <c r="L77" s="30"/>
      <c r="M77" s="30"/>
      <c r="N77" s="21">
        <v>75</v>
      </c>
      <c r="O77" s="21">
        <f t="shared" si="10"/>
        <v>8</v>
      </c>
      <c r="P77" s="64">
        <f t="shared" si="18"/>
        <v>0.95</v>
      </c>
      <c r="Q77" s="64">
        <v>0.45</v>
      </c>
      <c r="R77" s="64">
        <f t="shared" si="19"/>
        <v>0.66666666666666663</v>
      </c>
      <c r="S77" s="21">
        <f t="shared" si="22"/>
        <v>75</v>
      </c>
      <c r="T77" s="21">
        <f t="shared" si="20"/>
        <v>232</v>
      </c>
      <c r="U77" s="66">
        <f t="shared" si="14"/>
        <v>0.35008665511265163</v>
      </c>
    </row>
    <row r="78" spans="2:21" x14ac:dyDescent="0.15">
      <c r="B78" s="2">
        <v>76</v>
      </c>
      <c r="C78" s="2">
        <f t="shared" ref="C78:C101" si="23">C68+1</f>
        <v>8</v>
      </c>
      <c r="D78" s="66">
        <f t="shared" si="21"/>
        <v>6.2499999999999972E-2</v>
      </c>
      <c r="E78" s="64">
        <f t="shared" si="15"/>
        <v>0.23750000000000002</v>
      </c>
      <c r="F78" s="64">
        <v>0.3</v>
      </c>
      <c r="G78" s="2">
        <v>76</v>
      </c>
      <c r="H78" s="2">
        <f t="shared" si="16"/>
        <v>289</v>
      </c>
      <c r="I78" s="2">
        <f t="shared" si="17"/>
        <v>8.2236842105263121E-4</v>
      </c>
      <c r="L78" s="30"/>
      <c r="M78" s="30"/>
      <c r="N78" s="21">
        <v>76</v>
      </c>
      <c r="O78" s="21">
        <f t="shared" ref="O78:O101" si="24">O68+1</f>
        <v>8</v>
      </c>
      <c r="P78" s="64">
        <f t="shared" si="18"/>
        <v>0.95</v>
      </c>
      <c r="Q78" s="64">
        <v>0.45</v>
      </c>
      <c r="R78" s="64">
        <f t="shared" si="19"/>
        <v>0.66666666666666663</v>
      </c>
      <c r="S78" s="21">
        <f t="shared" si="22"/>
        <v>76</v>
      </c>
      <c r="T78" s="21">
        <f t="shared" si="20"/>
        <v>235</v>
      </c>
      <c r="U78" s="66">
        <f t="shared" si="14"/>
        <v>0.34819897084048029</v>
      </c>
    </row>
    <row r="79" spans="2:21" x14ac:dyDescent="0.15">
      <c r="B79" s="2">
        <v>77</v>
      </c>
      <c r="C79" s="2">
        <f t="shared" si="23"/>
        <v>8</v>
      </c>
      <c r="D79" s="66">
        <f t="shared" si="21"/>
        <v>6.1999999999999972E-2</v>
      </c>
      <c r="E79" s="64">
        <f t="shared" si="15"/>
        <v>0.23800000000000002</v>
      </c>
      <c r="F79" s="64">
        <v>0.3</v>
      </c>
      <c r="G79" s="2">
        <v>77</v>
      </c>
      <c r="H79" s="2">
        <f t="shared" si="16"/>
        <v>296</v>
      </c>
      <c r="I79" s="2">
        <f t="shared" si="17"/>
        <v>8.0519480519480478E-4</v>
      </c>
      <c r="L79" s="30"/>
      <c r="M79" s="30"/>
      <c r="N79" s="21">
        <v>77</v>
      </c>
      <c r="O79" s="21">
        <f t="shared" si="24"/>
        <v>8</v>
      </c>
      <c r="P79" s="64">
        <f t="shared" si="18"/>
        <v>0.95</v>
      </c>
      <c r="Q79" s="64">
        <v>0.45</v>
      </c>
      <c r="R79" s="64">
        <f t="shared" si="19"/>
        <v>0.66666666666666663</v>
      </c>
      <c r="S79" s="21">
        <f t="shared" si="22"/>
        <v>77</v>
      </c>
      <c r="T79" s="21">
        <f t="shared" si="20"/>
        <v>238</v>
      </c>
      <c r="U79" s="66">
        <f t="shared" si="14"/>
        <v>0.3463497453310696</v>
      </c>
    </row>
    <row r="80" spans="2:21" x14ac:dyDescent="0.15">
      <c r="B80" s="2">
        <v>78</v>
      </c>
      <c r="C80" s="2">
        <f t="shared" si="23"/>
        <v>8</v>
      </c>
      <c r="D80" s="66">
        <f t="shared" si="21"/>
        <v>6.1499999999999971E-2</v>
      </c>
      <c r="E80" s="64">
        <f t="shared" si="15"/>
        <v>0.23850000000000002</v>
      </c>
      <c r="F80" s="64">
        <v>0.3</v>
      </c>
      <c r="G80" s="2">
        <v>78</v>
      </c>
      <c r="H80" s="2">
        <f t="shared" si="16"/>
        <v>302</v>
      </c>
      <c r="I80" s="2">
        <f t="shared" si="17"/>
        <v>7.8846153846153812E-4</v>
      </c>
      <c r="L80" s="30"/>
      <c r="M80" s="30"/>
      <c r="N80" s="21">
        <v>78</v>
      </c>
      <c r="O80" s="21">
        <f t="shared" si="24"/>
        <v>8</v>
      </c>
      <c r="P80" s="64">
        <f t="shared" si="18"/>
        <v>0.95</v>
      </c>
      <c r="Q80" s="64">
        <v>0.45</v>
      </c>
      <c r="R80" s="64">
        <f t="shared" si="19"/>
        <v>0.66666666666666663</v>
      </c>
      <c r="S80" s="21">
        <f t="shared" si="22"/>
        <v>78</v>
      </c>
      <c r="T80" s="21">
        <f t="shared" si="20"/>
        <v>241</v>
      </c>
      <c r="U80" s="66">
        <f t="shared" si="14"/>
        <v>0.34453781512605042</v>
      </c>
    </row>
    <row r="81" spans="2:21" x14ac:dyDescent="0.15">
      <c r="B81" s="2">
        <v>79</v>
      </c>
      <c r="C81" s="2">
        <f t="shared" si="23"/>
        <v>8</v>
      </c>
      <c r="D81" s="66">
        <f t="shared" si="21"/>
        <v>6.0999999999999971E-2</v>
      </c>
      <c r="E81" s="64">
        <f t="shared" si="15"/>
        <v>0.23900000000000002</v>
      </c>
      <c r="F81" s="64">
        <v>0.3</v>
      </c>
      <c r="G81" s="2">
        <v>79</v>
      </c>
      <c r="H81" s="2">
        <f t="shared" si="16"/>
        <v>310</v>
      </c>
      <c r="I81" s="2">
        <f t="shared" si="17"/>
        <v>7.7215189873417682E-4</v>
      </c>
      <c r="L81" s="30"/>
      <c r="M81" s="30"/>
      <c r="N81" s="21">
        <v>79</v>
      </c>
      <c r="O81" s="21">
        <f t="shared" si="24"/>
        <v>8</v>
      </c>
      <c r="P81" s="64">
        <f t="shared" si="18"/>
        <v>0.95</v>
      </c>
      <c r="Q81" s="64">
        <v>0.45</v>
      </c>
      <c r="R81" s="64">
        <f t="shared" si="19"/>
        <v>0.66666666666666663</v>
      </c>
      <c r="S81" s="21">
        <f t="shared" si="22"/>
        <v>79</v>
      </c>
      <c r="T81" s="21">
        <f t="shared" si="20"/>
        <v>244</v>
      </c>
      <c r="U81" s="66">
        <f t="shared" si="14"/>
        <v>0.34276206322795338</v>
      </c>
    </row>
    <row r="82" spans="2:21" x14ac:dyDescent="0.15">
      <c r="B82" s="2">
        <v>80</v>
      </c>
      <c r="C82" s="2">
        <f t="shared" si="23"/>
        <v>8</v>
      </c>
      <c r="D82" s="66">
        <f t="shared" si="21"/>
        <v>6.049999999999997E-2</v>
      </c>
      <c r="E82" s="64">
        <f t="shared" si="15"/>
        <v>0.23950000000000002</v>
      </c>
      <c r="F82" s="64">
        <v>0.3</v>
      </c>
      <c r="G82" s="2">
        <v>80</v>
      </c>
      <c r="H82" s="2">
        <f t="shared" si="16"/>
        <v>317</v>
      </c>
      <c r="I82" s="2">
        <f t="shared" si="17"/>
        <v>7.5624999999999965E-4</v>
      </c>
      <c r="L82" s="30"/>
      <c r="M82" s="30"/>
      <c r="N82" s="21">
        <v>80</v>
      </c>
      <c r="O82" s="21">
        <f t="shared" si="24"/>
        <v>8</v>
      </c>
      <c r="P82" s="64">
        <f t="shared" si="18"/>
        <v>0.95</v>
      </c>
      <c r="Q82" s="64">
        <v>0.45</v>
      </c>
      <c r="R82" s="64">
        <f t="shared" si="19"/>
        <v>0.66666666666666663</v>
      </c>
      <c r="S82" s="21">
        <f t="shared" si="22"/>
        <v>80</v>
      </c>
      <c r="T82" s="21">
        <f t="shared" si="20"/>
        <v>247</v>
      </c>
      <c r="U82" s="66">
        <f t="shared" si="14"/>
        <v>0.34102141680395387</v>
      </c>
    </row>
    <row r="83" spans="2:21" x14ac:dyDescent="0.15">
      <c r="B83" s="2">
        <v>81</v>
      </c>
      <c r="C83" s="2">
        <f t="shared" si="23"/>
        <v>9</v>
      </c>
      <c r="D83" s="66">
        <f t="shared" si="21"/>
        <v>5.999999999999997E-2</v>
      </c>
      <c r="E83" s="64">
        <f t="shared" si="15"/>
        <v>0.24000000000000002</v>
      </c>
      <c r="F83" s="64">
        <v>0.3</v>
      </c>
      <c r="G83" s="2">
        <v>81</v>
      </c>
      <c r="H83" s="2">
        <f t="shared" si="16"/>
        <v>324</v>
      </c>
      <c r="I83" s="2">
        <f t="shared" si="17"/>
        <v>7.4074074074074038E-4</v>
      </c>
      <c r="L83" s="30"/>
      <c r="M83" s="30"/>
      <c r="N83" s="21">
        <v>81</v>
      </c>
      <c r="O83" s="21">
        <f t="shared" si="24"/>
        <v>9</v>
      </c>
      <c r="P83" s="64">
        <f t="shared" si="18"/>
        <v>0.95</v>
      </c>
      <c r="Q83" s="64">
        <v>0.45</v>
      </c>
      <c r="R83" s="64">
        <f t="shared" si="19"/>
        <v>0.66666666666666663</v>
      </c>
      <c r="S83" s="21">
        <f t="shared" si="22"/>
        <v>81</v>
      </c>
      <c r="T83" s="21">
        <f t="shared" si="20"/>
        <v>250</v>
      </c>
      <c r="U83" s="66">
        <f t="shared" si="14"/>
        <v>0.33931484502446985</v>
      </c>
    </row>
    <row r="84" spans="2:21" x14ac:dyDescent="0.15">
      <c r="B84" s="2">
        <v>82</v>
      </c>
      <c r="C84" s="2">
        <f t="shared" si="23"/>
        <v>9</v>
      </c>
      <c r="D84" s="66">
        <f t="shared" si="21"/>
        <v>5.949999999999997E-2</v>
      </c>
      <c r="E84" s="64">
        <f t="shared" si="15"/>
        <v>0.24050000000000002</v>
      </c>
      <c r="F84" s="64">
        <v>0.3</v>
      </c>
      <c r="G84" s="2">
        <v>82</v>
      </c>
      <c r="H84" s="2">
        <f t="shared" si="16"/>
        <v>331</v>
      </c>
      <c r="I84" s="2">
        <f t="shared" si="17"/>
        <v>7.2560975609756064E-4</v>
      </c>
      <c r="L84" s="30"/>
      <c r="M84" s="30"/>
      <c r="N84" s="21">
        <v>82</v>
      </c>
      <c r="O84" s="21">
        <f t="shared" si="24"/>
        <v>9</v>
      </c>
      <c r="P84" s="64">
        <f t="shared" si="18"/>
        <v>0.95</v>
      </c>
      <c r="Q84" s="64">
        <v>0.45</v>
      </c>
      <c r="R84" s="64">
        <f t="shared" si="19"/>
        <v>0.66666666666666663</v>
      </c>
      <c r="S84" s="21">
        <f t="shared" si="22"/>
        <v>82</v>
      </c>
      <c r="T84" s="21">
        <f t="shared" si="20"/>
        <v>253</v>
      </c>
      <c r="U84" s="66">
        <f t="shared" si="14"/>
        <v>0.33764135702746367</v>
      </c>
    </row>
    <row r="85" spans="2:21" x14ac:dyDescent="0.15">
      <c r="B85" s="2">
        <v>83</v>
      </c>
      <c r="C85" s="2">
        <f t="shared" si="23"/>
        <v>9</v>
      </c>
      <c r="D85" s="66">
        <f t="shared" si="21"/>
        <v>5.8999999999999969E-2</v>
      </c>
      <c r="E85" s="64">
        <f t="shared" si="15"/>
        <v>0.24100000000000002</v>
      </c>
      <c r="F85" s="64">
        <v>0.3</v>
      </c>
      <c r="G85" s="2">
        <v>83</v>
      </c>
      <c r="H85" s="2">
        <f t="shared" si="16"/>
        <v>339</v>
      </c>
      <c r="I85" s="2">
        <f t="shared" si="17"/>
        <v>7.108433734939755E-4</v>
      </c>
      <c r="L85" s="30"/>
      <c r="M85" s="30"/>
      <c r="N85" s="21">
        <v>83</v>
      </c>
      <c r="O85" s="21">
        <f t="shared" si="24"/>
        <v>9</v>
      </c>
      <c r="P85" s="64">
        <f t="shared" si="18"/>
        <v>0.95</v>
      </c>
      <c r="Q85" s="64">
        <v>0.45</v>
      </c>
      <c r="R85" s="64">
        <f t="shared" si="19"/>
        <v>0.66666666666666663</v>
      </c>
      <c r="S85" s="21">
        <f t="shared" si="22"/>
        <v>83</v>
      </c>
      <c r="T85" s="21">
        <f t="shared" si="20"/>
        <v>257</v>
      </c>
      <c r="U85" s="66">
        <f t="shared" si="14"/>
        <v>0.33600000000000002</v>
      </c>
    </row>
    <row r="86" spans="2:21" x14ac:dyDescent="0.15">
      <c r="B86" s="2">
        <v>84</v>
      </c>
      <c r="C86" s="2">
        <f t="shared" si="23"/>
        <v>9</v>
      </c>
      <c r="D86" s="66">
        <f t="shared" si="21"/>
        <v>5.8499999999999969E-2</v>
      </c>
      <c r="E86" s="64">
        <f t="shared" si="15"/>
        <v>0.24150000000000002</v>
      </c>
      <c r="F86" s="64">
        <v>0.3</v>
      </c>
      <c r="G86" s="2">
        <v>84</v>
      </c>
      <c r="H86" s="2">
        <f t="shared" si="16"/>
        <v>347</v>
      </c>
      <c r="I86" s="2">
        <f t="shared" si="17"/>
        <v>6.9642857142857104E-4</v>
      </c>
      <c r="L86" s="30"/>
      <c r="M86" s="30"/>
      <c r="N86" s="21">
        <v>84</v>
      </c>
      <c r="O86" s="21">
        <f t="shared" si="24"/>
        <v>9</v>
      </c>
      <c r="P86" s="64">
        <f t="shared" si="18"/>
        <v>0.95</v>
      </c>
      <c r="Q86" s="64">
        <v>0.45</v>
      </c>
      <c r="R86" s="64">
        <f t="shared" si="19"/>
        <v>0.66666666666666663</v>
      </c>
      <c r="S86" s="21">
        <f t="shared" si="22"/>
        <v>84</v>
      </c>
      <c r="T86" s="21">
        <f t="shared" si="20"/>
        <v>260</v>
      </c>
      <c r="U86" s="66">
        <f t="shared" si="14"/>
        <v>0.33438985736925514</v>
      </c>
    </row>
    <row r="87" spans="2:21" x14ac:dyDescent="0.15">
      <c r="B87" s="2">
        <v>85</v>
      </c>
      <c r="C87" s="2">
        <f t="shared" si="23"/>
        <v>9</v>
      </c>
      <c r="D87" s="66">
        <f t="shared" si="21"/>
        <v>5.7999999999999968E-2</v>
      </c>
      <c r="E87" s="64">
        <f t="shared" si="15"/>
        <v>0.24200000000000002</v>
      </c>
      <c r="F87" s="64">
        <v>0.3</v>
      </c>
      <c r="G87" s="2">
        <v>85</v>
      </c>
      <c r="H87" s="2">
        <f t="shared" si="16"/>
        <v>355</v>
      </c>
      <c r="I87" s="2">
        <f t="shared" si="17"/>
        <v>6.823529411764702E-4</v>
      </c>
      <c r="L87" s="30"/>
      <c r="M87" s="30"/>
      <c r="N87" s="21">
        <v>85</v>
      </c>
      <c r="O87" s="21">
        <f t="shared" si="24"/>
        <v>9</v>
      </c>
      <c r="P87" s="64">
        <f t="shared" si="18"/>
        <v>0.95</v>
      </c>
      <c r="Q87" s="64">
        <v>0.45</v>
      </c>
      <c r="R87" s="64">
        <f t="shared" si="19"/>
        <v>0.66666666666666663</v>
      </c>
      <c r="S87" s="21">
        <f t="shared" si="22"/>
        <v>85</v>
      </c>
      <c r="T87" s="21">
        <f t="shared" si="20"/>
        <v>263</v>
      </c>
      <c r="U87" s="66">
        <f t="shared" si="14"/>
        <v>0.3328100470957614</v>
      </c>
    </row>
    <row r="88" spans="2:21" x14ac:dyDescent="0.15">
      <c r="B88" s="2">
        <v>86</v>
      </c>
      <c r="C88" s="2">
        <f t="shared" si="23"/>
        <v>9</v>
      </c>
      <c r="D88" s="66">
        <f t="shared" si="21"/>
        <v>5.7499999999999968E-2</v>
      </c>
      <c r="E88" s="64">
        <f t="shared" si="15"/>
        <v>0.24250000000000002</v>
      </c>
      <c r="F88" s="64">
        <v>0.3</v>
      </c>
      <c r="G88" s="2">
        <v>86</v>
      </c>
      <c r="H88" s="2">
        <f t="shared" si="16"/>
        <v>363</v>
      </c>
      <c r="I88" s="2">
        <f t="shared" si="17"/>
        <v>6.686046511627903E-4</v>
      </c>
      <c r="L88" s="30"/>
      <c r="M88" s="30"/>
      <c r="N88" s="21">
        <v>86</v>
      </c>
      <c r="O88" s="21">
        <f t="shared" si="24"/>
        <v>9</v>
      </c>
      <c r="P88" s="64">
        <f t="shared" si="18"/>
        <v>0.95</v>
      </c>
      <c r="Q88" s="64">
        <v>0.45</v>
      </c>
      <c r="R88" s="64">
        <f t="shared" si="19"/>
        <v>0.66666666666666663</v>
      </c>
      <c r="S88" s="21">
        <f t="shared" si="22"/>
        <v>86</v>
      </c>
      <c r="T88" s="21">
        <f t="shared" si="20"/>
        <v>266</v>
      </c>
      <c r="U88" s="66">
        <f t="shared" si="14"/>
        <v>0.33125972006220838</v>
      </c>
    </row>
    <row r="89" spans="2:21" x14ac:dyDescent="0.15">
      <c r="B89" s="2">
        <v>87</v>
      </c>
      <c r="C89" s="2">
        <f t="shared" si="23"/>
        <v>9</v>
      </c>
      <c r="D89" s="66">
        <f t="shared" si="21"/>
        <v>5.6999999999999967E-2</v>
      </c>
      <c r="E89" s="64">
        <f t="shared" si="15"/>
        <v>0.24300000000000002</v>
      </c>
      <c r="F89" s="64">
        <v>0.3</v>
      </c>
      <c r="G89" s="2">
        <v>87</v>
      </c>
      <c r="H89" s="2">
        <f t="shared" si="16"/>
        <v>371</v>
      </c>
      <c r="I89" s="2">
        <f t="shared" si="17"/>
        <v>6.5517241379310306E-4</v>
      </c>
      <c r="L89" s="30"/>
      <c r="M89" s="30"/>
      <c r="N89" s="21">
        <v>87</v>
      </c>
      <c r="O89" s="21">
        <f t="shared" si="24"/>
        <v>9</v>
      </c>
      <c r="P89" s="64">
        <f t="shared" si="18"/>
        <v>0.95</v>
      </c>
      <c r="Q89" s="64">
        <v>0.45</v>
      </c>
      <c r="R89" s="64">
        <f t="shared" si="19"/>
        <v>0.66666666666666663</v>
      </c>
      <c r="S89" s="21">
        <f t="shared" si="22"/>
        <v>87</v>
      </c>
      <c r="T89" s="21">
        <f t="shared" si="20"/>
        <v>269</v>
      </c>
      <c r="U89" s="66">
        <f t="shared" si="14"/>
        <v>0.32973805855161786</v>
      </c>
    </row>
    <row r="90" spans="2:21" x14ac:dyDescent="0.15">
      <c r="B90" s="2">
        <v>88</v>
      </c>
      <c r="C90" s="2">
        <f t="shared" si="23"/>
        <v>9</v>
      </c>
      <c r="D90" s="66">
        <f t="shared" si="21"/>
        <v>5.6499999999999967E-2</v>
      </c>
      <c r="E90" s="64">
        <f t="shared" si="15"/>
        <v>0.24350000000000002</v>
      </c>
      <c r="F90" s="64">
        <v>0.3</v>
      </c>
      <c r="G90" s="2">
        <v>88</v>
      </c>
      <c r="H90" s="2">
        <f t="shared" si="16"/>
        <v>379</v>
      </c>
      <c r="I90" s="2">
        <f t="shared" si="17"/>
        <v>6.4204545454545417E-4</v>
      </c>
      <c r="L90" s="30"/>
      <c r="M90" s="30"/>
      <c r="N90" s="21">
        <v>88</v>
      </c>
      <c r="O90" s="21">
        <f t="shared" si="24"/>
        <v>9</v>
      </c>
      <c r="P90" s="64">
        <f t="shared" si="18"/>
        <v>0.95</v>
      </c>
      <c r="Q90" s="64">
        <v>0.45</v>
      </c>
      <c r="R90" s="64">
        <f t="shared" si="19"/>
        <v>0.66666666666666663</v>
      </c>
      <c r="S90" s="21">
        <f t="shared" si="22"/>
        <v>88</v>
      </c>
      <c r="T90" s="21">
        <f t="shared" si="20"/>
        <v>272</v>
      </c>
      <c r="U90" s="66">
        <f t="shared" si="14"/>
        <v>0.3282442748091603</v>
      </c>
    </row>
    <row r="91" spans="2:21" x14ac:dyDescent="0.15">
      <c r="B91" s="2">
        <v>89</v>
      </c>
      <c r="C91" s="2">
        <f t="shared" si="23"/>
        <v>9</v>
      </c>
      <c r="D91" s="66">
        <f t="shared" si="21"/>
        <v>5.5999999999999966E-2</v>
      </c>
      <c r="E91" s="64">
        <f t="shared" si="15"/>
        <v>0.24400000000000002</v>
      </c>
      <c r="F91" s="64">
        <v>0.3</v>
      </c>
      <c r="G91" s="2">
        <v>89</v>
      </c>
      <c r="H91" s="2">
        <f t="shared" si="16"/>
        <v>388</v>
      </c>
      <c r="I91" s="2">
        <f t="shared" si="17"/>
        <v>6.2921348314606699E-4</v>
      </c>
      <c r="L91" s="30"/>
      <c r="M91" s="30"/>
      <c r="N91" s="21">
        <v>89</v>
      </c>
      <c r="O91" s="21">
        <f t="shared" si="24"/>
        <v>9</v>
      </c>
      <c r="P91" s="64">
        <f t="shared" si="18"/>
        <v>0.95</v>
      </c>
      <c r="Q91" s="64">
        <v>0.45</v>
      </c>
      <c r="R91" s="64">
        <f t="shared" si="19"/>
        <v>0.66666666666666663</v>
      </c>
      <c r="S91" s="21">
        <f t="shared" si="22"/>
        <v>89</v>
      </c>
      <c r="T91" s="21">
        <f t="shared" si="20"/>
        <v>275</v>
      </c>
      <c r="U91" s="66">
        <f t="shared" si="14"/>
        <v>0.32677760968229952</v>
      </c>
    </row>
    <row r="92" spans="2:21" x14ac:dyDescent="0.15">
      <c r="B92" s="2">
        <v>90</v>
      </c>
      <c r="C92" s="2">
        <f t="shared" si="23"/>
        <v>9</v>
      </c>
      <c r="D92" s="66">
        <f t="shared" si="21"/>
        <v>5.5499999999999966E-2</v>
      </c>
      <c r="E92" s="64">
        <f t="shared" si="15"/>
        <v>0.24450000000000002</v>
      </c>
      <c r="F92" s="64">
        <v>0.3</v>
      </c>
      <c r="G92" s="2">
        <v>90</v>
      </c>
      <c r="H92" s="2">
        <f t="shared" si="16"/>
        <v>396</v>
      </c>
      <c r="I92" s="2">
        <f t="shared" si="17"/>
        <v>6.166666666666663E-4</v>
      </c>
      <c r="L92" s="30"/>
      <c r="M92" s="30"/>
      <c r="N92" s="21">
        <v>90</v>
      </c>
      <c r="O92" s="21">
        <f t="shared" si="24"/>
        <v>9</v>
      </c>
      <c r="P92" s="64">
        <f t="shared" si="18"/>
        <v>0.95</v>
      </c>
      <c r="Q92" s="64">
        <v>0.45</v>
      </c>
      <c r="R92" s="64">
        <f t="shared" si="19"/>
        <v>0.66666666666666663</v>
      </c>
      <c r="S92" s="21">
        <f t="shared" si="22"/>
        <v>90</v>
      </c>
      <c r="T92" s="21">
        <f t="shared" si="20"/>
        <v>278</v>
      </c>
      <c r="U92" s="66">
        <f t="shared" si="14"/>
        <v>0.32533733133433285</v>
      </c>
    </row>
    <row r="93" spans="2:21" x14ac:dyDescent="0.15">
      <c r="B93" s="2">
        <v>91</v>
      </c>
      <c r="C93" s="2">
        <f t="shared" si="23"/>
        <v>10</v>
      </c>
      <c r="D93" s="66">
        <f t="shared" si="21"/>
        <v>5.4999999999999966E-2</v>
      </c>
      <c r="E93" s="64">
        <f t="shared" si="15"/>
        <v>0.24500000000000002</v>
      </c>
      <c r="F93" s="64">
        <v>0.3</v>
      </c>
      <c r="G93" s="2">
        <v>91</v>
      </c>
      <c r="H93" s="2">
        <f t="shared" si="16"/>
        <v>405</v>
      </c>
      <c r="I93" s="2">
        <f t="shared" si="17"/>
        <v>6.0439560439560407E-4</v>
      </c>
      <c r="L93" s="30"/>
      <c r="M93" s="30"/>
      <c r="N93" s="21">
        <v>91</v>
      </c>
      <c r="O93" s="21">
        <f t="shared" si="24"/>
        <v>10</v>
      </c>
      <c r="P93" s="64">
        <f t="shared" si="18"/>
        <v>0.95</v>
      </c>
      <c r="Q93" s="64">
        <v>0.45</v>
      </c>
      <c r="R93" s="64">
        <f t="shared" si="19"/>
        <v>0.66666666666666663</v>
      </c>
      <c r="S93" s="21">
        <f t="shared" si="22"/>
        <v>91</v>
      </c>
      <c r="T93" s="21">
        <f t="shared" si="20"/>
        <v>281</v>
      </c>
      <c r="U93" s="66">
        <f t="shared" si="14"/>
        <v>0.32392273402674593</v>
      </c>
    </row>
    <row r="94" spans="2:21" x14ac:dyDescent="0.15">
      <c r="B94" s="2">
        <v>92</v>
      </c>
      <c r="C94" s="2">
        <f t="shared" si="23"/>
        <v>10</v>
      </c>
      <c r="D94" s="66">
        <f t="shared" si="21"/>
        <v>5.4499999999999965E-2</v>
      </c>
      <c r="E94" s="64">
        <f t="shared" si="15"/>
        <v>0.24550000000000002</v>
      </c>
      <c r="F94" s="64">
        <v>0.3</v>
      </c>
      <c r="G94" s="2">
        <v>92</v>
      </c>
      <c r="H94" s="2">
        <f t="shared" si="16"/>
        <v>414</v>
      </c>
      <c r="I94" s="2">
        <f t="shared" si="17"/>
        <v>5.9239130434782575E-4</v>
      </c>
      <c r="L94" s="30"/>
      <c r="M94" s="30"/>
      <c r="N94" s="21">
        <v>92</v>
      </c>
      <c r="O94" s="21">
        <f t="shared" si="24"/>
        <v>10</v>
      </c>
      <c r="P94" s="64">
        <f t="shared" si="18"/>
        <v>0.95</v>
      </c>
      <c r="Q94" s="64">
        <v>0.45</v>
      </c>
      <c r="R94" s="64">
        <f t="shared" si="19"/>
        <v>0.66666666666666663</v>
      </c>
      <c r="S94" s="21">
        <f t="shared" si="22"/>
        <v>92</v>
      </c>
      <c r="T94" s="21">
        <f t="shared" si="20"/>
        <v>284</v>
      </c>
      <c r="U94" s="66">
        <f t="shared" si="14"/>
        <v>0.32253313696612668</v>
      </c>
    </row>
    <row r="95" spans="2:21" x14ac:dyDescent="0.15">
      <c r="B95" s="2">
        <v>93</v>
      </c>
      <c r="C95" s="2">
        <f t="shared" si="23"/>
        <v>10</v>
      </c>
      <c r="D95" s="66">
        <f t="shared" si="21"/>
        <v>5.3999999999999965E-2</v>
      </c>
      <c r="E95" s="64">
        <f t="shared" si="15"/>
        <v>0.24600000000000002</v>
      </c>
      <c r="F95" s="64">
        <v>0.3</v>
      </c>
      <c r="G95" s="2">
        <v>93</v>
      </c>
      <c r="H95" s="2">
        <f t="shared" si="16"/>
        <v>424</v>
      </c>
      <c r="I95" s="2">
        <f t="shared" si="17"/>
        <v>5.8064516129032221E-4</v>
      </c>
      <c r="L95" s="30"/>
      <c r="M95" s="30"/>
      <c r="N95" s="21">
        <v>93</v>
      </c>
      <c r="O95" s="21">
        <f t="shared" si="24"/>
        <v>10</v>
      </c>
      <c r="P95" s="64">
        <f t="shared" si="18"/>
        <v>0.95</v>
      </c>
      <c r="Q95" s="64">
        <v>0.45</v>
      </c>
      <c r="R95" s="64">
        <f t="shared" si="19"/>
        <v>0.66666666666666663</v>
      </c>
      <c r="S95" s="21">
        <f t="shared" si="22"/>
        <v>93</v>
      </c>
      <c r="T95" s="21">
        <f t="shared" si="20"/>
        <v>287</v>
      </c>
      <c r="U95" s="66">
        <f t="shared" si="14"/>
        <v>0.32116788321167883</v>
      </c>
    </row>
    <row r="96" spans="2:21" x14ac:dyDescent="0.15">
      <c r="B96" s="2">
        <v>94</v>
      </c>
      <c r="C96" s="2">
        <f t="shared" si="23"/>
        <v>10</v>
      </c>
      <c r="D96" s="66">
        <f t="shared" si="21"/>
        <v>5.3499999999999964E-2</v>
      </c>
      <c r="E96" s="64">
        <f t="shared" si="15"/>
        <v>0.24650000000000002</v>
      </c>
      <c r="F96" s="64">
        <v>0.3</v>
      </c>
      <c r="G96" s="2">
        <v>94</v>
      </c>
      <c r="H96" s="2">
        <f t="shared" si="16"/>
        <v>433</v>
      </c>
      <c r="I96" s="2">
        <f t="shared" si="17"/>
        <v>5.6914893617021243E-4</v>
      </c>
      <c r="L96" s="30"/>
      <c r="M96" s="30"/>
      <c r="N96" s="21">
        <v>94</v>
      </c>
      <c r="O96" s="21">
        <f t="shared" si="24"/>
        <v>10</v>
      </c>
      <c r="P96" s="64">
        <f t="shared" si="18"/>
        <v>0.95</v>
      </c>
      <c r="Q96" s="64">
        <v>0.45</v>
      </c>
      <c r="R96" s="64">
        <f t="shared" si="19"/>
        <v>0.66666666666666663</v>
      </c>
      <c r="S96" s="21">
        <f t="shared" si="22"/>
        <v>94</v>
      </c>
      <c r="T96" s="21">
        <f t="shared" si="20"/>
        <v>291</v>
      </c>
      <c r="U96" s="66">
        <f t="shared" si="14"/>
        <v>0.31982633863965265</v>
      </c>
    </row>
    <row r="97" spans="2:21" x14ac:dyDescent="0.15">
      <c r="B97" s="2">
        <v>95</v>
      </c>
      <c r="C97" s="2">
        <f t="shared" si="23"/>
        <v>10</v>
      </c>
      <c r="D97" s="66">
        <f t="shared" si="21"/>
        <v>5.2999999999999964E-2</v>
      </c>
      <c r="E97" s="64">
        <f t="shared" si="15"/>
        <v>0.24700000000000003</v>
      </c>
      <c r="F97" s="64">
        <v>0.3</v>
      </c>
      <c r="G97" s="2">
        <v>95</v>
      </c>
      <c r="H97" s="2">
        <f t="shared" si="16"/>
        <v>443</v>
      </c>
      <c r="I97" s="2">
        <f t="shared" si="17"/>
        <v>5.5789473684210488E-4</v>
      </c>
      <c r="L97" s="30"/>
      <c r="M97" s="30"/>
      <c r="N97" s="21">
        <v>95</v>
      </c>
      <c r="O97" s="21">
        <f t="shared" si="24"/>
        <v>10</v>
      </c>
      <c r="P97" s="64">
        <f t="shared" si="18"/>
        <v>0.95</v>
      </c>
      <c r="Q97" s="64">
        <v>0.45</v>
      </c>
      <c r="R97" s="64">
        <f t="shared" si="19"/>
        <v>0.66666666666666663</v>
      </c>
      <c r="S97" s="21">
        <f t="shared" si="22"/>
        <v>95</v>
      </c>
      <c r="T97" s="21">
        <f t="shared" si="20"/>
        <v>294</v>
      </c>
      <c r="U97" s="66">
        <f t="shared" si="14"/>
        <v>0.31850789096126253</v>
      </c>
    </row>
    <row r="98" spans="2:21" x14ac:dyDescent="0.15">
      <c r="B98" s="2">
        <v>96</v>
      </c>
      <c r="C98" s="2">
        <f t="shared" si="23"/>
        <v>10</v>
      </c>
      <c r="D98" s="66">
        <f t="shared" si="21"/>
        <v>5.2499999999999963E-2</v>
      </c>
      <c r="E98" s="64">
        <f t="shared" si="15"/>
        <v>0.24750000000000003</v>
      </c>
      <c r="F98" s="64">
        <v>0.3</v>
      </c>
      <c r="G98" s="2">
        <v>96</v>
      </c>
      <c r="H98" s="2">
        <f t="shared" si="16"/>
        <v>453</v>
      </c>
      <c r="I98" s="2">
        <f t="shared" si="17"/>
        <v>5.4687499999999962E-4</v>
      </c>
      <c r="L98" s="30"/>
      <c r="M98" s="30"/>
      <c r="N98" s="21">
        <v>96</v>
      </c>
      <c r="O98" s="21">
        <f t="shared" si="24"/>
        <v>10</v>
      </c>
      <c r="P98" s="64">
        <f t="shared" si="18"/>
        <v>0.95</v>
      </c>
      <c r="Q98" s="64">
        <v>0.45</v>
      </c>
      <c r="R98" s="64">
        <f t="shared" si="19"/>
        <v>0.66666666666666663</v>
      </c>
      <c r="S98" s="21">
        <f t="shared" si="22"/>
        <v>96</v>
      </c>
      <c r="T98" s="21">
        <f t="shared" si="20"/>
        <v>297</v>
      </c>
      <c r="U98" s="66">
        <f t="shared" si="14"/>
        <v>0.31721194879089615</v>
      </c>
    </row>
    <row r="99" spans="2:21" x14ac:dyDescent="0.15">
      <c r="B99" s="2">
        <v>97</v>
      </c>
      <c r="C99" s="2">
        <f t="shared" si="23"/>
        <v>10</v>
      </c>
      <c r="D99" s="66">
        <f t="shared" si="21"/>
        <v>5.1999999999999963E-2</v>
      </c>
      <c r="E99" s="64">
        <f t="shared" si="15"/>
        <v>0.24800000000000003</v>
      </c>
      <c r="F99" s="64">
        <v>0.3</v>
      </c>
      <c r="G99" s="2">
        <v>97</v>
      </c>
      <c r="H99" s="2">
        <f t="shared" si="16"/>
        <v>463</v>
      </c>
      <c r="I99" s="2">
        <f t="shared" si="17"/>
        <v>5.3608247422680378E-4</v>
      </c>
      <c r="L99" s="30"/>
      <c r="M99" s="30"/>
      <c r="N99" s="21">
        <v>97</v>
      </c>
      <c r="O99" s="21">
        <f t="shared" si="24"/>
        <v>10</v>
      </c>
      <c r="P99" s="64">
        <f t="shared" si="18"/>
        <v>0.95</v>
      </c>
      <c r="Q99" s="64">
        <v>0.45</v>
      </c>
      <c r="R99" s="64">
        <f t="shared" si="19"/>
        <v>0.66666666666666663</v>
      </c>
      <c r="S99" s="21">
        <f t="shared" si="22"/>
        <v>97</v>
      </c>
      <c r="T99" s="21">
        <f t="shared" si="20"/>
        <v>300</v>
      </c>
      <c r="U99" s="66">
        <f t="shared" si="14"/>
        <v>0.31593794076163612</v>
      </c>
    </row>
    <row r="100" spans="2:21" x14ac:dyDescent="0.15">
      <c r="B100" s="2">
        <v>98</v>
      </c>
      <c r="C100" s="2">
        <f t="shared" si="23"/>
        <v>10</v>
      </c>
      <c r="D100" s="66">
        <f t="shared" si="21"/>
        <v>5.1499999999999962E-2</v>
      </c>
      <c r="E100" s="64">
        <f t="shared" si="15"/>
        <v>0.24850000000000003</v>
      </c>
      <c r="F100" s="64">
        <v>0.3</v>
      </c>
      <c r="G100" s="2">
        <v>98</v>
      </c>
      <c r="H100" s="2">
        <f t="shared" si="16"/>
        <v>473</v>
      </c>
      <c r="I100" s="2">
        <f t="shared" si="17"/>
        <v>5.2551020408163232E-4</v>
      </c>
      <c r="L100" s="30"/>
      <c r="M100" s="30"/>
      <c r="N100" s="21">
        <v>98</v>
      </c>
      <c r="O100" s="21">
        <f t="shared" si="24"/>
        <v>10</v>
      </c>
      <c r="P100" s="64">
        <f t="shared" si="18"/>
        <v>0.95</v>
      </c>
      <c r="Q100" s="64">
        <v>0.45</v>
      </c>
      <c r="R100" s="64">
        <f t="shared" si="19"/>
        <v>0.66666666666666663</v>
      </c>
      <c r="S100" s="21">
        <f t="shared" si="22"/>
        <v>98</v>
      </c>
      <c r="T100" s="21">
        <f t="shared" si="20"/>
        <v>303</v>
      </c>
      <c r="U100" s="66">
        <f t="shared" si="14"/>
        <v>0.31468531468531469</v>
      </c>
    </row>
    <row r="101" spans="2:21" x14ac:dyDescent="0.15">
      <c r="B101" s="2">
        <v>99</v>
      </c>
      <c r="C101" s="2">
        <f t="shared" si="23"/>
        <v>10</v>
      </c>
      <c r="D101" s="66">
        <f t="shared" si="21"/>
        <v>5.0999999999999962E-2</v>
      </c>
      <c r="E101" s="64">
        <f t="shared" si="15"/>
        <v>0.24900000000000003</v>
      </c>
      <c r="F101" s="64">
        <v>0.3</v>
      </c>
      <c r="G101" s="2">
        <v>99</v>
      </c>
      <c r="H101" s="2">
        <f t="shared" si="16"/>
        <v>483</v>
      </c>
      <c r="I101" s="2">
        <f t="shared" si="17"/>
        <v>5.151515151515148E-4</v>
      </c>
      <c r="L101" s="30"/>
      <c r="M101" s="30"/>
      <c r="N101" s="21">
        <v>99</v>
      </c>
      <c r="O101" s="21">
        <f t="shared" si="24"/>
        <v>10</v>
      </c>
      <c r="P101" s="64">
        <f t="shared" si="18"/>
        <v>0.95</v>
      </c>
      <c r="Q101" s="64">
        <v>0.45</v>
      </c>
      <c r="R101" s="64">
        <f t="shared" si="19"/>
        <v>0.66666666666666663</v>
      </c>
      <c r="S101" s="21">
        <f t="shared" si="22"/>
        <v>99</v>
      </c>
      <c r="T101" s="21">
        <f t="shared" si="20"/>
        <v>306</v>
      </c>
      <c r="U101" s="66">
        <f t="shared" si="14"/>
        <v>0.31345353675450766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K44"/>
  <sheetViews>
    <sheetView workbookViewId="0">
      <selection activeCell="I3" sqref="I3:I8"/>
    </sheetView>
  </sheetViews>
  <sheetFormatPr defaultRowHeight="12.75" x14ac:dyDescent="0.15"/>
  <cols>
    <col min="1" max="1" width="2.5" style="1" customWidth="1"/>
    <col min="2" max="16" width="9" style="1"/>
    <col min="17" max="17" width="12.375" style="1" customWidth="1"/>
    <col min="18" max="16384" width="9" style="1"/>
  </cols>
  <sheetData>
    <row r="1" spans="2:17" x14ac:dyDescent="0.15">
      <c r="O1" s="46"/>
    </row>
    <row r="2" spans="2:17" x14ac:dyDescent="0.15">
      <c r="B2" s="38" t="s">
        <v>302</v>
      </c>
      <c r="C2" s="39" t="s">
        <v>324</v>
      </c>
      <c r="D2" s="39" t="s">
        <v>300</v>
      </c>
      <c r="E2" s="39" t="s">
        <v>301</v>
      </c>
      <c r="H2" s="38" t="s">
        <v>327</v>
      </c>
      <c r="I2" s="39" t="s">
        <v>334</v>
      </c>
      <c r="J2" s="39" t="s">
        <v>335</v>
      </c>
      <c r="K2" s="34" t="s">
        <v>2</v>
      </c>
      <c r="L2" s="34" t="s">
        <v>4</v>
      </c>
      <c r="M2" s="34" t="s">
        <v>6</v>
      </c>
      <c r="N2" s="34" t="s">
        <v>341</v>
      </c>
      <c r="O2" s="34" t="s">
        <v>460</v>
      </c>
      <c r="P2" s="34" t="s">
        <v>7</v>
      </c>
      <c r="Q2" s="34" t="s">
        <v>461</v>
      </c>
    </row>
    <row r="3" spans="2:17" x14ac:dyDescent="0.2">
      <c r="B3" s="2">
        <v>1</v>
      </c>
      <c r="C3" s="36" t="s">
        <v>317</v>
      </c>
      <c r="D3" s="2">
        <v>10</v>
      </c>
      <c r="E3" s="2">
        <v>10</v>
      </c>
      <c r="F3" s="1">
        <v>1</v>
      </c>
      <c r="H3" s="35">
        <v>0</v>
      </c>
      <c r="I3" s="36" t="s">
        <v>312</v>
      </c>
      <c r="J3" s="37" t="s">
        <v>71</v>
      </c>
      <c r="K3" s="41">
        <f>(1-N3)</f>
        <v>0.9</v>
      </c>
      <c r="L3" s="2">
        <v>0.5</v>
      </c>
      <c r="M3" s="2">
        <v>0.5</v>
      </c>
      <c r="N3" s="68">
        <v>0.1</v>
      </c>
      <c r="O3" s="2">
        <v>1</v>
      </c>
      <c r="P3" s="2">
        <v>1</v>
      </c>
      <c r="Q3" s="2">
        <v>1</v>
      </c>
    </row>
    <row r="4" spans="2:17" x14ac:dyDescent="0.2">
      <c r="B4" s="2">
        <v>2</v>
      </c>
      <c r="C4" s="36" t="s">
        <v>321</v>
      </c>
      <c r="D4" s="2">
        <f>D3+0.5</f>
        <v>10.5</v>
      </c>
      <c r="E4" s="2">
        <f>D3/(D4/E3)</f>
        <v>9.5238095238095237</v>
      </c>
      <c r="F4" s="1">
        <v>2</v>
      </c>
      <c r="H4" s="35">
        <v>1</v>
      </c>
      <c r="I4" s="36" t="s">
        <v>313</v>
      </c>
      <c r="J4" s="37" t="s">
        <v>68</v>
      </c>
      <c r="K4" s="41">
        <f t="shared" ref="K4:K15" si="0">(1-N4)</f>
        <v>0.85</v>
      </c>
      <c r="L4" s="2">
        <v>0.8</v>
      </c>
      <c r="M4" s="2">
        <v>0.2</v>
      </c>
      <c r="N4" s="68">
        <v>0.15</v>
      </c>
      <c r="O4" s="2">
        <v>1.3</v>
      </c>
      <c r="P4" s="2">
        <v>0.9</v>
      </c>
      <c r="Q4" s="2">
        <v>0.9</v>
      </c>
    </row>
    <row r="5" spans="2:17" x14ac:dyDescent="0.2">
      <c r="B5" s="2">
        <v>3</v>
      </c>
      <c r="C5" s="36" t="s">
        <v>313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35">
        <v>2</v>
      </c>
      <c r="I5" s="36" t="s">
        <v>314</v>
      </c>
      <c r="J5" s="37" t="s">
        <v>71</v>
      </c>
      <c r="K5" s="41">
        <f t="shared" si="0"/>
        <v>0.75</v>
      </c>
      <c r="L5" s="2">
        <v>0.9</v>
      </c>
      <c r="M5" s="2">
        <v>0.1</v>
      </c>
      <c r="N5" s="68">
        <v>0.25</v>
      </c>
      <c r="O5" s="2">
        <v>1.4</v>
      </c>
      <c r="P5" s="2">
        <v>1</v>
      </c>
      <c r="Q5" s="2">
        <v>0.8</v>
      </c>
    </row>
    <row r="6" spans="2:17" x14ac:dyDescent="0.2">
      <c r="B6" s="2">
        <v>4</v>
      </c>
      <c r="C6" s="36" t="s">
        <v>316</v>
      </c>
      <c r="D6" s="2">
        <f t="shared" si="1"/>
        <v>11.5</v>
      </c>
      <c r="E6" s="2">
        <f t="shared" si="2"/>
        <v>8.695652173913043</v>
      </c>
      <c r="F6" s="1">
        <v>4</v>
      </c>
      <c r="H6" s="35">
        <v>3</v>
      </c>
      <c r="I6" s="36" t="s">
        <v>315</v>
      </c>
      <c r="J6" s="37" t="s">
        <v>73</v>
      </c>
      <c r="K6" s="41">
        <f t="shared" si="0"/>
        <v>0.82000000000000006</v>
      </c>
      <c r="L6" s="2">
        <v>0.4</v>
      </c>
      <c r="M6" s="2">
        <v>0.6</v>
      </c>
      <c r="N6" s="68">
        <v>0.18</v>
      </c>
      <c r="O6" s="2">
        <v>0.8</v>
      </c>
      <c r="P6" s="2">
        <v>1</v>
      </c>
      <c r="Q6" s="2">
        <v>1.1000000000000001</v>
      </c>
    </row>
    <row r="7" spans="2:17" x14ac:dyDescent="0.2">
      <c r="B7" s="2">
        <v>5</v>
      </c>
      <c r="C7" s="36" t="s">
        <v>320</v>
      </c>
      <c r="D7" s="2">
        <f t="shared" si="1"/>
        <v>12</v>
      </c>
      <c r="E7" s="2">
        <f t="shared" si="2"/>
        <v>8.3333333333333321</v>
      </c>
      <c r="F7" s="1">
        <v>5</v>
      </c>
      <c r="H7" s="35">
        <v>4</v>
      </c>
      <c r="I7" s="36" t="s">
        <v>316</v>
      </c>
      <c r="J7" s="37" t="s">
        <v>72</v>
      </c>
      <c r="K7" s="41">
        <f t="shared" si="0"/>
        <v>0.72</v>
      </c>
      <c r="L7" s="2">
        <v>0.7</v>
      </c>
      <c r="M7" s="2">
        <v>0.3</v>
      </c>
      <c r="N7" s="68">
        <v>0.28000000000000003</v>
      </c>
      <c r="O7" s="2">
        <v>1</v>
      </c>
      <c r="P7" s="2">
        <v>1.2</v>
      </c>
      <c r="Q7" s="2">
        <v>0.9</v>
      </c>
    </row>
    <row r="8" spans="2:17" x14ac:dyDescent="0.2">
      <c r="B8" s="2">
        <v>6</v>
      </c>
      <c r="C8" s="36" t="s">
        <v>304</v>
      </c>
      <c r="D8" s="2">
        <f t="shared" si="1"/>
        <v>12.5</v>
      </c>
      <c r="E8" s="2">
        <f t="shared" si="2"/>
        <v>7.9999999999999991</v>
      </c>
      <c r="F8" s="1">
        <v>6</v>
      </c>
      <c r="H8" s="35">
        <v>5</v>
      </c>
      <c r="I8" s="36" t="s">
        <v>304</v>
      </c>
      <c r="J8" s="37" t="s">
        <v>336</v>
      </c>
      <c r="K8" s="41">
        <f t="shared" si="0"/>
        <v>0.88</v>
      </c>
      <c r="L8" s="2">
        <v>0.2</v>
      </c>
      <c r="M8" s="2">
        <v>0.8</v>
      </c>
      <c r="N8" s="68">
        <v>0.12</v>
      </c>
      <c r="O8" s="2">
        <v>0.7</v>
      </c>
      <c r="P8" s="2">
        <v>0.9</v>
      </c>
      <c r="Q8" s="2">
        <v>1.2</v>
      </c>
    </row>
    <row r="9" spans="2:17" x14ac:dyDescent="0.2">
      <c r="B9" s="2">
        <v>7</v>
      </c>
      <c r="C9" s="36" t="s">
        <v>315</v>
      </c>
      <c r="D9" s="2">
        <f t="shared" si="1"/>
        <v>13</v>
      </c>
      <c r="E9" s="2">
        <f t="shared" si="2"/>
        <v>7.6923076923076916</v>
      </c>
      <c r="F9" s="1">
        <v>7</v>
      </c>
      <c r="H9" s="35">
        <v>6</v>
      </c>
      <c r="I9" s="36" t="s">
        <v>317</v>
      </c>
      <c r="J9" s="37" t="s">
        <v>337</v>
      </c>
      <c r="K9" s="41">
        <f t="shared" si="0"/>
        <v>0.85</v>
      </c>
      <c r="L9" s="2">
        <v>0.9</v>
      </c>
      <c r="M9" s="2">
        <v>0.1</v>
      </c>
      <c r="N9" s="68">
        <v>0.15</v>
      </c>
      <c r="O9" s="2">
        <v>1.2</v>
      </c>
      <c r="P9" s="2">
        <v>1.4</v>
      </c>
      <c r="Q9" s="2">
        <v>0.7</v>
      </c>
    </row>
    <row r="10" spans="2:17" x14ac:dyDescent="0.2">
      <c r="B10" s="2">
        <v>8</v>
      </c>
      <c r="C10" s="36" t="s">
        <v>319</v>
      </c>
      <c r="D10" s="2">
        <f t="shared" si="1"/>
        <v>13.5</v>
      </c>
      <c r="E10" s="2">
        <f t="shared" si="2"/>
        <v>7.4074074074074066</v>
      </c>
      <c r="F10" s="1">
        <v>8</v>
      </c>
      <c r="H10" s="35">
        <v>7</v>
      </c>
      <c r="I10" s="36" t="s">
        <v>318</v>
      </c>
      <c r="J10" s="37" t="s">
        <v>67</v>
      </c>
      <c r="K10" s="41">
        <f t="shared" si="0"/>
        <v>0.7</v>
      </c>
      <c r="L10" s="2">
        <v>0.2</v>
      </c>
      <c r="M10" s="2">
        <v>0.8</v>
      </c>
      <c r="N10" s="68">
        <v>0.3</v>
      </c>
      <c r="O10" s="2">
        <v>1.4</v>
      </c>
      <c r="P10" s="2">
        <v>1.4</v>
      </c>
      <c r="Q10" s="2">
        <v>0.6</v>
      </c>
    </row>
    <row r="11" spans="2:17" x14ac:dyDescent="0.2">
      <c r="B11" s="2">
        <v>9</v>
      </c>
      <c r="C11" s="36" t="s">
        <v>322</v>
      </c>
      <c r="D11" s="2">
        <f t="shared" si="1"/>
        <v>14</v>
      </c>
      <c r="E11" s="2">
        <f t="shared" si="2"/>
        <v>7.1428571428571423</v>
      </c>
      <c r="F11" s="1">
        <v>9</v>
      </c>
      <c r="H11" s="35">
        <v>8</v>
      </c>
      <c r="I11" s="36" t="s">
        <v>319</v>
      </c>
      <c r="J11" s="37" t="s">
        <v>338</v>
      </c>
      <c r="K11" s="41">
        <f t="shared" si="0"/>
        <v>0.72</v>
      </c>
      <c r="L11" s="2">
        <v>0.4</v>
      </c>
      <c r="M11" s="2">
        <v>0.6</v>
      </c>
      <c r="N11" s="68">
        <v>0.28000000000000003</v>
      </c>
      <c r="O11" s="2">
        <v>0.8</v>
      </c>
      <c r="P11" s="2">
        <v>1</v>
      </c>
      <c r="Q11" s="2">
        <v>1.1000000000000001</v>
      </c>
    </row>
    <row r="12" spans="2:17" x14ac:dyDescent="0.2">
      <c r="B12" s="2">
        <v>10</v>
      </c>
      <c r="C12" s="36" t="s">
        <v>314</v>
      </c>
      <c r="D12" s="2">
        <f t="shared" si="1"/>
        <v>14.5</v>
      </c>
      <c r="E12" s="2">
        <f t="shared" si="2"/>
        <v>6.8965517241379306</v>
      </c>
      <c r="F12" s="1">
        <v>10</v>
      </c>
      <c r="H12" s="35">
        <v>9</v>
      </c>
      <c r="I12" s="36" t="s">
        <v>320</v>
      </c>
      <c r="J12" s="37" t="s">
        <v>72</v>
      </c>
      <c r="K12" s="41">
        <f t="shared" si="0"/>
        <v>0.9</v>
      </c>
      <c r="L12" s="2">
        <v>0.9</v>
      </c>
      <c r="M12" s="2">
        <v>0.1</v>
      </c>
      <c r="N12" s="68">
        <v>0.1</v>
      </c>
      <c r="O12" s="2">
        <v>1.2</v>
      </c>
      <c r="P12" s="2">
        <v>1.2</v>
      </c>
      <c r="Q12" s="2">
        <v>0.8</v>
      </c>
    </row>
    <row r="13" spans="2:17" x14ac:dyDescent="0.2">
      <c r="B13" s="2">
        <v>11</v>
      </c>
      <c r="C13" s="36" t="s">
        <v>323</v>
      </c>
      <c r="D13" s="2">
        <f t="shared" si="1"/>
        <v>15</v>
      </c>
      <c r="E13" s="2">
        <f t="shared" si="2"/>
        <v>6.6666666666666661</v>
      </c>
      <c r="F13" s="1">
        <v>11</v>
      </c>
      <c r="H13" s="35">
        <v>10</v>
      </c>
      <c r="I13" s="36" t="s">
        <v>321</v>
      </c>
      <c r="J13" s="37" t="s">
        <v>73</v>
      </c>
      <c r="K13" s="41">
        <f t="shared" si="0"/>
        <v>0.89</v>
      </c>
      <c r="L13" s="2">
        <v>0.1</v>
      </c>
      <c r="M13" s="2">
        <v>0.9</v>
      </c>
      <c r="N13" s="68">
        <v>0.11</v>
      </c>
      <c r="O13" s="2">
        <v>0.6</v>
      </c>
      <c r="P13" s="2">
        <v>1</v>
      </c>
      <c r="Q13" s="2">
        <v>1.2</v>
      </c>
    </row>
    <row r="14" spans="2:17" x14ac:dyDescent="0.2">
      <c r="B14" s="2">
        <v>12</v>
      </c>
      <c r="C14" s="36" t="s">
        <v>434</v>
      </c>
      <c r="D14" s="2">
        <f t="shared" si="1"/>
        <v>15.5</v>
      </c>
      <c r="E14" s="2">
        <f t="shared" si="2"/>
        <v>6.4516129032258061</v>
      </c>
      <c r="F14" s="1">
        <v>12</v>
      </c>
      <c r="H14" s="35">
        <v>11</v>
      </c>
      <c r="I14" s="36" t="s">
        <v>322</v>
      </c>
      <c r="J14" s="37" t="s">
        <v>339</v>
      </c>
      <c r="K14" s="41">
        <f t="shared" si="0"/>
        <v>0.69</v>
      </c>
      <c r="L14" s="2">
        <v>0.8</v>
      </c>
      <c r="M14" s="2">
        <v>0.2</v>
      </c>
      <c r="N14" s="68">
        <v>0.31</v>
      </c>
      <c r="O14" s="2">
        <v>1.3</v>
      </c>
      <c r="P14" s="2">
        <v>1.1000000000000001</v>
      </c>
      <c r="Q14" s="2">
        <v>0.8</v>
      </c>
    </row>
    <row r="15" spans="2:17" x14ac:dyDescent="0.2">
      <c r="B15" s="2">
        <v>13</v>
      </c>
      <c r="C15" s="36" t="s">
        <v>318</v>
      </c>
      <c r="D15" s="2">
        <f t="shared" si="1"/>
        <v>16</v>
      </c>
      <c r="E15" s="2">
        <f t="shared" si="2"/>
        <v>6.25</v>
      </c>
      <c r="F15" s="1">
        <v>13</v>
      </c>
      <c r="H15" s="35">
        <v>12</v>
      </c>
      <c r="I15" s="36" t="s">
        <v>323</v>
      </c>
      <c r="J15" s="37" t="s">
        <v>68</v>
      </c>
      <c r="K15" s="41">
        <f t="shared" si="0"/>
        <v>0.85</v>
      </c>
      <c r="L15" s="2">
        <v>0.9</v>
      </c>
      <c r="M15" s="2">
        <v>0.1</v>
      </c>
      <c r="N15" s="68">
        <v>0.15</v>
      </c>
      <c r="O15" s="2">
        <v>1.1000000000000001</v>
      </c>
      <c r="P15" s="2">
        <v>1.1000000000000001</v>
      </c>
      <c r="Q15" s="2">
        <v>0.9</v>
      </c>
    </row>
    <row r="16" spans="2:17" x14ac:dyDescent="0.15">
      <c r="P16" s="46"/>
    </row>
    <row r="17" spans="2:16" x14ac:dyDescent="0.15">
      <c r="H17" s="34" t="s">
        <v>66</v>
      </c>
      <c r="I17" s="34" t="s">
        <v>296</v>
      </c>
      <c r="J17" s="34" t="s">
        <v>408</v>
      </c>
      <c r="K17" s="34" t="s">
        <v>2</v>
      </c>
      <c r="L17" s="34" t="s">
        <v>4</v>
      </c>
      <c r="M17" s="34" t="s">
        <v>5</v>
      </c>
      <c r="N17" s="34" t="s">
        <v>6</v>
      </c>
      <c r="O17" s="34" t="s">
        <v>7</v>
      </c>
    </row>
    <row r="18" spans="2:16" ht="15" x14ac:dyDescent="0.3">
      <c r="B18" s="2" t="s">
        <v>375</v>
      </c>
      <c r="C18" s="37" t="s">
        <v>376</v>
      </c>
      <c r="D18" s="37" t="s">
        <v>377</v>
      </c>
      <c r="E18" s="37" t="s">
        <v>378</v>
      </c>
      <c r="H18" s="2">
        <v>1</v>
      </c>
      <c r="I18" s="76" t="s">
        <v>13</v>
      </c>
      <c r="J18" s="35">
        <v>1</v>
      </c>
      <c r="K18" s="41">
        <v>1.2</v>
      </c>
      <c r="L18" s="41">
        <v>1.1499999999999999</v>
      </c>
      <c r="M18" s="2">
        <v>1</v>
      </c>
      <c r="N18" s="41">
        <v>0.52</v>
      </c>
      <c r="O18" s="2">
        <v>1</v>
      </c>
      <c r="P18" s="60">
        <f>K18*(L18+N18)/2</f>
        <v>1.002</v>
      </c>
    </row>
    <row r="19" spans="2:16" ht="15" x14ac:dyDescent="0.3">
      <c r="B19" s="2">
        <v>1</v>
      </c>
      <c r="C19" s="2" t="s">
        <v>544</v>
      </c>
      <c r="D19" s="37" t="s">
        <v>379</v>
      </c>
      <c r="E19" s="2"/>
      <c r="H19" s="2">
        <v>2</v>
      </c>
      <c r="I19" s="35" t="s">
        <v>402</v>
      </c>
      <c r="J19" s="35">
        <v>1</v>
      </c>
      <c r="K19" s="41">
        <v>1.1000000000000001</v>
      </c>
      <c r="L19" s="41">
        <v>1.3</v>
      </c>
      <c r="M19" s="2">
        <v>1.2</v>
      </c>
      <c r="N19" s="41">
        <v>0.5</v>
      </c>
      <c r="O19" s="2">
        <v>0.8</v>
      </c>
      <c r="P19" s="60">
        <f t="shared" ref="P19:P37" si="3">K19*(L19+N19)/2</f>
        <v>0.9900000000000001</v>
      </c>
    </row>
    <row r="20" spans="2:16" x14ac:dyDescent="0.2">
      <c r="B20" s="2">
        <v>2</v>
      </c>
      <c r="C20" s="2" t="s">
        <v>549</v>
      </c>
      <c r="D20" s="2"/>
      <c r="E20" s="2"/>
      <c r="H20" s="2">
        <v>3</v>
      </c>
      <c r="I20" s="35" t="s">
        <v>394</v>
      </c>
      <c r="J20" s="35">
        <v>1</v>
      </c>
      <c r="K20" s="41">
        <v>0.9</v>
      </c>
      <c r="L20" s="41">
        <v>0.6</v>
      </c>
      <c r="M20" s="2">
        <v>0.8</v>
      </c>
      <c r="N20" s="41">
        <v>1.7</v>
      </c>
      <c r="O20" s="2">
        <v>1.2</v>
      </c>
      <c r="P20" s="60">
        <f t="shared" si="3"/>
        <v>1.0349999999999999</v>
      </c>
    </row>
    <row r="21" spans="2:16" ht="15" x14ac:dyDescent="0.3">
      <c r="B21" s="2">
        <v>3</v>
      </c>
      <c r="C21" s="2" t="s">
        <v>550</v>
      </c>
      <c r="D21" s="2"/>
      <c r="E21" s="2"/>
      <c r="H21" s="2">
        <v>4</v>
      </c>
      <c r="I21" s="35" t="s">
        <v>403</v>
      </c>
      <c r="J21" s="35">
        <v>1</v>
      </c>
      <c r="K21" s="41">
        <v>1</v>
      </c>
      <c r="L21" s="41">
        <v>0.7</v>
      </c>
      <c r="M21" s="2">
        <v>0.5</v>
      </c>
      <c r="N21" s="41">
        <v>1.3</v>
      </c>
      <c r="O21" s="2">
        <v>1.5</v>
      </c>
      <c r="P21" s="60">
        <f t="shared" si="3"/>
        <v>1</v>
      </c>
    </row>
    <row r="22" spans="2:16" ht="15" x14ac:dyDescent="0.3">
      <c r="B22" s="2">
        <v>4</v>
      </c>
      <c r="C22" s="2" t="s">
        <v>551</v>
      </c>
      <c r="D22" s="2"/>
      <c r="E22" s="2"/>
      <c r="H22" s="2">
        <v>5</v>
      </c>
      <c r="I22" s="35" t="s">
        <v>404</v>
      </c>
      <c r="J22" s="35">
        <v>1</v>
      </c>
      <c r="K22" s="41">
        <v>0.9</v>
      </c>
      <c r="L22" s="41">
        <v>1.1000000000000001</v>
      </c>
      <c r="M22" s="2">
        <v>1.1000000000000001</v>
      </c>
      <c r="N22" s="41">
        <v>1.1000000000000001</v>
      </c>
      <c r="O22" s="2">
        <v>0.9</v>
      </c>
      <c r="P22" s="60">
        <f t="shared" si="3"/>
        <v>0.9900000000000001</v>
      </c>
    </row>
    <row r="23" spans="2:16" ht="15" x14ac:dyDescent="0.3">
      <c r="B23" s="2">
        <v>5</v>
      </c>
      <c r="C23" s="2" t="s">
        <v>552</v>
      </c>
      <c r="D23" s="2"/>
      <c r="E23" s="2"/>
      <c r="H23" s="2">
        <v>6</v>
      </c>
      <c r="I23" s="35" t="s">
        <v>405</v>
      </c>
      <c r="J23" s="35">
        <v>1</v>
      </c>
      <c r="K23" s="41">
        <v>1</v>
      </c>
      <c r="L23" s="41">
        <v>1.4</v>
      </c>
      <c r="M23" s="2">
        <v>1.3</v>
      </c>
      <c r="N23" s="41">
        <v>0.6</v>
      </c>
      <c r="O23" s="2">
        <v>0.8</v>
      </c>
      <c r="P23" s="60">
        <f t="shared" si="3"/>
        <v>1</v>
      </c>
    </row>
    <row r="24" spans="2:16" x14ac:dyDescent="0.2">
      <c r="B24" s="2">
        <v>6</v>
      </c>
      <c r="C24" s="2" t="s">
        <v>553</v>
      </c>
      <c r="D24" s="2"/>
      <c r="E24" s="2"/>
      <c r="H24" s="2">
        <v>7</v>
      </c>
      <c r="I24" s="35" t="s">
        <v>400</v>
      </c>
      <c r="J24" s="35">
        <v>1</v>
      </c>
      <c r="K24" s="41">
        <v>0.8</v>
      </c>
      <c r="L24" s="41">
        <v>1.7</v>
      </c>
      <c r="M24" s="2">
        <v>1.1499999999999999</v>
      </c>
      <c r="N24" s="41">
        <v>0.7</v>
      </c>
      <c r="O24" s="2">
        <v>0.85</v>
      </c>
      <c r="P24" s="60">
        <f t="shared" si="3"/>
        <v>0.96</v>
      </c>
    </row>
    <row r="25" spans="2:16" ht="15" x14ac:dyDescent="0.3">
      <c r="B25" s="2">
        <v>7</v>
      </c>
      <c r="C25" s="2" t="s">
        <v>554</v>
      </c>
      <c r="D25" s="2"/>
      <c r="E25" s="2"/>
      <c r="H25" s="2">
        <v>8</v>
      </c>
      <c r="I25" s="35" t="s">
        <v>406</v>
      </c>
      <c r="J25" s="35">
        <v>1</v>
      </c>
      <c r="K25" s="41">
        <v>1.1000000000000001</v>
      </c>
      <c r="L25" s="41">
        <v>0.7</v>
      </c>
      <c r="M25" s="2">
        <v>0.8</v>
      </c>
      <c r="N25" s="41">
        <v>1.2</v>
      </c>
      <c r="O25" s="2">
        <v>1.2</v>
      </c>
      <c r="P25" s="60">
        <f t="shared" si="3"/>
        <v>1.0449999999999999</v>
      </c>
    </row>
    <row r="26" spans="2:16" ht="15" x14ac:dyDescent="0.3">
      <c r="B26" s="2">
        <v>8</v>
      </c>
      <c r="C26" s="2" t="s">
        <v>555</v>
      </c>
      <c r="D26" s="2"/>
      <c r="E26" s="2"/>
      <c r="H26" s="2">
        <v>9</v>
      </c>
      <c r="I26" s="35" t="s">
        <v>407</v>
      </c>
      <c r="J26" s="35">
        <v>1</v>
      </c>
      <c r="K26" s="41">
        <v>0.9</v>
      </c>
      <c r="L26" s="41">
        <v>1</v>
      </c>
      <c r="M26" s="2">
        <v>0.9</v>
      </c>
      <c r="N26" s="41">
        <v>1.2</v>
      </c>
      <c r="O26" s="2">
        <v>1.1000000000000001</v>
      </c>
      <c r="P26" s="60">
        <f t="shared" si="3"/>
        <v>0.9900000000000001</v>
      </c>
    </row>
    <row r="27" spans="2:16" x14ac:dyDescent="0.2">
      <c r="B27" s="2">
        <v>9</v>
      </c>
      <c r="C27" s="2" t="s">
        <v>556</v>
      </c>
      <c r="D27" s="2"/>
      <c r="E27" s="2"/>
      <c r="H27" s="2">
        <v>10</v>
      </c>
      <c r="I27" s="35" t="s">
        <v>401</v>
      </c>
      <c r="J27" s="35">
        <v>1</v>
      </c>
      <c r="K27" s="41">
        <v>1.3</v>
      </c>
      <c r="L27" s="41">
        <v>0.8</v>
      </c>
      <c r="M27" s="2">
        <v>0.7</v>
      </c>
      <c r="N27" s="41">
        <v>0.8</v>
      </c>
      <c r="O27" s="2">
        <v>1.3</v>
      </c>
      <c r="P27" s="60">
        <f t="shared" si="3"/>
        <v>1.04</v>
      </c>
    </row>
    <row r="28" spans="2:16" ht="15" x14ac:dyDescent="0.3">
      <c r="B28" s="2">
        <v>10</v>
      </c>
      <c r="C28" s="2" t="s">
        <v>554</v>
      </c>
      <c r="D28" s="2"/>
      <c r="E28" s="2"/>
      <c r="H28" s="2">
        <v>11</v>
      </c>
      <c r="I28" s="35" t="s">
        <v>395</v>
      </c>
      <c r="J28" s="35">
        <v>1.25</v>
      </c>
      <c r="K28" s="41">
        <f>$J28*(K18+K19)/2</f>
        <v>1.4375</v>
      </c>
      <c r="L28" s="41">
        <f>$J28*(L18+L19)/2</f>
        <v>1.53125</v>
      </c>
      <c r="M28" s="2">
        <f>$J28*(M18+M19)/2</f>
        <v>1.375</v>
      </c>
      <c r="N28" s="41">
        <f t="shared" ref="N28:O28" si="4">$J28*(N18+N19)/2</f>
        <v>0.63749999999999996</v>
      </c>
      <c r="O28" s="2">
        <f t="shared" si="4"/>
        <v>1.125</v>
      </c>
      <c r="P28" s="1">
        <f>K28*(L28+N28)/2</f>
        <v>1.5587890625</v>
      </c>
    </row>
    <row r="29" spans="2:16" ht="15" x14ac:dyDescent="0.3">
      <c r="B29" s="2">
        <v>11</v>
      </c>
      <c r="C29" s="2" t="s">
        <v>557</v>
      </c>
      <c r="D29" s="2"/>
      <c r="E29" s="2"/>
      <c r="H29" s="2">
        <v>12</v>
      </c>
      <c r="I29" s="35" t="s">
        <v>391</v>
      </c>
      <c r="J29" s="35">
        <v>1.25</v>
      </c>
      <c r="K29" s="41">
        <f>$J29*(K18+K20)/2</f>
        <v>1.3125</v>
      </c>
      <c r="L29" s="41">
        <f>$J29*(L18+L20)/2</f>
        <v>1.09375</v>
      </c>
      <c r="M29" s="2">
        <f t="shared" ref="M29:M37" si="5">$J29*(M19+M20)/2</f>
        <v>1.25</v>
      </c>
      <c r="N29" s="41">
        <f t="shared" ref="N29" si="6">$J29*(N18+N20)/2</f>
        <v>1.3874999999999997</v>
      </c>
      <c r="O29" s="2">
        <f t="shared" ref="O29" si="7">$J29*(O19+O20)/2</f>
        <v>1.25</v>
      </c>
      <c r="P29" s="1">
        <f t="shared" si="3"/>
        <v>1.6283203124999999</v>
      </c>
    </row>
    <row r="30" spans="2:16" ht="15" x14ac:dyDescent="0.3">
      <c r="B30" s="2">
        <v>12</v>
      </c>
      <c r="C30" s="2" t="s">
        <v>558</v>
      </c>
      <c r="D30" s="2"/>
      <c r="E30" s="2"/>
      <c r="H30" s="2">
        <v>13</v>
      </c>
      <c r="I30" s="35" t="s">
        <v>396</v>
      </c>
      <c r="J30" s="35">
        <v>1.25</v>
      </c>
      <c r="K30" s="41">
        <f>$J$30*(K19+K21)/2</f>
        <v>1.3125</v>
      </c>
      <c r="L30" s="41">
        <f t="shared" ref="L30:N30" si="8">$J$30*(L19+L21)/2</f>
        <v>1.25</v>
      </c>
      <c r="M30" s="2">
        <f t="shared" si="5"/>
        <v>0.8125</v>
      </c>
      <c r="N30" s="41">
        <f t="shared" si="8"/>
        <v>1.125</v>
      </c>
      <c r="O30" s="2">
        <f t="shared" ref="O30" si="9">$J30*(O20+O21)/2</f>
        <v>1.6875</v>
      </c>
      <c r="P30" s="1">
        <f t="shared" si="3"/>
        <v>1.55859375</v>
      </c>
    </row>
    <row r="31" spans="2:16" ht="15" x14ac:dyDescent="0.3">
      <c r="B31" s="2">
        <v>13</v>
      </c>
      <c r="C31" s="2" t="s">
        <v>559</v>
      </c>
      <c r="D31" s="2"/>
      <c r="E31" s="2"/>
      <c r="H31" s="2">
        <v>14</v>
      </c>
      <c r="I31" s="35" t="s">
        <v>392</v>
      </c>
      <c r="J31" s="35">
        <v>1.25</v>
      </c>
      <c r="K31" s="41">
        <f>$J31*(K21+K20)/2</f>
        <v>1.1875</v>
      </c>
      <c r="L31" s="41">
        <f t="shared" ref="L31:N31" si="10">$J31*(L21+L20)/2</f>
        <v>0.81249999999999989</v>
      </c>
      <c r="M31" s="2">
        <f t="shared" si="5"/>
        <v>1</v>
      </c>
      <c r="N31" s="41">
        <f t="shared" si="10"/>
        <v>1.875</v>
      </c>
      <c r="O31" s="2">
        <f t="shared" ref="O31" si="11">$J31*(O21+O22)/2</f>
        <v>1.5</v>
      </c>
      <c r="P31" s="1">
        <f t="shared" si="3"/>
        <v>1.595703125</v>
      </c>
    </row>
    <row r="32" spans="2:16" ht="15" x14ac:dyDescent="0.3">
      <c r="H32" s="2">
        <v>15</v>
      </c>
      <c r="I32" s="35" t="s">
        <v>389</v>
      </c>
      <c r="J32" s="35">
        <v>1.25</v>
      </c>
      <c r="K32" s="41">
        <f>$J32*(K24+K23)/2</f>
        <v>1.125</v>
      </c>
      <c r="L32" s="41">
        <f t="shared" ref="L32:N32" si="12">$J32*(L24+L23)/2</f>
        <v>1.9374999999999998</v>
      </c>
      <c r="M32" s="2">
        <f t="shared" si="5"/>
        <v>1.5000000000000002</v>
      </c>
      <c r="N32" s="41">
        <f t="shared" si="12"/>
        <v>0.81249999999999989</v>
      </c>
      <c r="O32" s="2">
        <f t="shared" ref="O32" si="13">$J32*(O22+O23)/2</f>
        <v>1.0625</v>
      </c>
      <c r="P32" s="1">
        <f t="shared" si="3"/>
        <v>1.5468749999999998</v>
      </c>
    </row>
    <row r="33" spans="8:37" ht="15" x14ac:dyDescent="0.3">
      <c r="H33" s="2">
        <v>16</v>
      </c>
      <c r="I33" s="35" t="s">
        <v>390</v>
      </c>
      <c r="J33" s="35">
        <v>1.25</v>
      </c>
      <c r="K33" s="41">
        <f>$J33*(K23+K27)/2</f>
        <v>1.4375</v>
      </c>
      <c r="L33" s="41">
        <f t="shared" ref="L33:N33" si="14">$J33*(L23+L27)/2</f>
        <v>1.375</v>
      </c>
      <c r="M33" s="2">
        <f t="shared" si="5"/>
        <v>1.53125</v>
      </c>
      <c r="N33" s="41">
        <f t="shared" si="14"/>
        <v>0.875</v>
      </c>
      <c r="O33" s="2">
        <f t="shared" ref="O33" si="15">$J33*(O23+O24)/2</f>
        <v>1.03125</v>
      </c>
      <c r="P33" s="1">
        <f t="shared" si="3"/>
        <v>1.6171875</v>
      </c>
    </row>
    <row r="34" spans="8:37" ht="15" x14ac:dyDescent="0.3">
      <c r="H34" s="2">
        <v>17</v>
      </c>
      <c r="I34" s="35" t="s">
        <v>399</v>
      </c>
      <c r="J34" s="35">
        <v>1.25</v>
      </c>
      <c r="K34" s="41">
        <f>$J34*(K22+K25+K26)/3</f>
        <v>1.2083333333333333</v>
      </c>
      <c r="L34" s="41">
        <f t="shared" ref="L34:N34" si="16">$J34*(L22+L25+L26)/3</f>
        <v>1.1666666666666667</v>
      </c>
      <c r="M34" s="2">
        <f t="shared" si="5"/>
        <v>1.21875</v>
      </c>
      <c r="N34" s="41">
        <f t="shared" si="16"/>
        <v>1.4583333333333333</v>
      </c>
      <c r="O34" s="2">
        <f t="shared" ref="O34" si="17">$J34*(O24+O25)/2</f>
        <v>1.28125</v>
      </c>
      <c r="P34" s="1">
        <f t="shared" si="3"/>
        <v>1.5859375</v>
      </c>
    </row>
    <row r="35" spans="8:37" ht="15" x14ac:dyDescent="0.3">
      <c r="H35" s="2">
        <v>18</v>
      </c>
      <c r="I35" s="35" t="s">
        <v>397</v>
      </c>
      <c r="J35" s="35">
        <v>1.25</v>
      </c>
      <c r="K35" s="41">
        <f>$J35*(K31+K34)/2</f>
        <v>1.497395833333333</v>
      </c>
      <c r="L35" s="41">
        <f t="shared" ref="L35:N35" si="18">$J35*(L31+L34)/2</f>
        <v>1.2369791666666665</v>
      </c>
      <c r="M35" s="2">
        <f t="shared" si="5"/>
        <v>1.0625</v>
      </c>
      <c r="N35" s="41">
        <f t="shared" si="18"/>
        <v>2.083333333333333</v>
      </c>
      <c r="O35" s="2">
        <f t="shared" ref="O35" si="19">$J35*(O25+O26)/2</f>
        <v>1.4375</v>
      </c>
      <c r="P35" s="1">
        <f t="shared" si="3"/>
        <v>2.4859110514322906</v>
      </c>
    </row>
    <row r="36" spans="8:37" ht="15" x14ac:dyDescent="0.3">
      <c r="H36" s="2">
        <v>19</v>
      </c>
      <c r="I36" s="35" t="s">
        <v>393</v>
      </c>
      <c r="J36" s="35">
        <v>1.25</v>
      </c>
      <c r="K36" s="41">
        <f>$J36*(K28+K30)/2</f>
        <v>1.71875</v>
      </c>
      <c r="L36" s="41">
        <f t="shared" ref="L36:N36" si="20">$J36*(L28+L30)/2</f>
        <v>1.73828125</v>
      </c>
      <c r="M36" s="2">
        <f t="shared" si="5"/>
        <v>1</v>
      </c>
      <c r="N36" s="41">
        <f t="shared" si="20"/>
        <v>1.1015625</v>
      </c>
      <c r="O36" s="2">
        <f t="shared" ref="O36" si="21">$J36*(O26+O27)/2</f>
        <v>1.5000000000000002</v>
      </c>
      <c r="P36" s="1">
        <f t="shared" si="3"/>
        <v>2.44049072265625</v>
      </c>
    </row>
    <row r="37" spans="8:37" ht="15" x14ac:dyDescent="0.3">
      <c r="H37" s="2">
        <v>20</v>
      </c>
      <c r="I37" s="35" t="s">
        <v>398</v>
      </c>
      <c r="J37" s="35">
        <v>1.25</v>
      </c>
      <c r="K37" s="41">
        <f>$J37*(SUM(K28:K34))/7</f>
        <v>1.6108630952380953</v>
      </c>
      <c r="L37" s="41">
        <f>$J37*(SUM(L28:L34))/7</f>
        <v>1.6369047619047616</v>
      </c>
      <c r="M37" s="2">
        <f t="shared" si="5"/>
        <v>1.296875</v>
      </c>
      <c r="N37" s="41">
        <f>$J37*(SUM(N28:N34))/7</f>
        <v>1.4590773809523809</v>
      </c>
      <c r="O37" s="2">
        <f t="shared" ref="O37" si="22">$J37*(O27+O28)/2</f>
        <v>1.515625</v>
      </c>
      <c r="P37" s="1">
        <f t="shared" si="3"/>
        <v>2.4936016887223635</v>
      </c>
    </row>
    <row r="40" spans="8:37" x14ac:dyDescent="0.15"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8:37" x14ac:dyDescent="0.15">
      <c r="H41" s="38" t="s">
        <v>342</v>
      </c>
      <c r="I41" s="39" t="s">
        <v>343</v>
      </c>
      <c r="J41" s="38" t="s">
        <v>346</v>
      </c>
      <c r="K41" s="38" t="s">
        <v>373</v>
      </c>
      <c r="L41" s="39" t="s">
        <v>347</v>
      </c>
      <c r="M41" s="39" t="s">
        <v>348</v>
      </c>
      <c r="N41" s="39" t="s">
        <v>349</v>
      </c>
      <c r="O41" s="39" t="s">
        <v>350</v>
      </c>
      <c r="P41" s="39" t="s">
        <v>351</v>
      </c>
      <c r="Q41" s="39" t="s">
        <v>352</v>
      </c>
      <c r="R41" s="39" t="s">
        <v>353</v>
      </c>
      <c r="S41" s="39" t="s">
        <v>354</v>
      </c>
      <c r="T41" s="39" t="s">
        <v>355</v>
      </c>
      <c r="U41" s="39" t="s">
        <v>356</v>
      </c>
      <c r="V41" s="39" t="s">
        <v>357</v>
      </c>
      <c r="W41" s="39" t="s">
        <v>358</v>
      </c>
      <c r="X41" s="39" t="s">
        <v>359</v>
      </c>
      <c r="Y41" s="39" t="s">
        <v>360</v>
      </c>
      <c r="Z41" s="39" t="s">
        <v>361</v>
      </c>
      <c r="AA41" s="39" t="s">
        <v>362</v>
      </c>
      <c r="AB41" s="39" t="s">
        <v>363</v>
      </c>
      <c r="AC41" s="39" t="s">
        <v>364</v>
      </c>
      <c r="AD41" s="39" t="s">
        <v>365</v>
      </c>
      <c r="AE41" s="39" t="s">
        <v>366</v>
      </c>
      <c r="AF41" s="39" t="s">
        <v>367</v>
      </c>
      <c r="AG41" s="39" t="s">
        <v>368</v>
      </c>
      <c r="AH41" s="39" t="s">
        <v>369</v>
      </c>
      <c r="AI41" s="39" t="s">
        <v>370</v>
      </c>
      <c r="AJ41" s="39" t="s">
        <v>371</v>
      </c>
      <c r="AK41" s="39" t="s">
        <v>372</v>
      </c>
    </row>
    <row r="42" spans="8:37" x14ac:dyDescent="0.15">
      <c r="H42" s="2">
        <v>1</v>
      </c>
      <c r="I42" s="37" t="s">
        <v>374</v>
      </c>
      <c r="J42" s="2"/>
      <c r="K42" s="2"/>
      <c r="L42" s="2" t="s">
        <v>545</v>
      </c>
      <c r="M42" s="2"/>
      <c r="N42" s="2" t="s">
        <v>544</v>
      </c>
      <c r="O42" s="2"/>
      <c r="P42" s="2" t="s">
        <v>567</v>
      </c>
      <c r="Q42" s="2" t="s">
        <v>546</v>
      </c>
      <c r="R42" s="2" t="s">
        <v>546</v>
      </c>
      <c r="S42" s="2" t="s">
        <v>546</v>
      </c>
      <c r="T42" s="2" t="s">
        <v>546</v>
      </c>
      <c r="U42" s="2" t="s">
        <v>563</v>
      </c>
      <c r="V42" s="2" t="s">
        <v>546</v>
      </c>
      <c r="W42" s="2" t="s">
        <v>564</v>
      </c>
      <c r="X42" s="2" t="s">
        <v>546</v>
      </c>
      <c r="Y42" s="2" t="s">
        <v>546</v>
      </c>
      <c r="Z42" s="2" t="s">
        <v>548</v>
      </c>
      <c r="AA42" s="2"/>
      <c r="AB42" s="2"/>
      <c r="AC42" s="2"/>
      <c r="AD42" s="2"/>
      <c r="AE42" s="2"/>
      <c r="AF42" s="2"/>
      <c r="AG42" s="2" t="s">
        <v>544</v>
      </c>
      <c r="AH42" s="2" t="s">
        <v>544</v>
      </c>
      <c r="AI42" s="2" t="s">
        <v>544</v>
      </c>
      <c r="AJ42" s="2" t="s">
        <v>544</v>
      </c>
      <c r="AK42" s="2" t="s">
        <v>547</v>
      </c>
    </row>
    <row r="43" spans="8:37" x14ac:dyDescent="0.15">
      <c r="H43" s="2">
        <v>2</v>
      </c>
      <c r="I43" s="37" t="s">
        <v>344</v>
      </c>
      <c r="J43" s="2" t="s">
        <v>546</v>
      </c>
      <c r="K43" s="2" t="s">
        <v>546</v>
      </c>
      <c r="L43" s="2"/>
      <c r="M43" s="2" t="s">
        <v>546</v>
      </c>
      <c r="N43" s="2"/>
      <c r="O43" s="2" t="s">
        <v>560</v>
      </c>
      <c r="P43" s="2" t="s">
        <v>561</v>
      </c>
      <c r="Q43" s="2"/>
      <c r="R43" s="2" t="s">
        <v>546</v>
      </c>
      <c r="S43" s="2"/>
      <c r="T43" s="2"/>
      <c r="U43" s="2" t="s">
        <v>546</v>
      </c>
      <c r="V43" s="2" t="s">
        <v>546</v>
      </c>
      <c r="W43" s="2" t="s">
        <v>565</v>
      </c>
      <c r="X43" s="2"/>
      <c r="Y43" s="2"/>
      <c r="Z43" s="2"/>
      <c r="AA43" s="2" t="s">
        <v>568</v>
      </c>
      <c r="AB43" s="2" t="s">
        <v>567</v>
      </c>
      <c r="AC43" s="2" t="s">
        <v>546</v>
      </c>
      <c r="AD43" s="2" t="s">
        <v>546</v>
      </c>
      <c r="AE43" s="2" t="s">
        <v>562</v>
      </c>
      <c r="AF43" s="2" t="s">
        <v>546</v>
      </c>
      <c r="AG43" s="2"/>
      <c r="AH43" s="2"/>
      <c r="AI43" s="2"/>
      <c r="AJ43" s="2"/>
      <c r="AK43" s="2"/>
    </row>
    <row r="44" spans="8:37" x14ac:dyDescent="0.15">
      <c r="H44" s="2">
        <v>3</v>
      </c>
      <c r="I44" s="37" t="s">
        <v>345</v>
      </c>
      <c r="J44" s="2" t="s">
        <v>546</v>
      </c>
      <c r="K44" s="2" t="s">
        <v>546</v>
      </c>
      <c r="L44" s="2"/>
      <c r="M44" s="2" t="s">
        <v>546</v>
      </c>
      <c r="N44" s="2"/>
      <c r="O44" s="2" t="s">
        <v>546</v>
      </c>
      <c r="P44" s="2"/>
      <c r="Q44" s="2" t="s">
        <v>568</v>
      </c>
      <c r="R44" s="2"/>
      <c r="S44" s="2" t="s">
        <v>562</v>
      </c>
      <c r="T44" s="2" t="s">
        <v>567</v>
      </c>
      <c r="U44" s="2"/>
      <c r="V44" s="2"/>
      <c r="W44" s="2"/>
      <c r="X44" s="2" t="s">
        <v>566</v>
      </c>
      <c r="Y44" s="2" t="s">
        <v>567</v>
      </c>
      <c r="Z44" s="2"/>
      <c r="AA44" s="2"/>
      <c r="AB44" s="2" t="s">
        <v>546</v>
      </c>
      <c r="AC44" s="2" t="s">
        <v>546</v>
      </c>
      <c r="AD44" s="2" t="s">
        <v>561</v>
      </c>
      <c r="AE44" s="2" t="s">
        <v>546</v>
      </c>
      <c r="AF44" s="2" t="s">
        <v>546</v>
      </c>
      <c r="AG44" s="2"/>
      <c r="AH44" s="2"/>
      <c r="AI44" s="2"/>
      <c r="AJ44" s="2"/>
      <c r="AK4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X39"/>
  <sheetViews>
    <sheetView workbookViewId="0">
      <selection activeCell="K37" sqref="K37"/>
    </sheetView>
  </sheetViews>
  <sheetFormatPr defaultRowHeight="12.75" x14ac:dyDescent="0.15"/>
  <cols>
    <col min="1" max="3" width="9" style="1"/>
    <col min="4" max="4" width="9.625" style="1" customWidth="1"/>
    <col min="5" max="7" width="9" style="1"/>
    <col min="8" max="9" width="9" style="55"/>
    <col min="10" max="16384" width="9" style="1"/>
  </cols>
  <sheetData>
    <row r="2" spans="2:24" x14ac:dyDescent="0.15">
      <c r="B2" s="38" t="s">
        <v>66</v>
      </c>
      <c r="C2" s="39" t="s">
        <v>409</v>
      </c>
      <c r="D2" s="39" t="s">
        <v>439</v>
      </c>
      <c r="E2" s="39" t="s">
        <v>410</v>
      </c>
      <c r="F2" s="39" t="s">
        <v>441</v>
      </c>
      <c r="G2" s="39" t="s">
        <v>440</v>
      </c>
      <c r="H2" s="39" t="s">
        <v>476</v>
      </c>
      <c r="I2" s="56" t="s">
        <v>442</v>
      </c>
      <c r="J2" s="56" t="s">
        <v>443</v>
      </c>
      <c r="K2" s="34" t="s">
        <v>2</v>
      </c>
      <c r="L2" s="34" t="s">
        <v>3</v>
      </c>
      <c r="M2" s="34" t="s">
        <v>4</v>
      </c>
      <c r="N2" s="34" t="s">
        <v>5</v>
      </c>
      <c r="O2" s="34" t="s">
        <v>6</v>
      </c>
      <c r="P2" s="34" t="s">
        <v>7</v>
      </c>
      <c r="Q2" s="57" t="s">
        <v>412</v>
      </c>
      <c r="R2" s="57" t="s">
        <v>9</v>
      </c>
      <c r="S2" s="37" t="s">
        <v>362</v>
      </c>
      <c r="T2" s="37" t="s">
        <v>363</v>
      </c>
      <c r="U2" s="37" t="s">
        <v>364</v>
      </c>
      <c r="V2" s="37" t="s">
        <v>417</v>
      </c>
      <c r="W2" s="37" t="s">
        <v>366</v>
      </c>
      <c r="X2" s="37" t="s">
        <v>367</v>
      </c>
    </row>
    <row r="3" spans="2:24" ht="13.5" x14ac:dyDescent="0.15">
      <c r="B3" s="2">
        <v>1</v>
      </c>
      <c r="C3" s="23" t="s">
        <v>187</v>
      </c>
      <c r="D3" s="7" t="s">
        <v>11</v>
      </c>
      <c r="E3" s="2">
        <v>1</v>
      </c>
      <c r="F3" s="2">
        <f>VLOOKUP(G3,平衡!C$3:F$15,4,FALSE)</f>
        <v>12</v>
      </c>
      <c r="G3" s="37" t="s">
        <v>418</v>
      </c>
      <c r="H3" s="37" t="str">
        <f t="shared" ref="H3:H39" ca="1" si="0">mVlookup(G3,weaponCO,"武器属性",FALSE)&amp;"抗性"</f>
        <v>神圣抗性</v>
      </c>
      <c r="I3" s="58">
        <f t="shared" ref="I3:I39" ca="1" si="1">mVlookup(F3,baseBalance,I$2,FALSE)*E3</f>
        <v>15.5</v>
      </c>
      <c r="J3" s="58">
        <f t="shared" ref="J3:J39" ca="1" si="2">mVlookup(F3,baseBalance,J$2,FALSE)*E3</f>
        <v>6.4516129032258096</v>
      </c>
      <c r="K3" s="2">
        <f t="shared" ref="K3:K39" ca="1" si="3">I3*mVlookup(G3,weaponCO,K$2,FALSE)</f>
        <v>13.950000000000001</v>
      </c>
      <c r="L3" s="2">
        <v>1.2</v>
      </c>
      <c r="M3" s="2">
        <f t="shared" ref="M3:M39" ca="1" si="4">mVlookup(G3,weaponCO,M$2,FALSE)*J3</f>
        <v>3.2258064516129048</v>
      </c>
      <c r="N3" s="2">
        <f t="shared" ref="N3:N39" ca="1" si="5">mVlookup(G3,weaponCO,N$2,FALSE)*1</f>
        <v>1</v>
      </c>
      <c r="O3" s="2">
        <f t="shared" ref="O3:O39" ca="1" si="6">mVlookup(G3,weaponCO,O$2,FALSE)*J3</f>
        <v>3.2258064516129048</v>
      </c>
      <c r="P3" s="2">
        <f t="shared" ref="P3:P39" ca="1" si="7">mVlookup(G3,weaponCO,P$2,FALSE)*1</f>
        <v>1</v>
      </c>
      <c r="Q3" s="2">
        <f t="shared" ref="Q3:Q39" ca="1" si="8">mVlookup(G3,weaponCO,"闪避",FALSE)/3/0.1</f>
        <v>0.33333333333333331</v>
      </c>
      <c r="R3" s="2">
        <v>1</v>
      </c>
      <c r="S3" s="2">
        <f ca="1">IF($H3=S$2,0.15,0.1)</f>
        <v>0.1</v>
      </c>
      <c r="T3" s="2">
        <f t="shared" ref="T3:X18" ca="1" si="9">IF($H3=T$2,0.15,0.1)</f>
        <v>0.1</v>
      </c>
      <c r="U3" s="2">
        <f t="shared" ca="1" si="9"/>
        <v>0.1</v>
      </c>
      <c r="V3" s="2">
        <f t="shared" ca="1" si="9"/>
        <v>0.1</v>
      </c>
      <c r="W3" s="2">
        <f t="shared" ca="1" si="9"/>
        <v>0.15</v>
      </c>
      <c r="X3" s="2">
        <f t="shared" ca="1" si="9"/>
        <v>0.1</v>
      </c>
    </row>
    <row r="4" spans="2:24" ht="13.5" x14ac:dyDescent="0.15">
      <c r="B4" s="2">
        <v>2</v>
      </c>
      <c r="C4" s="24" t="s">
        <v>190</v>
      </c>
      <c r="D4" s="8" t="s">
        <v>420</v>
      </c>
      <c r="E4" s="2">
        <v>1</v>
      </c>
      <c r="F4" s="2">
        <f>VLOOKUP(G4,平衡!C$3:F$15,4,FALSE)</f>
        <v>11</v>
      </c>
      <c r="G4" s="37" t="s">
        <v>419</v>
      </c>
      <c r="H4" s="37" t="str">
        <f t="shared" ca="1" si="0"/>
        <v>地脉抗性</v>
      </c>
      <c r="I4" s="58">
        <f t="shared" ca="1" si="1"/>
        <v>15</v>
      </c>
      <c r="J4" s="58">
        <f t="shared" ca="1" si="2"/>
        <v>6.6666666666666696</v>
      </c>
      <c r="K4" s="2">
        <f t="shared" ca="1" si="3"/>
        <v>12.75</v>
      </c>
      <c r="L4" s="3">
        <v>1.2</v>
      </c>
      <c r="M4" s="2">
        <f t="shared" ca="1" si="4"/>
        <v>6.0000000000000027</v>
      </c>
      <c r="N4" s="2">
        <f t="shared" ca="1" si="5"/>
        <v>1.1000000000000001</v>
      </c>
      <c r="O4" s="2">
        <f t="shared" ca="1" si="6"/>
        <v>0.66666666666666696</v>
      </c>
      <c r="P4" s="2">
        <f t="shared" ca="1" si="7"/>
        <v>1.1000000000000001</v>
      </c>
      <c r="Q4" s="2">
        <f t="shared" ca="1" si="8"/>
        <v>0.49999999999999994</v>
      </c>
      <c r="R4" s="2">
        <v>1</v>
      </c>
      <c r="S4" s="2">
        <f t="shared" ref="S4:X39" ca="1" si="10">IF($H4=S$2,0.15,0.1)</f>
        <v>0.1</v>
      </c>
      <c r="T4" s="2">
        <f t="shared" ca="1" si="9"/>
        <v>0.15</v>
      </c>
      <c r="U4" s="2">
        <f t="shared" ca="1" si="9"/>
        <v>0.1</v>
      </c>
      <c r="V4" s="2">
        <f t="shared" ca="1" si="9"/>
        <v>0.1</v>
      </c>
      <c r="W4" s="2">
        <f t="shared" ca="1" si="9"/>
        <v>0.1</v>
      </c>
      <c r="X4" s="2">
        <f t="shared" ca="1" si="9"/>
        <v>0.1</v>
      </c>
    </row>
    <row r="5" spans="2:24" ht="13.5" x14ac:dyDescent="0.15">
      <c r="B5" s="2">
        <v>3</v>
      </c>
      <c r="C5" s="25" t="s">
        <v>193</v>
      </c>
      <c r="D5" s="9" t="s">
        <v>15</v>
      </c>
      <c r="E5" s="2">
        <v>1</v>
      </c>
      <c r="F5" s="2">
        <f>VLOOKUP(G5,平衡!C$3:F$15,4,FALSE)</f>
        <v>2</v>
      </c>
      <c r="G5" s="37" t="s">
        <v>431</v>
      </c>
      <c r="H5" s="37" t="str">
        <f t="shared" ca="1" si="0"/>
        <v>电击抗性</v>
      </c>
      <c r="I5" s="58">
        <f t="shared" ca="1" si="1"/>
        <v>10.5</v>
      </c>
      <c r="J5" s="58">
        <f t="shared" ca="1" si="2"/>
        <v>9.5238095238095202</v>
      </c>
      <c r="K5" s="2">
        <f t="shared" ca="1" si="3"/>
        <v>9.3450000000000006</v>
      </c>
      <c r="L5" s="3">
        <v>1.7</v>
      </c>
      <c r="M5" s="2">
        <f t="shared" ca="1" si="4"/>
        <v>0.95238095238095211</v>
      </c>
      <c r="N5" s="2">
        <f t="shared" ca="1" si="5"/>
        <v>0.6</v>
      </c>
      <c r="O5" s="2">
        <f t="shared" ca="1" si="6"/>
        <v>8.5714285714285676</v>
      </c>
      <c r="P5" s="2">
        <f t="shared" ca="1" si="7"/>
        <v>1</v>
      </c>
      <c r="Q5" s="2">
        <f t="shared" ca="1" si="8"/>
        <v>0.36666666666666664</v>
      </c>
      <c r="R5" s="2">
        <v>1</v>
      </c>
      <c r="S5" s="2">
        <f t="shared" ca="1" si="10"/>
        <v>0.1</v>
      </c>
      <c r="T5" s="2">
        <f t="shared" ca="1" si="9"/>
        <v>0.1</v>
      </c>
      <c r="U5" s="2">
        <f t="shared" ca="1" si="9"/>
        <v>0.1</v>
      </c>
      <c r="V5" s="2">
        <f t="shared" ca="1" si="9"/>
        <v>0.1</v>
      </c>
      <c r="W5" s="2">
        <f t="shared" ca="1" si="9"/>
        <v>0.1</v>
      </c>
      <c r="X5" s="2">
        <f t="shared" ca="1" si="9"/>
        <v>0.1</v>
      </c>
    </row>
    <row r="6" spans="2:24" ht="13.5" x14ac:dyDescent="0.15">
      <c r="B6" s="2">
        <v>4</v>
      </c>
      <c r="C6" s="24" t="s">
        <v>196</v>
      </c>
      <c r="D6" s="8" t="s">
        <v>421</v>
      </c>
      <c r="E6" s="2">
        <v>1</v>
      </c>
      <c r="F6" s="2">
        <f>VLOOKUP(G6,平衡!C$3:F$15,4,FALSE)</f>
        <v>1</v>
      </c>
      <c r="G6" s="37" t="s">
        <v>432</v>
      </c>
      <c r="H6" s="37" t="str">
        <f t="shared" ca="1" si="0"/>
        <v>地脉抗性</v>
      </c>
      <c r="I6" s="58">
        <f t="shared" ca="1" si="1"/>
        <v>10</v>
      </c>
      <c r="J6" s="58">
        <f t="shared" ca="1" si="2"/>
        <v>10</v>
      </c>
      <c r="K6" s="2">
        <f t="shared" ca="1" si="3"/>
        <v>8.5</v>
      </c>
      <c r="L6" s="3">
        <v>1</v>
      </c>
      <c r="M6" s="2">
        <f t="shared" ca="1" si="4"/>
        <v>9</v>
      </c>
      <c r="N6" s="2">
        <f t="shared" ca="1" si="5"/>
        <v>1.2</v>
      </c>
      <c r="O6" s="2">
        <f t="shared" ca="1" si="6"/>
        <v>1</v>
      </c>
      <c r="P6" s="2">
        <f t="shared" ca="1" si="7"/>
        <v>1.4</v>
      </c>
      <c r="Q6" s="2">
        <f t="shared" ca="1" si="8"/>
        <v>0.49999999999999994</v>
      </c>
      <c r="R6" s="2">
        <v>1</v>
      </c>
      <c r="S6" s="2">
        <f t="shared" ca="1" si="10"/>
        <v>0.1</v>
      </c>
      <c r="T6" s="2">
        <f t="shared" ca="1" si="9"/>
        <v>0.15</v>
      </c>
      <c r="U6" s="2">
        <f t="shared" ca="1" si="9"/>
        <v>0.1</v>
      </c>
      <c r="V6" s="2">
        <f t="shared" ca="1" si="9"/>
        <v>0.1</v>
      </c>
      <c r="W6" s="2">
        <f t="shared" ca="1" si="9"/>
        <v>0.1</v>
      </c>
      <c r="X6" s="2">
        <f t="shared" ca="1" si="9"/>
        <v>0.1</v>
      </c>
    </row>
    <row r="7" spans="2:24" ht="13.5" x14ac:dyDescent="0.15">
      <c r="B7" s="2">
        <v>5</v>
      </c>
      <c r="C7" s="23" t="s">
        <v>199</v>
      </c>
      <c r="D7" s="7" t="s">
        <v>422</v>
      </c>
      <c r="E7" s="2">
        <v>1</v>
      </c>
      <c r="F7" s="2">
        <f>VLOOKUP(G7,平衡!C$3:F$15,4,FALSE)</f>
        <v>12</v>
      </c>
      <c r="G7" s="37" t="s">
        <v>312</v>
      </c>
      <c r="H7" s="37" t="str">
        <f t="shared" ca="1" si="0"/>
        <v>神圣抗性</v>
      </c>
      <c r="I7" s="58">
        <f t="shared" ca="1" si="1"/>
        <v>15.5</v>
      </c>
      <c r="J7" s="58">
        <f t="shared" ca="1" si="2"/>
        <v>6.4516129032258096</v>
      </c>
      <c r="K7" s="2">
        <f t="shared" ca="1" si="3"/>
        <v>13.950000000000001</v>
      </c>
      <c r="L7" s="2">
        <v>1.2</v>
      </c>
      <c r="M7" s="2">
        <f t="shared" ca="1" si="4"/>
        <v>3.2258064516129048</v>
      </c>
      <c r="N7" s="2">
        <f t="shared" ca="1" si="5"/>
        <v>1</v>
      </c>
      <c r="O7" s="2">
        <f t="shared" ca="1" si="6"/>
        <v>3.2258064516129048</v>
      </c>
      <c r="P7" s="2">
        <f t="shared" ca="1" si="7"/>
        <v>1</v>
      </c>
      <c r="Q7" s="2">
        <f t="shared" ca="1" si="8"/>
        <v>0.33333333333333331</v>
      </c>
      <c r="R7" s="2">
        <v>1</v>
      </c>
      <c r="S7" s="2">
        <f t="shared" ca="1" si="10"/>
        <v>0.1</v>
      </c>
      <c r="T7" s="2">
        <f t="shared" ca="1" si="9"/>
        <v>0.1</v>
      </c>
      <c r="U7" s="2">
        <f t="shared" ca="1" si="9"/>
        <v>0.1</v>
      </c>
      <c r="V7" s="2">
        <f t="shared" ca="1" si="9"/>
        <v>0.1</v>
      </c>
      <c r="W7" s="2">
        <f t="shared" ca="1" si="9"/>
        <v>0.15</v>
      </c>
      <c r="X7" s="2">
        <f t="shared" ca="1" si="9"/>
        <v>0.1</v>
      </c>
    </row>
    <row r="8" spans="2:24" ht="13.5" x14ac:dyDescent="0.15">
      <c r="B8" s="2">
        <v>6</v>
      </c>
      <c r="C8" s="21" t="s">
        <v>202</v>
      </c>
      <c r="D8" s="7" t="s">
        <v>11</v>
      </c>
      <c r="E8" s="2">
        <v>1</v>
      </c>
      <c r="F8" s="2">
        <f>VLOOKUP(G8,平衡!C$3:F$15,4,FALSE)</f>
        <v>12</v>
      </c>
      <c r="G8" s="37" t="s">
        <v>312</v>
      </c>
      <c r="H8" s="37" t="str">
        <f t="shared" ca="1" si="0"/>
        <v>神圣抗性</v>
      </c>
      <c r="I8" s="58">
        <f t="shared" ca="1" si="1"/>
        <v>15.5</v>
      </c>
      <c r="J8" s="58">
        <f t="shared" ca="1" si="2"/>
        <v>6.4516129032258096</v>
      </c>
      <c r="K8" s="2">
        <f t="shared" ca="1" si="3"/>
        <v>13.950000000000001</v>
      </c>
      <c r="L8" s="2">
        <v>1</v>
      </c>
      <c r="M8" s="2">
        <f t="shared" ca="1" si="4"/>
        <v>3.2258064516129048</v>
      </c>
      <c r="N8" s="2">
        <f t="shared" ca="1" si="5"/>
        <v>1</v>
      </c>
      <c r="O8" s="2">
        <f t="shared" ca="1" si="6"/>
        <v>3.2258064516129048</v>
      </c>
      <c r="P8" s="2">
        <f t="shared" ca="1" si="7"/>
        <v>1</v>
      </c>
      <c r="Q8" s="2">
        <f t="shared" ca="1" si="8"/>
        <v>0.33333333333333331</v>
      </c>
      <c r="R8" s="2">
        <v>1</v>
      </c>
      <c r="S8" s="2">
        <f t="shared" ca="1" si="10"/>
        <v>0.1</v>
      </c>
      <c r="T8" s="2">
        <f t="shared" ca="1" si="9"/>
        <v>0.1</v>
      </c>
      <c r="U8" s="2">
        <f t="shared" ca="1" si="9"/>
        <v>0.1</v>
      </c>
      <c r="V8" s="2">
        <f t="shared" ca="1" si="9"/>
        <v>0.1</v>
      </c>
      <c r="W8" s="2">
        <f t="shared" ca="1" si="9"/>
        <v>0.15</v>
      </c>
      <c r="X8" s="2">
        <f t="shared" ca="1" si="9"/>
        <v>0.1</v>
      </c>
    </row>
    <row r="9" spans="2:24" ht="13.5" x14ac:dyDescent="0.15">
      <c r="B9" s="2">
        <v>7</v>
      </c>
      <c r="C9" s="21" t="s">
        <v>204</v>
      </c>
      <c r="D9" s="10" t="s">
        <v>22</v>
      </c>
      <c r="E9" s="2">
        <v>1</v>
      </c>
      <c r="F9" s="2">
        <f>VLOOKUP(G9,平衡!C$3:F$15,4,FALSE)</f>
        <v>6</v>
      </c>
      <c r="G9" s="37" t="s">
        <v>304</v>
      </c>
      <c r="H9" s="37" t="str">
        <f t="shared" ca="1" si="0"/>
        <v>电击抗性</v>
      </c>
      <c r="I9" s="58">
        <f t="shared" ca="1" si="1"/>
        <v>12.5</v>
      </c>
      <c r="J9" s="58">
        <f t="shared" ca="1" si="2"/>
        <v>8</v>
      </c>
      <c r="K9" s="2">
        <f t="shared" ca="1" si="3"/>
        <v>11</v>
      </c>
      <c r="L9" s="2">
        <v>1.4</v>
      </c>
      <c r="M9" s="2">
        <f t="shared" ca="1" si="4"/>
        <v>1.6</v>
      </c>
      <c r="N9" s="2">
        <f t="shared" ca="1" si="5"/>
        <v>0.7</v>
      </c>
      <c r="O9" s="2">
        <f t="shared" ca="1" si="6"/>
        <v>6.4</v>
      </c>
      <c r="P9" s="2">
        <f t="shared" ca="1" si="7"/>
        <v>0.9</v>
      </c>
      <c r="Q9" s="2">
        <f t="shared" ca="1" si="8"/>
        <v>0.39999999999999997</v>
      </c>
      <c r="R9" s="2">
        <v>1</v>
      </c>
      <c r="S9" s="2">
        <f t="shared" ca="1" si="10"/>
        <v>0.1</v>
      </c>
      <c r="T9" s="2">
        <f t="shared" ca="1" si="9"/>
        <v>0.1</v>
      </c>
      <c r="U9" s="2">
        <f t="shared" ca="1" si="9"/>
        <v>0.1</v>
      </c>
      <c r="V9" s="2">
        <f t="shared" ca="1" si="9"/>
        <v>0.1</v>
      </c>
      <c r="W9" s="2">
        <f t="shared" ca="1" si="9"/>
        <v>0.1</v>
      </c>
      <c r="X9" s="2">
        <f t="shared" ca="1" si="9"/>
        <v>0.1</v>
      </c>
    </row>
    <row r="10" spans="2:24" ht="13.5" x14ac:dyDescent="0.15">
      <c r="B10" s="2">
        <v>8</v>
      </c>
      <c r="C10" s="23" t="s">
        <v>207</v>
      </c>
      <c r="D10" s="7" t="s">
        <v>15</v>
      </c>
      <c r="E10" s="2">
        <v>1.2</v>
      </c>
      <c r="F10" s="2">
        <f>VLOOKUP(G10,平衡!C$3:F$15,4,FALSE)</f>
        <v>2</v>
      </c>
      <c r="G10" s="37" t="s">
        <v>433</v>
      </c>
      <c r="H10" s="37" t="str">
        <f t="shared" ca="1" si="0"/>
        <v>电击抗性</v>
      </c>
      <c r="I10" s="58">
        <f t="shared" ca="1" si="1"/>
        <v>12.6</v>
      </c>
      <c r="J10" s="58">
        <f t="shared" ca="1" si="2"/>
        <v>11.428571428571423</v>
      </c>
      <c r="K10" s="2">
        <f t="shared" ca="1" si="3"/>
        <v>11.214</v>
      </c>
      <c r="L10" s="2">
        <v>1.7</v>
      </c>
      <c r="M10" s="2">
        <f t="shared" ca="1" si="4"/>
        <v>1.1428571428571423</v>
      </c>
      <c r="N10" s="2">
        <f t="shared" ca="1" si="5"/>
        <v>0.6</v>
      </c>
      <c r="O10" s="2">
        <f t="shared" ca="1" si="6"/>
        <v>10.285714285714281</v>
      </c>
      <c r="P10" s="2">
        <f t="shared" ca="1" si="7"/>
        <v>1</v>
      </c>
      <c r="Q10" s="2">
        <f t="shared" ca="1" si="8"/>
        <v>0.36666666666666664</v>
      </c>
      <c r="R10" s="2">
        <v>1</v>
      </c>
      <c r="S10" s="2">
        <f t="shared" ca="1" si="10"/>
        <v>0.1</v>
      </c>
      <c r="T10" s="2">
        <f t="shared" ca="1" si="9"/>
        <v>0.1</v>
      </c>
      <c r="U10" s="2">
        <f t="shared" ca="1" si="9"/>
        <v>0.1</v>
      </c>
      <c r="V10" s="2">
        <f t="shared" ca="1" si="9"/>
        <v>0.1</v>
      </c>
      <c r="W10" s="2">
        <f t="shared" ca="1" si="9"/>
        <v>0.1</v>
      </c>
      <c r="X10" s="2">
        <f t="shared" ca="1" si="9"/>
        <v>0.1</v>
      </c>
    </row>
    <row r="11" spans="2:24" ht="13.5" x14ac:dyDescent="0.15">
      <c r="B11" s="2">
        <v>9</v>
      </c>
      <c r="C11" s="21" t="s">
        <v>210</v>
      </c>
      <c r="D11" s="10" t="s">
        <v>26</v>
      </c>
      <c r="E11" s="2">
        <v>1</v>
      </c>
      <c r="F11" s="2">
        <f>VLOOKUP(G11,平衡!C$3:F$15,4,FALSE)</f>
        <v>3</v>
      </c>
      <c r="G11" s="37" t="s">
        <v>313</v>
      </c>
      <c r="H11" s="37" t="str">
        <f t="shared" ca="1" si="0"/>
        <v>地脉抗性</v>
      </c>
      <c r="I11" s="58">
        <f t="shared" ca="1" si="1"/>
        <v>11</v>
      </c>
      <c r="J11" s="58">
        <f t="shared" ca="1" si="2"/>
        <v>9.0909090909090899</v>
      </c>
      <c r="K11" s="2">
        <f t="shared" ca="1" si="3"/>
        <v>9.35</v>
      </c>
      <c r="L11" s="2">
        <v>1.2</v>
      </c>
      <c r="M11" s="2">
        <f t="shared" ca="1" si="4"/>
        <v>7.2727272727272725</v>
      </c>
      <c r="N11" s="2">
        <f t="shared" ca="1" si="5"/>
        <v>1.3</v>
      </c>
      <c r="O11" s="2">
        <f t="shared" ca="1" si="6"/>
        <v>1.8181818181818181</v>
      </c>
      <c r="P11" s="2">
        <f t="shared" ca="1" si="7"/>
        <v>0.9</v>
      </c>
      <c r="Q11" s="2">
        <f t="shared" ca="1" si="8"/>
        <v>0.49999999999999994</v>
      </c>
      <c r="R11" s="2">
        <v>1</v>
      </c>
      <c r="S11" s="2">
        <f t="shared" ca="1" si="10"/>
        <v>0.1</v>
      </c>
      <c r="T11" s="2">
        <f t="shared" ca="1" si="9"/>
        <v>0.15</v>
      </c>
      <c r="U11" s="2">
        <f t="shared" ca="1" si="9"/>
        <v>0.1</v>
      </c>
      <c r="V11" s="2">
        <f t="shared" ca="1" si="9"/>
        <v>0.1</v>
      </c>
      <c r="W11" s="2">
        <f t="shared" ca="1" si="9"/>
        <v>0.1</v>
      </c>
      <c r="X11" s="2">
        <f t="shared" ca="1" si="9"/>
        <v>0.1</v>
      </c>
    </row>
    <row r="12" spans="2:24" ht="13.5" x14ac:dyDescent="0.15">
      <c r="B12" s="2">
        <v>10</v>
      </c>
      <c r="C12" s="23" t="s">
        <v>213</v>
      </c>
      <c r="D12" s="7" t="s">
        <v>17</v>
      </c>
      <c r="E12" s="2">
        <v>1</v>
      </c>
      <c r="F12" s="2">
        <f>VLOOKUP(G12,平衡!C$3:F$15,4,FALSE)</f>
        <v>1</v>
      </c>
      <c r="G12" s="37" t="s">
        <v>317</v>
      </c>
      <c r="H12" s="37" t="str">
        <f t="shared" ca="1" si="0"/>
        <v>地脉抗性</v>
      </c>
      <c r="I12" s="58">
        <f t="shared" ca="1" si="1"/>
        <v>10</v>
      </c>
      <c r="J12" s="58">
        <f t="shared" ca="1" si="2"/>
        <v>10</v>
      </c>
      <c r="K12" s="2">
        <f t="shared" ca="1" si="3"/>
        <v>8.5</v>
      </c>
      <c r="L12" s="2">
        <v>1</v>
      </c>
      <c r="M12" s="2">
        <f t="shared" ca="1" si="4"/>
        <v>9</v>
      </c>
      <c r="N12" s="2">
        <f t="shared" ca="1" si="5"/>
        <v>1.2</v>
      </c>
      <c r="O12" s="2">
        <f t="shared" ca="1" si="6"/>
        <v>1</v>
      </c>
      <c r="P12" s="2">
        <f t="shared" ca="1" si="7"/>
        <v>1.4</v>
      </c>
      <c r="Q12" s="2">
        <f t="shared" ca="1" si="8"/>
        <v>0.49999999999999994</v>
      </c>
      <c r="R12" s="2">
        <v>1</v>
      </c>
      <c r="S12" s="2">
        <f t="shared" ca="1" si="10"/>
        <v>0.1</v>
      </c>
      <c r="T12" s="2">
        <f t="shared" ca="1" si="9"/>
        <v>0.15</v>
      </c>
      <c r="U12" s="2">
        <f t="shared" ca="1" si="9"/>
        <v>0.1</v>
      </c>
      <c r="V12" s="2">
        <f t="shared" ca="1" si="9"/>
        <v>0.1</v>
      </c>
      <c r="W12" s="2">
        <f t="shared" ca="1" si="9"/>
        <v>0.1</v>
      </c>
      <c r="X12" s="2">
        <f t="shared" ca="1" si="9"/>
        <v>0.1</v>
      </c>
    </row>
    <row r="13" spans="2:24" ht="13.5" x14ac:dyDescent="0.15">
      <c r="B13" s="2">
        <v>11</v>
      </c>
      <c r="C13" s="21" t="s">
        <v>216</v>
      </c>
      <c r="D13" s="10" t="s">
        <v>423</v>
      </c>
      <c r="E13" s="2">
        <v>1</v>
      </c>
      <c r="F13" s="2">
        <f>VLOOKUP(G13,平衡!C$3:F$15,4,FALSE)</f>
        <v>12</v>
      </c>
      <c r="G13" s="37" t="s">
        <v>434</v>
      </c>
      <c r="H13" s="37" t="str">
        <f t="shared" ca="1" si="0"/>
        <v>神圣抗性</v>
      </c>
      <c r="I13" s="58">
        <f t="shared" ca="1" si="1"/>
        <v>15.5</v>
      </c>
      <c r="J13" s="58">
        <f t="shared" ca="1" si="2"/>
        <v>6.4516129032258096</v>
      </c>
      <c r="K13" s="2">
        <f t="shared" ca="1" si="3"/>
        <v>13.950000000000001</v>
      </c>
      <c r="L13" s="2">
        <v>1.4</v>
      </c>
      <c r="M13" s="2">
        <f t="shared" ca="1" si="4"/>
        <v>3.2258064516129048</v>
      </c>
      <c r="N13" s="2">
        <f t="shared" ca="1" si="5"/>
        <v>1</v>
      </c>
      <c r="O13" s="2">
        <f t="shared" ca="1" si="6"/>
        <v>3.2258064516129048</v>
      </c>
      <c r="P13" s="2">
        <f t="shared" ca="1" si="7"/>
        <v>1</v>
      </c>
      <c r="Q13" s="2">
        <f t="shared" ca="1" si="8"/>
        <v>0.33333333333333331</v>
      </c>
      <c r="R13" s="2">
        <v>1</v>
      </c>
      <c r="S13" s="2">
        <f t="shared" ca="1" si="10"/>
        <v>0.1</v>
      </c>
      <c r="T13" s="2">
        <f t="shared" ca="1" si="9"/>
        <v>0.1</v>
      </c>
      <c r="U13" s="2">
        <f t="shared" ca="1" si="9"/>
        <v>0.1</v>
      </c>
      <c r="V13" s="2">
        <f t="shared" ca="1" si="9"/>
        <v>0.1</v>
      </c>
      <c r="W13" s="2">
        <f t="shared" ca="1" si="9"/>
        <v>0.15</v>
      </c>
      <c r="X13" s="2">
        <f t="shared" ca="1" si="9"/>
        <v>0.1</v>
      </c>
    </row>
    <row r="14" spans="2:24" ht="13.5" x14ac:dyDescent="0.15">
      <c r="B14" s="2">
        <v>12</v>
      </c>
      <c r="C14" s="23" t="s">
        <v>219</v>
      </c>
      <c r="D14" s="7" t="s">
        <v>424</v>
      </c>
      <c r="E14" s="2">
        <v>1</v>
      </c>
      <c r="F14" s="2">
        <f>VLOOKUP(G14,平衡!C$3:F$15,4,FALSE)</f>
        <v>5</v>
      </c>
      <c r="G14" s="37" t="s">
        <v>435</v>
      </c>
      <c r="H14" s="37" t="str">
        <f t="shared" ca="1" si="0"/>
        <v>黑暗抗性</v>
      </c>
      <c r="I14" s="58">
        <f t="shared" ca="1" si="1"/>
        <v>12</v>
      </c>
      <c r="J14" s="58">
        <f t="shared" ca="1" si="2"/>
        <v>8.3333333333333304</v>
      </c>
      <c r="K14" s="2">
        <f t="shared" ca="1" si="3"/>
        <v>10.8</v>
      </c>
      <c r="L14" s="2">
        <v>1</v>
      </c>
      <c r="M14" s="2">
        <f t="shared" ca="1" si="4"/>
        <v>7.4999999999999973</v>
      </c>
      <c r="N14" s="2">
        <f t="shared" ca="1" si="5"/>
        <v>1.2</v>
      </c>
      <c r="O14" s="2">
        <f t="shared" ca="1" si="6"/>
        <v>0.83333333333333304</v>
      </c>
      <c r="P14" s="2">
        <f t="shared" ca="1" si="7"/>
        <v>1.2</v>
      </c>
      <c r="Q14" s="2">
        <f t="shared" ca="1" si="8"/>
        <v>0.33333333333333331</v>
      </c>
      <c r="R14" s="2">
        <v>1</v>
      </c>
      <c r="S14" s="2">
        <f t="shared" ca="1" si="10"/>
        <v>0.1</v>
      </c>
      <c r="T14" s="2">
        <f t="shared" ca="1" si="9"/>
        <v>0.1</v>
      </c>
      <c r="U14" s="2">
        <f t="shared" ca="1" si="9"/>
        <v>0.1</v>
      </c>
      <c r="V14" s="2">
        <f t="shared" ca="1" si="9"/>
        <v>0.1</v>
      </c>
      <c r="W14" s="2">
        <f t="shared" ca="1" si="9"/>
        <v>0.1</v>
      </c>
      <c r="X14" s="2">
        <f t="shared" ca="1" si="9"/>
        <v>0.15</v>
      </c>
    </row>
    <row r="15" spans="2:24" ht="13.5" x14ac:dyDescent="0.15">
      <c r="B15" s="2">
        <v>13</v>
      </c>
      <c r="C15" s="21" t="s">
        <v>221</v>
      </c>
      <c r="D15" s="10" t="s">
        <v>17</v>
      </c>
      <c r="E15" s="2">
        <v>1</v>
      </c>
      <c r="F15" s="2">
        <f>VLOOKUP(G15,平衡!C$3:F$15,4,FALSE)</f>
        <v>1</v>
      </c>
      <c r="G15" s="37" t="s">
        <v>436</v>
      </c>
      <c r="H15" s="37" t="str">
        <f t="shared" ca="1" si="0"/>
        <v>地脉抗性</v>
      </c>
      <c r="I15" s="58">
        <f t="shared" ca="1" si="1"/>
        <v>10</v>
      </c>
      <c r="J15" s="58">
        <f t="shared" ca="1" si="2"/>
        <v>10</v>
      </c>
      <c r="K15" s="2">
        <f t="shared" ca="1" si="3"/>
        <v>8.5</v>
      </c>
      <c r="L15" s="2">
        <v>1</v>
      </c>
      <c r="M15" s="2">
        <f t="shared" ca="1" si="4"/>
        <v>9</v>
      </c>
      <c r="N15" s="2">
        <f t="shared" ca="1" si="5"/>
        <v>1.2</v>
      </c>
      <c r="O15" s="2">
        <f t="shared" ca="1" si="6"/>
        <v>1</v>
      </c>
      <c r="P15" s="2">
        <f t="shared" ca="1" si="7"/>
        <v>1.4</v>
      </c>
      <c r="Q15" s="2">
        <f t="shared" ca="1" si="8"/>
        <v>0.49999999999999994</v>
      </c>
      <c r="R15" s="2">
        <v>1</v>
      </c>
      <c r="S15" s="2">
        <f t="shared" ca="1" si="10"/>
        <v>0.1</v>
      </c>
      <c r="T15" s="2">
        <f t="shared" ca="1" si="9"/>
        <v>0.15</v>
      </c>
      <c r="U15" s="2">
        <f t="shared" ca="1" si="9"/>
        <v>0.1</v>
      </c>
      <c r="V15" s="2">
        <f t="shared" ca="1" si="9"/>
        <v>0.1</v>
      </c>
      <c r="W15" s="2">
        <f t="shared" ca="1" si="9"/>
        <v>0.1</v>
      </c>
      <c r="X15" s="2">
        <f t="shared" ca="1" si="9"/>
        <v>0.1</v>
      </c>
    </row>
    <row r="16" spans="2:24" ht="13.5" x14ac:dyDescent="0.15">
      <c r="B16" s="2">
        <v>14</v>
      </c>
      <c r="C16" s="23" t="s">
        <v>224</v>
      </c>
      <c r="D16" s="7" t="s">
        <v>35</v>
      </c>
      <c r="E16" s="2">
        <v>1</v>
      </c>
      <c r="F16" s="2">
        <f>VLOOKUP(G16,平衡!C$3:F$15,4,FALSE)</f>
        <v>10</v>
      </c>
      <c r="G16" s="37" t="s">
        <v>437</v>
      </c>
      <c r="H16" s="37" t="str">
        <f t="shared" ca="1" si="0"/>
        <v>神圣抗性</v>
      </c>
      <c r="I16" s="58">
        <f t="shared" ca="1" si="1"/>
        <v>14.5</v>
      </c>
      <c r="J16" s="58">
        <f t="shared" ca="1" si="2"/>
        <v>6.8965517241379297</v>
      </c>
      <c r="K16" s="2">
        <f t="shared" ca="1" si="3"/>
        <v>10.875</v>
      </c>
      <c r="L16" s="2">
        <v>1.2</v>
      </c>
      <c r="M16" s="2">
        <f t="shared" ca="1" si="4"/>
        <v>6.206896551724137</v>
      </c>
      <c r="N16" s="2">
        <f t="shared" ca="1" si="5"/>
        <v>1.4</v>
      </c>
      <c r="O16" s="2">
        <f t="shared" ca="1" si="6"/>
        <v>0.68965517241379304</v>
      </c>
      <c r="P16" s="2">
        <f t="shared" ca="1" si="7"/>
        <v>1</v>
      </c>
      <c r="Q16" s="2">
        <f t="shared" ca="1" si="8"/>
        <v>0.83333333333333326</v>
      </c>
      <c r="R16" s="2">
        <v>1</v>
      </c>
      <c r="S16" s="2">
        <f t="shared" ca="1" si="10"/>
        <v>0.1</v>
      </c>
      <c r="T16" s="2">
        <f t="shared" ca="1" si="9"/>
        <v>0.1</v>
      </c>
      <c r="U16" s="2">
        <f t="shared" ca="1" si="9"/>
        <v>0.1</v>
      </c>
      <c r="V16" s="2">
        <f t="shared" ca="1" si="9"/>
        <v>0.1</v>
      </c>
      <c r="W16" s="2">
        <f t="shared" ca="1" si="9"/>
        <v>0.15</v>
      </c>
      <c r="X16" s="2">
        <f t="shared" ca="1" si="9"/>
        <v>0.1</v>
      </c>
    </row>
    <row r="17" spans="2:24" ht="13.5" x14ac:dyDescent="0.15">
      <c r="B17" s="2">
        <v>15</v>
      </c>
      <c r="C17" s="21" t="s">
        <v>227</v>
      </c>
      <c r="D17" s="10" t="s">
        <v>37</v>
      </c>
      <c r="E17" s="2">
        <v>1</v>
      </c>
      <c r="F17" s="2">
        <f>VLOOKUP(G17,平衡!C$3:F$15,4,FALSE)</f>
        <v>8</v>
      </c>
      <c r="G17" s="37" t="s">
        <v>438</v>
      </c>
      <c r="H17" s="37" t="str">
        <f t="shared" ca="1" si="0"/>
        <v>火炎抗性</v>
      </c>
      <c r="I17" s="58">
        <f t="shared" ca="1" si="1"/>
        <v>13.5</v>
      </c>
      <c r="J17" s="58">
        <f t="shared" ca="1" si="2"/>
        <v>7.4074074074074101</v>
      </c>
      <c r="K17" s="2">
        <f t="shared" ca="1" si="3"/>
        <v>9.7199999999999989</v>
      </c>
      <c r="L17" s="2">
        <v>1.2</v>
      </c>
      <c r="M17" s="2">
        <f t="shared" ca="1" si="4"/>
        <v>2.9629629629629641</v>
      </c>
      <c r="N17" s="2">
        <f t="shared" ca="1" si="5"/>
        <v>0.8</v>
      </c>
      <c r="O17" s="2">
        <f t="shared" ca="1" si="6"/>
        <v>4.4444444444444455</v>
      </c>
      <c r="P17" s="2">
        <f t="shared" ca="1" si="7"/>
        <v>1</v>
      </c>
      <c r="Q17" s="2">
        <f t="shared" ca="1" si="8"/>
        <v>0.93333333333333335</v>
      </c>
      <c r="R17" s="2">
        <v>1</v>
      </c>
      <c r="S17" s="2">
        <f t="shared" ca="1" si="10"/>
        <v>0.1</v>
      </c>
      <c r="T17" s="2">
        <f t="shared" ca="1" si="9"/>
        <v>0.1</v>
      </c>
      <c r="U17" s="2">
        <f t="shared" ca="1" si="9"/>
        <v>0.1</v>
      </c>
      <c r="V17" s="2">
        <f t="shared" ca="1" si="9"/>
        <v>0.15</v>
      </c>
      <c r="W17" s="2">
        <f t="shared" ca="1" si="9"/>
        <v>0.1</v>
      </c>
      <c r="X17" s="2">
        <f t="shared" ca="1" si="9"/>
        <v>0.1</v>
      </c>
    </row>
    <row r="18" spans="2:24" ht="13.5" x14ac:dyDescent="0.15">
      <c r="B18" s="2">
        <v>16</v>
      </c>
      <c r="C18" s="23" t="s">
        <v>230</v>
      </c>
      <c r="D18" s="7" t="s">
        <v>39</v>
      </c>
      <c r="E18" s="2">
        <v>1.2</v>
      </c>
      <c r="F18" s="2">
        <f>VLOOKUP(G18,平衡!C$3:F$15,4,FALSE)</f>
        <v>7</v>
      </c>
      <c r="G18" s="37" t="s">
        <v>315</v>
      </c>
      <c r="H18" s="37" t="str">
        <f t="shared" ca="1" si="0"/>
        <v>电击抗性</v>
      </c>
      <c r="I18" s="58">
        <f t="shared" ca="1" si="1"/>
        <v>15.6</v>
      </c>
      <c r="J18" s="58">
        <f t="shared" ca="1" si="2"/>
        <v>9.2307692307692282</v>
      </c>
      <c r="K18" s="2">
        <f t="shared" ca="1" si="3"/>
        <v>12.792</v>
      </c>
      <c r="L18" s="2">
        <v>1.4</v>
      </c>
      <c r="M18" s="2">
        <f t="shared" ca="1" si="4"/>
        <v>3.6923076923076916</v>
      </c>
      <c r="N18" s="2">
        <f t="shared" ca="1" si="5"/>
        <v>0.8</v>
      </c>
      <c r="O18" s="2">
        <f t="shared" ca="1" si="6"/>
        <v>5.5384615384615365</v>
      </c>
      <c r="P18" s="2">
        <f t="shared" ca="1" si="7"/>
        <v>1</v>
      </c>
      <c r="Q18" s="2">
        <f t="shared" ca="1" si="8"/>
        <v>0.6</v>
      </c>
      <c r="R18" s="2">
        <v>1</v>
      </c>
      <c r="S18" s="2">
        <f t="shared" ca="1" si="10"/>
        <v>0.1</v>
      </c>
      <c r="T18" s="2">
        <f t="shared" ca="1" si="9"/>
        <v>0.1</v>
      </c>
      <c r="U18" s="2">
        <f t="shared" ca="1" si="9"/>
        <v>0.1</v>
      </c>
      <c r="V18" s="2">
        <f t="shared" ca="1" si="9"/>
        <v>0.1</v>
      </c>
      <c r="W18" s="2">
        <f t="shared" ca="1" si="9"/>
        <v>0.1</v>
      </c>
      <c r="X18" s="2">
        <f t="shared" ca="1" si="9"/>
        <v>0.1</v>
      </c>
    </row>
    <row r="19" spans="2:24" ht="13.5" x14ac:dyDescent="0.15">
      <c r="B19" s="2">
        <v>17</v>
      </c>
      <c r="C19" s="21" t="s">
        <v>232</v>
      </c>
      <c r="D19" s="10" t="s">
        <v>425</v>
      </c>
      <c r="E19" s="2">
        <v>1</v>
      </c>
      <c r="F19" s="2">
        <f>VLOOKUP(G19,平衡!C$3:F$15,4,FALSE)</f>
        <v>13</v>
      </c>
      <c r="G19" s="37" t="s">
        <v>318</v>
      </c>
      <c r="H19" s="37" t="str">
        <f t="shared" ca="1" si="0"/>
        <v>物理抗性</v>
      </c>
      <c r="I19" s="58">
        <f t="shared" ca="1" si="1"/>
        <v>16</v>
      </c>
      <c r="J19" s="58">
        <f t="shared" ca="1" si="2"/>
        <v>6.25</v>
      </c>
      <c r="K19" s="2">
        <f t="shared" ca="1" si="3"/>
        <v>11.2</v>
      </c>
      <c r="L19" s="2">
        <v>1.4</v>
      </c>
      <c r="M19" s="2">
        <f t="shared" ca="1" si="4"/>
        <v>1.25</v>
      </c>
      <c r="N19" s="2">
        <f t="shared" ca="1" si="5"/>
        <v>1.4</v>
      </c>
      <c r="O19" s="2">
        <f t="shared" ca="1" si="6"/>
        <v>5</v>
      </c>
      <c r="P19" s="2">
        <f t="shared" ca="1" si="7"/>
        <v>1.4</v>
      </c>
      <c r="Q19" s="2">
        <f t="shared" ca="1" si="8"/>
        <v>0.99999999999999989</v>
      </c>
      <c r="R19" s="2">
        <v>1</v>
      </c>
      <c r="S19" s="2">
        <f t="shared" ca="1" si="10"/>
        <v>0.15</v>
      </c>
      <c r="T19" s="2">
        <f t="shared" ca="1" si="10"/>
        <v>0.1</v>
      </c>
      <c r="U19" s="2">
        <f t="shared" ca="1" si="10"/>
        <v>0.1</v>
      </c>
      <c r="V19" s="2">
        <f t="shared" ca="1" si="10"/>
        <v>0.1</v>
      </c>
      <c r="W19" s="2">
        <f t="shared" ca="1" si="10"/>
        <v>0.1</v>
      </c>
      <c r="X19" s="2">
        <f t="shared" ca="1" si="10"/>
        <v>0.1</v>
      </c>
    </row>
    <row r="20" spans="2:24" ht="13.5" x14ac:dyDescent="0.15">
      <c r="B20" s="2">
        <v>18</v>
      </c>
      <c r="C20" s="23" t="s">
        <v>235</v>
      </c>
      <c r="D20" s="7" t="s">
        <v>426</v>
      </c>
      <c r="E20" s="2">
        <v>1.2</v>
      </c>
      <c r="F20" s="2">
        <f>VLOOKUP(G20,平衡!C$3:F$15,4,FALSE)</f>
        <v>4</v>
      </c>
      <c r="G20" s="2" t="s">
        <v>310</v>
      </c>
      <c r="H20" s="37" t="str">
        <f t="shared" ca="1" si="0"/>
        <v>黑暗抗性</v>
      </c>
      <c r="I20" s="58">
        <f t="shared" ca="1" si="1"/>
        <v>13.799999999999999</v>
      </c>
      <c r="J20" s="58">
        <f t="shared" ca="1" si="2"/>
        <v>10.434782608695647</v>
      </c>
      <c r="K20" s="2">
        <f t="shared" ca="1" si="3"/>
        <v>9.9359999999999982</v>
      </c>
      <c r="L20" s="2">
        <v>1.2</v>
      </c>
      <c r="M20" s="2">
        <f t="shared" ca="1" si="4"/>
        <v>7.3043478260869525</v>
      </c>
      <c r="N20" s="2">
        <f t="shared" ca="1" si="5"/>
        <v>1</v>
      </c>
      <c r="O20" s="2">
        <f t="shared" ca="1" si="6"/>
        <v>3.130434782608694</v>
      </c>
      <c r="P20" s="2">
        <f t="shared" ca="1" si="7"/>
        <v>1.2</v>
      </c>
      <c r="Q20" s="2">
        <f t="shared" ca="1" si="8"/>
        <v>0.93333333333333335</v>
      </c>
      <c r="R20" s="2">
        <v>1</v>
      </c>
      <c r="S20" s="2">
        <f t="shared" ca="1" si="10"/>
        <v>0.1</v>
      </c>
      <c r="T20" s="2">
        <f t="shared" ca="1" si="10"/>
        <v>0.1</v>
      </c>
      <c r="U20" s="2">
        <f t="shared" ca="1" si="10"/>
        <v>0.1</v>
      </c>
      <c r="V20" s="2">
        <f t="shared" ca="1" si="10"/>
        <v>0.1</v>
      </c>
      <c r="W20" s="2">
        <f t="shared" ca="1" si="10"/>
        <v>0.1</v>
      </c>
      <c r="X20" s="2">
        <f t="shared" ca="1" si="10"/>
        <v>0.15</v>
      </c>
    </row>
    <row r="21" spans="2:24" ht="13.5" x14ac:dyDescent="0.15">
      <c r="B21" s="2">
        <v>19</v>
      </c>
      <c r="C21" s="21" t="s">
        <v>238</v>
      </c>
      <c r="D21" s="10" t="s">
        <v>26</v>
      </c>
      <c r="E21" s="2">
        <v>1</v>
      </c>
      <c r="F21" s="2">
        <f>VLOOKUP(G21,平衡!C$3:F$15,4,FALSE)</f>
        <v>3</v>
      </c>
      <c r="G21" s="2" t="s">
        <v>309</v>
      </c>
      <c r="H21" s="37" t="str">
        <f t="shared" ca="1" si="0"/>
        <v>地脉抗性</v>
      </c>
      <c r="I21" s="58">
        <f t="shared" ca="1" si="1"/>
        <v>11</v>
      </c>
      <c r="J21" s="58">
        <f t="shared" ca="1" si="2"/>
        <v>9.0909090909090899</v>
      </c>
      <c r="K21" s="2">
        <f t="shared" ca="1" si="3"/>
        <v>9.35</v>
      </c>
      <c r="L21" s="2">
        <v>1.2</v>
      </c>
      <c r="M21" s="2">
        <f t="shared" ca="1" si="4"/>
        <v>7.2727272727272725</v>
      </c>
      <c r="N21" s="2">
        <f t="shared" ca="1" si="5"/>
        <v>1.3</v>
      </c>
      <c r="O21" s="2">
        <f t="shared" ca="1" si="6"/>
        <v>1.8181818181818181</v>
      </c>
      <c r="P21" s="2">
        <f t="shared" ca="1" si="7"/>
        <v>0.9</v>
      </c>
      <c r="Q21" s="2">
        <f t="shared" ca="1" si="8"/>
        <v>0.49999999999999994</v>
      </c>
      <c r="R21" s="2">
        <v>1</v>
      </c>
      <c r="S21" s="2">
        <f t="shared" ca="1" si="10"/>
        <v>0.1</v>
      </c>
      <c r="T21" s="2">
        <f t="shared" ca="1" si="10"/>
        <v>0.15</v>
      </c>
      <c r="U21" s="2">
        <f t="shared" ca="1" si="10"/>
        <v>0.1</v>
      </c>
      <c r="V21" s="2">
        <f t="shared" ca="1" si="10"/>
        <v>0.1</v>
      </c>
      <c r="W21" s="2">
        <f t="shared" ca="1" si="10"/>
        <v>0.1</v>
      </c>
      <c r="X21" s="2">
        <f t="shared" ca="1" si="10"/>
        <v>0.1</v>
      </c>
    </row>
    <row r="22" spans="2:24" ht="13.5" x14ac:dyDescent="0.15">
      <c r="B22" s="2">
        <v>20</v>
      </c>
      <c r="C22" s="23" t="s">
        <v>239</v>
      </c>
      <c r="D22" s="7" t="s">
        <v>427</v>
      </c>
      <c r="E22" s="2">
        <v>1</v>
      </c>
      <c r="F22" s="2">
        <f>VLOOKUP(G22,平衡!C$3:F$15,4,FALSE)</f>
        <v>7</v>
      </c>
      <c r="G22" s="2" t="s">
        <v>305</v>
      </c>
      <c r="H22" s="37" t="str">
        <f t="shared" ca="1" si="0"/>
        <v>电击抗性</v>
      </c>
      <c r="I22" s="58">
        <f t="shared" ca="1" si="1"/>
        <v>13</v>
      </c>
      <c r="J22" s="58">
        <f t="shared" ca="1" si="2"/>
        <v>7.6923076923076898</v>
      </c>
      <c r="K22" s="2">
        <f t="shared" ca="1" si="3"/>
        <v>10.66</v>
      </c>
      <c r="L22" s="2">
        <v>1.4</v>
      </c>
      <c r="M22" s="2">
        <f t="shared" ca="1" si="4"/>
        <v>3.0769230769230762</v>
      </c>
      <c r="N22" s="2">
        <f t="shared" ca="1" si="5"/>
        <v>0.8</v>
      </c>
      <c r="O22" s="2">
        <f t="shared" ca="1" si="6"/>
        <v>4.6153846153846141</v>
      </c>
      <c r="P22" s="2">
        <f t="shared" ca="1" si="7"/>
        <v>1</v>
      </c>
      <c r="Q22" s="2">
        <f t="shared" ca="1" si="8"/>
        <v>0.6</v>
      </c>
      <c r="R22" s="2">
        <v>1</v>
      </c>
      <c r="S22" s="2">
        <f t="shared" ca="1" si="10"/>
        <v>0.1</v>
      </c>
      <c r="T22" s="2">
        <f t="shared" ca="1" si="10"/>
        <v>0.1</v>
      </c>
      <c r="U22" s="2">
        <f t="shared" ca="1" si="10"/>
        <v>0.1</v>
      </c>
      <c r="V22" s="2">
        <f t="shared" ca="1" si="10"/>
        <v>0.1</v>
      </c>
      <c r="W22" s="2">
        <f t="shared" ca="1" si="10"/>
        <v>0.1</v>
      </c>
      <c r="X22" s="2">
        <f t="shared" ca="1" si="10"/>
        <v>0.1</v>
      </c>
    </row>
    <row r="23" spans="2:24" ht="13.5" x14ac:dyDescent="0.15">
      <c r="B23" s="2">
        <v>21</v>
      </c>
      <c r="C23" s="21" t="s">
        <v>240</v>
      </c>
      <c r="D23" s="10" t="s">
        <v>428</v>
      </c>
      <c r="E23" s="2">
        <v>1</v>
      </c>
      <c r="F23" s="2">
        <f>VLOOKUP(G23,平衡!C$3:F$15,4,FALSE)</f>
        <v>9</v>
      </c>
      <c r="G23" s="2" t="s">
        <v>311</v>
      </c>
      <c r="H23" s="37" t="str">
        <f t="shared" ca="1" si="0"/>
        <v>冷却抗性</v>
      </c>
      <c r="I23" s="58">
        <f t="shared" ca="1" si="1"/>
        <v>14</v>
      </c>
      <c r="J23" s="58">
        <f t="shared" ca="1" si="2"/>
        <v>7.1428571428571397</v>
      </c>
      <c r="K23" s="2">
        <f t="shared" ca="1" si="3"/>
        <v>9.66</v>
      </c>
      <c r="L23" s="2">
        <v>1.2</v>
      </c>
      <c r="M23" s="2">
        <f t="shared" ca="1" si="4"/>
        <v>5.7142857142857117</v>
      </c>
      <c r="N23" s="2">
        <f t="shared" ca="1" si="5"/>
        <v>1.3</v>
      </c>
      <c r="O23" s="2">
        <f t="shared" ca="1" si="6"/>
        <v>1.4285714285714279</v>
      </c>
      <c r="P23" s="2">
        <f t="shared" ca="1" si="7"/>
        <v>1.1000000000000001</v>
      </c>
      <c r="Q23" s="2">
        <f t="shared" ca="1" si="8"/>
        <v>1.0333333333333332</v>
      </c>
      <c r="R23" s="2">
        <v>1</v>
      </c>
      <c r="S23" s="2">
        <f t="shared" ca="1" si="10"/>
        <v>0.1</v>
      </c>
      <c r="T23" s="2">
        <f t="shared" ca="1" si="10"/>
        <v>0.1</v>
      </c>
      <c r="U23" s="2">
        <f t="shared" ca="1" si="10"/>
        <v>0.15</v>
      </c>
      <c r="V23" s="2">
        <f t="shared" ca="1" si="10"/>
        <v>0.1</v>
      </c>
      <c r="W23" s="2">
        <f t="shared" ca="1" si="10"/>
        <v>0.1</v>
      </c>
      <c r="X23" s="2">
        <f t="shared" ca="1" si="10"/>
        <v>0.1</v>
      </c>
    </row>
    <row r="24" spans="2:24" ht="13.5" x14ac:dyDescent="0.15">
      <c r="B24" s="2">
        <v>22</v>
      </c>
      <c r="C24" s="23" t="s">
        <v>242</v>
      </c>
      <c r="D24" s="7" t="s">
        <v>50</v>
      </c>
      <c r="E24" s="2">
        <v>1</v>
      </c>
      <c r="F24" s="2">
        <f>VLOOKUP(G24,平衡!C$3:F$15,4,FALSE)</f>
        <v>13</v>
      </c>
      <c r="G24" s="2" t="s">
        <v>308</v>
      </c>
      <c r="H24" s="37" t="str">
        <f t="shared" ca="1" si="0"/>
        <v>物理抗性</v>
      </c>
      <c r="I24" s="58">
        <f t="shared" ca="1" si="1"/>
        <v>16</v>
      </c>
      <c r="J24" s="58">
        <f t="shared" ca="1" si="2"/>
        <v>6.25</v>
      </c>
      <c r="K24" s="2">
        <f t="shared" ca="1" si="3"/>
        <v>11.2</v>
      </c>
      <c r="L24" s="2">
        <v>1.2</v>
      </c>
      <c r="M24" s="2">
        <f t="shared" ca="1" si="4"/>
        <v>1.25</v>
      </c>
      <c r="N24" s="2">
        <f t="shared" ca="1" si="5"/>
        <v>1.4</v>
      </c>
      <c r="O24" s="2">
        <f t="shared" ca="1" si="6"/>
        <v>5</v>
      </c>
      <c r="P24" s="2">
        <f t="shared" ca="1" si="7"/>
        <v>1.4</v>
      </c>
      <c r="Q24" s="2">
        <f t="shared" ca="1" si="8"/>
        <v>0.99999999999999989</v>
      </c>
      <c r="R24" s="2">
        <v>1</v>
      </c>
      <c r="S24" s="2">
        <f t="shared" ca="1" si="10"/>
        <v>0.15</v>
      </c>
      <c r="T24" s="2">
        <f t="shared" ca="1" si="10"/>
        <v>0.1</v>
      </c>
      <c r="U24" s="2">
        <f t="shared" ca="1" si="10"/>
        <v>0.1</v>
      </c>
      <c r="V24" s="2">
        <f t="shared" ca="1" si="10"/>
        <v>0.1</v>
      </c>
      <c r="W24" s="2">
        <f t="shared" ca="1" si="10"/>
        <v>0.1</v>
      </c>
      <c r="X24" s="2">
        <f t="shared" ca="1" si="10"/>
        <v>0.1</v>
      </c>
    </row>
    <row r="25" spans="2:24" ht="13.5" x14ac:dyDescent="0.15">
      <c r="B25" s="2">
        <v>23</v>
      </c>
      <c r="C25" s="21" t="s">
        <v>242</v>
      </c>
      <c r="D25" s="7" t="s">
        <v>50</v>
      </c>
      <c r="E25" s="2">
        <v>1</v>
      </c>
      <c r="F25" s="2">
        <f>VLOOKUP(G25,平衡!C$3:F$15,4,FALSE)</f>
        <v>13</v>
      </c>
      <c r="G25" s="2" t="s">
        <v>308</v>
      </c>
      <c r="H25" s="37" t="str">
        <f t="shared" ca="1" si="0"/>
        <v>物理抗性</v>
      </c>
      <c r="I25" s="58">
        <f t="shared" ca="1" si="1"/>
        <v>16</v>
      </c>
      <c r="J25" s="58">
        <f t="shared" ca="1" si="2"/>
        <v>6.25</v>
      </c>
      <c r="K25" s="2">
        <f t="shared" ca="1" si="3"/>
        <v>11.2</v>
      </c>
      <c r="L25" s="2">
        <v>1.2</v>
      </c>
      <c r="M25" s="2">
        <f t="shared" ca="1" si="4"/>
        <v>1.25</v>
      </c>
      <c r="N25" s="2">
        <f t="shared" ca="1" si="5"/>
        <v>1.4</v>
      </c>
      <c r="O25" s="2">
        <f t="shared" ca="1" si="6"/>
        <v>5</v>
      </c>
      <c r="P25" s="2">
        <f t="shared" ca="1" si="7"/>
        <v>1.4</v>
      </c>
      <c r="Q25" s="2">
        <f t="shared" ca="1" si="8"/>
        <v>0.99999999999999989</v>
      </c>
      <c r="R25" s="2">
        <v>1</v>
      </c>
      <c r="S25" s="2">
        <f t="shared" ca="1" si="10"/>
        <v>0.15</v>
      </c>
      <c r="T25" s="2">
        <f t="shared" ca="1" si="10"/>
        <v>0.1</v>
      </c>
      <c r="U25" s="2">
        <f t="shared" ca="1" si="10"/>
        <v>0.1</v>
      </c>
      <c r="V25" s="2">
        <f t="shared" ca="1" si="10"/>
        <v>0.1</v>
      </c>
      <c r="W25" s="2">
        <f t="shared" ca="1" si="10"/>
        <v>0.1</v>
      </c>
      <c r="X25" s="2">
        <f t="shared" ca="1" si="10"/>
        <v>0.1</v>
      </c>
    </row>
    <row r="26" spans="2:24" ht="13.5" x14ac:dyDescent="0.15">
      <c r="B26" s="2">
        <v>24</v>
      </c>
      <c r="C26" s="23" t="s">
        <v>245</v>
      </c>
      <c r="D26" s="7" t="s">
        <v>52</v>
      </c>
      <c r="E26" s="2">
        <v>1</v>
      </c>
      <c r="F26" s="2">
        <f>VLOOKUP(G26,平衡!C$3:F$15,4,FALSE)</f>
        <v>6</v>
      </c>
      <c r="G26" s="2" t="s">
        <v>307</v>
      </c>
      <c r="H26" s="37" t="str">
        <f t="shared" ca="1" si="0"/>
        <v>电击抗性</v>
      </c>
      <c r="I26" s="58">
        <f t="shared" ca="1" si="1"/>
        <v>12.5</v>
      </c>
      <c r="J26" s="58">
        <f t="shared" ca="1" si="2"/>
        <v>8</v>
      </c>
      <c r="K26" s="2">
        <f t="shared" ca="1" si="3"/>
        <v>11</v>
      </c>
      <c r="L26" s="2">
        <v>1.2</v>
      </c>
      <c r="M26" s="2">
        <f t="shared" ca="1" si="4"/>
        <v>1.6</v>
      </c>
      <c r="N26" s="2">
        <f t="shared" ca="1" si="5"/>
        <v>0.7</v>
      </c>
      <c r="O26" s="2">
        <f t="shared" ca="1" si="6"/>
        <v>6.4</v>
      </c>
      <c r="P26" s="2">
        <f t="shared" ca="1" si="7"/>
        <v>0.9</v>
      </c>
      <c r="Q26" s="2">
        <f t="shared" ca="1" si="8"/>
        <v>0.39999999999999997</v>
      </c>
      <c r="R26" s="2">
        <v>1</v>
      </c>
      <c r="S26" s="2">
        <f t="shared" ca="1" si="10"/>
        <v>0.1</v>
      </c>
      <c r="T26" s="2">
        <f t="shared" ca="1" si="10"/>
        <v>0.1</v>
      </c>
      <c r="U26" s="2">
        <f t="shared" ca="1" si="10"/>
        <v>0.1</v>
      </c>
      <c r="V26" s="2">
        <f t="shared" ca="1" si="10"/>
        <v>0.1</v>
      </c>
      <c r="W26" s="2">
        <f t="shared" ca="1" si="10"/>
        <v>0.1</v>
      </c>
      <c r="X26" s="2">
        <f t="shared" ca="1" si="10"/>
        <v>0.1</v>
      </c>
    </row>
    <row r="27" spans="2:24" ht="13.5" x14ac:dyDescent="0.15">
      <c r="B27" s="2">
        <v>25</v>
      </c>
      <c r="C27" s="21" t="s">
        <v>248</v>
      </c>
      <c r="D27" s="10" t="s">
        <v>429</v>
      </c>
      <c r="E27" s="2">
        <v>1</v>
      </c>
      <c r="F27" s="2">
        <f>VLOOKUP(G27,平衡!C$3:F$15,4,FALSE)</f>
        <v>6</v>
      </c>
      <c r="G27" s="2" t="s">
        <v>307</v>
      </c>
      <c r="H27" s="37" t="str">
        <f t="shared" ca="1" si="0"/>
        <v>电击抗性</v>
      </c>
      <c r="I27" s="58">
        <f t="shared" ca="1" si="1"/>
        <v>12.5</v>
      </c>
      <c r="J27" s="58">
        <f t="shared" ca="1" si="2"/>
        <v>8</v>
      </c>
      <c r="K27" s="2">
        <f t="shared" ca="1" si="3"/>
        <v>11</v>
      </c>
      <c r="L27" s="2">
        <v>1.5</v>
      </c>
      <c r="M27" s="2">
        <f t="shared" ca="1" si="4"/>
        <v>1.6</v>
      </c>
      <c r="N27" s="2">
        <f t="shared" ca="1" si="5"/>
        <v>0.7</v>
      </c>
      <c r="O27" s="2">
        <f t="shared" ca="1" si="6"/>
        <v>6.4</v>
      </c>
      <c r="P27" s="2">
        <f t="shared" ca="1" si="7"/>
        <v>0.9</v>
      </c>
      <c r="Q27" s="2">
        <f t="shared" ca="1" si="8"/>
        <v>0.39999999999999997</v>
      </c>
      <c r="R27" s="2">
        <v>1</v>
      </c>
      <c r="S27" s="2">
        <f t="shared" ca="1" si="10"/>
        <v>0.1</v>
      </c>
      <c r="T27" s="2">
        <f t="shared" ca="1" si="10"/>
        <v>0.1</v>
      </c>
      <c r="U27" s="2">
        <f t="shared" ca="1" si="10"/>
        <v>0.1</v>
      </c>
      <c r="V27" s="2">
        <f t="shared" ca="1" si="10"/>
        <v>0.1</v>
      </c>
      <c r="W27" s="2">
        <f t="shared" ca="1" si="10"/>
        <v>0.1</v>
      </c>
      <c r="X27" s="2">
        <f t="shared" ca="1" si="10"/>
        <v>0.1</v>
      </c>
    </row>
    <row r="28" spans="2:24" ht="13.5" x14ac:dyDescent="0.15">
      <c r="B28" s="2">
        <v>26</v>
      </c>
      <c r="C28" s="23" t="s">
        <v>251</v>
      </c>
      <c r="D28" s="7" t="s">
        <v>50</v>
      </c>
      <c r="E28" s="2">
        <v>1</v>
      </c>
      <c r="F28" s="2">
        <f>VLOOKUP(G28,平衡!C$3:F$15,4,FALSE)</f>
        <v>13</v>
      </c>
      <c r="G28" s="2" t="s">
        <v>308</v>
      </c>
      <c r="H28" s="37" t="str">
        <f t="shared" ca="1" si="0"/>
        <v>物理抗性</v>
      </c>
      <c r="I28" s="58">
        <f t="shared" ca="1" si="1"/>
        <v>16</v>
      </c>
      <c r="J28" s="58">
        <f t="shared" ca="1" si="2"/>
        <v>6.25</v>
      </c>
      <c r="K28" s="2">
        <f t="shared" ca="1" si="3"/>
        <v>11.2</v>
      </c>
      <c r="L28" s="2">
        <v>1.2</v>
      </c>
      <c r="M28" s="2">
        <f t="shared" ca="1" si="4"/>
        <v>1.25</v>
      </c>
      <c r="N28" s="2">
        <f t="shared" ca="1" si="5"/>
        <v>1.4</v>
      </c>
      <c r="O28" s="2">
        <f t="shared" ca="1" si="6"/>
        <v>5</v>
      </c>
      <c r="P28" s="2">
        <f t="shared" ca="1" si="7"/>
        <v>1.4</v>
      </c>
      <c r="Q28" s="2">
        <f t="shared" ca="1" si="8"/>
        <v>0.99999999999999989</v>
      </c>
      <c r="R28" s="2">
        <v>1</v>
      </c>
      <c r="S28" s="2">
        <f t="shared" ca="1" si="10"/>
        <v>0.15</v>
      </c>
      <c r="T28" s="2">
        <f t="shared" ca="1" si="10"/>
        <v>0.1</v>
      </c>
      <c r="U28" s="2">
        <f t="shared" ca="1" si="10"/>
        <v>0.1</v>
      </c>
      <c r="V28" s="2">
        <f t="shared" ca="1" si="10"/>
        <v>0.1</v>
      </c>
      <c r="W28" s="2">
        <f t="shared" ca="1" si="10"/>
        <v>0.1</v>
      </c>
      <c r="X28" s="2">
        <f t="shared" ca="1" si="10"/>
        <v>0.1</v>
      </c>
    </row>
    <row r="29" spans="2:24" ht="13.5" x14ac:dyDescent="0.15">
      <c r="B29" s="2">
        <v>27</v>
      </c>
      <c r="C29" s="21" t="s">
        <v>252</v>
      </c>
      <c r="D29" s="7" t="s">
        <v>430</v>
      </c>
      <c r="E29" s="2">
        <v>1</v>
      </c>
      <c r="F29" s="2">
        <f>VLOOKUP(G29,平衡!C$3:F$15,4,FALSE)</f>
        <v>13</v>
      </c>
      <c r="G29" s="2" t="s">
        <v>308</v>
      </c>
      <c r="H29" s="37" t="str">
        <f t="shared" ca="1" si="0"/>
        <v>物理抗性</v>
      </c>
      <c r="I29" s="58">
        <f t="shared" ca="1" si="1"/>
        <v>16</v>
      </c>
      <c r="J29" s="58">
        <f t="shared" ca="1" si="2"/>
        <v>6.25</v>
      </c>
      <c r="K29" s="2">
        <f t="shared" ca="1" si="3"/>
        <v>11.2</v>
      </c>
      <c r="L29" s="2">
        <v>1.2</v>
      </c>
      <c r="M29" s="2">
        <f t="shared" ca="1" si="4"/>
        <v>1.25</v>
      </c>
      <c r="N29" s="2">
        <f t="shared" ca="1" si="5"/>
        <v>1.4</v>
      </c>
      <c r="O29" s="2">
        <f t="shared" ca="1" si="6"/>
        <v>5</v>
      </c>
      <c r="P29" s="2">
        <f t="shared" ca="1" si="7"/>
        <v>1.4</v>
      </c>
      <c r="Q29" s="2">
        <f t="shared" ca="1" si="8"/>
        <v>0.99999999999999989</v>
      </c>
      <c r="R29" s="2">
        <v>1</v>
      </c>
      <c r="S29" s="2">
        <f t="shared" ca="1" si="10"/>
        <v>0.15</v>
      </c>
      <c r="T29" s="2">
        <f t="shared" ca="1" si="10"/>
        <v>0.1</v>
      </c>
      <c r="U29" s="2">
        <f t="shared" ca="1" si="10"/>
        <v>0.1</v>
      </c>
      <c r="V29" s="2">
        <f t="shared" ca="1" si="10"/>
        <v>0.1</v>
      </c>
      <c r="W29" s="2">
        <f t="shared" ca="1" si="10"/>
        <v>0.1</v>
      </c>
      <c r="X29" s="2">
        <f t="shared" ca="1" si="10"/>
        <v>0.1</v>
      </c>
    </row>
    <row r="30" spans="2:24" ht="13.5" x14ac:dyDescent="0.15">
      <c r="B30" s="2">
        <v>28</v>
      </c>
      <c r="C30" s="23" t="s">
        <v>254</v>
      </c>
      <c r="D30" s="7" t="s">
        <v>39</v>
      </c>
      <c r="E30" s="2">
        <v>1</v>
      </c>
      <c r="F30" s="2">
        <f>VLOOKUP(G30,平衡!C$3:F$15,4,FALSE)</f>
        <v>7</v>
      </c>
      <c r="G30" s="2" t="s">
        <v>305</v>
      </c>
      <c r="H30" s="37" t="str">
        <f t="shared" ca="1" si="0"/>
        <v>电击抗性</v>
      </c>
      <c r="I30" s="58">
        <f t="shared" ca="1" si="1"/>
        <v>13</v>
      </c>
      <c r="J30" s="58">
        <f t="shared" ca="1" si="2"/>
        <v>7.6923076923076898</v>
      </c>
      <c r="K30" s="2">
        <f t="shared" ca="1" si="3"/>
        <v>10.66</v>
      </c>
      <c r="L30" s="2">
        <v>1.4</v>
      </c>
      <c r="M30" s="2">
        <f t="shared" ca="1" si="4"/>
        <v>3.0769230769230762</v>
      </c>
      <c r="N30" s="2">
        <f t="shared" ca="1" si="5"/>
        <v>0.8</v>
      </c>
      <c r="O30" s="2">
        <f t="shared" ca="1" si="6"/>
        <v>4.6153846153846141</v>
      </c>
      <c r="P30" s="2">
        <f t="shared" ca="1" si="7"/>
        <v>1</v>
      </c>
      <c r="Q30" s="2">
        <f t="shared" ca="1" si="8"/>
        <v>0.6</v>
      </c>
      <c r="R30" s="2">
        <v>1</v>
      </c>
      <c r="S30" s="2">
        <f t="shared" ca="1" si="10"/>
        <v>0.1</v>
      </c>
      <c r="T30" s="2">
        <f t="shared" ca="1" si="10"/>
        <v>0.1</v>
      </c>
      <c r="U30" s="2">
        <f t="shared" ca="1" si="10"/>
        <v>0.1</v>
      </c>
      <c r="V30" s="2">
        <f t="shared" ca="1" si="10"/>
        <v>0.1</v>
      </c>
      <c r="W30" s="2">
        <f t="shared" ca="1" si="10"/>
        <v>0.1</v>
      </c>
      <c r="X30" s="2">
        <f t="shared" ca="1" si="10"/>
        <v>0.1</v>
      </c>
    </row>
    <row r="31" spans="2:24" ht="13.5" x14ac:dyDescent="0.15">
      <c r="B31" s="2">
        <v>29</v>
      </c>
      <c r="C31" s="21" t="s">
        <v>257</v>
      </c>
      <c r="D31" s="10" t="s">
        <v>26</v>
      </c>
      <c r="E31" s="2">
        <v>1</v>
      </c>
      <c r="F31" s="2">
        <f>VLOOKUP(G31,平衡!C$3:F$15,4,FALSE)</f>
        <v>3</v>
      </c>
      <c r="G31" s="2" t="s">
        <v>309</v>
      </c>
      <c r="H31" s="37" t="str">
        <f t="shared" ca="1" si="0"/>
        <v>地脉抗性</v>
      </c>
      <c r="I31" s="58">
        <f t="shared" ca="1" si="1"/>
        <v>11</v>
      </c>
      <c r="J31" s="58">
        <f t="shared" ca="1" si="2"/>
        <v>9.0909090909090899</v>
      </c>
      <c r="K31" s="2">
        <f t="shared" ca="1" si="3"/>
        <v>9.35</v>
      </c>
      <c r="L31" s="2">
        <v>1.2</v>
      </c>
      <c r="M31" s="2">
        <f t="shared" ca="1" si="4"/>
        <v>7.2727272727272725</v>
      </c>
      <c r="N31" s="2">
        <f t="shared" ca="1" si="5"/>
        <v>1.3</v>
      </c>
      <c r="O31" s="2">
        <f t="shared" ca="1" si="6"/>
        <v>1.8181818181818181</v>
      </c>
      <c r="P31" s="2">
        <f t="shared" ca="1" si="7"/>
        <v>0.9</v>
      </c>
      <c r="Q31" s="2">
        <f t="shared" ca="1" si="8"/>
        <v>0.49999999999999994</v>
      </c>
      <c r="R31" s="2">
        <v>1</v>
      </c>
      <c r="S31" s="2">
        <f t="shared" ca="1" si="10"/>
        <v>0.1</v>
      </c>
      <c r="T31" s="2">
        <f t="shared" ca="1" si="10"/>
        <v>0.15</v>
      </c>
      <c r="U31" s="2">
        <f t="shared" ca="1" si="10"/>
        <v>0.1</v>
      </c>
      <c r="V31" s="2">
        <f t="shared" ca="1" si="10"/>
        <v>0.1</v>
      </c>
      <c r="W31" s="2">
        <f t="shared" ca="1" si="10"/>
        <v>0.1</v>
      </c>
      <c r="X31" s="2">
        <f t="shared" ca="1" si="10"/>
        <v>0.1</v>
      </c>
    </row>
    <row r="32" spans="2:24" ht="13.5" x14ac:dyDescent="0.15">
      <c r="B32" s="2">
        <v>30</v>
      </c>
      <c r="C32" s="23" t="s">
        <v>260</v>
      </c>
      <c r="D32" s="7" t="s">
        <v>420</v>
      </c>
      <c r="E32" s="2">
        <v>1</v>
      </c>
      <c r="F32" s="2">
        <f>VLOOKUP(G32,平衡!C$3:F$15,4,FALSE)</f>
        <v>11</v>
      </c>
      <c r="G32" s="2" t="s">
        <v>306</v>
      </c>
      <c r="H32" s="37" t="str">
        <f t="shared" ca="1" si="0"/>
        <v>地脉抗性</v>
      </c>
      <c r="I32" s="58">
        <f t="shared" ca="1" si="1"/>
        <v>15</v>
      </c>
      <c r="J32" s="58">
        <f t="shared" ca="1" si="2"/>
        <v>6.6666666666666696</v>
      </c>
      <c r="K32" s="2">
        <f t="shared" ca="1" si="3"/>
        <v>12.75</v>
      </c>
      <c r="L32" s="2">
        <v>0.84</v>
      </c>
      <c r="M32" s="2">
        <f t="shared" ca="1" si="4"/>
        <v>6.0000000000000027</v>
      </c>
      <c r="N32" s="2">
        <f t="shared" ca="1" si="5"/>
        <v>1.1000000000000001</v>
      </c>
      <c r="O32" s="2">
        <f t="shared" ca="1" si="6"/>
        <v>0.66666666666666696</v>
      </c>
      <c r="P32" s="2">
        <f t="shared" ca="1" si="7"/>
        <v>1.1000000000000001</v>
      </c>
      <c r="Q32" s="2">
        <f t="shared" ca="1" si="8"/>
        <v>0.49999999999999994</v>
      </c>
      <c r="R32" s="2">
        <v>1</v>
      </c>
      <c r="S32" s="2">
        <f t="shared" ca="1" si="10"/>
        <v>0.1</v>
      </c>
      <c r="T32" s="2">
        <f t="shared" ca="1" si="10"/>
        <v>0.15</v>
      </c>
      <c r="U32" s="2">
        <f t="shared" ca="1" si="10"/>
        <v>0.1</v>
      </c>
      <c r="V32" s="2">
        <f t="shared" ca="1" si="10"/>
        <v>0.1</v>
      </c>
      <c r="W32" s="2">
        <f t="shared" ca="1" si="10"/>
        <v>0.1</v>
      </c>
      <c r="X32" s="2">
        <f t="shared" ca="1" si="10"/>
        <v>0.1</v>
      </c>
    </row>
    <row r="33" spans="2:24" ht="13.5" x14ac:dyDescent="0.15">
      <c r="B33" s="2">
        <v>31</v>
      </c>
      <c r="C33" s="21" t="s">
        <v>263</v>
      </c>
      <c r="D33" s="10" t="s">
        <v>13</v>
      </c>
      <c r="E33" s="2">
        <v>1</v>
      </c>
      <c r="F33" s="2">
        <f>VLOOKUP(G33,平衡!C$3:F$15,4,FALSE)</f>
        <v>11</v>
      </c>
      <c r="G33" s="2" t="s">
        <v>306</v>
      </c>
      <c r="H33" s="37" t="str">
        <f t="shared" ca="1" si="0"/>
        <v>地脉抗性</v>
      </c>
      <c r="I33" s="58">
        <f t="shared" ca="1" si="1"/>
        <v>15</v>
      </c>
      <c r="J33" s="58">
        <f t="shared" ca="1" si="2"/>
        <v>6.6666666666666696</v>
      </c>
      <c r="K33" s="2">
        <f t="shared" ca="1" si="3"/>
        <v>12.75</v>
      </c>
      <c r="L33" s="2">
        <v>0.84</v>
      </c>
      <c r="M33" s="2">
        <f t="shared" ca="1" si="4"/>
        <v>6.0000000000000027</v>
      </c>
      <c r="N33" s="2">
        <f t="shared" ca="1" si="5"/>
        <v>1.1000000000000001</v>
      </c>
      <c r="O33" s="2">
        <f t="shared" ca="1" si="6"/>
        <v>0.66666666666666696</v>
      </c>
      <c r="P33" s="2">
        <f t="shared" ca="1" si="7"/>
        <v>1.1000000000000001</v>
      </c>
      <c r="Q33" s="2">
        <f t="shared" ca="1" si="8"/>
        <v>0.49999999999999994</v>
      </c>
      <c r="R33" s="2">
        <v>1</v>
      </c>
      <c r="S33" s="2">
        <f t="shared" ca="1" si="10"/>
        <v>0.1</v>
      </c>
      <c r="T33" s="2">
        <f t="shared" ca="1" si="10"/>
        <v>0.15</v>
      </c>
      <c r="U33" s="2">
        <f t="shared" ca="1" si="10"/>
        <v>0.1</v>
      </c>
      <c r="V33" s="2">
        <f t="shared" ca="1" si="10"/>
        <v>0.1</v>
      </c>
      <c r="W33" s="2">
        <f t="shared" ca="1" si="10"/>
        <v>0.1</v>
      </c>
      <c r="X33" s="2">
        <f t="shared" ca="1" si="10"/>
        <v>0.1</v>
      </c>
    </row>
    <row r="34" spans="2:24" x14ac:dyDescent="0.15">
      <c r="B34" s="2">
        <v>32</v>
      </c>
      <c r="C34" s="21" t="s">
        <v>12</v>
      </c>
      <c r="D34" s="2" t="s">
        <v>26</v>
      </c>
      <c r="E34" s="2">
        <v>1.5</v>
      </c>
      <c r="F34" s="2">
        <f>VLOOKUP(G34,平衡!C$3:F$15,4,FALSE)</f>
        <v>3</v>
      </c>
      <c r="G34" s="2" t="s">
        <v>309</v>
      </c>
      <c r="H34" s="37" t="str">
        <f t="shared" ca="1" si="0"/>
        <v>地脉抗性</v>
      </c>
      <c r="I34" s="58">
        <f t="shared" ca="1" si="1"/>
        <v>16.5</v>
      </c>
      <c r="J34" s="58">
        <f t="shared" ca="1" si="2"/>
        <v>13.636363636363635</v>
      </c>
      <c r="K34" s="2">
        <f t="shared" ca="1" si="3"/>
        <v>14.025</v>
      </c>
      <c r="L34" s="2">
        <v>1.7999999999999998</v>
      </c>
      <c r="M34" s="2">
        <f t="shared" ca="1" si="4"/>
        <v>10.909090909090908</v>
      </c>
      <c r="N34" s="2">
        <f t="shared" ca="1" si="5"/>
        <v>1.3</v>
      </c>
      <c r="O34" s="2">
        <f t="shared" ca="1" si="6"/>
        <v>2.7272727272727271</v>
      </c>
      <c r="P34" s="2">
        <f t="shared" ca="1" si="7"/>
        <v>0.9</v>
      </c>
      <c r="Q34" s="2">
        <f t="shared" ca="1" si="8"/>
        <v>0.49999999999999994</v>
      </c>
      <c r="R34" s="2">
        <v>1</v>
      </c>
      <c r="S34" s="2">
        <f t="shared" ca="1" si="10"/>
        <v>0.1</v>
      </c>
      <c r="T34" s="2">
        <f t="shared" ca="1" si="10"/>
        <v>0.15</v>
      </c>
      <c r="U34" s="2">
        <f t="shared" ca="1" si="10"/>
        <v>0.1</v>
      </c>
      <c r="V34" s="2">
        <f t="shared" ca="1" si="10"/>
        <v>0.1</v>
      </c>
      <c r="W34" s="2">
        <f t="shared" ca="1" si="10"/>
        <v>0.1</v>
      </c>
      <c r="X34" s="2">
        <f t="shared" ca="1" si="10"/>
        <v>0.1</v>
      </c>
    </row>
    <row r="35" spans="2:24" x14ac:dyDescent="0.15">
      <c r="B35" s="2">
        <v>33</v>
      </c>
      <c r="C35" s="21" t="s">
        <v>14</v>
      </c>
      <c r="D35" s="2" t="s">
        <v>39</v>
      </c>
      <c r="E35" s="2">
        <v>1.5</v>
      </c>
      <c r="F35" s="2">
        <f>VLOOKUP(G35,平衡!C$3:F$15,4,FALSE)</f>
        <v>7</v>
      </c>
      <c r="G35" s="2" t="s">
        <v>305</v>
      </c>
      <c r="H35" s="37" t="str">
        <f t="shared" ca="1" si="0"/>
        <v>电击抗性</v>
      </c>
      <c r="I35" s="58">
        <f t="shared" ca="1" si="1"/>
        <v>19.5</v>
      </c>
      <c r="J35" s="58">
        <f t="shared" ca="1" si="2"/>
        <v>11.538461538461535</v>
      </c>
      <c r="K35" s="2">
        <f t="shared" ca="1" si="3"/>
        <v>15.989999999999998</v>
      </c>
      <c r="L35" s="2">
        <v>2.5499999999999998</v>
      </c>
      <c r="M35" s="2">
        <f t="shared" ca="1" si="4"/>
        <v>4.6153846153846141</v>
      </c>
      <c r="N35" s="2">
        <f t="shared" ca="1" si="5"/>
        <v>0.8</v>
      </c>
      <c r="O35" s="2">
        <f t="shared" ca="1" si="6"/>
        <v>6.9230769230769207</v>
      </c>
      <c r="P35" s="2">
        <f t="shared" ca="1" si="7"/>
        <v>1</v>
      </c>
      <c r="Q35" s="2">
        <f t="shared" ca="1" si="8"/>
        <v>0.6</v>
      </c>
      <c r="R35" s="2">
        <v>1</v>
      </c>
      <c r="S35" s="2">
        <f t="shared" ca="1" si="10"/>
        <v>0.1</v>
      </c>
      <c r="T35" s="2">
        <f t="shared" ca="1" si="10"/>
        <v>0.1</v>
      </c>
      <c r="U35" s="2">
        <f t="shared" ca="1" si="10"/>
        <v>0.1</v>
      </c>
      <c r="V35" s="2">
        <f t="shared" ca="1" si="10"/>
        <v>0.1</v>
      </c>
      <c r="W35" s="2">
        <f t="shared" ca="1" si="10"/>
        <v>0.1</v>
      </c>
      <c r="X35" s="2">
        <f t="shared" ca="1" si="10"/>
        <v>0.1</v>
      </c>
    </row>
    <row r="36" spans="2:24" x14ac:dyDescent="0.15">
      <c r="B36" s="2">
        <v>34</v>
      </c>
      <c r="C36" s="21" t="s">
        <v>16</v>
      </c>
      <c r="D36" s="2" t="s">
        <v>43</v>
      </c>
      <c r="E36" s="2">
        <v>1.5</v>
      </c>
      <c r="F36" s="2">
        <f>VLOOKUP(G36,平衡!C$3:F$15,4,FALSE)</f>
        <v>4</v>
      </c>
      <c r="G36" s="2" t="s">
        <v>310</v>
      </c>
      <c r="H36" s="37" t="str">
        <f t="shared" ca="1" si="0"/>
        <v>黑暗抗性</v>
      </c>
      <c r="I36" s="58">
        <f t="shared" ca="1" si="1"/>
        <v>17.25</v>
      </c>
      <c r="J36" s="58">
        <f t="shared" ca="1" si="2"/>
        <v>13.043478260869559</v>
      </c>
      <c r="K36" s="2">
        <f t="shared" ca="1" si="3"/>
        <v>12.42</v>
      </c>
      <c r="L36" s="2">
        <v>1.5</v>
      </c>
      <c r="M36" s="2">
        <f t="shared" ca="1" si="4"/>
        <v>9.13043478260869</v>
      </c>
      <c r="N36" s="2">
        <f t="shared" ca="1" si="5"/>
        <v>1</v>
      </c>
      <c r="O36" s="2">
        <f t="shared" ca="1" si="6"/>
        <v>3.9130434782608674</v>
      </c>
      <c r="P36" s="2">
        <f t="shared" ca="1" si="7"/>
        <v>1.2</v>
      </c>
      <c r="Q36" s="2">
        <f t="shared" ca="1" si="8"/>
        <v>0.93333333333333335</v>
      </c>
      <c r="R36" s="2">
        <v>1</v>
      </c>
      <c r="S36" s="2">
        <f t="shared" ca="1" si="10"/>
        <v>0.1</v>
      </c>
      <c r="T36" s="2">
        <f t="shared" ca="1" si="10"/>
        <v>0.1</v>
      </c>
      <c r="U36" s="2">
        <f t="shared" ca="1" si="10"/>
        <v>0.1</v>
      </c>
      <c r="V36" s="2">
        <f t="shared" ca="1" si="10"/>
        <v>0.1</v>
      </c>
      <c r="W36" s="2">
        <f t="shared" ca="1" si="10"/>
        <v>0.1</v>
      </c>
      <c r="X36" s="2">
        <f t="shared" ca="1" si="10"/>
        <v>0.15</v>
      </c>
    </row>
    <row r="37" spans="2:24" x14ac:dyDescent="0.15">
      <c r="B37" s="2">
        <v>35</v>
      </c>
      <c r="C37" s="21" t="s">
        <v>63</v>
      </c>
      <c r="D37" s="2" t="s">
        <v>26</v>
      </c>
      <c r="E37" s="2">
        <v>1.5</v>
      </c>
      <c r="F37" s="2">
        <f>VLOOKUP(G37,平衡!C$3:F$15,4,FALSE)</f>
        <v>3</v>
      </c>
      <c r="G37" s="2" t="s">
        <v>309</v>
      </c>
      <c r="H37" s="37" t="str">
        <f t="shared" ca="1" si="0"/>
        <v>地脉抗性</v>
      </c>
      <c r="I37" s="58">
        <f t="shared" ca="1" si="1"/>
        <v>16.5</v>
      </c>
      <c r="J37" s="58">
        <f t="shared" ca="1" si="2"/>
        <v>13.636363636363635</v>
      </c>
      <c r="K37" s="2">
        <f t="shared" ca="1" si="3"/>
        <v>14.025</v>
      </c>
      <c r="L37" s="2">
        <v>1.7999999999999998</v>
      </c>
      <c r="M37" s="2">
        <f t="shared" ca="1" si="4"/>
        <v>10.909090909090908</v>
      </c>
      <c r="N37" s="2">
        <f t="shared" ca="1" si="5"/>
        <v>1.3</v>
      </c>
      <c r="O37" s="2">
        <f t="shared" ca="1" si="6"/>
        <v>2.7272727272727271</v>
      </c>
      <c r="P37" s="2">
        <f t="shared" ca="1" si="7"/>
        <v>0.9</v>
      </c>
      <c r="Q37" s="2">
        <f t="shared" ca="1" si="8"/>
        <v>0.49999999999999994</v>
      </c>
      <c r="R37" s="2">
        <v>1</v>
      </c>
      <c r="S37" s="2">
        <f t="shared" ca="1" si="10"/>
        <v>0.1</v>
      </c>
      <c r="T37" s="2">
        <f t="shared" ca="1" si="10"/>
        <v>0.15</v>
      </c>
      <c r="U37" s="2">
        <f t="shared" ca="1" si="10"/>
        <v>0.1</v>
      </c>
      <c r="V37" s="2">
        <f t="shared" ca="1" si="10"/>
        <v>0.1</v>
      </c>
      <c r="W37" s="2">
        <f t="shared" ca="1" si="10"/>
        <v>0.1</v>
      </c>
      <c r="X37" s="2">
        <f t="shared" ca="1" si="10"/>
        <v>0.1</v>
      </c>
    </row>
    <row r="38" spans="2:24" x14ac:dyDescent="0.15">
      <c r="B38" s="2">
        <v>36</v>
      </c>
      <c r="C38" s="21" t="s">
        <v>64</v>
      </c>
      <c r="D38" s="2" t="s">
        <v>43</v>
      </c>
      <c r="E38" s="2">
        <v>1.5</v>
      </c>
      <c r="F38" s="2">
        <f>VLOOKUP(G38,平衡!C$3:F$15,4,FALSE)</f>
        <v>4</v>
      </c>
      <c r="G38" s="2" t="s">
        <v>310</v>
      </c>
      <c r="H38" s="37" t="str">
        <f t="shared" ca="1" si="0"/>
        <v>黑暗抗性</v>
      </c>
      <c r="I38" s="58">
        <f t="shared" ca="1" si="1"/>
        <v>17.25</v>
      </c>
      <c r="J38" s="58">
        <f t="shared" ca="1" si="2"/>
        <v>13.043478260869559</v>
      </c>
      <c r="K38" s="2">
        <f t="shared" ca="1" si="3"/>
        <v>12.42</v>
      </c>
      <c r="L38" s="2">
        <v>1.7999999999999998</v>
      </c>
      <c r="M38" s="2">
        <f t="shared" ca="1" si="4"/>
        <v>9.13043478260869</v>
      </c>
      <c r="N38" s="2">
        <f t="shared" ca="1" si="5"/>
        <v>1</v>
      </c>
      <c r="O38" s="2">
        <f t="shared" ca="1" si="6"/>
        <v>3.9130434782608674</v>
      </c>
      <c r="P38" s="2">
        <f t="shared" ca="1" si="7"/>
        <v>1.2</v>
      </c>
      <c r="Q38" s="2">
        <f t="shared" ca="1" si="8"/>
        <v>0.93333333333333335</v>
      </c>
      <c r="R38" s="2">
        <v>1</v>
      </c>
      <c r="S38" s="2">
        <f t="shared" ca="1" si="10"/>
        <v>0.1</v>
      </c>
      <c r="T38" s="2">
        <f t="shared" ca="1" si="10"/>
        <v>0.1</v>
      </c>
      <c r="U38" s="2">
        <f t="shared" ca="1" si="10"/>
        <v>0.1</v>
      </c>
      <c r="V38" s="2">
        <f t="shared" ca="1" si="10"/>
        <v>0.1</v>
      </c>
      <c r="W38" s="2">
        <f t="shared" ca="1" si="10"/>
        <v>0.1</v>
      </c>
      <c r="X38" s="2">
        <f t="shared" ca="1" si="10"/>
        <v>0.15</v>
      </c>
    </row>
    <row r="39" spans="2:24" x14ac:dyDescent="0.15">
      <c r="B39" s="2">
        <v>37</v>
      </c>
      <c r="C39" s="21" t="s">
        <v>65</v>
      </c>
      <c r="D39" s="2" t="s">
        <v>39</v>
      </c>
      <c r="E39" s="2">
        <v>1.5</v>
      </c>
      <c r="F39" s="2">
        <f>VLOOKUP(G39,平衡!C$3:F$15,4,FALSE)</f>
        <v>7</v>
      </c>
      <c r="G39" s="2" t="s">
        <v>305</v>
      </c>
      <c r="H39" s="37" t="str">
        <f t="shared" ca="1" si="0"/>
        <v>电击抗性</v>
      </c>
      <c r="I39" s="58">
        <f t="shared" ca="1" si="1"/>
        <v>19.5</v>
      </c>
      <c r="J39" s="58">
        <f t="shared" ca="1" si="2"/>
        <v>11.538461538461535</v>
      </c>
      <c r="K39" s="2">
        <f t="shared" ca="1" si="3"/>
        <v>15.989999999999998</v>
      </c>
      <c r="L39" s="2">
        <v>2.0999999999999996</v>
      </c>
      <c r="M39" s="2">
        <f t="shared" ca="1" si="4"/>
        <v>4.6153846153846141</v>
      </c>
      <c r="N39" s="2">
        <f t="shared" ca="1" si="5"/>
        <v>0.8</v>
      </c>
      <c r="O39" s="2">
        <f t="shared" ca="1" si="6"/>
        <v>6.9230769230769207</v>
      </c>
      <c r="P39" s="2">
        <f t="shared" ca="1" si="7"/>
        <v>1</v>
      </c>
      <c r="Q39" s="2">
        <f t="shared" ca="1" si="8"/>
        <v>0.6</v>
      </c>
      <c r="R39" s="2">
        <v>1</v>
      </c>
      <c r="S39" s="2">
        <f t="shared" ca="1" si="10"/>
        <v>0.1</v>
      </c>
      <c r="T39" s="2">
        <f t="shared" ca="1" si="10"/>
        <v>0.1</v>
      </c>
      <c r="U39" s="2">
        <f t="shared" ca="1" si="10"/>
        <v>0.1</v>
      </c>
      <c r="V39" s="2">
        <f t="shared" ca="1" si="10"/>
        <v>0.1</v>
      </c>
      <c r="W39" s="2">
        <f t="shared" ca="1" si="10"/>
        <v>0.1</v>
      </c>
      <c r="X39" s="2">
        <f t="shared" ca="1" si="10"/>
        <v>0.1</v>
      </c>
    </row>
  </sheetData>
  <phoneticPr fontId="2" type="noConversion"/>
  <conditionalFormatting sqref="L3:L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{18A5176B-E551-4BDD-86DF-8DD884D09A55}</x14:id>
        </ext>
      </extLst>
    </cfRule>
  </conditionalFormatting>
  <conditionalFormatting sqref="L37:L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{8CC04B74-C468-4CBE-819C-B415EFD7F994}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A5176B-E551-4BDD-86DF-8DD884D09A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L3:L36</xm:sqref>
        </x14:conditionalFormatting>
        <x14:conditionalFormatting xmlns:xm="http://schemas.microsoft.com/office/excel/2006/main">
          <x14:cfRule type="dataBar" id="{8CC04B74-C468-4CBE-819C-B415EFD7F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L37:L39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Z37"/>
  <sheetViews>
    <sheetView tabSelected="1" topLeftCell="H1" workbookViewId="0">
      <selection activeCell="U24" sqref="U24"/>
    </sheetView>
  </sheetViews>
  <sheetFormatPr defaultRowHeight="12.75" x14ac:dyDescent="0.2"/>
  <cols>
    <col min="1" max="1" width="2.75" style="27" customWidth="1"/>
    <col min="2" max="3" width="9" style="27"/>
    <col min="4" max="4" width="11.625" style="27" customWidth="1"/>
    <col min="5" max="5" width="12.75" style="27" customWidth="1"/>
    <col min="6" max="6" width="13.125" style="27" customWidth="1"/>
    <col min="7" max="7" width="69.5" style="27" customWidth="1"/>
    <col min="8" max="16384" width="9" style="27"/>
  </cols>
  <sheetData>
    <row r="2" spans="2:26" x14ac:dyDescent="0.2">
      <c r="B2" s="33" t="s">
        <v>66</v>
      </c>
      <c r="C2" s="34" t="s">
        <v>282</v>
      </c>
      <c r="D2" s="34" t="s">
        <v>281</v>
      </c>
      <c r="E2" s="34" t="s">
        <v>287</v>
      </c>
      <c r="F2" s="34" t="s">
        <v>288</v>
      </c>
      <c r="G2" s="34" t="s">
        <v>303</v>
      </c>
      <c r="H2" s="34" t="s">
        <v>289</v>
      </c>
      <c r="I2" s="34" t="s">
        <v>290</v>
      </c>
      <c r="J2" s="34" t="s">
        <v>291</v>
      </c>
      <c r="K2" s="34" t="s">
        <v>292</v>
      </c>
      <c r="L2" s="34" t="s">
        <v>293</v>
      </c>
    </row>
    <row r="3" spans="2:26" x14ac:dyDescent="0.2">
      <c r="B3" s="35">
        <v>1</v>
      </c>
      <c r="C3" s="36" t="s">
        <v>272</v>
      </c>
      <c r="D3" s="36" t="s">
        <v>283</v>
      </c>
      <c r="E3" s="35">
        <v>0</v>
      </c>
      <c r="F3" s="35">
        <v>1</v>
      </c>
      <c r="G3" s="35">
        <v>0.4</v>
      </c>
      <c r="H3" s="35">
        <f>G3</f>
        <v>0.4</v>
      </c>
      <c r="I3" s="35">
        <f t="shared" ref="I3:L3" si="0">H3</f>
        <v>0.4</v>
      </c>
      <c r="J3" s="35">
        <f t="shared" si="0"/>
        <v>0.4</v>
      </c>
      <c r="K3" s="35">
        <f t="shared" si="0"/>
        <v>0.4</v>
      </c>
      <c r="L3" s="35">
        <f t="shared" si="0"/>
        <v>0.4</v>
      </c>
    </row>
    <row r="4" spans="2:26" x14ac:dyDescent="0.2">
      <c r="B4" s="35">
        <v>2</v>
      </c>
      <c r="C4" s="36" t="s">
        <v>273</v>
      </c>
      <c r="D4" s="36" t="s">
        <v>284</v>
      </c>
      <c r="E4" s="35">
        <v>2</v>
      </c>
      <c r="F4" s="35">
        <v>3</v>
      </c>
      <c r="G4" s="35">
        <v>0.7</v>
      </c>
      <c r="H4" s="35">
        <f t="shared" ref="H4:L4" si="1">G4</f>
        <v>0.7</v>
      </c>
      <c r="I4" s="35">
        <f t="shared" si="1"/>
        <v>0.7</v>
      </c>
      <c r="J4" s="35">
        <f t="shared" si="1"/>
        <v>0.7</v>
      </c>
      <c r="K4" s="35">
        <f t="shared" si="1"/>
        <v>0.7</v>
      </c>
      <c r="L4" s="35">
        <f t="shared" si="1"/>
        <v>0.7</v>
      </c>
    </row>
    <row r="5" spans="2:26" x14ac:dyDescent="0.2">
      <c r="B5" s="35">
        <v>3</v>
      </c>
      <c r="C5" s="36" t="s">
        <v>274</v>
      </c>
      <c r="D5" s="36" t="s">
        <v>285</v>
      </c>
      <c r="E5" s="35">
        <v>3</v>
      </c>
      <c r="F5" s="35">
        <v>4</v>
      </c>
      <c r="G5" s="35">
        <v>1</v>
      </c>
      <c r="H5" s="35">
        <f t="shared" ref="H5:L5" si="2">G5</f>
        <v>1</v>
      </c>
      <c r="I5" s="35">
        <f t="shared" si="2"/>
        <v>1</v>
      </c>
      <c r="J5" s="35">
        <f t="shared" si="2"/>
        <v>1</v>
      </c>
      <c r="K5" s="35">
        <f t="shared" si="2"/>
        <v>1</v>
      </c>
      <c r="L5" s="35">
        <f t="shared" si="2"/>
        <v>1</v>
      </c>
    </row>
    <row r="6" spans="2:26" x14ac:dyDescent="0.2">
      <c r="B6" s="35">
        <v>4</v>
      </c>
      <c r="C6" s="36" t="s">
        <v>387</v>
      </c>
      <c r="D6" s="36" t="s">
        <v>286</v>
      </c>
      <c r="E6" s="35">
        <v>4</v>
      </c>
      <c r="F6" s="35">
        <v>5</v>
      </c>
      <c r="G6" s="35">
        <v>1.3</v>
      </c>
      <c r="H6" s="35">
        <f t="shared" ref="H6:L6" si="3">G6</f>
        <v>1.3</v>
      </c>
      <c r="I6" s="35">
        <f t="shared" si="3"/>
        <v>1.3</v>
      </c>
      <c r="J6" s="35">
        <f t="shared" si="3"/>
        <v>1.3</v>
      </c>
      <c r="K6" s="35">
        <f t="shared" si="3"/>
        <v>1.3</v>
      </c>
      <c r="L6" s="35">
        <f t="shared" si="3"/>
        <v>1.3</v>
      </c>
    </row>
    <row r="8" spans="2:26" x14ac:dyDescent="0.2">
      <c r="B8" s="34" t="s">
        <v>328</v>
      </c>
      <c r="C8" s="34" t="s">
        <v>329</v>
      </c>
      <c r="D8" s="34" t="s">
        <v>333</v>
      </c>
      <c r="E8" s="34" t="s">
        <v>300</v>
      </c>
      <c r="F8" s="34" t="s">
        <v>326</v>
      </c>
      <c r="G8" s="34" t="s">
        <v>2</v>
      </c>
      <c r="H8" s="34" t="s">
        <v>4</v>
      </c>
      <c r="I8" s="34" t="s">
        <v>298</v>
      </c>
      <c r="J8" s="34" t="s">
        <v>6</v>
      </c>
      <c r="K8" s="34" t="s">
        <v>299</v>
      </c>
      <c r="L8" s="34" t="s">
        <v>475</v>
      </c>
      <c r="M8" s="34" t="s">
        <v>474</v>
      </c>
    </row>
    <row r="9" spans="2:26" x14ac:dyDescent="0.2">
      <c r="B9" s="36" t="s">
        <v>285</v>
      </c>
      <c r="C9" s="36" t="s">
        <v>285</v>
      </c>
      <c r="D9" s="36" t="s">
        <v>285</v>
      </c>
      <c r="E9" s="36" t="s">
        <v>285</v>
      </c>
      <c r="F9" s="36" t="s">
        <v>285</v>
      </c>
      <c r="G9" s="72">
        <f>1-L9</f>
        <v>0.8</v>
      </c>
      <c r="H9" s="40">
        <v>0.5</v>
      </c>
      <c r="I9" s="40">
        <v>1</v>
      </c>
      <c r="J9" s="40">
        <v>0.5</v>
      </c>
      <c r="K9" s="40">
        <v>1</v>
      </c>
      <c r="L9" s="77">
        <v>0.2</v>
      </c>
      <c r="M9" s="35">
        <v>1</v>
      </c>
    </row>
    <row r="10" spans="2:26" x14ac:dyDescent="0.2">
      <c r="B10" s="35">
        <v>1</v>
      </c>
      <c r="C10" s="35" t="s">
        <v>330</v>
      </c>
      <c r="D10" s="35">
        <v>1</v>
      </c>
      <c r="E10" s="35">
        <f>AVERAGE(平衡!D$3:D$15)*$D10</f>
        <v>13</v>
      </c>
      <c r="F10" s="35">
        <f>AVERAGE(平衡!E$3:E$15)*$D10</f>
        <v>7.8577775121975106</v>
      </c>
      <c r="G10" s="35">
        <f>E10*G$9</f>
        <v>10.4</v>
      </c>
      <c r="H10" s="35">
        <f>F10*H$9</f>
        <v>3.9288887560987553</v>
      </c>
      <c r="I10" s="35">
        <f>I$9*D10</f>
        <v>1</v>
      </c>
      <c r="J10" s="35">
        <f>F10*J$9</f>
        <v>3.9288887560987553</v>
      </c>
      <c r="K10" s="35">
        <f>D10*K$9</f>
        <v>1</v>
      </c>
      <c r="L10" s="77">
        <v>0.2</v>
      </c>
      <c r="M10" s="35">
        <f>M$9*D10</f>
        <v>1</v>
      </c>
    </row>
    <row r="11" spans="2:26" x14ac:dyDescent="0.2">
      <c r="B11" s="35">
        <v>2</v>
      </c>
      <c r="C11" s="35" t="s">
        <v>331</v>
      </c>
      <c r="D11" s="35">
        <v>1.2</v>
      </c>
      <c r="E11" s="35">
        <f>AVERAGE(平衡!D$3:D$15)*$D11</f>
        <v>15.6</v>
      </c>
      <c r="F11" s="35">
        <f>AVERAGE(平衡!E$3:E$15)*$D11</f>
        <v>9.4293330146370131</v>
      </c>
      <c r="G11" s="35">
        <f t="shared" ref="G11:G12" si="4">E11*G$9</f>
        <v>12.48</v>
      </c>
      <c r="H11" s="35">
        <f t="shared" ref="H11:H12" si="5">F11*H$9</f>
        <v>4.7146665073185066</v>
      </c>
      <c r="I11" s="35">
        <f t="shared" ref="I11:I12" si="6">I$9*D11</f>
        <v>1.2</v>
      </c>
      <c r="J11" s="35">
        <f t="shared" ref="J11:J12" si="7">F11*J$9</f>
        <v>4.7146665073185066</v>
      </c>
      <c r="K11" s="35">
        <f t="shared" ref="K11:K12" si="8">D11*K$9</f>
        <v>1.2</v>
      </c>
      <c r="L11" s="77">
        <v>0.2</v>
      </c>
      <c r="M11" s="35">
        <f t="shared" ref="M11:M12" si="9">M$9*D11</f>
        <v>1.2</v>
      </c>
    </row>
    <row r="12" spans="2:26" x14ac:dyDescent="0.2">
      <c r="B12" s="35">
        <v>3</v>
      </c>
      <c r="C12" s="35" t="s">
        <v>332</v>
      </c>
      <c r="D12" s="35">
        <v>1.44</v>
      </c>
      <c r="E12" s="35">
        <f>AVERAGE(平衡!D$3:D$15)*$D12</f>
        <v>18.72</v>
      </c>
      <c r="F12" s="35">
        <f>AVERAGE(平衡!E$3:E$15)*$D12</f>
        <v>11.315199617564415</v>
      </c>
      <c r="G12" s="35">
        <f t="shared" si="4"/>
        <v>14.975999999999999</v>
      </c>
      <c r="H12" s="35">
        <f t="shared" si="5"/>
        <v>5.6575998087822077</v>
      </c>
      <c r="I12" s="35">
        <f t="shared" si="6"/>
        <v>1.44</v>
      </c>
      <c r="J12" s="35">
        <f t="shared" si="7"/>
        <v>5.6575998087822077</v>
      </c>
      <c r="K12" s="35">
        <f t="shared" si="8"/>
        <v>1.44</v>
      </c>
      <c r="L12" s="77">
        <v>0.2</v>
      </c>
      <c r="M12" s="35">
        <f t="shared" si="9"/>
        <v>1.44</v>
      </c>
    </row>
    <row r="14" spans="2:26" ht="13.5" thickBot="1" x14ac:dyDescent="0.25">
      <c r="B14" s="31" t="s">
        <v>297</v>
      </c>
      <c r="C14" s="31" t="s">
        <v>324</v>
      </c>
      <c r="D14" s="31" t="s">
        <v>340</v>
      </c>
      <c r="E14" s="32" t="s">
        <v>325</v>
      </c>
      <c r="F14" s="32" t="s">
        <v>326</v>
      </c>
      <c r="G14" s="34" t="s">
        <v>2</v>
      </c>
      <c r="H14" s="34" t="s">
        <v>4</v>
      </c>
      <c r="I14" s="34" t="s">
        <v>298</v>
      </c>
      <c r="J14" s="34" t="s">
        <v>6</v>
      </c>
      <c r="K14" s="44" t="s">
        <v>299</v>
      </c>
      <c r="L14" s="44" t="s">
        <v>704</v>
      </c>
      <c r="M14" s="44" t="s">
        <v>705</v>
      </c>
      <c r="N14" s="44" t="s">
        <v>706</v>
      </c>
      <c r="O14" s="44" t="s">
        <v>707</v>
      </c>
      <c r="P14" s="44" t="s">
        <v>708</v>
      </c>
      <c r="Q14" s="44" t="s">
        <v>482</v>
      </c>
      <c r="R14" s="44" t="s">
        <v>483</v>
      </c>
      <c r="S14" s="44" t="s">
        <v>481</v>
      </c>
      <c r="T14" s="44" t="s">
        <v>484</v>
      </c>
      <c r="U14" s="44" t="s">
        <v>485</v>
      </c>
      <c r="V14" s="43"/>
      <c r="W14" s="43"/>
      <c r="X14" s="43"/>
      <c r="Y14" s="43"/>
      <c r="Z14" s="43"/>
    </row>
    <row r="15" spans="2:26" x14ac:dyDescent="0.2">
      <c r="B15" s="35">
        <v>1</v>
      </c>
      <c r="C15" s="36" t="s">
        <v>312</v>
      </c>
      <c r="D15" s="51" t="s">
        <v>71</v>
      </c>
      <c r="E15" s="73" t="str">
        <f t="shared" ref="E15:E27" ca="1" si="10">mVlookup(C15,baseBalance2,E$14,FALSE)</f>
        <v>15.5</v>
      </c>
      <c r="F15" s="73" t="str">
        <f t="shared" ref="F15:F27" ca="1" si="11">MID(mVlookup(C15,baseBalance2,F$14,FALSE),1,5)</f>
        <v>6.451</v>
      </c>
      <c r="G15" s="52">
        <f t="shared" ref="G15:G27" ca="1" si="12">mVlookup(C15,weaponCO,G$14,FALSE)*E15</f>
        <v>13.950000000000001</v>
      </c>
      <c r="H15" s="35">
        <f ca="1">mVlookup(C15,weaponCO,H$14,FALSE)*F15</f>
        <v>3.2254999999999998</v>
      </c>
      <c r="I15" s="35">
        <f ca="1">mVlookup(C15,weaponCO,I$14,FALSE)*1</f>
        <v>1</v>
      </c>
      <c r="J15" s="35">
        <f ca="1">mVlookup(C15,weaponCO,J$14,FALSE)*F15</f>
        <v>3.2254999999999998</v>
      </c>
      <c r="K15" s="45">
        <f ca="1">mVlookup(C15,weaponCO,K$14,FALSE)*1</f>
        <v>1</v>
      </c>
      <c r="L15" s="35">
        <f ca="1">IF(G15&gt;=G$10,G$10,G15)</f>
        <v>10.4</v>
      </c>
      <c r="M15" s="35">
        <f t="shared" ref="M15:P15" ca="1" si="13">IF(H15&gt;=H$10,H$10,H15)</f>
        <v>3.2254999999999998</v>
      </c>
      <c r="N15" s="35">
        <f t="shared" ca="1" si="13"/>
        <v>1</v>
      </c>
      <c r="O15" s="35">
        <f t="shared" ca="1" si="13"/>
        <v>3.2254999999999998</v>
      </c>
      <c r="P15" s="35">
        <f t="shared" ca="1" si="13"/>
        <v>1</v>
      </c>
      <c r="Q15" s="35">
        <f ca="1">IF(L15&lt;0,"",L15)</f>
        <v>10.4</v>
      </c>
      <c r="R15" s="35">
        <f t="shared" ref="R15:U15" ca="1" si="14">IF(M15&lt;0,"",M15)</f>
        <v>3.2254999999999998</v>
      </c>
      <c r="S15" s="35">
        <f t="shared" ca="1" si="14"/>
        <v>1</v>
      </c>
      <c r="T15" s="35">
        <f t="shared" ca="1" si="14"/>
        <v>3.2254999999999998</v>
      </c>
      <c r="U15" s="35">
        <f t="shared" ca="1" si="14"/>
        <v>1</v>
      </c>
      <c r="V15" s="27">
        <f ca="1">COUNTIF(Q15:U15,"&gt;0")</f>
        <v>5</v>
      </c>
    </row>
    <row r="16" spans="2:26" x14ac:dyDescent="0.2">
      <c r="B16" s="35">
        <v>2</v>
      </c>
      <c r="C16" s="36" t="s">
        <v>313</v>
      </c>
      <c r="D16" s="51" t="s">
        <v>68</v>
      </c>
      <c r="E16" s="74" t="str">
        <f t="shared" ca="1" si="10"/>
        <v>11</v>
      </c>
      <c r="F16" s="74" t="str">
        <f t="shared" ca="1" si="11"/>
        <v>9.090</v>
      </c>
      <c r="G16" s="52">
        <f t="shared" ca="1" si="12"/>
        <v>9.35</v>
      </c>
      <c r="H16" s="35">
        <f ca="1">mVlookup(C16,weaponCO,H$14,FALSE)*F16</f>
        <v>7.2720000000000002</v>
      </c>
      <c r="I16" s="35">
        <f ca="1">mVlookup(C16,weaponCO,I$14,FALSE)*1</f>
        <v>1.3</v>
      </c>
      <c r="J16" s="35">
        <f ca="1">mVlookup(C16,weaponCO,J$14,FALSE)*F16</f>
        <v>1.8180000000000001</v>
      </c>
      <c r="K16" s="45">
        <f ca="1">mVlookup(C16,weaponCO,K$14,FALSE)*1</f>
        <v>0.9</v>
      </c>
      <c r="L16" s="35">
        <f t="shared" ref="L16:L27" ca="1" si="15">IF(G16&gt;=G$10,G$10,G16)</f>
        <v>9.35</v>
      </c>
      <c r="M16" s="35">
        <f t="shared" ref="M16:M27" ca="1" si="16">IF(H16&gt;=H$10,H$10,H16)</f>
        <v>3.9288887560987553</v>
      </c>
      <c r="N16" s="35">
        <f t="shared" ref="N16:N27" ca="1" si="17">IF(I16&gt;=I$10,I$10,I16)</f>
        <v>1</v>
      </c>
      <c r="O16" s="35">
        <f t="shared" ref="O16:O27" ca="1" si="18">IF(J16&gt;=J$10,J$10,J16)</f>
        <v>1.8180000000000001</v>
      </c>
      <c r="P16" s="35">
        <f t="shared" ref="P16:P27" ca="1" si="19">IF(K16&gt;=K$10,K$10,K16)</f>
        <v>0.9</v>
      </c>
      <c r="Q16" s="35">
        <f t="shared" ref="Q16:Q27" ca="1" si="20">IF(L16&lt;0,"",L16)</f>
        <v>9.35</v>
      </c>
      <c r="R16" s="35">
        <f t="shared" ref="R16:R27" ca="1" si="21">IF(M16&lt;0,"",M16)</f>
        <v>3.9288887560987553</v>
      </c>
      <c r="S16" s="35">
        <f ca="1">IF(N16&lt;0,"",N16)</f>
        <v>1</v>
      </c>
      <c r="T16" s="35">
        <f t="shared" ref="T16:T27" ca="1" si="22">IF(O16&lt;0,"",O16)</f>
        <v>1.8180000000000001</v>
      </c>
      <c r="U16" s="35">
        <f t="shared" ref="U16:U27" ca="1" si="23">IF(P16&lt;0,"",P16)</f>
        <v>0.9</v>
      </c>
      <c r="V16" s="27">
        <f t="shared" ref="V16:V27" ca="1" si="24">COUNTIF(Q16:U16,"&gt;0")</f>
        <v>5</v>
      </c>
    </row>
    <row r="17" spans="2:22" x14ac:dyDescent="0.2">
      <c r="B17" s="35">
        <v>3</v>
      </c>
      <c r="C17" s="36" t="s">
        <v>314</v>
      </c>
      <c r="D17" s="51" t="s">
        <v>71</v>
      </c>
      <c r="E17" s="74" t="str">
        <f t="shared" ca="1" si="10"/>
        <v>14.5</v>
      </c>
      <c r="F17" s="74" t="str">
        <f t="shared" ca="1" si="11"/>
        <v>6.896</v>
      </c>
      <c r="G17" s="52">
        <f t="shared" ca="1" si="12"/>
        <v>10.875</v>
      </c>
      <c r="H17" s="35">
        <f ca="1">mVlookup(C17,weaponCO,H$14,FALSE)*F17</f>
        <v>6.2064000000000004</v>
      </c>
      <c r="I17" s="35">
        <f ca="1">mVlookup(C17,weaponCO,I$14,FALSE)*1</f>
        <v>1.4</v>
      </c>
      <c r="J17" s="35">
        <f ca="1">mVlookup(C17,weaponCO,J$14,FALSE)*F17</f>
        <v>0.68959999999999999</v>
      </c>
      <c r="K17" s="45">
        <f ca="1">mVlookup(C17,weaponCO,K$14,FALSE)*1</f>
        <v>1</v>
      </c>
      <c r="L17" s="35">
        <f t="shared" ca="1" si="15"/>
        <v>10.4</v>
      </c>
      <c r="M17" s="35">
        <f t="shared" ca="1" si="16"/>
        <v>3.9288887560987553</v>
      </c>
      <c r="N17" s="35">
        <f t="shared" ca="1" si="17"/>
        <v>1</v>
      </c>
      <c r="O17" s="35">
        <f t="shared" ca="1" si="18"/>
        <v>0.68959999999999999</v>
      </c>
      <c r="P17" s="35">
        <f t="shared" ca="1" si="19"/>
        <v>1</v>
      </c>
      <c r="Q17" s="35">
        <f t="shared" ca="1" si="20"/>
        <v>10.4</v>
      </c>
      <c r="R17" s="35">
        <f t="shared" ca="1" si="21"/>
        <v>3.9288887560987553</v>
      </c>
      <c r="S17" s="35">
        <f t="shared" ref="S17:S27" ca="1" si="25">IF(N17&lt;0,"",N17)</f>
        <v>1</v>
      </c>
      <c r="T17" s="35">
        <f t="shared" ca="1" si="22"/>
        <v>0.68959999999999999</v>
      </c>
      <c r="U17" s="35">
        <f t="shared" ca="1" si="23"/>
        <v>1</v>
      </c>
      <c r="V17" s="27">
        <f t="shared" ca="1" si="24"/>
        <v>5</v>
      </c>
    </row>
    <row r="18" spans="2:22" x14ac:dyDescent="0.2">
      <c r="B18" s="35">
        <v>4</v>
      </c>
      <c r="C18" s="36" t="s">
        <v>315</v>
      </c>
      <c r="D18" s="51" t="s">
        <v>73</v>
      </c>
      <c r="E18" s="74" t="str">
        <f t="shared" ca="1" si="10"/>
        <v>13</v>
      </c>
      <c r="F18" s="74" t="str">
        <f t="shared" ca="1" si="11"/>
        <v>7.692</v>
      </c>
      <c r="G18" s="52">
        <f t="shared" ca="1" si="12"/>
        <v>10.66</v>
      </c>
      <c r="H18" s="35">
        <f ca="1">mVlookup(C18,weaponCO,H$14,FALSE)*F18</f>
        <v>3.0768000000000004</v>
      </c>
      <c r="I18" s="35">
        <f ca="1">mVlookup(C18,weaponCO,I$14,FALSE)*1</f>
        <v>0.8</v>
      </c>
      <c r="J18" s="35">
        <f ca="1">mVlookup(C18,weaponCO,J$14,FALSE)*F18</f>
        <v>4.6151999999999997</v>
      </c>
      <c r="K18" s="45">
        <f ca="1">mVlookup(C18,weaponCO,K$14,FALSE)*1</f>
        <v>1</v>
      </c>
      <c r="L18" s="35">
        <f t="shared" ca="1" si="15"/>
        <v>10.4</v>
      </c>
      <c r="M18" s="35">
        <f t="shared" ca="1" si="16"/>
        <v>3.0768000000000004</v>
      </c>
      <c r="N18" s="35">
        <f t="shared" ca="1" si="17"/>
        <v>0.8</v>
      </c>
      <c r="O18" s="35">
        <f t="shared" ca="1" si="18"/>
        <v>3.9288887560987553</v>
      </c>
      <c r="P18" s="35">
        <f t="shared" ca="1" si="19"/>
        <v>1</v>
      </c>
      <c r="Q18" s="35">
        <f t="shared" ca="1" si="20"/>
        <v>10.4</v>
      </c>
      <c r="R18" s="35">
        <f t="shared" ca="1" si="21"/>
        <v>3.0768000000000004</v>
      </c>
      <c r="S18" s="35">
        <f t="shared" ca="1" si="25"/>
        <v>0.8</v>
      </c>
      <c r="T18" s="35">
        <f t="shared" ca="1" si="22"/>
        <v>3.9288887560987553</v>
      </c>
      <c r="U18" s="35">
        <f t="shared" ca="1" si="23"/>
        <v>1</v>
      </c>
      <c r="V18" s="27">
        <f t="shared" ca="1" si="24"/>
        <v>5</v>
      </c>
    </row>
    <row r="19" spans="2:22" x14ac:dyDescent="0.2">
      <c r="B19" s="35">
        <v>5</v>
      </c>
      <c r="C19" s="36" t="s">
        <v>316</v>
      </c>
      <c r="D19" s="51" t="s">
        <v>72</v>
      </c>
      <c r="E19" s="74" t="str">
        <f t="shared" ca="1" si="10"/>
        <v>11.5</v>
      </c>
      <c r="F19" s="74" t="str">
        <f t="shared" ca="1" si="11"/>
        <v>8.695</v>
      </c>
      <c r="G19" s="52">
        <f t="shared" ca="1" si="12"/>
        <v>8.2799999999999994</v>
      </c>
      <c r="H19" s="35">
        <f ca="1">mVlookup(C19,weaponCO,H$14,FALSE)*F19</f>
        <v>6.0865</v>
      </c>
      <c r="I19" s="35">
        <f ca="1">mVlookup(C19,weaponCO,I$14,FALSE)*1</f>
        <v>1</v>
      </c>
      <c r="J19" s="35">
        <f ca="1">mVlookup(C19,weaponCO,J$14,FALSE)*F19</f>
        <v>2.6084999999999998</v>
      </c>
      <c r="K19" s="45">
        <f ca="1">mVlookup(C19,weaponCO,K$14,FALSE)*1</f>
        <v>1.2</v>
      </c>
      <c r="L19" s="35">
        <f t="shared" ca="1" si="15"/>
        <v>8.2799999999999994</v>
      </c>
      <c r="M19" s="35">
        <f t="shared" ca="1" si="16"/>
        <v>3.9288887560987553</v>
      </c>
      <c r="N19" s="35">
        <f t="shared" ca="1" si="17"/>
        <v>1</v>
      </c>
      <c r="O19" s="35">
        <f t="shared" ca="1" si="18"/>
        <v>2.6084999999999998</v>
      </c>
      <c r="P19" s="35">
        <f t="shared" ca="1" si="19"/>
        <v>1</v>
      </c>
      <c r="Q19" s="35">
        <f t="shared" ca="1" si="20"/>
        <v>8.2799999999999994</v>
      </c>
      <c r="R19" s="35">
        <f t="shared" ca="1" si="21"/>
        <v>3.9288887560987553</v>
      </c>
      <c r="S19" s="35">
        <f t="shared" ca="1" si="25"/>
        <v>1</v>
      </c>
      <c r="T19" s="35">
        <f t="shared" ca="1" si="22"/>
        <v>2.6084999999999998</v>
      </c>
      <c r="U19" s="35">
        <f t="shared" ca="1" si="23"/>
        <v>1</v>
      </c>
      <c r="V19" s="27">
        <f t="shared" ca="1" si="24"/>
        <v>5</v>
      </c>
    </row>
    <row r="20" spans="2:22" x14ac:dyDescent="0.2">
      <c r="B20" s="35">
        <v>6</v>
      </c>
      <c r="C20" s="36" t="s">
        <v>304</v>
      </c>
      <c r="D20" s="51" t="s">
        <v>336</v>
      </c>
      <c r="E20" s="74" t="str">
        <f t="shared" ca="1" si="10"/>
        <v>12.5</v>
      </c>
      <c r="F20" s="74" t="str">
        <f t="shared" ca="1" si="11"/>
        <v>8</v>
      </c>
      <c r="G20" s="52">
        <f t="shared" ca="1" si="12"/>
        <v>11</v>
      </c>
      <c r="H20" s="35">
        <f ca="1">mVlookup(C20,weaponCO,H$14,FALSE)*F20</f>
        <v>1.6</v>
      </c>
      <c r="I20" s="35">
        <f ca="1">mVlookup(C20,weaponCO,I$14,FALSE)*1</f>
        <v>0.7</v>
      </c>
      <c r="J20" s="35">
        <f ca="1">mVlookup(C20,weaponCO,J$14,FALSE)*F20</f>
        <v>6.4</v>
      </c>
      <c r="K20" s="45">
        <f ca="1">mVlookup(C20,weaponCO,K$14,FALSE)*1</f>
        <v>0.9</v>
      </c>
      <c r="L20" s="35">
        <f t="shared" ca="1" si="15"/>
        <v>10.4</v>
      </c>
      <c r="M20" s="35">
        <f t="shared" ca="1" si="16"/>
        <v>1.6</v>
      </c>
      <c r="N20" s="35">
        <f t="shared" ca="1" si="17"/>
        <v>0.7</v>
      </c>
      <c r="O20" s="35">
        <f t="shared" ca="1" si="18"/>
        <v>3.9288887560987553</v>
      </c>
      <c r="P20" s="35">
        <f t="shared" ca="1" si="19"/>
        <v>0.9</v>
      </c>
      <c r="Q20" s="35">
        <f t="shared" ca="1" si="20"/>
        <v>10.4</v>
      </c>
      <c r="R20" s="35">
        <f t="shared" ca="1" si="21"/>
        <v>1.6</v>
      </c>
      <c r="S20" s="35">
        <f t="shared" ca="1" si="25"/>
        <v>0.7</v>
      </c>
      <c r="T20" s="35">
        <f t="shared" ca="1" si="22"/>
        <v>3.9288887560987553</v>
      </c>
      <c r="U20" s="35">
        <f t="shared" ca="1" si="23"/>
        <v>0.9</v>
      </c>
      <c r="V20" s="27">
        <f t="shared" ca="1" si="24"/>
        <v>5</v>
      </c>
    </row>
    <row r="21" spans="2:22" x14ac:dyDescent="0.2">
      <c r="B21" s="35">
        <v>7</v>
      </c>
      <c r="C21" s="36" t="s">
        <v>317</v>
      </c>
      <c r="D21" s="51" t="s">
        <v>337</v>
      </c>
      <c r="E21" s="74" t="str">
        <f t="shared" ca="1" si="10"/>
        <v>10</v>
      </c>
      <c r="F21" s="74" t="str">
        <f t="shared" ca="1" si="11"/>
        <v>10</v>
      </c>
      <c r="G21" s="52">
        <f t="shared" ca="1" si="12"/>
        <v>8.5</v>
      </c>
      <c r="H21" s="35">
        <f ca="1">mVlookup(C21,weaponCO,H$14,FALSE)*F21</f>
        <v>9</v>
      </c>
      <c r="I21" s="35">
        <f ca="1">mVlookup(C21,weaponCO,I$14,FALSE)*1</f>
        <v>1.2</v>
      </c>
      <c r="J21" s="35">
        <f ca="1">mVlookup(C21,weaponCO,J$14,FALSE)*F21</f>
        <v>1</v>
      </c>
      <c r="K21" s="45">
        <f ca="1">mVlookup(C21,weaponCO,K$14,FALSE)*1</f>
        <v>1.4</v>
      </c>
      <c r="L21" s="35">
        <f t="shared" ca="1" si="15"/>
        <v>8.5</v>
      </c>
      <c r="M21" s="35">
        <f t="shared" ca="1" si="16"/>
        <v>3.9288887560987553</v>
      </c>
      <c r="N21" s="35">
        <f t="shared" ca="1" si="17"/>
        <v>1</v>
      </c>
      <c r="O21" s="35">
        <f t="shared" ca="1" si="18"/>
        <v>1</v>
      </c>
      <c r="P21" s="35">
        <f t="shared" ca="1" si="19"/>
        <v>1</v>
      </c>
      <c r="Q21" s="35">
        <f t="shared" ca="1" si="20"/>
        <v>8.5</v>
      </c>
      <c r="R21" s="35">
        <f t="shared" ca="1" si="21"/>
        <v>3.9288887560987553</v>
      </c>
      <c r="S21" s="35">
        <f t="shared" ca="1" si="25"/>
        <v>1</v>
      </c>
      <c r="T21" s="35">
        <f t="shared" ca="1" si="22"/>
        <v>1</v>
      </c>
      <c r="U21" s="35">
        <f t="shared" ca="1" si="23"/>
        <v>1</v>
      </c>
      <c r="V21" s="27">
        <f t="shared" ca="1" si="24"/>
        <v>5</v>
      </c>
    </row>
    <row r="22" spans="2:22" x14ac:dyDescent="0.2">
      <c r="B22" s="35">
        <v>8</v>
      </c>
      <c r="C22" s="36" t="s">
        <v>318</v>
      </c>
      <c r="D22" s="51" t="s">
        <v>67</v>
      </c>
      <c r="E22" s="74" t="str">
        <f t="shared" ca="1" si="10"/>
        <v>16</v>
      </c>
      <c r="F22" s="74" t="str">
        <f t="shared" ca="1" si="11"/>
        <v>6.25</v>
      </c>
      <c r="G22" s="52">
        <f t="shared" ca="1" si="12"/>
        <v>11.2</v>
      </c>
      <c r="H22" s="35">
        <f ca="1">mVlookup(C22,weaponCO,H$14,FALSE)*F22</f>
        <v>1.25</v>
      </c>
      <c r="I22" s="35">
        <f ca="1">mVlookup(C22,weaponCO,I$14,FALSE)*1</f>
        <v>1.4</v>
      </c>
      <c r="J22" s="35">
        <f ca="1">mVlookup(C22,weaponCO,J$14,FALSE)*F22</f>
        <v>5</v>
      </c>
      <c r="K22" s="45">
        <f ca="1">mVlookup(C22,weaponCO,K$14,FALSE)*1</f>
        <v>1.4</v>
      </c>
      <c r="L22" s="35">
        <f t="shared" ca="1" si="15"/>
        <v>10.4</v>
      </c>
      <c r="M22" s="35">
        <f t="shared" ca="1" si="16"/>
        <v>1.25</v>
      </c>
      <c r="N22" s="35">
        <f t="shared" ca="1" si="17"/>
        <v>1</v>
      </c>
      <c r="O22" s="35">
        <f t="shared" ca="1" si="18"/>
        <v>3.9288887560987553</v>
      </c>
      <c r="P22" s="35">
        <f t="shared" ca="1" si="19"/>
        <v>1</v>
      </c>
      <c r="Q22" s="35">
        <f t="shared" ca="1" si="20"/>
        <v>10.4</v>
      </c>
      <c r="R22" s="35">
        <f t="shared" ca="1" si="21"/>
        <v>1.25</v>
      </c>
      <c r="S22" s="35">
        <f t="shared" ca="1" si="25"/>
        <v>1</v>
      </c>
      <c r="T22" s="35">
        <f t="shared" ca="1" si="22"/>
        <v>3.9288887560987553</v>
      </c>
      <c r="U22" s="35">
        <f t="shared" ca="1" si="23"/>
        <v>1</v>
      </c>
      <c r="V22" s="27">
        <f t="shared" ca="1" si="24"/>
        <v>5</v>
      </c>
    </row>
    <row r="23" spans="2:22" x14ac:dyDescent="0.2">
      <c r="B23" s="35">
        <v>9</v>
      </c>
      <c r="C23" s="36" t="s">
        <v>319</v>
      </c>
      <c r="D23" s="51" t="s">
        <v>338</v>
      </c>
      <c r="E23" s="74" t="str">
        <f t="shared" ca="1" si="10"/>
        <v>13.5</v>
      </c>
      <c r="F23" s="74" t="str">
        <f t="shared" ca="1" si="11"/>
        <v>7.407</v>
      </c>
      <c r="G23" s="52">
        <f t="shared" ca="1" si="12"/>
        <v>9.7199999999999989</v>
      </c>
      <c r="H23" s="35">
        <f ca="1">mVlookup(C23,weaponCO,H$14,FALSE)*F23</f>
        <v>2.9628000000000001</v>
      </c>
      <c r="I23" s="35">
        <f ca="1">mVlookup(C23,weaponCO,I$14,FALSE)*1</f>
        <v>0.8</v>
      </c>
      <c r="J23" s="35">
        <f ca="1">mVlookup(C23,weaponCO,J$14,FALSE)*F23</f>
        <v>4.4441999999999995</v>
      </c>
      <c r="K23" s="45">
        <f ca="1">mVlookup(C23,weaponCO,K$14,FALSE)*1</f>
        <v>1</v>
      </c>
      <c r="L23" s="35">
        <f t="shared" ca="1" si="15"/>
        <v>9.7199999999999989</v>
      </c>
      <c r="M23" s="35">
        <f t="shared" ca="1" si="16"/>
        <v>2.9628000000000001</v>
      </c>
      <c r="N23" s="35">
        <f t="shared" ca="1" si="17"/>
        <v>0.8</v>
      </c>
      <c r="O23" s="35">
        <f t="shared" ca="1" si="18"/>
        <v>3.9288887560987553</v>
      </c>
      <c r="P23" s="35">
        <f t="shared" ca="1" si="19"/>
        <v>1</v>
      </c>
      <c r="Q23" s="35">
        <f t="shared" ca="1" si="20"/>
        <v>9.7199999999999989</v>
      </c>
      <c r="R23" s="35">
        <f t="shared" ca="1" si="21"/>
        <v>2.9628000000000001</v>
      </c>
      <c r="S23" s="35">
        <f t="shared" ca="1" si="25"/>
        <v>0.8</v>
      </c>
      <c r="T23" s="35">
        <f t="shared" ca="1" si="22"/>
        <v>3.9288887560987553</v>
      </c>
      <c r="U23" s="35">
        <f t="shared" ca="1" si="23"/>
        <v>1</v>
      </c>
      <c r="V23" s="27">
        <f t="shared" ca="1" si="24"/>
        <v>5</v>
      </c>
    </row>
    <row r="24" spans="2:22" x14ac:dyDescent="0.2">
      <c r="B24" s="35">
        <v>10</v>
      </c>
      <c r="C24" s="36" t="s">
        <v>320</v>
      </c>
      <c r="D24" s="51" t="s">
        <v>72</v>
      </c>
      <c r="E24" s="74" t="str">
        <f t="shared" ca="1" si="10"/>
        <v>12</v>
      </c>
      <c r="F24" s="74" t="str">
        <f t="shared" ca="1" si="11"/>
        <v>8.333</v>
      </c>
      <c r="G24" s="52">
        <f t="shared" ca="1" si="12"/>
        <v>10.8</v>
      </c>
      <c r="H24" s="35">
        <f ca="1">mVlookup(C24,weaponCO,H$14,FALSE)*F24</f>
        <v>7.4997000000000007</v>
      </c>
      <c r="I24" s="35">
        <f ca="1">mVlookup(C24,weaponCO,I$14,FALSE)*1</f>
        <v>1.2</v>
      </c>
      <c r="J24" s="35">
        <f ca="1">mVlookup(C24,weaponCO,J$14,FALSE)*F24</f>
        <v>0.83330000000000004</v>
      </c>
      <c r="K24" s="45">
        <f ca="1">mVlookup(C24,weaponCO,K$14,FALSE)*1</f>
        <v>1.2</v>
      </c>
      <c r="L24" s="35">
        <f t="shared" ca="1" si="15"/>
        <v>10.4</v>
      </c>
      <c r="M24" s="35">
        <f t="shared" ca="1" si="16"/>
        <v>3.9288887560987553</v>
      </c>
      <c r="N24" s="35">
        <f t="shared" ca="1" si="17"/>
        <v>1</v>
      </c>
      <c r="O24" s="35">
        <f t="shared" ca="1" si="18"/>
        <v>0.83330000000000004</v>
      </c>
      <c r="P24" s="35">
        <f t="shared" ca="1" si="19"/>
        <v>1</v>
      </c>
      <c r="Q24" s="35">
        <f t="shared" ca="1" si="20"/>
        <v>10.4</v>
      </c>
      <c r="R24" s="35">
        <f t="shared" ca="1" si="21"/>
        <v>3.9288887560987553</v>
      </c>
      <c r="S24" s="35">
        <f t="shared" ca="1" si="25"/>
        <v>1</v>
      </c>
      <c r="T24" s="35">
        <f t="shared" ca="1" si="22"/>
        <v>0.83330000000000004</v>
      </c>
      <c r="U24" s="35">
        <f t="shared" ca="1" si="23"/>
        <v>1</v>
      </c>
      <c r="V24" s="27">
        <f t="shared" ca="1" si="24"/>
        <v>5</v>
      </c>
    </row>
    <row r="25" spans="2:22" x14ac:dyDescent="0.2">
      <c r="B25" s="35">
        <v>11</v>
      </c>
      <c r="C25" s="36" t="s">
        <v>321</v>
      </c>
      <c r="D25" s="51" t="s">
        <v>73</v>
      </c>
      <c r="E25" s="74" t="str">
        <f t="shared" ca="1" si="10"/>
        <v>10.5</v>
      </c>
      <c r="F25" s="74" t="str">
        <f t="shared" ca="1" si="11"/>
        <v>9.523</v>
      </c>
      <c r="G25" s="52">
        <f t="shared" ca="1" si="12"/>
        <v>9.3450000000000006</v>
      </c>
      <c r="H25" s="35">
        <f ca="1">mVlookup(C25,weaponCO,H$14,FALSE)*F25</f>
        <v>0.95230000000000004</v>
      </c>
      <c r="I25" s="35">
        <f ca="1">mVlookup(C25,weaponCO,I$14,FALSE)*1</f>
        <v>0.6</v>
      </c>
      <c r="J25" s="35">
        <f ca="1">mVlookup(C25,weaponCO,J$14,FALSE)*F25</f>
        <v>8.5707000000000004</v>
      </c>
      <c r="K25" s="45">
        <f ca="1">mVlookup(C25,weaponCO,K$14,FALSE)*1</f>
        <v>1</v>
      </c>
      <c r="L25" s="35">
        <f t="shared" ca="1" si="15"/>
        <v>9.3450000000000006</v>
      </c>
      <c r="M25" s="35">
        <f t="shared" ca="1" si="16"/>
        <v>0.95230000000000004</v>
      </c>
      <c r="N25" s="35">
        <f t="shared" ca="1" si="17"/>
        <v>0.6</v>
      </c>
      <c r="O25" s="35">
        <f t="shared" ca="1" si="18"/>
        <v>3.9288887560987553</v>
      </c>
      <c r="P25" s="35">
        <f t="shared" ca="1" si="19"/>
        <v>1</v>
      </c>
      <c r="Q25" s="35">
        <f t="shared" ca="1" si="20"/>
        <v>9.3450000000000006</v>
      </c>
      <c r="R25" s="35">
        <f t="shared" ca="1" si="21"/>
        <v>0.95230000000000004</v>
      </c>
      <c r="S25" s="35">
        <f t="shared" ca="1" si="25"/>
        <v>0.6</v>
      </c>
      <c r="T25" s="35">
        <f t="shared" ca="1" si="22"/>
        <v>3.9288887560987553</v>
      </c>
      <c r="U25" s="35">
        <f t="shared" ca="1" si="23"/>
        <v>1</v>
      </c>
      <c r="V25" s="27">
        <f t="shared" ca="1" si="24"/>
        <v>5</v>
      </c>
    </row>
    <row r="26" spans="2:22" x14ac:dyDescent="0.2">
      <c r="B26" s="35">
        <v>12</v>
      </c>
      <c r="C26" s="36" t="s">
        <v>322</v>
      </c>
      <c r="D26" s="51" t="s">
        <v>339</v>
      </c>
      <c r="E26" s="74" t="str">
        <f t="shared" ca="1" si="10"/>
        <v>14</v>
      </c>
      <c r="F26" s="74" t="str">
        <f t="shared" ca="1" si="11"/>
        <v>7.142</v>
      </c>
      <c r="G26" s="52">
        <f t="shared" ca="1" si="12"/>
        <v>9.66</v>
      </c>
      <c r="H26" s="35">
        <f ca="1">mVlookup(C26,weaponCO,H$14,FALSE)*F26</f>
        <v>5.7136000000000005</v>
      </c>
      <c r="I26" s="35">
        <f ca="1">mVlookup(C26,weaponCO,I$14,FALSE)*1</f>
        <v>1.3</v>
      </c>
      <c r="J26" s="35">
        <f ca="1">mVlookup(C26,weaponCO,J$14,FALSE)*F26</f>
        <v>1.4284000000000001</v>
      </c>
      <c r="K26" s="45">
        <f ca="1">mVlookup(C26,weaponCO,K$14,FALSE)*1</f>
        <v>1.1000000000000001</v>
      </c>
      <c r="L26" s="35">
        <f t="shared" ca="1" si="15"/>
        <v>9.66</v>
      </c>
      <c r="M26" s="35">
        <f t="shared" ca="1" si="16"/>
        <v>3.9288887560987553</v>
      </c>
      <c r="N26" s="35">
        <f t="shared" ca="1" si="17"/>
        <v>1</v>
      </c>
      <c r="O26" s="35">
        <f t="shared" ca="1" si="18"/>
        <v>1.4284000000000001</v>
      </c>
      <c r="P26" s="35">
        <f t="shared" ca="1" si="19"/>
        <v>1</v>
      </c>
      <c r="Q26" s="35">
        <f t="shared" ca="1" si="20"/>
        <v>9.66</v>
      </c>
      <c r="R26" s="35">
        <f t="shared" ca="1" si="21"/>
        <v>3.9288887560987553</v>
      </c>
      <c r="S26" s="35">
        <f t="shared" ca="1" si="25"/>
        <v>1</v>
      </c>
      <c r="T26" s="35">
        <f t="shared" ca="1" si="22"/>
        <v>1.4284000000000001</v>
      </c>
      <c r="U26" s="35">
        <f t="shared" ca="1" si="23"/>
        <v>1</v>
      </c>
      <c r="V26" s="27">
        <f t="shared" ca="1" si="24"/>
        <v>5</v>
      </c>
    </row>
    <row r="27" spans="2:22" ht="13.5" thickBot="1" x14ac:dyDescent="0.25">
      <c r="B27" s="35">
        <v>13</v>
      </c>
      <c r="C27" s="36" t="s">
        <v>323</v>
      </c>
      <c r="D27" s="51" t="s">
        <v>68</v>
      </c>
      <c r="E27" s="75" t="str">
        <f t="shared" ca="1" si="10"/>
        <v>15</v>
      </c>
      <c r="F27" s="75" t="str">
        <f t="shared" ca="1" si="11"/>
        <v>6.666</v>
      </c>
      <c r="G27" s="52">
        <f t="shared" ca="1" si="12"/>
        <v>12.75</v>
      </c>
      <c r="H27" s="35">
        <f ca="1">mVlookup(C27,weaponCO,H$14,FALSE)*F27</f>
        <v>5.9994000000000005</v>
      </c>
      <c r="I27" s="35">
        <f ca="1">mVlookup(C27,weaponCO,I$14,FALSE)*1</f>
        <v>1.1000000000000001</v>
      </c>
      <c r="J27" s="35">
        <f ca="1">mVlookup(C27,weaponCO,J$14,FALSE)*F27</f>
        <v>0.66660000000000008</v>
      </c>
      <c r="K27" s="45">
        <f ca="1">mVlookup(C27,weaponCO,K$14,FALSE)*1</f>
        <v>1.1000000000000001</v>
      </c>
      <c r="L27" s="35">
        <f t="shared" ca="1" si="15"/>
        <v>10.4</v>
      </c>
      <c r="M27" s="35">
        <f t="shared" ca="1" si="16"/>
        <v>3.9288887560987553</v>
      </c>
      <c r="N27" s="35">
        <f t="shared" ca="1" si="17"/>
        <v>1</v>
      </c>
      <c r="O27" s="35">
        <f t="shared" ca="1" si="18"/>
        <v>0.66660000000000008</v>
      </c>
      <c r="P27" s="35">
        <f t="shared" ca="1" si="19"/>
        <v>1</v>
      </c>
      <c r="Q27" s="35">
        <f t="shared" ca="1" si="20"/>
        <v>10.4</v>
      </c>
      <c r="R27" s="35">
        <f t="shared" ca="1" si="21"/>
        <v>3.9288887560987553</v>
      </c>
      <c r="S27" s="35">
        <f t="shared" ca="1" si="25"/>
        <v>1</v>
      </c>
      <c r="T27" s="35">
        <f t="shared" ca="1" si="22"/>
        <v>0.66660000000000008</v>
      </c>
      <c r="U27" s="35">
        <f t="shared" ca="1" si="23"/>
        <v>1</v>
      </c>
      <c r="V27" s="27">
        <f t="shared" ca="1" si="24"/>
        <v>5</v>
      </c>
    </row>
    <row r="36" spans="7:7" x14ac:dyDescent="0.2">
      <c r="G36" s="27" t="s">
        <v>447</v>
      </c>
    </row>
    <row r="37" spans="7:7" x14ac:dyDescent="0.2">
      <c r="G37" s="27" t="s">
        <v>411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T57"/>
  <sheetViews>
    <sheetView topLeftCell="A37" workbookViewId="0">
      <selection activeCell="K61" sqref="K61"/>
    </sheetView>
  </sheetViews>
  <sheetFormatPr defaultRowHeight="12.75" x14ac:dyDescent="0.15"/>
  <cols>
    <col min="1" max="16" width="9" style="1"/>
    <col min="17" max="17" width="11.125" style="1" customWidth="1"/>
    <col min="18" max="16384" width="9" style="1"/>
  </cols>
  <sheetData>
    <row r="1" spans="5:8" x14ac:dyDescent="0.15">
      <c r="E1" s="2" t="s">
        <v>486</v>
      </c>
    </row>
    <row r="2" spans="5:8" x14ac:dyDescent="0.15">
      <c r="E2" s="2" t="s">
        <v>496</v>
      </c>
    </row>
    <row r="3" spans="5:8" x14ac:dyDescent="0.15">
      <c r="E3" s="2" t="s">
        <v>497</v>
      </c>
      <c r="H3" s="16"/>
    </row>
    <row r="4" spans="5:8" x14ac:dyDescent="0.15">
      <c r="E4" s="2" t="s">
        <v>487</v>
      </c>
    </row>
    <row r="5" spans="5:8" x14ac:dyDescent="0.15">
      <c r="E5" s="2" t="s">
        <v>488</v>
      </c>
    </row>
    <row r="6" spans="5:8" x14ac:dyDescent="0.15">
      <c r="E6" s="2" t="s">
        <v>489</v>
      </c>
    </row>
    <row r="7" spans="5:8" x14ac:dyDescent="0.15">
      <c r="E7" s="2" t="s">
        <v>490</v>
      </c>
    </row>
    <row r="8" spans="5:8" x14ac:dyDescent="0.15">
      <c r="E8" s="2" t="s">
        <v>491</v>
      </c>
    </row>
    <row r="9" spans="5:8" x14ac:dyDescent="0.15">
      <c r="E9" s="2" t="s">
        <v>492</v>
      </c>
    </row>
    <row r="10" spans="5:8" x14ac:dyDescent="0.15">
      <c r="E10" s="2" t="s">
        <v>493</v>
      </c>
    </row>
    <row r="11" spans="5:8" x14ac:dyDescent="0.15">
      <c r="E11" s="2" t="s">
        <v>498</v>
      </c>
    </row>
    <row r="12" spans="5:8" x14ac:dyDescent="0.15">
      <c r="E12" s="2" t="s">
        <v>494</v>
      </c>
    </row>
    <row r="13" spans="5:8" x14ac:dyDescent="0.15">
      <c r="E13" s="2" t="s">
        <v>495</v>
      </c>
    </row>
    <row r="17" spans="4:20" x14ac:dyDescent="0.15">
      <c r="E17" s="39" t="s">
        <v>520</v>
      </c>
      <c r="F17" s="39" t="s">
        <v>499</v>
      </c>
      <c r="G17" s="39" t="s">
        <v>524</v>
      </c>
      <c r="H17" s="39" t="s">
        <v>500</v>
      </c>
      <c r="I17" s="39" t="s">
        <v>501</v>
      </c>
      <c r="J17" s="39" t="s">
        <v>502</v>
      </c>
      <c r="K17" s="39" t="s">
        <v>503</v>
      </c>
      <c r="L17" s="39" t="s">
        <v>432</v>
      </c>
      <c r="M17" s="39" t="s">
        <v>504</v>
      </c>
      <c r="N17" s="39" t="s">
        <v>505</v>
      </c>
      <c r="O17" s="39" t="s">
        <v>506</v>
      </c>
      <c r="P17" s="39" t="s">
        <v>431</v>
      </c>
      <c r="Q17" s="39" t="s">
        <v>507</v>
      </c>
      <c r="R17" s="39" t="s">
        <v>508</v>
      </c>
      <c r="S17" s="39" t="s">
        <v>509</v>
      </c>
      <c r="T17" s="39" t="s">
        <v>510</v>
      </c>
    </row>
    <row r="18" spans="4:20" x14ac:dyDescent="0.15">
      <c r="D18" s="16" t="s">
        <v>511</v>
      </c>
      <c r="E18" s="2">
        <v>1</v>
      </c>
      <c r="F18" s="37" t="s">
        <v>523</v>
      </c>
      <c r="G18" s="37" t="s">
        <v>523</v>
      </c>
      <c r="H18" s="37" t="s">
        <v>523</v>
      </c>
      <c r="I18" s="37" t="s">
        <v>523</v>
      </c>
      <c r="J18" s="37" t="s">
        <v>523</v>
      </c>
      <c r="K18" s="37" t="s">
        <v>523</v>
      </c>
      <c r="L18" s="37" t="s">
        <v>523</v>
      </c>
      <c r="M18" s="37" t="s">
        <v>523</v>
      </c>
      <c r="N18" s="37" t="s">
        <v>523</v>
      </c>
      <c r="O18" s="37" t="s">
        <v>523</v>
      </c>
      <c r="P18" s="37" t="s">
        <v>523</v>
      </c>
      <c r="Q18" s="37" t="s">
        <v>523</v>
      </c>
      <c r="R18" s="37" t="s">
        <v>523</v>
      </c>
      <c r="S18" s="37" t="s">
        <v>523</v>
      </c>
      <c r="T18" s="37" t="s">
        <v>523</v>
      </c>
    </row>
    <row r="19" spans="4:20" x14ac:dyDescent="0.15">
      <c r="D19" s="16" t="s">
        <v>512</v>
      </c>
      <c r="E19" s="2">
        <v>2</v>
      </c>
      <c r="F19" s="37" t="s">
        <v>526</v>
      </c>
      <c r="G19" s="37" t="s">
        <v>526</v>
      </c>
      <c r="H19" s="37" t="s">
        <v>526</v>
      </c>
      <c r="I19" s="37" t="s">
        <v>526</v>
      </c>
      <c r="J19" s="37" t="s">
        <v>526</v>
      </c>
      <c r="K19" s="37" t="s">
        <v>526</v>
      </c>
      <c r="L19" s="37" t="s">
        <v>526</v>
      </c>
      <c r="M19" s="37" t="s">
        <v>526</v>
      </c>
      <c r="N19" s="37" t="s">
        <v>526</v>
      </c>
      <c r="O19" s="37" t="s">
        <v>526</v>
      </c>
      <c r="P19" s="37" t="s">
        <v>526</v>
      </c>
      <c r="Q19" s="37" t="s">
        <v>526</v>
      </c>
      <c r="R19" s="37" t="s">
        <v>526</v>
      </c>
      <c r="S19" s="37" t="s">
        <v>526</v>
      </c>
      <c r="T19" s="37" t="s">
        <v>526</v>
      </c>
    </row>
    <row r="20" spans="4:20" x14ac:dyDescent="0.15">
      <c r="D20" s="16" t="s">
        <v>513</v>
      </c>
      <c r="E20" s="2">
        <v>3</v>
      </c>
      <c r="F20" s="37" t="s">
        <v>528</v>
      </c>
      <c r="G20" s="37" t="s">
        <v>528</v>
      </c>
      <c r="H20" s="37" t="s">
        <v>528</v>
      </c>
      <c r="I20" s="37" t="s">
        <v>528</v>
      </c>
      <c r="J20" s="37" t="s">
        <v>528</v>
      </c>
      <c r="K20" s="37" t="s">
        <v>528</v>
      </c>
      <c r="L20" s="37" t="s">
        <v>528</v>
      </c>
      <c r="M20" s="37" t="s">
        <v>528</v>
      </c>
      <c r="N20" s="37" t="s">
        <v>528</v>
      </c>
      <c r="O20" s="37" t="s">
        <v>528</v>
      </c>
      <c r="P20" s="37" t="s">
        <v>528</v>
      </c>
      <c r="Q20" s="37" t="s">
        <v>528</v>
      </c>
      <c r="R20" s="37" t="s">
        <v>528</v>
      </c>
      <c r="S20" s="37" t="s">
        <v>528</v>
      </c>
      <c r="T20" s="37" t="s">
        <v>528</v>
      </c>
    </row>
    <row r="21" spans="4:20" x14ac:dyDescent="0.15">
      <c r="D21" s="16" t="s">
        <v>514</v>
      </c>
      <c r="E21" s="2">
        <v>4</v>
      </c>
      <c r="F21" s="37" t="s">
        <v>529</v>
      </c>
      <c r="G21" s="37" t="s">
        <v>529</v>
      </c>
      <c r="H21" s="37" t="s">
        <v>529</v>
      </c>
      <c r="I21" s="37" t="s">
        <v>529</v>
      </c>
      <c r="J21" s="37" t="s">
        <v>529</v>
      </c>
      <c r="K21" s="37" t="s">
        <v>529</v>
      </c>
      <c r="L21" s="37" t="s">
        <v>529</v>
      </c>
      <c r="M21" s="37" t="s">
        <v>529</v>
      </c>
      <c r="N21" s="37" t="s">
        <v>529</v>
      </c>
      <c r="O21" s="37" t="s">
        <v>529</v>
      </c>
      <c r="P21" s="37" t="s">
        <v>529</v>
      </c>
      <c r="Q21" s="37" t="s">
        <v>529</v>
      </c>
      <c r="R21" s="37" t="s">
        <v>529</v>
      </c>
      <c r="S21" s="37" t="s">
        <v>529</v>
      </c>
      <c r="T21" s="37" t="s">
        <v>529</v>
      </c>
    </row>
    <row r="22" spans="4:20" x14ac:dyDescent="0.15">
      <c r="D22" s="16" t="s">
        <v>515</v>
      </c>
      <c r="E22" s="2">
        <v>5</v>
      </c>
      <c r="F22" s="37" t="s">
        <v>531</v>
      </c>
      <c r="G22" s="37" t="s">
        <v>531</v>
      </c>
      <c r="H22" s="37" t="s">
        <v>531</v>
      </c>
      <c r="I22" s="37" t="s">
        <v>531</v>
      </c>
      <c r="J22" s="37" t="s">
        <v>531</v>
      </c>
      <c r="K22" s="37" t="s">
        <v>531</v>
      </c>
      <c r="L22" s="37" t="s">
        <v>531</v>
      </c>
      <c r="M22" s="37" t="s">
        <v>531</v>
      </c>
      <c r="N22" s="37" t="s">
        <v>531</v>
      </c>
      <c r="O22" s="37" t="s">
        <v>531</v>
      </c>
      <c r="P22" s="37" t="s">
        <v>531</v>
      </c>
      <c r="Q22" s="37" t="s">
        <v>531</v>
      </c>
      <c r="R22" s="37" t="s">
        <v>531</v>
      </c>
      <c r="S22" s="37" t="s">
        <v>531</v>
      </c>
      <c r="T22" s="37" t="s">
        <v>531</v>
      </c>
    </row>
    <row r="23" spans="4:20" x14ac:dyDescent="0.15">
      <c r="D23" s="16" t="s">
        <v>516</v>
      </c>
      <c r="E23" s="2">
        <v>6</v>
      </c>
      <c r="F23" s="37" t="s">
        <v>532</v>
      </c>
      <c r="G23" s="37" t="s">
        <v>532</v>
      </c>
      <c r="H23" s="37" t="s">
        <v>532</v>
      </c>
      <c r="I23" s="37" t="s">
        <v>532</v>
      </c>
      <c r="J23" s="37" t="s">
        <v>532</v>
      </c>
      <c r="K23" s="37" t="s">
        <v>532</v>
      </c>
      <c r="L23" s="37" t="s">
        <v>532</v>
      </c>
      <c r="M23" s="37" t="s">
        <v>532</v>
      </c>
      <c r="N23" s="37" t="s">
        <v>532</v>
      </c>
      <c r="O23" s="37" t="s">
        <v>532</v>
      </c>
      <c r="P23" s="37" t="s">
        <v>532</v>
      </c>
      <c r="Q23" s="37" t="s">
        <v>532</v>
      </c>
      <c r="R23" s="37" t="s">
        <v>532</v>
      </c>
      <c r="S23" s="37" t="s">
        <v>532</v>
      </c>
      <c r="T23" s="37" t="s">
        <v>532</v>
      </c>
    </row>
    <row r="24" spans="4:20" x14ac:dyDescent="0.15">
      <c r="D24" s="16" t="s">
        <v>517</v>
      </c>
      <c r="E24" s="2">
        <v>7</v>
      </c>
      <c r="F24" s="37" t="s">
        <v>522</v>
      </c>
      <c r="G24" s="37" t="s">
        <v>522</v>
      </c>
      <c r="H24" s="37" t="s">
        <v>522</v>
      </c>
      <c r="I24" s="37" t="s">
        <v>522</v>
      </c>
      <c r="J24" s="37" t="s">
        <v>522</v>
      </c>
      <c r="K24" s="37" t="s">
        <v>522</v>
      </c>
      <c r="L24" s="37" t="s">
        <v>522</v>
      </c>
      <c r="M24" s="37" t="s">
        <v>522</v>
      </c>
      <c r="N24" s="37" t="s">
        <v>522</v>
      </c>
      <c r="O24" s="37" t="s">
        <v>522</v>
      </c>
      <c r="P24" s="37" t="s">
        <v>522</v>
      </c>
      <c r="Q24" s="37" t="s">
        <v>522</v>
      </c>
      <c r="R24" s="37" t="s">
        <v>522</v>
      </c>
      <c r="S24" s="37" t="s">
        <v>522</v>
      </c>
      <c r="T24" s="37" t="s">
        <v>522</v>
      </c>
    </row>
    <row r="25" spans="4:20" x14ac:dyDescent="0.15">
      <c r="D25" s="16" t="s">
        <v>518</v>
      </c>
      <c r="E25" s="2">
        <v>8</v>
      </c>
      <c r="F25" s="37" t="s">
        <v>533</v>
      </c>
      <c r="G25" s="37" t="s">
        <v>533</v>
      </c>
      <c r="H25" s="37" t="s">
        <v>533</v>
      </c>
      <c r="I25" s="37" t="s">
        <v>533</v>
      </c>
      <c r="J25" s="37" t="s">
        <v>533</v>
      </c>
      <c r="K25" s="37" t="s">
        <v>533</v>
      </c>
      <c r="L25" s="37" t="s">
        <v>533</v>
      </c>
      <c r="M25" s="37" t="s">
        <v>533</v>
      </c>
      <c r="N25" s="37" t="s">
        <v>533</v>
      </c>
      <c r="O25" s="37" t="s">
        <v>533</v>
      </c>
      <c r="P25" s="37" t="s">
        <v>533</v>
      </c>
      <c r="Q25" s="37" t="s">
        <v>533</v>
      </c>
      <c r="R25" s="37" t="s">
        <v>533</v>
      </c>
      <c r="S25" s="37" t="s">
        <v>533</v>
      </c>
      <c r="T25" s="37" t="s">
        <v>533</v>
      </c>
    </row>
    <row r="26" spans="4:20" x14ac:dyDescent="0.15">
      <c r="D26" s="16" t="s">
        <v>519</v>
      </c>
      <c r="E26" s="2">
        <v>9</v>
      </c>
      <c r="F26" s="37" t="s">
        <v>534</v>
      </c>
      <c r="G26" s="37" t="s">
        <v>534</v>
      </c>
      <c r="H26" s="37" t="s">
        <v>534</v>
      </c>
      <c r="I26" s="37" t="s">
        <v>534</v>
      </c>
      <c r="J26" s="37" t="s">
        <v>534</v>
      </c>
      <c r="K26" s="37" t="s">
        <v>534</v>
      </c>
      <c r="L26" s="37" t="s">
        <v>534</v>
      </c>
      <c r="M26" s="37" t="s">
        <v>534</v>
      </c>
      <c r="N26" s="37" t="s">
        <v>534</v>
      </c>
      <c r="O26" s="37" t="s">
        <v>534</v>
      </c>
      <c r="P26" s="37" t="s">
        <v>534</v>
      </c>
      <c r="Q26" s="37" t="s">
        <v>534</v>
      </c>
      <c r="R26" s="37" t="s">
        <v>534</v>
      </c>
      <c r="S26" s="37" t="s">
        <v>534</v>
      </c>
      <c r="T26" s="37" t="s">
        <v>534</v>
      </c>
    </row>
    <row r="30" spans="4:20" x14ac:dyDescent="0.15">
      <c r="E30" s="39" t="s">
        <v>542</v>
      </c>
      <c r="F30" s="39" t="s">
        <v>541</v>
      </c>
      <c r="G30" s="39" t="s">
        <v>524</v>
      </c>
      <c r="H30" s="39" t="s">
        <v>500</v>
      </c>
      <c r="I30" s="39" t="s">
        <v>501</v>
      </c>
      <c r="J30" s="39" t="s">
        <v>502</v>
      </c>
      <c r="K30" s="39" t="s">
        <v>503</v>
      </c>
      <c r="L30" s="39" t="s">
        <v>432</v>
      </c>
      <c r="M30" s="39" t="s">
        <v>504</v>
      </c>
      <c r="N30" s="39" t="s">
        <v>505</v>
      </c>
      <c r="O30" s="39" t="s">
        <v>506</v>
      </c>
      <c r="P30" s="39" t="s">
        <v>431</v>
      </c>
      <c r="Q30" s="39" t="s">
        <v>507</v>
      </c>
      <c r="R30" s="39" t="s">
        <v>508</v>
      </c>
      <c r="S30" s="39" t="s">
        <v>509</v>
      </c>
      <c r="T30" s="39" t="s">
        <v>510</v>
      </c>
    </row>
    <row r="31" spans="4:20" x14ac:dyDescent="0.15">
      <c r="D31" s="16" t="s">
        <v>538</v>
      </c>
      <c r="E31" s="2">
        <v>1</v>
      </c>
      <c r="F31" s="37" t="str">
        <f>$D31&amp;F$30</f>
        <v>破旧的锤</v>
      </c>
      <c r="G31" s="37" t="str">
        <f t="shared" ref="G31:T39" si="0">$D31&amp;G$30</f>
        <v>破旧的刀</v>
      </c>
      <c r="H31" s="37" t="str">
        <f t="shared" si="0"/>
        <v>破旧的拳套</v>
      </c>
      <c r="I31" s="37" t="str">
        <f t="shared" si="0"/>
        <v>破旧的枪</v>
      </c>
      <c r="J31" s="37" t="str">
        <f t="shared" si="0"/>
        <v>破旧的镰刀</v>
      </c>
      <c r="K31" s="37" t="str">
        <f t="shared" si="0"/>
        <v>破旧的法杖</v>
      </c>
      <c r="L31" s="37" t="str">
        <f t="shared" si="0"/>
        <v>破旧的弓</v>
      </c>
      <c r="M31" s="37" t="str">
        <f t="shared" si="0"/>
        <v>破旧的烟斗</v>
      </c>
      <c r="N31" s="37" t="str">
        <f t="shared" si="0"/>
        <v>破旧的扇子</v>
      </c>
      <c r="O31" s="37" t="str">
        <f t="shared" si="0"/>
        <v>破旧的牙齿</v>
      </c>
      <c r="P31" s="37" t="str">
        <f t="shared" si="0"/>
        <v>破旧的球</v>
      </c>
      <c r="Q31" s="37" t="str">
        <f t="shared" si="0"/>
        <v>破旧的爪</v>
      </c>
      <c r="R31" s="37" t="str">
        <f t="shared" si="0"/>
        <v>破旧的剑</v>
      </c>
      <c r="S31" s="37" t="str">
        <f t="shared" si="0"/>
        <v>破旧的戒指</v>
      </c>
      <c r="T31" s="37" t="str">
        <f t="shared" si="0"/>
        <v>破旧的项链</v>
      </c>
    </row>
    <row r="32" spans="4:20" x14ac:dyDescent="0.15">
      <c r="D32" s="16" t="s">
        <v>539</v>
      </c>
      <c r="E32" s="2">
        <v>2</v>
      </c>
      <c r="F32" s="37" t="str">
        <f t="shared" ref="F32:F39" si="1">$D32&amp;F$30</f>
        <v>普通的锤</v>
      </c>
      <c r="G32" s="37" t="str">
        <f t="shared" si="0"/>
        <v>普通的刀</v>
      </c>
      <c r="H32" s="37" t="str">
        <f t="shared" si="0"/>
        <v>普通的拳套</v>
      </c>
      <c r="I32" s="37" t="str">
        <f t="shared" si="0"/>
        <v>普通的枪</v>
      </c>
      <c r="J32" s="37" t="str">
        <f t="shared" si="0"/>
        <v>普通的镰刀</v>
      </c>
      <c r="K32" s="37" t="str">
        <f t="shared" si="0"/>
        <v>普通的法杖</v>
      </c>
      <c r="L32" s="37" t="str">
        <f t="shared" si="0"/>
        <v>普通的弓</v>
      </c>
      <c r="M32" s="37" t="str">
        <f t="shared" si="0"/>
        <v>普通的烟斗</v>
      </c>
      <c r="N32" s="37" t="str">
        <f t="shared" si="0"/>
        <v>普通的扇子</v>
      </c>
      <c r="O32" s="37" t="str">
        <f t="shared" si="0"/>
        <v>普通的牙齿</v>
      </c>
      <c r="P32" s="37" t="str">
        <f t="shared" si="0"/>
        <v>普通的球</v>
      </c>
      <c r="Q32" s="37" t="str">
        <f t="shared" si="0"/>
        <v>普通的爪</v>
      </c>
      <c r="R32" s="37" t="str">
        <f t="shared" si="0"/>
        <v>普通的剑</v>
      </c>
      <c r="S32" s="37" t="str">
        <f t="shared" si="0"/>
        <v>普通的戒指</v>
      </c>
      <c r="T32" s="37" t="str">
        <f t="shared" si="0"/>
        <v>普通的项链</v>
      </c>
    </row>
    <row r="33" spans="4:20" x14ac:dyDescent="0.15">
      <c r="D33" s="16" t="s">
        <v>540</v>
      </c>
      <c r="E33" s="2">
        <v>3</v>
      </c>
      <c r="F33" s="37" t="str">
        <f t="shared" si="1"/>
        <v>初级的锤</v>
      </c>
      <c r="G33" s="37" t="str">
        <f t="shared" si="0"/>
        <v>初级的刀</v>
      </c>
      <c r="H33" s="37" t="str">
        <f t="shared" si="0"/>
        <v>初级的拳套</v>
      </c>
      <c r="I33" s="37" t="str">
        <f t="shared" si="0"/>
        <v>初级的枪</v>
      </c>
      <c r="J33" s="37" t="str">
        <f t="shared" si="0"/>
        <v>初级的镰刀</v>
      </c>
      <c r="K33" s="37" t="str">
        <f t="shared" si="0"/>
        <v>初级的法杖</v>
      </c>
      <c r="L33" s="37" t="str">
        <f t="shared" si="0"/>
        <v>初级的弓</v>
      </c>
      <c r="M33" s="37" t="str">
        <f t="shared" si="0"/>
        <v>初级的烟斗</v>
      </c>
      <c r="N33" s="37" t="str">
        <f t="shared" si="0"/>
        <v>初级的扇子</v>
      </c>
      <c r="O33" s="37" t="str">
        <f t="shared" si="0"/>
        <v>初级的牙齿</v>
      </c>
      <c r="P33" s="37" t="str">
        <f t="shared" si="0"/>
        <v>初级的球</v>
      </c>
      <c r="Q33" s="37" t="str">
        <f t="shared" si="0"/>
        <v>初级的爪</v>
      </c>
      <c r="R33" s="37" t="str">
        <f t="shared" si="0"/>
        <v>初级的剑</v>
      </c>
      <c r="S33" s="37" t="str">
        <f t="shared" si="0"/>
        <v>初级的戒指</v>
      </c>
      <c r="T33" s="37" t="str">
        <f t="shared" si="0"/>
        <v>初级的项链</v>
      </c>
    </row>
    <row r="34" spans="4:20" x14ac:dyDescent="0.15">
      <c r="D34" s="1" t="s">
        <v>527</v>
      </c>
      <c r="E34" s="2">
        <v>4</v>
      </c>
      <c r="F34" s="37" t="str">
        <f t="shared" si="1"/>
        <v>水晶锤</v>
      </c>
      <c r="G34" s="37" t="str">
        <f t="shared" si="0"/>
        <v>水晶刀</v>
      </c>
      <c r="H34" s="37" t="str">
        <f t="shared" si="0"/>
        <v>水晶拳套</v>
      </c>
      <c r="I34" s="37" t="str">
        <f t="shared" si="0"/>
        <v>水晶枪</v>
      </c>
      <c r="J34" s="37" t="str">
        <f t="shared" si="0"/>
        <v>水晶镰刀</v>
      </c>
      <c r="K34" s="37" t="str">
        <f t="shared" si="0"/>
        <v>水晶法杖</v>
      </c>
      <c r="L34" s="37" t="str">
        <f t="shared" si="0"/>
        <v>水晶弓</v>
      </c>
      <c r="M34" s="37" t="str">
        <f t="shared" si="0"/>
        <v>水晶烟斗</v>
      </c>
      <c r="N34" s="37" t="str">
        <f t="shared" si="0"/>
        <v>水晶扇子</v>
      </c>
      <c r="O34" s="37" t="str">
        <f t="shared" si="0"/>
        <v>水晶牙齿</v>
      </c>
      <c r="P34" s="37" t="str">
        <f t="shared" si="0"/>
        <v>水晶球</v>
      </c>
      <c r="Q34" s="37" t="str">
        <f t="shared" si="0"/>
        <v>水晶爪</v>
      </c>
      <c r="R34" s="37" t="str">
        <f t="shared" si="0"/>
        <v>水晶剑</v>
      </c>
      <c r="S34" s="37" t="str">
        <f t="shared" si="0"/>
        <v>水晶戒指</v>
      </c>
      <c r="T34" s="37" t="str">
        <f t="shared" si="0"/>
        <v>水晶项链</v>
      </c>
    </row>
    <row r="35" spans="4:20" x14ac:dyDescent="0.15">
      <c r="D35" s="1" t="s">
        <v>535</v>
      </c>
      <c r="E35" s="2">
        <v>5</v>
      </c>
      <c r="F35" s="37" t="str">
        <f t="shared" si="1"/>
        <v>青铜锤</v>
      </c>
      <c r="G35" s="37" t="str">
        <f t="shared" si="0"/>
        <v>青铜刀</v>
      </c>
      <c r="H35" s="37" t="str">
        <f t="shared" si="0"/>
        <v>青铜拳套</v>
      </c>
      <c r="I35" s="37" t="str">
        <f t="shared" si="0"/>
        <v>青铜枪</v>
      </c>
      <c r="J35" s="37" t="str">
        <f t="shared" si="0"/>
        <v>青铜镰刀</v>
      </c>
      <c r="K35" s="37" t="str">
        <f t="shared" si="0"/>
        <v>青铜法杖</v>
      </c>
      <c r="L35" s="37" t="str">
        <f t="shared" si="0"/>
        <v>青铜弓</v>
      </c>
      <c r="M35" s="37" t="str">
        <f t="shared" si="0"/>
        <v>青铜烟斗</v>
      </c>
      <c r="N35" s="37" t="str">
        <f t="shared" si="0"/>
        <v>青铜扇子</v>
      </c>
      <c r="O35" s="37" t="str">
        <f t="shared" si="0"/>
        <v>青铜牙齿</v>
      </c>
      <c r="P35" s="37" t="str">
        <f t="shared" si="0"/>
        <v>青铜球</v>
      </c>
      <c r="Q35" s="37" t="str">
        <f t="shared" si="0"/>
        <v>青铜爪</v>
      </c>
      <c r="R35" s="37" t="str">
        <f t="shared" si="0"/>
        <v>青铜剑</v>
      </c>
      <c r="S35" s="37" t="str">
        <f t="shared" si="0"/>
        <v>青铜戒指</v>
      </c>
      <c r="T35" s="37" t="str">
        <f t="shared" si="0"/>
        <v>青铜项链</v>
      </c>
    </row>
    <row r="36" spans="4:20" x14ac:dyDescent="0.15">
      <c r="D36" s="1" t="s">
        <v>525</v>
      </c>
      <c r="E36" s="2">
        <v>6</v>
      </c>
      <c r="F36" s="37" t="str">
        <f t="shared" si="1"/>
        <v>玄铁锤</v>
      </c>
      <c r="G36" s="37" t="str">
        <f t="shared" si="0"/>
        <v>玄铁刀</v>
      </c>
      <c r="H36" s="37" t="str">
        <f t="shared" si="0"/>
        <v>玄铁拳套</v>
      </c>
      <c r="I36" s="37" t="str">
        <f t="shared" si="0"/>
        <v>玄铁枪</v>
      </c>
      <c r="J36" s="37" t="str">
        <f t="shared" si="0"/>
        <v>玄铁镰刀</v>
      </c>
      <c r="K36" s="37" t="str">
        <f t="shared" si="0"/>
        <v>玄铁法杖</v>
      </c>
      <c r="L36" s="37" t="str">
        <f t="shared" si="0"/>
        <v>玄铁弓</v>
      </c>
      <c r="M36" s="37" t="str">
        <f t="shared" si="0"/>
        <v>玄铁烟斗</v>
      </c>
      <c r="N36" s="37" t="str">
        <f t="shared" si="0"/>
        <v>玄铁扇子</v>
      </c>
      <c r="O36" s="37" t="str">
        <f t="shared" si="0"/>
        <v>玄铁牙齿</v>
      </c>
      <c r="P36" s="37" t="str">
        <f t="shared" si="0"/>
        <v>玄铁球</v>
      </c>
      <c r="Q36" s="37" t="str">
        <f t="shared" si="0"/>
        <v>玄铁爪</v>
      </c>
      <c r="R36" s="37" t="str">
        <f t="shared" si="0"/>
        <v>玄铁剑</v>
      </c>
      <c r="S36" s="37" t="str">
        <f t="shared" si="0"/>
        <v>玄铁戒指</v>
      </c>
      <c r="T36" s="37" t="str">
        <f t="shared" si="0"/>
        <v>玄铁项链</v>
      </c>
    </row>
    <row r="37" spans="4:20" x14ac:dyDescent="0.15">
      <c r="D37" s="1" t="s">
        <v>530</v>
      </c>
      <c r="E37" s="2">
        <v>7</v>
      </c>
      <c r="F37" s="37" t="str">
        <f t="shared" si="1"/>
        <v>白银锤</v>
      </c>
      <c r="G37" s="37" t="str">
        <f t="shared" si="0"/>
        <v>白银刀</v>
      </c>
      <c r="H37" s="37" t="str">
        <f t="shared" si="0"/>
        <v>白银拳套</v>
      </c>
      <c r="I37" s="37" t="str">
        <f t="shared" si="0"/>
        <v>白银枪</v>
      </c>
      <c r="J37" s="37" t="str">
        <f t="shared" si="0"/>
        <v>白银镰刀</v>
      </c>
      <c r="K37" s="37" t="str">
        <f t="shared" si="0"/>
        <v>白银法杖</v>
      </c>
      <c r="L37" s="37" t="str">
        <f t="shared" si="0"/>
        <v>白银弓</v>
      </c>
      <c r="M37" s="37" t="str">
        <f t="shared" si="0"/>
        <v>白银烟斗</v>
      </c>
      <c r="N37" s="37" t="str">
        <f t="shared" si="0"/>
        <v>白银扇子</v>
      </c>
      <c r="O37" s="37" t="str">
        <f t="shared" si="0"/>
        <v>白银牙齿</v>
      </c>
      <c r="P37" s="37" t="str">
        <f t="shared" si="0"/>
        <v>白银球</v>
      </c>
      <c r="Q37" s="37" t="str">
        <f t="shared" si="0"/>
        <v>白银爪</v>
      </c>
      <c r="R37" s="37" t="str">
        <f t="shared" si="0"/>
        <v>白银剑</v>
      </c>
      <c r="S37" s="37" t="str">
        <f t="shared" si="0"/>
        <v>白银戒指</v>
      </c>
      <c r="T37" s="37" t="str">
        <f t="shared" si="0"/>
        <v>白银项链</v>
      </c>
    </row>
    <row r="38" spans="4:20" x14ac:dyDescent="0.15">
      <c r="D38" s="1" t="s">
        <v>536</v>
      </c>
      <c r="E38" s="2">
        <v>8</v>
      </c>
      <c r="F38" s="37" t="str">
        <f t="shared" si="1"/>
        <v>异灵锤</v>
      </c>
      <c r="G38" s="37" t="str">
        <f t="shared" si="0"/>
        <v>异灵刀</v>
      </c>
      <c r="H38" s="37" t="str">
        <f t="shared" si="0"/>
        <v>异灵拳套</v>
      </c>
      <c r="I38" s="37" t="str">
        <f t="shared" si="0"/>
        <v>异灵枪</v>
      </c>
      <c r="J38" s="37" t="str">
        <f t="shared" si="0"/>
        <v>异灵镰刀</v>
      </c>
      <c r="K38" s="37" t="str">
        <f t="shared" si="0"/>
        <v>异灵法杖</v>
      </c>
      <c r="L38" s="37" t="str">
        <f t="shared" si="0"/>
        <v>异灵弓</v>
      </c>
      <c r="M38" s="37" t="str">
        <f t="shared" si="0"/>
        <v>异灵烟斗</v>
      </c>
      <c r="N38" s="37" t="str">
        <f t="shared" si="0"/>
        <v>异灵扇子</v>
      </c>
      <c r="O38" s="37" t="str">
        <f t="shared" si="0"/>
        <v>异灵牙齿</v>
      </c>
      <c r="P38" s="37" t="str">
        <f t="shared" si="0"/>
        <v>异灵球</v>
      </c>
      <c r="Q38" s="37" t="str">
        <f t="shared" si="0"/>
        <v>异灵爪</v>
      </c>
      <c r="R38" s="37" t="str">
        <f t="shared" si="0"/>
        <v>异灵剑</v>
      </c>
      <c r="S38" s="37" t="str">
        <f t="shared" si="0"/>
        <v>异灵戒指</v>
      </c>
      <c r="T38" s="37" t="str">
        <f t="shared" si="0"/>
        <v>异灵项链</v>
      </c>
    </row>
    <row r="39" spans="4:20" x14ac:dyDescent="0.15">
      <c r="D39" s="1" t="s">
        <v>537</v>
      </c>
      <c r="E39" s="2">
        <v>9</v>
      </c>
      <c r="F39" s="37" t="str">
        <f t="shared" si="1"/>
        <v>流星锤</v>
      </c>
      <c r="G39" s="37" t="str">
        <f t="shared" si="0"/>
        <v>流星刀</v>
      </c>
      <c r="H39" s="37" t="str">
        <f t="shared" si="0"/>
        <v>流星拳套</v>
      </c>
      <c r="I39" s="37" t="str">
        <f t="shared" si="0"/>
        <v>流星枪</v>
      </c>
      <c r="J39" s="37" t="str">
        <f t="shared" si="0"/>
        <v>流星镰刀</v>
      </c>
      <c r="K39" s="37" t="str">
        <f t="shared" si="0"/>
        <v>流星法杖</v>
      </c>
      <c r="L39" s="37" t="str">
        <f t="shared" si="0"/>
        <v>流星弓</v>
      </c>
      <c r="M39" s="37" t="str">
        <f t="shared" si="0"/>
        <v>流星烟斗</v>
      </c>
      <c r="N39" s="37" t="str">
        <f t="shared" si="0"/>
        <v>流星扇子</v>
      </c>
      <c r="O39" s="37" t="str">
        <f t="shared" si="0"/>
        <v>流星牙齿</v>
      </c>
      <c r="P39" s="37" t="str">
        <f t="shared" si="0"/>
        <v>流星球</v>
      </c>
      <c r="Q39" s="37" t="str">
        <f t="shared" si="0"/>
        <v>流星爪</v>
      </c>
      <c r="R39" s="37" t="str">
        <f t="shared" si="0"/>
        <v>流星剑</v>
      </c>
      <c r="S39" s="37" t="str">
        <f t="shared" si="0"/>
        <v>流星戒指</v>
      </c>
      <c r="T39" s="37" t="str">
        <f t="shared" si="0"/>
        <v>流星项链</v>
      </c>
    </row>
    <row r="44" spans="4:20" x14ac:dyDescent="0.15">
      <c r="E44" s="39" t="s">
        <v>521</v>
      </c>
      <c r="F44" s="39" t="s">
        <v>499</v>
      </c>
      <c r="G44" s="39" t="s">
        <v>543</v>
      </c>
      <c r="H44" s="39" t="s">
        <v>500</v>
      </c>
      <c r="I44" s="39" t="s">
        <v>501</v>
      </c>
      <c r="J44" s="39" t="s">
        <v>502</v>
      </c>
      <c r="K44" s="39" t="s">
        <v>503</v>
      </c>
      <c r="L44" s="39" t="s">
        <v>432</v>
      </c>
      <c r="M44" s="39" t="s">
        <v>504</v>
      </c>
      <c r="N44" s="39" t="s">
        <v>505</v>
      </c>
      <c r="O44" s="39" t="s">
        <v>506</v>
      </c>
      <c r="P44" s="39" t="s">
        <v>431</v>
      </c>
      <c r="Q44" s="39" t="s">
        <v>507</v>
      </c>
      <c r="R44" s="39" t="s">
        <v>508</v>
      </c>
      <c r="S44" s="39" t="s">
        <v>509</v>
      </c>
      <c r="T44" s="39" t="s">
        <v>510</v>
      </c>
    </row>
    <row r="45" spans="4:20" x14ac:dyDescent="0.15">
      <c r="E45" s="2">
        <v>1</v>
      </c>
      <c r="F45" s="37" t="s">
        <v>569</v>
      </c>
      <c r="G45" s="37" t="s">
        <v>571</v>
      </c>
      <c r="H45" s="37" t="s">
        <v>572</v>
      </c>
      <c r="I45" s="37" t="s">
        <v>573</v>
      </c>
      <c r="J45" s="37" t="s">
        <v>574</v>
      </c>
      <c r="K45" s="37" t="s">
        <v>575</v>
      </c>
      <c r="L45" s="37" t="s">
        <v>576</v>
      </c>
      <c r="M45" s="37" t="s">
        <v>577</v>
      </c>
      <c r="N45" s="37" t="s">
        <v>578</v>
      </c>
      <c r="O45" s="37" t="s">
        <v>579</v>
      </c>
      <c r="P45" s="37" t="s">
        <v>580</v>
      </c>
      <c r="Q45" s="37" t="s">
        <v>581</v>
      </c>
      <c r="R45" s="37" t="s">
        <v>582</v>
      </c>
      <c r="S45" s="37" t="s">
        <v>608</v>
      </c>
      <c r="T45" s="37" t="s">
        <v>609</v>
      </c>
    </row>
    <row r="46" spans="4:20" x14ac:dyDescent="0.15">
      <c r="E46" s="2">
        <v>2</v>
      </c>
      <c r="F46" s="37" t="s">
        <v>570</v>
      </c>
      <c r="G46" s="37" t="s">
        <v>583</v>
      </c>
      <c r="H46" s="37" t="s">
        <v>584</v>
      </c>
      <c r="I46" s="37" t="s">
        <v>585</v>
      </c>
      <c r="J46" s="37" t="s">
        <v>586</v>
      </c>
      <c r="K46" s="37" t="s">
        <v>587</v>
      </c>
      <c r="L46" s="37" t="s">
        <v>588</v>
      </c>
      <c r="M46" s="37" t="s">
        <v>589</v>
      </c>
      <c r="N46" s="37" t="s">
        <v>590</v>
      </c>
      <c r="O46" s="37" t="s">
        <v>591</v>
      </c>
      <c r="P46" s="37" t="s">
        <v>592</v>
      </c>
      <c r="Q46" s="37" t="s">
        <v>593</v>
      </c>
      <c r="R46" s="37" t="s">
        <v>594</v>
      </c>
      <c r="S46" s="37" t="s">
        <v>610</v>
      </c>
      <c r="T46" s="37" t="s">
        <v>611</v>
      </c>
    </row>
    <row r="47" spans="4:20" x14ac:dyDescent="0.15">
      <c r="E47" s="2">
        <v>3</v>
      </c>
      <c r="F47" s="37" t="s">
        <v>595</v>
      </c>
      <c r="G47" s="37" t="s">
        <v>596</v>
      </c>
      <c r="H47" s="37" t="s">
        <v>597</v>
      </c>
      <c r="I47" s="37" t="s">
        <v>598</v>
      </c>
      <c r="J47" s="37" t="s">
        <v>599</v>
      </c>
      <c r="K47" s="37" t="s">
        <v>600</v>
      </c>
      <c r="L47" s="37" t="s">
        <v>601</v>
      </c>
      <c r="M47" s="37" t="s">
        <v>602</v>
      </c>
      <c r="N47" s="37" t="s">
        <v>603</v>
      </c>
      <c r="O47" s="37" t="s">
        <v>604</v>
      </c>
      <c r="P47" s="37" t="s">
        <v>605</v>
      </c>
      <c r="Q47" s="37" t="s">
        <v>606</v>
      </c>
      <c r="R47" s="37" t="s">
        <v>607</v>
      </c>
      <c r="S47" s="37" t="s">
        <v>612</v>
      </c>
      <c r="T47" s="37" t="s">
        <v>613</v>
      </c>
    </row>
    <row r="48" spans="4:20" x14ac:dyDescent="0.15">
      <c r="E48" s="2">
        <v>4</v>
      </c>
      <c r="F48" s="37" t="s">
        <v>615</v>
      </c>
      <c r="G48" s="37" t="s">
        <v>614</v>
      </c>
      <c r="H48" s="37" t="s">
        <v>616</v>
      </c>
      <c r="I48" s="37" t="s">
        <v>617</v>
      </c>
      <c r="J48" s="37" t="s">
        <v>618</v>
      </c>
      <c r="K48" s="37" t="s">
        <v>619</v>
      </c>
      <c r="L48" s="37" t="s">
        <v>620</v>
      </c>
      <c r="M48" s="37" t="s">
        <v>621</v>
      </c>
      <c r="N48" s="37" t="s">
        <v>622</v>
      </c>
      <c r="O48" s="37" t="s">
        <v>623</v>
      </c>
      <c r="P48" s="37" t="s">
        <v>624</v>
      </c>
      <c r="Q48" s="37" t="s">
        <v>625</v>
      </c>
      <c r="R48" s="37" t="s">
        <v>626</v>
      </c>
      <c r="S48" s="37" t="s">
        <v>627</v>
      </c>
      <c r="T48" s="37" t="s">
        <v>628</v>
      </c>
    </row>
    <row r="49" spans="5:20" x14ac:dyDescent="0.15">
      <c r="E49" s="2">
        <v>5</v>
      </c>
      <c r="F49" s="37" t="s">
        <v>629</v>
      </c>
      <c r="G49" s="37" t="s">
        <v>655</v>
      </c>
      <c r="H49" s="37" t="s">
        <v>656</v>
      </c>
      <c r="I49" s="37" t="s">
        <v>657</v>
      </c>
      <c r="J49" s="37" t="s">
        <v>658</v>
      </c>
      <c r="K49" s="37" t="s">
        <v>659</v>
      </c>
      <c r="L49" s="37" t="s">
        <v>660</v>
      </c>
      <c r="M49" s="37" t="s">
        <v>661</v>
      </c>
      <c r="N49" s="37" t="s">
        <v>662</v>
      </c>
      <c r="O49" s="37" t="s">
        <v>663</v>
      </c>
      <c r="P49" s="37" t="s">
        <v>664</v>
      </c>
      <c r="Q49" s="37" t="s">
        <v>665</v>
      </c>
      <c r="R49" s="37" t="s">
        <v>666</v>
      </c>
      <c r="S49" s="37" t="s">
        <v>654</v>
      </c>
      <c r="T49" s="37" t="s">
        <v>651</v>
      </c>
    </row>
    <row r="50" spans="5:20" x14ac:dyDescent="0.15">
      <c r="E50" s="2">
        <v>6</v>
      </c>
      <c r="F50" s="37" t="s">
        <v>636</v>
      </c>
      <c r="G50" s="37" t="s">
        <v>637</v>
      </c>
      <c r="H50" s="37" t="s">
        <v>638</v>
      </c>
      <c r="I50" s="37" t="s">
        <v>639</v>
      </c>
      <c r="J50" s="37" t="s">
        <v>640</v>
      </c>
      <c r="K50" s="37" t="s">
        <v>641</v>
      </c>
      <c r="L50" s="37" t="s">
        <v>642</v>
      </c>
      <c r="M50" s="37" t="s">
        <v>643</v>
      </c>
      <c r="N50" s="37" t="s">
        <v>644</v>
      </c>
      <c r="O50" s="37" t="s">
        <v>645</v>
      </c>
      <c r="P50" s="37" t="s">
        <v>646</v>
      </c>
      <c r="Q50" s="37" t="s">
        <v>647</v>
      </c>
      <c r="R50" s="37" t="s">
        <v>648</v>
      </c>
      <c r="S50" s="37" t="s">
        <v>652</v>
      </c>
      <c r="T50" s="37" t="s">
        <v>653</v>
      </c>
    </row>
    <row r="51" spans="5:20" x14ac:dyDescent="0.15">
      <c r="E51" s="2">
        <v>7</v>
      </c>
      <c r="F51" s="37" t="s">
        <v>685</v>
      </c>
      <c r="G51" s="37" t="s">
        <v>686</v>
      </c>
      <c r="H51" s="37" t="s">
        <v>687</v>
      </c>
      <c r="I51" s="37" t="s">
        <v>688</v>
      </c>
      <c r="J51" s="37" t="s">
        <v>689</v>
      </c>
      <c r="K51" s="37" t="s">
        <v>690</v>
      </c>
      <c r="L51" s="37" t="s">
        <v>691</v>
      </c>
      <c r="M51" s="37" t="s">
        <v>692</v>
      </c>
      <c r="N51" s="37" t="s">
        <v>693</v>
      </c>
      <c r="O51" s="37" t="s">
        <v>694</v>
      </c>
      <c r="P51" s="37" t="s">
        <v>695</v>
      </c>
      <c r="Q51" s="37" t="s">
        <v>696</v>
      </c>
      <c r="R51" s="37" t="s">
        <v>697</v>
      </c>
      <c r="S51" s="37" t="s">
        <v>649</v>
      </c>
      <c r="T51" s="37" t="s">
        <v>650</v>
      </c>
    </row>
    <row r="52" spans="5:20" x14ac:dyDescent="0.15">
      <c r="E52" s="2">
        <v>8</v>
      </c>
      <c r="F52" s="37" t="s">
        <v>668</v>
      </c>
      <c r="G52" s="37" t="s">
        <v>669</v>
      </c>
      <c r="H52" s="37" t="s">
        <v>670</v>
      </c>
      <c r="I52" s="37" t="s">
        <v>671</v>
      </c>
      <c r="J52" s="37" t="s">
        <v>672</v>
      </c>
      <c r="K52" s="37" t="s">
        <v>673</v>
      </c>
      <c r="L52" s="37" t="s">
        <v>674</v>
      </c>
      <c r="M52" s="37" t="s">
        <v>675</v>
      </c>
      <c r="N52" s="37" t="s">
        <v>676</v>
      </c>
      <c r="O52" s="37" t="s">
        <v>677</v>
      </c>
      <c r="P52" s="37" t="s">
        <v>678</v>
      </c>
      <c r="Q52" s="37" t="s">
        <v>679</v>
      </c>
      <c r="R52" s="37" t="s">
        <v>680</v>
      </c>
      <c r="S52" s="37" t="s">
        <v>630</v>
      </c>
      <c r="T52" s="37" t="s">
        <v>631</v>
      </c>
    </row>
    <row r="53" spans="5:20" x14ac:dyDescent="0.15">
      <c r="E53" s="2">
        <v>9</v>
      </c>
      <c r="F53" s="37" t="s">
        <v>667</v>
      </c>
      <c r="G53" s="37" t="s">
        <v>681</v>
      </c>
      <c r="H53" s="37" t="s">
        <v>699</v>
      </c>
      <c r="I53" s="37" t="s">
        <v>700</v>
      </c>
      <c r="J53" s="37" t="s">
        <v>701</v>
      </c>
      <c r="K53" s="37" t="s">
        <v>633</v>
      </c>
      <c r="L53" s="37" t="s">
        <v>682</v>
      </c>
      <c r="M53" s="37" t="s">
        <v>702</v>
      </c>
      <c r="N53" s="37" t="s">
        <v>683</v>
      </c>
      <c r="O53" s="37" t="s">
        <v>703</v>
      </c>
      <c r="P53" s="37" t="s">
        <v>698</v>
      </c>
      <c r="Q53" s="37" t="s">
        <v>684</v>
      </c>
      <c r="R53" s="37" t="s">
        <v>634</v>
      </c>
      <c r="S53" s="37" t="s">
        <v>635</v>
      </c>
      <c r="T53" s="37" t="s">
        <v>632</v>
      </c>
    </row>
    <row r="57" spans="5:20" x14ac:dyDescent="0.15">
      <c r="E57" s="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0" sqref="J10"/>
    </sheetView>
  </sheetViews>
  <sheetFormatPr defaultRowHeight="12.75" x14ac:dyDescent="0.1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A102"/>
  <sheetViews>
    <sheetView topLeftCell="A76" workbookViewId="0">
      <selection activeCell="H100" sqref="H100"/>
    </sheetView>
  </sheetViews>
  <sheetFormatPr defaultRowHeight="12.75" x14ac:dyDescent="0.15"/>
  <cols>
    <col min="1" max="1" width="2.75" style="1" customWidth="1"/>
    <col min="2" max="2" width="9" style="1"/>
    <col min="3" max="3" width="14" style="1" customWidth="1"/>
    <col min="4" max="16384" width="9" style="1"/>
  </cols>
  <sheetData>
    <row r="2" spans="2:19" x14ac:dyDescent="0.15">
      <c r="B2" s="4" t="s">
        <v>66</v>
      </c>
      <c r="C2" s="4" t="s">
        <v>0</v>
      </c>
      <c r="D2" s="5" t="s">
        <v>1</v>
      </c>
      <c r="E2" s="4" t="s">
        <v>2</v>
      </c>
      <c r="F2" s="4" t="s">
        <v>3</v>
      </c>
      <c r="G2" s="6" t="s">
        <v>4</v>
      </c>
      <c r="H2" s="6" t="s">
        <v>5</v>
      </c>
      <c r="I2" s="6" t="s">
        <v>6</v>
      </c>
      <c r="J2" s="5" t="s">
        <v>7</v>
      </c>
      <c r="K2" s="4" t="s">
        <v>8</v>
      </c>
      <c r="L2" s="4" t="s">
        <v>9</v>
      </c>
      <c r="M2" s="11" t="s">
        <v>67</v>
      </c>
      <c r="N2" s="11" t="s">
        <v>68</v>
      </c>
      <c r="O2" s="11" t="s">
        <v>69</v>
      </c>
      <c r="P2" s="11" t="s">
        <v>70</v>
      </c>
      <c r="Q2" s="11" t="s">
        <v>71</v>
      </c>
      <c r="R2" s="11" t="s">
        <v>72</v>
      </c>
      <c r="S2" s="11" t="s">
        <v>73</v>
      </c>
    </row>
    <row r="3" spans="2:19" ht="13.5" x14ac:dyDescent="0.15">
      <c r="B3" s="2">
        <v>1</v>
      </c>
      <c r="C3" s="7" t="s">
        <v>10</v>
      </c>
      <c r="D3" s="7" t="s">
        <v>11</v>
      </c>
      <c r="E3" s="2">
        <v>20</v>
      </c>
      <c r="F3" s="2">
        <v>3</v>
      </c>
      <c r="G3" s="2">
        <v>12</v>
      </c>
      <c r="H3" s="2">
        <v>16</v>
      </c>
      <c r="I3" s="2">
        <v>0</v>
      </c>
      <c r="J3" s="2">
        <v>1</v>
      </c>
      <c r="K3" s="2">
        <v>17</v>
      </c>
      <c r="L3" s="2">
        <v>15</v>
      </c>
      <c r="M3" s="2">
        <v>10</v>
      </c>
      <c r="N3" s="2">
        <v>10</v>
      </c>
      <c r="O3" s="2"/>
      <c r="P3" s="2"/>
      <c r="Q3" s="2"/>
      <c r="R3" s="2"/>
      <c r="S3" s="2"/>
    </row>
    <row r="4" spans="2:19" ht="13.5" x14ac:dyDescent="0.15">
      <c r="B4" s="2">
        <v>2</v>
      </c>
      <c r="C4" s="8" t="s">
        <v>12</v>
      </c>
      <c r="D4" s="8" t="s">
        <v>13</v>
      </c>
      <c r="E4" s="3">
        <v>26</v>
      </c>
      <c r="F4" s="3">
        <v>4</v>
      </c>
      <c r="G4" s="3">
        <v>18</v>
      </c>
      <c r="H4" s="3">
        <v>18</v>
      </c>
      <c r="I4" s="3">
        <v>0</v>
      </c>
      <c r="J4" s="3">
        <v>1</v>
      </c>
      <c r="K4" s="3">
        <v>4</v>
      </c>
      <c r="L4" s="3">
        <v>5</v>
      </c>
      <c r="M4" s="2"/>
      <c r="N4" s="2"/>
      <c r="O4" s="2"/>
      <c r="P4" s="2"/>
      <c r="Q4" s="2"/>
      <c r="R4" s="2"/>
      <c r="S4" s="2"/>
    </row>
    <row r="5" spans="2:19" ht="13.5" x14ac:dyDescent="0.15">
      <c r="B5" s="2">
        <v>3</v>
      </c>
      <c r="C5" s="9" t="s">
        <v>14</v>
      </c>
      <c r="D5" s="9" t="s">
        <v>15</v>
      </c>
      <c r="E5" s="3">
        <v>18</v>
      </c>
      <c r="F5" s="3">
        <v>18</v>
      </c>
      <c r="G5" s="3">
        <v>4</v>
      </c>
      <c r="H5" s="3">
        <v>4</v>
      </c>
      <c r="I5" s="3">
        <v>18</v>
      </c>
      <c r="J5" s="3">
        <v>2</v>
      </c>
      <c r="K5" s="3">
        <v>18</v>
      </c>
      <c r="L5" s="3">
        <v>14</v>
      </c>
      <c r="M5" s="2"/>
      <c r="N5" s="2"/>
      <c r="O5" s="2"/>
      <c r="P5" s="2"/>
      <c r="Q5" s="2"/>
      <c r="R5" s="2"/>
      <c r="S5" s="2"/>
    </row>
    <row r="6" spans="2:19" ht="13.5" x14ac:dyDescent="0.15">
      <c r="B6" s="2">
        <v>4</v>
      </c>
      <c r="C6" s="8" t="s">
        <v>16</v>
      </c>
      <c r="D6" s="8" t="s">
        <v>17</v>
      </c>
      <c r="E6" s="3">
        <v>17</v>
      </c>
      <c r="F6" s="3">
        <v>0</v>
      </c>
      <c r="G6" s="3">
        <v>22</v>
      </c>
      <c r="H6" s="3">
        <v>2</v>
      </c>
      <c r="I6" s="3">
        <v>0</v>
      </c>
      <c r="J6" s="3">
        <v>5</v>
      </c>
      <c r="K6" s="3">
        <v>15</v>
      </c>
      <c r="L6" s="3">
        <v>15</v>
      </c>
      <c r="M6" s="2"/>
      <c r="N6" s="2"/>
      <c r="O6" s="2"/>
      <c r="P6" s="2"/>
      <c r="Q6" s="2"/>
      <c r="R6" s="2"/>
      <c r="S6" s="2"/>
    </row>
    <row r="7" spans="2:19" ht="13.5" x14ac:dyDescent="0.15">
      <c r="B7" s="2">
        <v>5</v>
      </c>
      <c r="C7" s="7" t="s">
        <v>18</v>
      </c>
      <c r="D7" s="7" t="s">
        <v>19</v>
      </c>
      <c r="E7" s="2">
        <v>18</v>
      </c>
      <c r="F7" s="2">
        <v>3</v>
      </c>
      <c r="G7" s="2">
        <v>11</v>
      </c>
      <c r="H7" s="2">
        <v>18</v>
      </c>
      <c r="I7" s="2">
        <v>5</v>
      </c>
      <c r="J7" s="2">
        <v>3</v>
      </c>
      <c r="K7" s="2">
        <v>15</v>
      </c>
      <c r="L7" s="2">
        <v>14</v>
      </c>
      <c r="M7" s="2"/>
      <c r="N7" s="2"/>
      <c r="O7" s="2"/>
      <c r="P7" s="2"/>
      <c r="Q7" s="2"/>
      <c r="R7" s="2"/>
      <c r="S7" s="2"/>
    </row>
    <row r="8" spans="2:19" ht="13.5" x14ac:dyDescent="0.15">
      <c r="B8" s="2">
        <v>6</v>
      </c>
      <c r="C8" s="10" t="s">
        <v>20</v>
      </c>
      <c r="D8" s="7" t="s">
        <v>19</v>
      </c>
      <c r="E8" s="2">
        <v>17</v>
      </c>
      <c r="F8" s="2">
        <v>8</v>
      </c>
      <c r="G8" s="2">
        <v>12</v>
      </c>
      <c r="H8" s="2">
        <v>17</v>
      </c>
      <c r="I8" s="2">
        <v>2</v>
      </c>
      <c r="J8" s="2">
        <v>5</v>
      </c>
      <c r="K8" s="2">
        <v>16</v>
      </c>
      <c r="L8" s="2">
        <v>15</v>
      </c>
      <c r="M8" s="2"/>
      <c r="N8" s="2"/>
      <c r="O8" s="2"/>
      <c r="P8" s="2"/>
      <c r="Q8" s="2"/>
      <c r="R8" s="2"/>
      <c r="S8" s="2"/>
    </row>
    <row r="9" spans="2:19" ht="13.5" x14ac:dyDescent="0.15">
      <c r="B9" s="2">
        <v>7</v>
      </c>
      <c r="C9" s="10" t="s">
        <v>21</v>
      </c>
      <c r="D9" s="10" t="s">
        <v>22</v>
      </c>
      <c r="E9" s="2">
        <v>19</v>
      </c>
      <c r="F9" s="2">
        <v>14</v>
      </c>
      <c r="G9" s="2">
        <v>9</v>
      </c>
      <c r="H9" s="2">
        <v>9</v>
      </c>
      <c r="I9" s="2">
        <v>18</v>
      </c>
      <c r="J9" s="2">
        <v>3</v>
      </c>
      <c r="K9" s="2">
        <v>14</v>
      </c>
      <c r="L9" s="2">
        <v>9</v>
      </c>
      <c r="M9" s="2"/>
      <c r="N9" s="2"/>
      <c r="O9" s="2"/>
      <c r="P9" s="2"/>
      <c r="Q9" s="2"/>
      <c r="R9" s="2"/>
      <c r="S9" s="2"/>
    </row>
    <row r="10" spans="2:19" ht="13.5" x14ac:dyDescent="0.15">
      <c r="B10" s="2">
        <v>8</v>
      </c>
      <c r="C10" s="7" t="s">
        <v>23</v>
      </c>
      <c r="D10" s="7" t="s">
        <v>24</v>
      </c>
      <c r="E10" s="2">
        <v>14</v>
      </c>
      <c r="F10" s="2">
        <v>25</v>
      </c>
      <c r="G10" s="2">
        <v>4</v>
      </c>
      <c r="H10" s="2">
        <v>4</v>
      </c>
      <c r="I10" s="2">
        <v>20</v>
      </c>
      <c r="J10" s="2">
        <v>5</v>
      </c>
      <c r="K10" s="2">
        <v>10</v>
      </c>
      <c r="L10" s="2">
        <v>10</v>
      </c>
      <c r="M10" s="2"/>
      <c r="N10" s="2"/>
      <c r="O10" s="2"/>
      <c r="P10" s="2"/>
      <c r="Q10" s="2"/>
      <c r="R10" s="2"/>
      <c r="S10" s="2"/>
    </row>
    <row r="11" spans="2:19" ht="13.5" x14ac:dyDescent="0.15">
      <c r="B11" s="2">
        <v>9</v>
      </c>
      <c r="C11" s="10" t="s">
        <v>25</v>
      </c>
      <c r="D11" s="10" t="s">
        <v>26</v>
      </c>
      <c r="E11" s="2">
        <v>31</v>
      </c>
      <c r="F11" s="2">
        <v>4</v>
      </c>
      <c r="G11" s="2">
        <v>21</v>
      </c>
      <c r="H11" s="2">
        <v>21</v>
      </c>
      <c r="I11" s="2">
        <v>0</v>
      </c>
      <c r="J11" s="2">
        <v>1</v>
      </c>
      <c r="K11" s="2">
        <v>27</v>
      </c>
      <c r="L11" s="2">
        <v>13</v>
      </c>
      <c r="M11" s="2"/>
      <c r="N11" s="2"/>
      <c r="O11" s="2"/>
      <c r="P11" s="2"/>
      <c r="Q11" s="2"/>
      <c r="R11" s="2"/>
      <c r="S11" s="2"/>
    </row>
    <row r="12" spans="2:19" ht="13.5" x14ac:dyDescent="0.15">
      <c r="B12" s="2">
        <v>10</v>
      </c>
      <c r="C12" s="7" t="s">
        <v>27</v>
      </c>
      <c r="D12" s="7" t="s">
        <v>28</v>
      </c>
      <c r="E12" s="2">
        <v>20</v>
      </c>
      <c r="F12" s="2">
        <v>5</v>
      </c>
      <c r="G12" s="2">
        <v>18</v>
      </c>
      <c r="H12" s="2">
        <v>10</v>
      </c>
      <c r="I12" s="2">
        <v>10</v>
      </c>
      <c r="J12" s="2">
        <v>5</v>
      </c>
      <c r="K12" s="2">
        <v>13</v>
      </c>
      <c r="L12" s="2">
        <v>12</v>
      </c>
      <c r="M12" s="2"/>
      <c r="N12" s="2"/>
      <c r="O12" s="2"/>
      <c r="P12" s="2"/>
      <c r="Q12" s="2"/>
      <c r="R12" s="2"/>
      <c r="S12" s="2"/>
    </row>
    <row r="13" spans="2:19" ht="13.5" x14ac:dyDescent="0.15">
      <c r="B13" s="2">
        <v>11</v>
      </c>
      <c r="C13" s="10" t="s">
        <v>29</v>
      </c>
      <c r="D13" s="10" t="s">
        <v>30</v>
      </c>
      <c r="E13" s="2">
        <v>28</v>
      </c>
      <c r="F13" s="2">
        <v>16</v>
      </c>
      <c r="G13" s="2">
        <v>21</v>
      </c>
      <c r="H13" s="2">
        <v>13</v>
      </c>
      <c r="I13" s="2">
        <v>21</v>
      </c>
      <c r="J13" s="2">
        <v>4</v>
      </c>
      <c r="K13" s="2">
        <v>27</v>
      </c>
      <c r="L13" s="2">
        <v>13</v>
      </c>
      <c r="M13" s="2"/>
      <c r="N13" s="2"/>
      <c r="O13" s="2"/>
      <c r="P13" s="2"/>
      <c r="Q13" s="2"/>
      <c r="R13" s="2"/>
      <c r="S13" s="2"/>
    </row>
    <row r="14" spans="2:19" ht="13.5" x14ac:dyDescent="0.15">
      <c r="B14" s="2">
        <v>12</v>
      </c>
      <c r="C14" s="7" t="s">
        <v>31</v>
      </c>
      <c r="D14" s="7" t="s">
        <v>32</v>
      </c>
      <c r="E14" s="2">
        <v>20</v>
      </c>
      <c r="F14" s="2">
        <v>5</v>
      </c>
      <c r="G14" s="2">
        <v>9</v>
      </c>
      <c r="H14" s="2">
        <v>9</v>
      </c>
      <c r="I14" s="2">
        <v>0</v>
      </c>
      <c r="J14" s="2">
        <v>1</v>
      </c>
      <c r="K14" s="2">
        <v>20</v>
      </c>
      <c r="L14" s="2">
        <v>20</v>
      </c>
      <c r="M14" s="2"/>
      <c r="N14" s="2"/>
      <c r="O14" s="2"/>
      <c r="P14" s="2"/>
      <c r="Q14" s="2"/>
      <c r="R14" s="2"/>
      <c r="S14" s="2"/>
    </row>
    <row r="15" spans="2:19" ht="13.5" x14ac:dyDescent="0.15">
      <c r="B15" s="2">
        <v>13</v>
      </c>
      <c r="C15" s="10" t="s">
        <v>33</v>
      </c>
      <c r="D15" s="10" t="s">
        <v>17</v>
      </c>
      <c r="E15" s="2">
        <v>18</v>
      </c>
      <c r="F15" s="2">
        <v>0</v>
      </c>
      <c r="G15" s="2">
        <v>19</v>
      </c>
      <c r="H15" s="2">
        <v>10</v>
      </c>
      <c r="I15" s="2">
        <v>12</v>
      </c>
      <c r="J15" s="2">
        <v>4</v>
      </c>
      <c r="K15" s="2">
        <v>22</v>
      </c>
      <c r="L15" s="2">
        <v>13</v>
      </c>
      <c r="M15" s="2"/>
      <c r="N15" s="2"/>
      <c r="O15" s="2"/>
      <c r="P15" s="2"/>
      <c r="Q15" s="2"/>
      <c r="R15" s="2"/>
      <c r="S15" s="2"/>
    </row>
    <row r="16" spans="2:19" ht="13.5" x14ac:dyDescent="0.15">
      <c r="B16" s="2">
        <v>14</v>
      </c>
      <c r="C16" s="7" t="s">
        <v>34</v>
      </c>
      <c r="D16" s="7" t="s">
        <v>35</v>
      </c>
      <c r="E16" s="2">
        <v>24</v>
      </c>
      <c r="F16" s="2">
        <v>2</v>
      </c>
      <c r="G16" s="2">
        <v>18</v>
      </c>
      <c r="H16" s="2">
        <v>11</v>
      </c>
      <c r="I16" s="2">
        <v>0</v>
      </c>
      <c r="J16" s="2">
        <v>1</v>
      </c>
      <c r="K16" s="2">
        <v>23</v>
      </c>
      <c r="L16" s="2">
        <v>11</v>
      </c>
      <c r="M16" s="2"/>
      <c r="N16" s="2"/>
      <c r="O16" s="2"/>
      <c r="P16" s="2"/>
      <c r="Q16" s="2"/>
      <c r="R16" s="2"/>
      <c r="S16" s="2"/>
    </row>
    <row r="17" spans="2:19" ht="13.5" x14ac:dyDescent="0.15">
      <c r="B17" s="2">
        <v>15</v>
      </c>
      <c r="C17" s="10" t="s">
        <v>36</v>
      </c>
      <c r="D17" s="10" t="s">
        <v>37</v>
      </c>
      <c r="E17" s="2">
        <v>15</v>
      </c>
      <c r="F17" s="2">
        <v>10</v>
      </c>
      <c r="G17" s="2">
        <v>10</v>
      </c>
      <c r="H17" s="2">
        <v>9</v>
      </c>
      <c r="I17" s="2">
        <v>13</v>
      </c>
      <c r="J17" s="2">
        <v>2</v>
      </c>
      <c r="K17" s="2">
        <v>25</v>
      </c>
      <c r="L17" s="2">
        <v>15</v>
      </c>
      <c r="M17" s="2"/>
      <c r="N17" s="2"/>
      <c r="O17" s="2"/>
      <c r="P17" s="2"/>
      <c r="Q17" s="2"/>
      <c r="R17" s="2"/>
      <c r="S17" s="2"/>
    </row>
    <row r="18" spans="2:19" ht="13.5" x14ac:dyDescent="0.15">
      <c r="B18" s="2">
        <v>16</v>
      </c>
      <c r="C18" s="7" t="s">
        <v>38</v>
      </c>
      <c r="D18" s="7" t="s">
        <v>39</v>
      </c>
      <c r="E18" s="2">
        <v>31</v>
      </c>
      <c r="F18" s="2">
        <v>21</v>
      </c>
      <c r="G18" s="2">
        <v>21</v>
      </c>
      <c r="H18" s="2">
        <v>21</v>
      </c>
      <c r="I18" s="2">
        <v>21</v>
      </c>
      <c r="J18" s="2">
        <v>3</v>
      </c>
      <c r="K18" s="2">
        <v>21</v>
      </c>
      <c r="L18" s="2">
        <v>16</v>
      </c>
      <c r="M18" s="2"/>
      <c r="N18" s="2"/>
      <c r="O18" s="2"/>
      <c r="P18" s="2"/>
      <c r="Q18" s="2"/>
      <c r="R18" s="2"/>
      <c r="S18" s="2"/>
    </row>
    <row r="19" spans="2:19" ht="13.5" x14ac:dyDescent="0.15">
      <c r="B19" s="2">
        <v>17</v>
      </c>
      <c r="C19" s="10" t="s">
        <v>40</v>
      </c>
      <c r="D19" s="10" t="s">
        <v>41</v>
      </c>
      <c r="E19" s="2">
        <v>21</v>
      </c>
      <c r="F19" s="2">
        <v>10</v>
      </c>
      <c r="G19" s="2">
        <v>8</v>
      </c>
      <c r="H19" s="2">
        <v>8</v>
      </c>
      <c r="I19" s="2">
        <v>15</v>
      </c>
      <c r="J19" s="2">
        <v>3</v>
      </c>
      <c r="K19" s="2">
        <v>10</v>
      </c>
      <c r="L19" s="2">
        <v>8</v>
      </c>
      <c r="M19" s="2"/>
      <c r="N19" s="2"/>
      <c r="O19" s="2"/>
      <c r="P19" s="2"/>
      <c r="Q19" s="2"/>
      <c r="R19" s="2"/>
      <c r="S19" s="2"/>
    </row>
    <row r="20" spans="2:19" ht="13.5" x14ac:dyDescent="0.15">
      <c r="B20" s="2">
        <v>18</v>
      </c>
      <c r="C20" s="7" t="s">
        <v>42</v>
      </c>
      <c r="D20" s="7" t="s">
        <v>43</v>
      </c>
      <c r="E20" s="2">
        <v>24</v>
      </c>
      <c r="F20" s="2">
        <v>14</v>
      </c>
      <c r="G20" s="2">
        <v>10</v>
      </c>
      <c r="H20" s="2">
        <v>14</v>
      </c>
      <c r="I20" s="2">
        <v>14</v>
      </c>
      <c r="J20" s="2">
        <v>5</v>
      </c>
      <c r="K20" s="2">
        <v>24</v>
      </c>
      <c r="L20" s="2">
        <v>24</v>
      </c>
      <c r="M20" s="2"/>
      <c r="N20" s="2"/>
      <c r="O20" s="2"/>
      <c r="P20" s="2"/>
      <c r="Q20" s="2"/>
      <c r="R20" s="2"/>
      <c r="S20" s="2"/>
    </row>
    <row r="21" spans="2:19" ht="13.5" x14ac:dyDescent="0.15">
      <c r="B21" s="2">
        <v>19</v>
      </c>
      <c r="C21" s="10" t="s">
        <v>44</v>
      </c>
      <c r="D21" s="10" t="s">
        <v>45</v>
      </c>
      <c r="E21" s="2">
        <v>31</v>
      </c>
      <c r="F21" s="2">
        <v>4</v>
      </c>
      <c r="G21" s="2">
        <v>21</v>
      </c>
      <c r="H21" s="2">
        <v>21</v>
      </c>
      <c r="I21" s="2">
        <v>0</v>
      </c>
      <c r="J21" s="2">
        <v>1</v>
      </c>
      <c r="K21" s="2">
        <v>27</v>
      </c>
      <c r="L21" s="2">
        <v>13</v>
      </c>
      <c r="M21" s="2"/>
      <c r="N21" s="2"/>
      <c r="O21" s="2"/>
      <c r="P21" s="2"/>
      <c r="Q21" s="2"/>
      <c r="R21" s="2"/>
      <c r="S21" s="2"/>
    </row>
    <row r="22" spans="2:19" ht="13.5" x14ac:dyDescent="0.15">
      <c r="B22" s="2">
        <v>20</v>
      </c>
      <c r="C22" s="7" t="s">
        <v>46</v>
      </c>
      <c r="D22" s="7" t="s">
        <v>39</v>
      </c>
      <c r="E22" s="2">
        <v>27</v>
      </c>
      <c r="F22" s="2">
        <v>33</v>
      </c>
      <c r="G22" s="2">
        <v>14</v>
      </c>
      <c r="H22" s="2">
        <v>12</v>
      </c>
      <c r="I22" s="2">
        <v>28</v>
      </c>
      <c r="J22" s="2">
        <v>3</v>
      </c>
      <c r="K22" s="2">
        <v>21</v>
      </c>
      <c r="L22" s="2">
        <v>16</v>
      </c>
      <c r="M22" s="2"/>
      <c r="N22" s="2"/>
      <c r="O22" s="2"/>
      <c r="P22" s="2"/>
      <c r="Q22" s="2"/>
      <c r="R22" s="2"/>
      <c r="S22" s="2"/>
    </row>
    <row r="23" spans="2:19" ht="13.5" x14ac:dyDescent="0.15">
      <c r="B23" s="2">
        <v>21</v>
      </c>
      <c r="C23" s="10" t="s">
        <v>47</v>
      </c>
      <c r="D23" s="10" t="s">
        <v>48</v>
      </c>
      <c r="E23" s="2">
        <v>24</v>
      </c>
      <c r="F23" s="2">
        <v>6</v>
      </c>
      <c r="G23" s="2">
        <v>14</v>
      </c>
      <c r="H23" s="2">
        <v>20</v>
      </c>
      <c r="I23" s="2">
        <v>0</v>
      </c>
      <c r="J23" s="2">
        <v>1</v>
      </c>
      <c r="K23" s="2">
        <v>24</v>
      </c>
      <c r="L23" s="2">
        <v>24</v>
      </c>
      <c r="M23" s="2"/>
      <c r="N23" s="2"/>
      <c r="O23" s="2"/>
      <c r="P23" s="2"/>
      <c r="Q23" s="2"/>
      <c r="R23" s="2"/>
      <c r="S23" s="2"/>
    </row>
    <row r="24" spans="2:19" ht="13.5" x14ac:dyDescent="0.15">
      <c r="B24" s="2">
        <v>22</v>
      </c>
      <c r="C24" s="7" t="s">
        <v>49</v>
      </c>
      <c r="D24" s="7" t="s">
        <v>50</v>
      </c>
      <c r="E24" s="2">
        <v>25</v>
      </c>
      <c r="F24" s="2">
        <v>12</v>
      </c>
      <c r="G24" s="2">
        <v>18</v>
      </c>
      <c r="H24" s="2">
        <v>6</v>
      </c>
      <c r="I24" s="2">
        <v>12</v>
      </c>
      <c r="J24" s="2">
        <v>12</v>
      </c>
      <c r="K24" s="2">
        <v>30</v>
      </c>
      <c r="L24" s="2">
        <v>21</v>
      </c>
      <c r="M24" s="2"/>
      <c r="N24" s="2"/>
      <c r="O24" s="2"/>
      <c r="P24" s="2"/>
      <c r="Q24" s="2"/>
      <c r="R24" s="2"/>
      <c r="S24" s="2"/>
    </row>
    <row r="25" spans="2:19" ht="13.5" x14ac:dyDescent="0.15">
      <c r="B25" s="2">
        <v>23</v>
      </c>
      <c r="C25" s="10" t="s">
        <v>49</v>
      </c>
      <c r="D25" s="7" t="s">
        <v>50</v>
      </c>
      <c r="E25" s="2">
        <v>25</v>
      </c>
      <c r="F25" s="2">
        <v>12</v>
      </c>
      <c r="G25" s="2">
        <v>12</v>
      </c>
      <c r="H25" s="2">
        <v>12</v>
      </c>
      <c r="I25" s="2">
        <v>18</v>
      </c>
      <c r="J25" s="2">
        <v>6</v>
      </c>
      <c r="K25" s="2">
        <v>21</v>
      </c>
      <c r="L25" s="2">
        <v>30</v>
      </c>
      <c r="M25" s="2"/>
      <c r="N25" s="2"/>
      <c r="O25" s="2"/>
      <c r="P25" s="2"/>
      <c r="Q25" s="2"/>
      <c r="R25" s="2"/>
      <c r="S25" s="2"/>
    </row>
    <row r="26" spans="2:19" ht="13.5" x14ac:dyDescent="0.15">
      <c r="B26" s="2">
        <v>24</v>
      </c>
      <c r="C26" s="7" t="s">
        <v>51</v>
      </c>
      <c r="D26" s="7" t="s">
        <v>52</v>
      </c>
      <c r="E26" s="2">
        <v>16</v>
      </c>
      <c r="F26" s="2">
        <v>9</v>
      </c>
      <c r="G26" s="2">
        <v>10</v>
      </c>
      <c r="H26" s="2">
        <v>10</v>
      </c>
      <c r="I26" s="2">
        <v>8</v>
      </c>
      <c r="J26" s="2">
        <v>5</v>
      </c>
      <c r="K26" s="2">
        <v>18</v>
      </c>
      <c r="L26" s="2">
        <v>18</v>
      </c>
      <c r="M26" s="2"/>
      <c r="N26" s="2"/>
      <c r="O26" s="2"/>
      <c r="P26" s="2"/>
      <c r="Q26" s="2"/>
      <c r="R26" s="2"/>
      <c r="S26" s="2"/>
    </row>
    <row r="27" spans="2:19" ht="13.5" x14ac:dyDescent="0.15">
      <c r="B27" s="2">
        <v>25</v>
      </c>
      <c r="C27" s="10" t="s">
        <v>53</v>
      </c>
      <c r="D27" s="10" t="s">
        <v>54</v>
      </c>
      <c r="E27" s="2">
        <v>22</v>
      </c>
      <c r="F27" s="2">
        <v>21</v>
      </c>
      <c r="G27" s="2">
        <v>10</v>
      </c>
      <c r="H27" s="2">
        <v>10</v>
      </c>
      <c r="I27" s="2">
        <v>21</v>
      </c>
      <c r="J27" s="2">
        <v>4</v>
      </c>
      <c r="K27" s="2">
        <v>21</v>
      </c>
      <c r="L27" s="2">
        <v>16</v>
      </c>
      <c r="M27" s="2"/>
      <c r="N27" s="2"/>
      <c r="O27" s="2"/>
      <c r="P27" s="2"/>
      <c r="Q27" s="2"/>
      <c r="R27" s="2"/>
      <c r="S27" s="2"/>
    </row>
    <row r="28" spans="2:19" ht="13.5" x14ac:dyDescent="0.15">
      <c r="B28" s="2">
        <v>26</v>
      </c>
      <c r="C28" s="7" t="s">
        <v>55</v>
      </c>
      <c r="D28" s="7" t="s">
        <v>50</v>
      </c>
      <c r="E28" s="2">
        <v>25</v>
      </c>
      <c r="F28" s="2">
        <v>12</v>
      </c>
      <c r="G28" s="2">
        <v>12</v>
      </c>
      <c r="H28" s="2">
        <v>12</v>
      </c>
      <c r="I28" s="2">
        <v>18</v>
      </c>
      <c r="J28" s="2">
        <v>6</v>
      </c>
      <c r="K28" s="2">
        <v>30</v>
      </c>
      <c r="L28" s="2">
        <v>21</v>
      </c>
      <c r="M28" s="2"/>
      <c r="N28" s="2"/>
      <c r="O28" s="2"/>
      <c r="P28" s="2"/>
      <c r="Q28" s="2"/>
      <c r="R28" s="2"/>
      <c r="S28" s="2"/>
    </row>
    <row r="29" spans="2:19" ht="13.5" x14ac:dyDescent="0.15">
      <c r="B29" s="2">
        <v>27</v>
      </c>
      <c r="C29" s="10" t="s">
        <v>56</v>
      </c>
      <c r="D29" s="7" t="s">
        <v>57</v>
      </c>
      <c r="E29" s="2">
        <v>25</v>
      </c>
      <c r="F29" s="2">
        <v>12</v>
      </c>
      <c r="G29" s="2">
        <v>10</v>
      </c>
      <c r="H29" s="2">
        <v>12</v>
      </c>
      <c r="I29" s="2">
        <v>25</v>
      </c>
      <c r="J29" s="2">
        <v>22</v>
      </c>
      <c r="K29" s="2">
        <v>16</v>
      </c>
      <c r="L29" s="2">
        <v>21</v>
      </c>
      <c r="M29" s="2"/>
      <c r="N29" s="2"/>
      <c r="O29" s="2"/>
      <c r="P29" s="2"/>
      <c r="Q29" s="2"/>
      <c r="R29" s="2"/>
      <c r="S29" s="2"/>
    </row>
    <row r="30" spans="2:19" ht="13.5" x14ac:dyDescent="0.15">
      <c r="B30" s="2">
        <v>28</v>
      </c>
      <c r="C30" s="7" t="s">
        <v>58</v>
      </c>
      <c r="D30" s="7" t="s">
        <v>39</v>
      </c>
      <c r="E30" s="2">
        <v>22</v>
      </c>
      <c r="F30" s="2">
        <v>15</v>
      </c>
      <c r="G30" s="2">
        <v>21</v>
      </c>
      <c r="H30" s="2">
        <v>21</v>
      </c>
      <c r="I30" s="2">
        <v>24</v>
      </c>
      <c r="J30" s="2">
        <v>18</v>
      </c>
      <c r="K30" s="2">
        <v>21</v>
      </c>
      <c r="L30" s="2">
        <v>16</v>
      </c>
      <c r="M30" s="2"/>
      <c r="N30" s="2"/>
      <c r="O30" s="2"/>
      <c r="P30" s="2"/>
      <c r="Q30" s="2"/>
      <c r="R30" s="2"/>
      <c r="S30" s="2"/>
    </row>
    <row r="31" spans="2:19" ht="13.5" x14ac:dyDescent="0.15">
      <c r="B31" s="2">
        <v>29</v>
      </c>
      <c r="C31" s="10" t="s">
        <v>59</v>
      </c>
      <c r="D31" s="10" t="s">
        <v>45</v>
      </c>
      <c r="E31" s="2">
        <v>27</v>
      </c>
      <c r="F31" s="2">
        <v>4</v>
      </c>
      <c r="G31" s="2">
        <v>21</v>
      </c>
      <c r="H31" s="2">
        <v>19</v>
      </c>
      <c r="I31" s="2">
        <v>5</v>
      </c>
      <c r="J31" s="2">
        <v>3</v>
      </c>
      <c r="K31" s="2">
        <v>27</v>
      </c>
      <c r="L31" s="2">
        <v>13</v>
      </c>
      <c r="M31" s="2"/>
      <c r="N31" s="2"/>
      <c r="O31" s="2"/>
      <c r="P31" s="2"/>
      <c r="Q31" s="2"/>
      <c r="R31" s="2"/>
      <c r="S31" s="2"/>
    </row>
    <row r="32" spans="2:19" ht="13.5" x14ac:dyDescent="0.15">
      <c r="B32" s="2">
        <v>30</v>
      </c>
      <c r="C32" s="7" t="s">
        <v>60</v>
      </c>
      <c r="D32" s="7" t="s">
        <v>13</v>
      </c>
      <c r="E32" s="2">
        <v>30</v>
      </c>
      <c r="F32" s="2">
        <v>3</v>
      </c>
      <c r="G32" s="2">
        <v>18</v>
      </c>
      <c r="H32" s="2">
        <v>16</v>
      </c>
      <c r="I32" s="2">
        <v>0</v>
      </c>
      <c r="J32" s="2">
        <v>1</v>
      </c>
      <c r="K32" s="2">
        <v>17</v>
      </c>
      <c r="L32" s="2">
        <v>15</v>
      </c>
      <c r="M32" s="2"/>
      <c r="N32" s="2"/>
      <c r="O32" s="2"/>
      <c r="P32" s="2"/>
      <c r="Q32" s="2"/>
      <c r="R32" s="2"/>
      <c r="S32" s="2"/>
    </row>
    <row r="33" spans="2:27" ht="13.5" x14ac:dyDescent="0.15">
      <c r="B33" s="2">
        <v>31</v>
      </c>
      <c r="C33" s="10" t="s">
        <v>61</v>
      </c>
      <c r="D33" s="10" t="s">
        <v>62</v>
      </c>
      <c r="E33" s="2">
        <v>27</v>
      </c>
      <c r="F33" s="2">
        <v>3</v>
      </c>
      <c r="G33" s="2">
        <v>18</v>
      </c>
      <c r="H33" s="2">
        <v>16</v>
      </c>
      <c r="I33" s="2">
        <v>0</v>
      </c>
      <c r="J33" s="2">
        <v>1</v>
      </c>
      <c r="K33" s="2">
        <v>17</v>
      </c>
      <c r="L33" s="2">
        <v>15</v>
      </c>
      <c r="M33" s="2"/>
      <c r="N33" s="2"/>
      <c r="O33" s="2"/>
      <c r="P33" s="2"/>
      <c r="Q33" s="2"/>
      <c r="R33" s="2"/>
      <c r="S33" s="2"/>
    </row>
    <row r="34" spans="2:27" x14ac:dyDescent="0.15">
      <c r="B34" s="2">
        <v>32</v>
      </c>
      <c r="C34" s="2" t="s">
        <v>12</v>
      </c>
      <c r="D34" s="2" t="s">
        <v>62</v>
      </c>
      <c r="E34" s="2">
        <f>INT(E4*1.5)</f>
        <v>39</v>
      </c>
      <c r="F34" s="2">
        <f t="shared" ref="F34:L34" si="0">INT(F4*1.5)</f>
        <v>6</v>
      </c>
      <c r="G34" s="2">
        <f t="shared" si="0"/>
        <v>27</v>
      </c>
      <c r="H34" s="2">
        <f t="shared" si="0"/>
        <v>27</v>
      </c>
      <c r="I34" s="2">
        <f t="shared" si="0"/>
        <v>0</v>
      </c>
      <c r="J34" s="2">
        <f t="shared" si="0"/>
        <v>1</v>
      </c>
      <c r="K34" s="2">
        <f t="shared" si="0"/>
        <v>6</v>
      </c>
      <c r="L34" s="2">
        <f t="shared" si="0"/>
        <v>7</v>
      </c>
      <c r="M34" s="2"/>
      <c r="N34" s="2"/>
      <c r="O34" s="2"/>
      <c r="P34" s="2"/>
      <c r="Q34" s="2"/>
      <c r="R34" s="2"/>
      <c r="S34" s="2"/>
    </row>
    <row r="35" spans="2:27" x14ac:dyDescent="0.15">
      <c r="B35" s="2">
        <v>33</v>
      </c>
      <c r="C35" s="2" t="s">
        <v>14</v>
      </c>
      <c r="D35" s="2" t="s">
        <v>24</v>
      </c>
      <c r="E35" s="2">
        <f t="shared" ref="E35:L36" si="1">INT(E5*1.5)</f>
        <v>27</v>
      </c>
      <c r="F35" s="2">
        <f t="shared" si="1"/>
        <v>27</v>
      </c>
      <c r="G35" s="2">
        <f t="shared" si="1"/>
        <v>6</v>
      </c>
      <c r="H35" s="2">
        <f t="shared" si="1"/>
        <v>6</v>
      </c>
      <c r="I35" s="2">
        <f t="shared" si="1"/>
        <v>27</v>
      </c>
      <c r="J35" s="2">
        <f t="shared" si="1"/>
        <v>3</v>
      </c>
      <c r="K35" s="2">
        <f t="shared" si="1"/>
        <v>27</v>
      </c>
      <c r="L35" s="2">
        <f t="shared" si="1"/>
        <v>21</v>
      </c>
      <c r="M35" s="2"/>
      <c r="N35" s="2"/>
      <c r="O35" s="2"/>
      <c r="P35" s="2"/>
      <c r="Q35" s="2"/>
      <c r="R35" s="2"/>
      <c r="S35" s="2"/>
    </row>
    <row r="36" spans="2:27" x14ac:dyDescent="0.15">
      <c r="B36" s="2">
        <v>34</v>
      </c>
      <c r="C36" s="2" t="s">
        <v>16</v>
      </c>
      <c r="D36" s="2" t="s">
        <v>28</v>
      </c>
      <c r="E36" s="2">
        <f t="shared" si="1"/>
        <v>25</v>
      </c>
      <c r="F36" s="2">
        <f t="shared" si="1"/>
        <v>0</v>
      </c>
      <c r="G36" s="2">
        <f t="shared" si="1"/>
        <v>33</v>
      </c>
      <c r="H36" s="2">
        <f t="shared" si="1"/>
        <v>3</v>
      </c>
      <c r="I36" s="2">
        <f t="shared" si="1"/>
        <v>0</v>
      </c>
      <c r="J36" s="2">
        <f t="shared" si="1"/>
        <v>7</v>
      </c>
      <c r="K36" s="2">
        <f t="shared" si="1"/>
        <v>22</v>
      </c>
      <c r="L36" s="2">
        <f t="shared" si="1"/>
        <v>22</v>
      </c>
      <c r="M36" s="2"/>
      <c r="N36" s="2"/>
      <c r="O36" s="2"/>
      <c r="P36" s="2"/>
      <c r="Q36" s="2"/>
      <c r="R36" s="2"/>
      <c r="S36" s="2"/>
    </row>
    <row r="37" spans="2:27" x14ac:dyDescent="0.15">
      <c r="B37" s="2">
        <v>35</v>
      </c>
      <c r="C37" s="2" t="s">
        <v>63</v>
      </c>
      <c r="D37" s="2" t="s">
        <v>26</v>
      </c>
      <c r="E37" s="2">
        <f>INT(E21*1.5)</f>
        <v>46</v>
      </c>
      <c r="F37" s="2">
        <f t="shared" ref="F37:L37" si="2">INT(F21*1.5)</f>
        <v>6</v>
      </c>
      <c r="G37" s="2">
        <f t="shared" si="2"/>
        <v>31</v>
      </c>
      <c r="H37" s="2">
        <f t="shared" si="2"/>
        <v>31</v>
      </c>
      <c r="I37" s="2">
        <f t="shared" si="2"/>
        <v>0</v>
      </c>
      <c r="J37" s="2">
        <f t="shared" si="2"/>
        <v>1</v>
      </c>
      <c r="K37" s="2">
        <f t="shared" si="2"/>
        <v>40</v>
      </c>
      <c r="L37" s="2">
        <f t="shared" si="2"/>
        <v>19</v>
      </c>
      <c r="M37" s="2"/>
      <c r="N37" s="2"/>
      <c r="O37" s="2"/>
      <c r="P37" s="2"/>
      <c r="Q37" s="2"/>
      <c r="R37" s="2"/>
      <c r="S37" s="2"/>
    </row>
    <row r="38" spans="2:27" x14ac:dyDescent="0.15">
      <c r="B38" s="2">
        <v>36</v>
      </c>
      <c r="C38" s="2" t="s">
        <v>64</v>
      </c>
      <c r="D38" s="2" t="s">
        <v>43</v>
      </c>
      <c r="E38" s="2">
        <f>INT(E20*1.5)</f>
        <v>36</v>
      </c>
      <c r="F38" s="2">
        <f t="shared" ref="F38:L38" si="3">INT(F20*1.5)</f>
        <v>21</v>
      </c>
      <c r="G38" s="2">
        <f t="shared" si="3"/>
        <v>15</v>
      </c>
      <c r="H38" s="2">
        <f t="shared" si="3"/>
        <v>21</v>
      </c>
      <c r="I38" s="2">
        <f t="shared" si="3"/>
        <v>21</v>
      </c>
      <c r="J38" s="2">
        <f t="shared" si="3"/>
        <v>7</v>
      </c>
      <c r="K38" s="2">
        <f t="shared" si="3"/>
        <v>36</v>
      </c>
      <c r="L38" s="2">
        <f t="shared" si="3"/>
        <v>36</v>
      </c>
      <c r="M38" s="2"/>
      <c r="N38" s="2"/>
      <c r="O38" s="2"/>
      <c r="P38" s="2"/>
      <c r="Q38" s="2"/>
      <c r="R38" s="2"/>
      <c r="S38" s="2"/>
    </row>
    <row r="39" spans="2:27" x14ac:dyDescent="0.15">
      <c r="B39" s="2">
        <v>37</v>
      </c>
      <c r="C39" s="2" t="s">
        <v>65</v>
      </c>
      <c r="D39" s="2" t="s">
        <v>39</v>
      </c>
      <c r="E39" s="2">
        <f>INT(E30*1.5)</f>
        <v>33</v>
      </c>
      <c r="F39" s="2">
        <f t="shared" ref="F39:L39" si="4">INT(F30*1.5)</f>
        <v>22</v>
      </c>
      <c r="G39" s="2">
        <f t="shared" si="4"/>
        <v>31</v>
      </c>
      <c r="H39" s="2">
        <f t="shared" si="4"/>
        <v>31</v>
      </c>
      <c r="I39" s="2">
        <f t="shared" si="4"/>
        <v>36</v>
      </c>
      <c r="J39" s="2">
        <f t="shared" si="4"/>
        <v>27</v>
      </c>
      <c r="K39" s="2">
        <f t="shared" si="4"/>
        <v>31</v>
      </c>
      <c r="L39" s="2">
        <f t="shared" si="4"/>
        <v>24</v>
      </c>
      <c r="M39" s="2"/>
      <c r="N39" s="2"/>
      <c r="O39" s="2"/>
      <c r="P39" s="2"/>
      <c r="Q39" s="2"/>
      <c r="R39" s="2"/>
      <c r="S39" s="2"/>
    </row>
    <row r="43" spans="2:27" x14ac:dyDescent="0.15">
      <c r="B43" s="4" t="s">
        <v>66</v>
      </c>
      <c r="C43" s="12" t="s">
        <v>78</v>
      </c>
      <c r="D43" s="5" t="s">
        <v>79</v>
      </c>
      <c r="E43" s="4" t="s">
        <v>2</v>
      </c>
      <c r="F43" s="4" t="s">
        <v>3</v>
      </c>
      <c r="G43" s="6" t="s">
        <v>80</v>
      </c>
      <c r="H43" s="6" t="s">
        <v>81</v>
      </c>
      <c r="I43" s="6" t="s">
        <v>82</v>
      </c>
      <c r="J43" s="5" t="s">
        <v>83</v>
      </c>
      <c r="K43" s="4" t="s">
        <v>84</v>
      </c>
      <c r="L43" s="4" t="s">
        <v>85</v>
      </c>
      <c r="M43" s="11" t="s">
        <v>86</v>
      </c>
      <c r="N43" s="11" t="s">
        <v>68</v>
      </c>
      <c r="O43" s="11" t="s">
        <v>87</v>
      </c>
      <c r="P43" s="11" t="s">
        <v>88</v>
      </c>
      <c r="Q43" s="11" t="s">
        <v>71</v>
      </c>
      <c r="R43" s="11" t="s">
        <v>89</v>
      </c>
      <c r="S43" s="11" t="s">
        <v>73</v>
      </c>
      <c r="T43" s="1" t="s">
        <v>148</v>
      </c>
      <c r="U43" s="1" t="s">
        <v>150</v>
      </c>
      <c r="V43" s="16" t="s">
        <v>151</v>
      </c>
      <c r="W43" s="1" t="s">
        <v>149</v>
      </c>
      <c r="X43" s="1" t="s">
        <v>152</v>
      </c>
      <c r="Y43" s="1" t="s">
        <v>153</v>
      </c>
    </row>
    <row r="44" spans="2:27" ht="13.5" x14ac:dyDescent="0.15">
      <c r="B44" s="2">
        <v>1</v>
      </c>
      <c r="C44" s="7" t="s">
        <v>10</v>
      </c>
      <c r="D44" s="7" t="s">
        <v>90</v>
      </c>
      <c r="E44" s="2">
        <v>6</v>
      </c>
      <c r="F44" s="2">
        <v>1.2</v>
      </c>
      <c r="G44" s="2">
        <v>4.5</v>
      </c>
      <c r="H44" s="2">
        <v>1</v>
      </c>
      <c r="I44" s="2">
        <v>4.5</v>
      </c>
      <c r="J44" s="2">
        <v>1</v>
      </c>
      <c r="K44" s="2">
        <v>2</v>
      </c>
      <c r="L44" s="2">
        <v>2</v>
      </c>
      <c r="M44" s="2"/>
      <c r="N44" s="2"/>
      <c r="O44" s="2"/>
      <c r="P44" s="2"/>
      <c r="Q44" s="2"/>
      <c r="R44" s="2"/>
      <c r="S44" s="2"/>
      <c r="T44" s="1">
        <f>E44+H44/4+(J44/4)*2.5</f>
        <v>6.875</v>
      </c>
      <c r="U44" s="1">
        <f>L44/(L44+1*2)</f>
        <v>0.5</v>
      </c>
      <c r="V44" s="1">
        <f>2/(K44+2)</f>
        <v>0.5</v>
      </c>
      <c r="W44" s="1">
        <f>(G44/2+I44*2.5/2)/2</f>
        <v>3.9375</v>
      </c>
      <c r="X44" s="1">
        <f>T44/V44</f>
        <v>13.75</v>
      </c>
      <c r="Y44" s="1">
        <f>W44*U44</f>
        <v>1.96875</v>
      </c>
      <c r="Z44" s="1">
        <f>X45/Y44</f>
        <v>8.6349206349206344</v>
      </c>
      <c r="AA44" s="1">
        <f>X44/Y45</f>
        <v>7.8571428571428568</v>
      </c>
    </row>
    <row r="45" spans="2:27" ht="13.5" x14ac:dyDescent="0.15">
      <c r="B45" s="2">
        <v>2</v>
      </c>
      <c r="C45" s="8" t="s">
        <v>12</v>
      </c>
      <c r="D45" s="8" t="s">
        <v>91</v>
      </c>
      <c r="E45" s="3">
        <v>5</v>
      </c>
      <c r="F45" s="3">
        <v>1.2</v>
      </c>
      <c r="G45" s="3">
        <v>4</v>
      </c>
      <c r="H45" s="3">
        <v>4</v>
      </c>
      <c r="I45" s="3">
        <v>4</v>
      </c>
      <c r="J45" s="3">
        <v>4</v>
      </c>
      <c r="K45" s="3">
        <v>2</v>
      </c>
      <c r="L45" s="3">
        <v>2</v>
      </c>
      <c r="M45" s="2"/>
      <c r="N45" s="2"/>
      <c r="O45" s="2"/>
      <c r="P45" s="2"/>
      <c r="Q45" s="2"/>
      <c r="R45" s="2"/>
      <c r="S45" s="2"/>
      <c r="T45" s="1">
        <f t="shared" ref="T45:T80" si="5">E45+H45/4+(J45/4)*2.5</f>
        <v>8.5</v>
      </c>
      <c r="U45" s="1">
        <f t="shared" ref="U45:U80" si="6">L45/(L45+1*2)</f>
        <v>0.5</v>
      </c>
      <c r="V45" s="1">
        <f t="shared" ref="V45:V80" si="7">2/(K45+2)</f>
        <v>0.5</v>
      </c>
      <c r="W45" s="1">
        <f t="shared" ref="W45:W80" si="8">(G45/2+I45*2.5/2)/2</f>
        <v>3.5</v>
      </c>
      <c r="X45" s="1">
        <f t="shared" ref="X45:X80" si="9">T45/V45</f>
        <v>17</v>
      </c>
      <c r="Y45" s="1">
        <f t="shared" ref="Y45:Y80" si="10">W45*U45</f>
        <v>1.75</v>
      </c>
      <c r="Z45" s="1">
        <f t="shared" ref="Z45:Z79" si="11">X46/Y45</f>
        <v>7.8964285714285714</v>
      </c>
      <c r="AA45" s="1">
        <f t="shared" ref="AA45:AA79" si="12">X45/Y46</f>
        <v>6.0444444444444443</v>
      </c>
    </row>
    <row r="46" spans="2:27" ht="13.5" x14ac:dyDescent="0.15">
      <c r="B46" s="2">
        <v>3</v>
      </c>
      <c r="C46" s="9" t="s">
        <v>14</v>
      </c>
      <c r="D46" s="9" t="s">
        <v>92</v>
      </c>
      <c r="E46" s="3">
        <v>4.25</v>
      </c>
      <c r="F46" s="3">
        <v>1.7</v>
      </c>
      <c r="G46" s="3">
        <v>2.5</v>
      </c>
      <c r="H46" s="3">
        <v>4</v>
      </c>
      <c r="I46" s="3">
        <v>6.5</v>
      </c>
      <c r="J46" s="3">
        <v>5</v>
      </c>
      <c r="K46" s="3">
        <v>1.3</v>
      </c>
      <c r="L46" s="3">
        <v>3</v>
      </c>
      <c r="M46" s="2"/>
      <c r="N46" s="2"/>
      <c r="O46" s="2"/>
      <c r="P46" s="2"/>
      <c r="Q46" s="2"/>
      <c r="R46" s="2"/>
      <c r="S46" s="2"/>
      <c r="T46" s="1">
        <f t="shared" si="5"/>
        <v>8.375</v>
      </c>
      <c r="U46" s="1">
        <f t="shared" si="6"/>
        <v>0.6</v>
      </c>
      <c r="V46" s="1">
        <f t="shared" si="7"/>
        <v>0.60606060606060608</v>
      </c>
      <c r="W46" s="1">
        <f t="shared" si="8"/>
        <v>4.6875</v>
      </c>
      <c r="X46" s="1">
        <f t="shared" si="9"/>
        <v>13.81875</v>
      </c>
      <c r="Y46" s="1">
        <f t="shared" si="10"/>
        <v>2.8125</v>
      </c>
      <c r="Z46" s="1">
        <f t="shared" si="11"/>
        <v>7.9733333333333336</v>
      </c>
      <c r="AA46" s="1">
        <f t="shared" si="12"/>
        <v>9.820768307322929</v>
      </c>
    </row>
    <row r="47" spans="2:27" ht="13.5" x14ac:dyDescent="0.15">
      <c r="B47" s="2">
        <v>4</v>
      </c>
      <c r="C47" s="8" t="s">
        <v>16</v>
      </c>
      <c r="D47" s="8" t="s">
        <v>93</v>
      </c>
      <c r="E47" s="3">
        <v>4.25</v>
      </c>
      <c r="F47" s="3">
        <v>1</v>
      </c>
      <c r="G47" s="3">
        <v>6</v>
      </c>
      <c r="H47" s="3">
        <v>5</v>
      </c>
      <c r="I47" s="3">
        <v>2.5</v>
      </c>
      <c r="J47" s="3">
        <v>5</v>
      </c>
      <c r="K47" s="3">
        <v>3.2</v>
      </c>
      <c r="L47" s="3">
        <v>1.7</v>
      </c>
      <c r="M47" s="2"/>
      <c r="N47" s="2"/>
      <c r="O47" s="2"/>
      <c r="P47" s="2"/>
      <c r="Q47" s="2"/>
      <c r="R47" s="2"/>
      <c r="S47" s="2"/>
      <c r="T47" s="1">
        <f t="shared" si="5"/>
        <v>8.625</v>
      </c>
      <c r="U47" s="1">
        <f t="shared" si="6"/>
        <v>0.45945945945945943</v>
      </c>
      <c r="V47" s="1">
        <f t="shared" si="7"/>
        <v>0.38461538461538458</v>
      </c>
      <c r="W47" s="1">
        <f t="shared" si="8"/>
        <v>3.0625</v>
      </c>
      <c r="X47" s="1">
        <f t="shared" si="9"/>
        <v>22.425000000000001</v>
      </c>
      <c r="Y47" s="1">
        <f t="shared" si="10"/>
        <v>1.4070945945945945</v>
      </c>
      <c r="Z47" s="1">
        <f t="shared" si="11"/>
        <v>7.2845138055222094</v>
      </c>
      <c r="AA47" s="1">
        <f t="shared" si="12"/>
        <v>7.1760000000000002</v>
      </c>
    </row>
    <row r="48" spans="2:27" ht="13.5" x14ac:dyDescent="0.15">
      <c r="B48" s="2">
        <v>5</v>
      </c>
      <c r="C48" s="7" t="s">
        <v>18</v>
      </c>
      <c r="D48" s="7" t="s">
        <v>90</v>
      </c>
      <c r="E48" s="2">
        <v>4.25</v>
      </c>
      <c r="F48" s="2">
        <v>1.2</v>
      </c>
      <c r="G48" s="2">
        <v>5</v>
      </c>
      <c r="H48" s="2">
        <v>1</v>
      </c>
      <c r="I48" s="2">
        <v>5</v>
      </c>
      <c r="J48" s="2">
        <v>1</v>
      </c>
      <c r="K48" s="2">
        <v>2</v>
      </c>
      <c r="L48" s="2">
        <v>5</v>
      </c>
      <c r="M48" s="2"/>
      <c r="N48" s="2"/>
      <c r="O48" s="2"/>
      <c r="P48" s="2"/>
      <c r="Q48" s="2"/>
      <c r="R48" s="2"/>
      <c r="S48" s="2"/>
      <c r="T48" s="1">
        <f t="shared" si="5"/>
        <v>5.125</v>
      </c>
      <c r="U48" s="1">
        <f t="shared" si="6"/>
        <v>0.7142857142857143</v>
      </c>
      <c r="V48" s="1">
        <f t="shared" si="7"/>
        <v>0.5</v>
      </c>
      <c r="W48" s="1">
        <f t="shared" si="8"/>
        <v>4.375</v>
      </c>
      <c r="X48" s="1">
        <f t="shared" si="9"/>
        <v>10.25</v>
      </c>
      <c r="Y48" s="1">
        <f t="shared" si="10"/>
        <v>3.125</v>
      </c>
      <c r="Z48" s="1">
        <f t="shared" si="11"/>
        <v>6.4</v>
      </c>
      <c r="AA48" s="1">
        <f t="shared" si="12"/>
        <v>8.1999999999999993</v>
      </c>
    </row>
    <row r="49" spans="2:27" ht="13.5" x14ac:dyDescent="0.15">
      <c r="B49" s="2">
        <v>6</v>
      </c>
      <c r="C49" s="10" t="s">
        <v>20</v>
      </c>
      <c r="D49" s="7" t="s">
        <v>94</v>
      </c>
      <c r="E49" s="2">
        <v>5</v>
      </c>
      <c r="F49" s="2">
        <v>1</v>
      </c>
      <c r="G49" s="2">
        <v>5</v>
      </c>
      <c r="H49" s="2">
        <v>2</v>
      </c>
      <c r="I49" s="2">
        <v>4</v>
      </c>
      <c r="J49" s="2">
        <v>4</v>
      </c>
      <c r="K49" s="2">
        <v>3</v>
      </c>
      <c r="L49" s="2">
        <v>1</v>
      </c>
      <c r="M49" s="2"/>
      <c r="N49" s="2"/>
      <c r="O49" s="2"/>
      <c r="P49" s="2"/>
      <c r="Q49" s="2"/>
      <c r="R49" s="2"/>
      <c r="S49" s="2"/>
      <c r="T49" s="1">
        <f t="shared" si="5"/>
        <v>8</v>
      </c>
      <c r="U49" s="1">
        <f t="shared" si="6"/>
        <v>0.33333333333333331</v>
      </c>
      <c r="V49" s="1">
        <f t="shared" si="7"/>
        <v>0.4</v>
      </c>
      <c r="W49" s="1">
        <f t="shared" si="8"/>
        <v>3.75</v>
      </c>
      <c r="X49" s="1">
        <f t="shared" si="9"/>
        <v>20</v>
      </c>
      <c r="Y49" s="1">
        <f t="shared" si="10"/>
        <v>1.25</v>
      </c>
      <c r="Z49" s="1">
        <f t="shared" si="11"/>
        <v>11.385</v>
      </c>
      <c r="AA49" s="1">
        <f t="shared" si="12"/>
        <v>7.6190476190476186</v>
      </c>
    </row>
    <row r="50" spans="2:27" ht="13.5" x14ac:dyDescent="0.15">
      <c r="B50" s="2">
        <v>7</v>
      </c>
      <c r="C50" s="10" t="s">
        <v>21</v>
      </c>
      <c r="D50" s="10" t="s">
        <v>95</v>
      </c>
      <c r="E50" s="2">
        <v>4.75</v>
      </c>
      <c r="F50" s="2">
        <v>1.4</v>
      </c>
      <c r="G50" s="2">
        <v>2.5</v>
      </c>
      <c r="H50" s="2">
        <v>3</v>
      </c>
      <c r="I50" s="2">
        <v>6</v>
      </c>
      <c r="J50" s="2">
        <v>5</v>
      </c>
      <c r="K50" s="2">
        <v>1.3</v>
      </c>
      <c r="L50" s="2">
        <v>3</v>
      </c>
      <c r="M50" s="2"/>
      <c r="N50" s="2"/>
      <c r="O50" s="2"/>
      <c r="P50" s="2"/>
      <c r="Q50" s="2"/>
      <c r="R50" s="2"/>
      <c r="S50" s="2"/>
      <c r="T50" s="1">
        <f t="shared" si="5"/>
        <v>8.625</v>
      </c>
      <c r="U50" s="1">
        <f t="shared" si="6"/>
        <v>0.6</v>
      </c>
      <c r="V50" s="1">
        <f t="shared" si="7"/>
        <v>0.60606060606060608</v>
      </c>
      <c r="W50" s="1">
        <f t="shared" si="8"/>
        <v>4.375</v>
      </c>
      <c r="X50" s="1">
        <f t="shared" si="9"/>
        <v>14.231249999999999</v>
      </c>
      <c r="Y50" s="1">
        <f t="shared" si="10"/>
        <v>2.625</v>
      </c>
      <c r="Z50" s="1">
        <f t="shared" si="11"/>
        <v>5.2642857142857142</v>
      </c>
      <c r="AA50" s="1">
        <f t="shared" si="12"/>
        <v>5.0599999999999996</v>
      </c>
    </row>
    <row r="51" spans="2:27" ht="13.5" x14ac:dyDescent="0.15">
      <c r="B51" s="2">
        <v>8</v>
      </c>
      <c r="C51" s="7" t="s">
        <v>23</v>
      </c>
      <c r="D51" s="7" t="s">
        <v>92</v>
      </c>
      <c r="E51" s="2">
        <v>4.25</v>
      </c>
      <c r="F51" s="2">
        <v>1.7</v>
      </c>
      <c r="G51" s="2">
        <v>2.5</v>
      </c>
      <c r="H51" s="2">
        <v>4</v>
      </c>
      <c r="I51" s="2">
        <v>6.5</v>
      </c>
      <c r="J51" s="2">
        <v>5</v>
      </c>
      <c r="K51" s="2">
        <v>1.3</v>
      </c>
      <c r="L51" s="2">
        <v>3</v>
      </c>
      <c r="M51" s="2"/>
      <c r="N51" s="2"/>
      <c r="O51" s="2"/>
      <c r="P51" s="2"/>
      <c r="Q51" s="2"/>
      <c r="R51" s="2"/>
      <c r="S51" s="2"/>
      <c r="T51" s="1">
        <f t="shared" si="5"/>
        <v>8.375</v>
      </c>
      <c r="U51" s="1">
        <f t="shared" si="6"/>
        <v>0.6</v>
      </c>
      <c r="V51" s="1">
        <f t="shared" si="7"/>
        <v>0.60606060606060608</v>
      </c>
      <c r="W51" s="1">
        <f t="shared" si="8"/>
        <v>4.6875</v>
      </c>
      <c r="X51" s="1">
        <f t="shared" si="9"/>
        <v>13.81875</v>
      </c>
      <c r="Y51" s="1">
        <f t="shared" si="10"/>
        <v>2.8125</v>
      </c>
      <c r="Z51" s="1">
        <f t="shared" si="11"/>
        <v>7.7777777777777777</v>
      </c>
      <c r="AA51" s="1">
        <f t="shared" si="12"/>
        <v>6.3534482758620694</v>
      </c>
    </row>
    <row r="52" spans="2:27" ht="13.5" x14ac:dyDescent="0.15">
      <c r="B52" s="2">
        <v>9</v>
      </c>
      <c r="C52" s="10" t="s">
        <v>25</v>
      </c>
      <c r="D52" s="10" t="s">
        <v>96</v>
      </c>
      <c r="E52" s="2">
        <v>5.25</v>
      </c>
      <c r="F52" s="2">
        <v>1.2</v>
      </c>
      <c r="G52" s="2">
        <v>4.5</v>
      </c>
      <c r="H52" s="2">
        <v>4</v>
      </c>
      <c r="I52" s="2">
        <v>4</v>
      </c>
      <c r="J52" s="2">
        <v>4</v>
      </c>
      <c r="K52" s="2">
        <v>3</v>
      </c>
      <c r="L52" s="2">
        <v>3</v>
      </c>
      <c r="M52" s="2"/>
      <c r="N52" s="2"/>
      <c r="O52" s="2"/>
      <c r="P52" s="2"/>
      <c r="Q52" s="2"/>
      <c r="R52" s="2"/>
      <c r="S52" s="2"/>
      <c r="T52" s="1">
        <f t="shared" si="5"/>
        <v>8.75</v>
      </c>
      <c r="U52" s="1">
        <f t="shared" si="6"/>
        <v>0.6</v>
      </c>
      <c r="V52" s="1">
        <f t="shared" si="7"/>
        <v>0.4</v>
      </c>
      <c r="W52" s="1">
        <f t="shared" si="8"/>
        <v>3.625</v>
      </c>
      <c r="X52" s="1">
        <f t="shared" si="9"/>
        <v>21.875</v>
      </c>
      <c r="Y52" s="1">
        <f t="shared" si="10"/>
        <v>2.1749999999999998</v>
      </c>
      <c r="Z52" s="1">
        <f t="shared" si="11"/>
        <v>11.551724137931036</v>
      </c>
      <c r="AA52" s="1">
        <f t="shared" si="12"/>
        <v>12.352941176470587</v>
      </c>
    </row>
    <row r="53" spans="2:27" ht="13.5" x14ac:dyDescent="0.15">
      <c r="B53" s="2">
        <v>10</v>
      </c>
      <c r="C53" s="7" t="s">
        <v>27</v>
      </c>
      <c r="D53" s="7" t="s">
        <v>97</v>
      </c>
      <c r="E53" s="2">
        <v>4</v>
      </c>
      <c r="F53" s="2">
        <v>1</v>
      </c>
      <c r="G53" s="2">
        <v>6.5</v>
      </c>
      <c r="H53" s="2">
        <v>5</v>
      </c>
      <c r="I53" s="2">
        <v>2.5</v>
      </c>
      <c r="J53" s="2">
        <v>5</v>
      </c>
      <c r="K53" s="2">
        <v>4</v>
      </c>
      <c r="L53" s="2">
        <v>2.5</v>
      </c>
      <c r="M53" s="2"/>
      <c r="N53" s="2"/>
      <c r="O53" s="2"/>
      <c r="P53" s="2"/>
      <c r="Q53" s="2"/>
      <c r="R53" s="2"/>
      <c r="S53" s="2"/>
      <c r="T53" s="1">
        <f t="shared" si="5"/>
        <v>8.375</v>
      </c>
      <c r="U53" s="1">
        <f t="shared" si="6"/>
        <v>0.55555555555555558</v>
      </c>
      <c r="V53" s="1">
        <f t="shared" si="7"/>
        <v>0.33333333333333331</v>
      </c>
      <c r="W53" s="1">
        <f t="shared" si="8"/>
        <v>3.1875</v>
      </c>
      <c r="X53" s="1">
        <f t="shared" si="9"/>
        <v>25.125</v>
      </c>
      <c r="Y53" s="1">
        <f t="shared" si="10"/>
        <v>1.7708333333333335</v>
      </c>
      <c r="Z53" s="1">
        <f t="shared" si="11"/>
        <v>10.023529411764706</v>
      </c>
      <c r="AA53" s="1">
        <f t="shared" si="12"/>
        <v>12.181818181818182</v>
      </c>
    </row>
    <row r="54" spans="2:27" ht="13.5" x14ac:dyDescent="0.15">
      <c r="B54" s="2">
        <v>11</v>
      </c>
      <c r="C54" s="10" t="s">
        <v>29</v>
      </c>
      <c r="D54" s="10" t="s">
        <v>98</v>
      </c>
      <c r="E54" s="2">
        <v>5</v>
      </c>
      <c r="F54" s="2">
        <v>1.4</v>
      </c>
      <c r="G54" s="2">
        <v>4</v>
      </c>
      <c r="H54" s="2">
        <v>3</v>
      </c>
      <c r="I54" s="2">
        <v>5</v>
      </c>
      <c r="J54" s="2">
        <v>5</v>
      </c>
      <c r="K54" s="2">
        <v>2</v>
      </c>
      <c r="L54" s="2">
        <v>2</v>
      </c>
      <c r="M54" s="2"/>
      <c r="N54" s="2"/>
      <c r="O54" s="2"/>
      <c r="P54" s="2"/>
      <c r="Q54" s="2"/>
      <c r="R54" s="2"/>
      <c r="S54" s="2"/>
      <c r="T54" s="1">
        <f t="shared" si="5"/>
        <v>8.875</v>
      </c>
      <c r="U54" s="1">
        <f t="shared" si="6"/>
        <v>0.5</v>
      </c>
      <c r="V54" s="1">
        <f t="shared" si="7"/>
        <v>0.5</v>
      </c>
      <c r="W54" s="1">
        <f t="shared" si="8"/>
        <v>4.125</v>
      </c>
      <c r="X54" s="1">
        <f t="shared" si="9"/>
        <v>17.75</v>
      </c>
      <c r="Y54" s="1">
        <f t="shared" si="10"/>
        <v>2.0625</v>
      </c>
      <c r="Z54" s="1">
        <f t="shared" si="11"/>
        <v>8.3636363636363633</v>
      </c>
      <c r="AA54" s="1">
        <f t="shared" si="12"/>
        <v>7.952</v>
      </c>
    </row>
    <row r="55" spans="2:27" ht="13.5" x14ac:dyDescent="0.15">
      <c r="B55" s="2">
        <v>12</v>
      </c>
      <c r="C55" s="7" t="s">
        <v>31</v>
      </c>
      <c r="D55" s="7" t="s">
        <v>32</v>
      </c>
      <c r="E55" s="2">
        <v>5</v>
      </c>
      <c r="F55" s="2">
        <v>1</v>
      </c>
      <c r="G55" s="2">
        <v>5</v>
      </c>
      <c r="H55" s="2">
        <v>2</v>
      </c>
      <c r="I55" s="2">
        <v>3</v>
      </c>
      <c r="J55" s="2">
        <v>5</v>
      </c>
      <c r="K55" s="2">
        <v>2</v>
      </c>
      <c r="L55" s="2">
        <v>5</v>
      </c>
      <c r="M55" s="2"/>
      <c r="N55" s="2"/>
      <c r="O55" s="2"/>
      <c r="P55" s="2"/>
      <c r="Q55" s="2"/>
      <c r="R55" s="2"/>
      <c r="S55" s="2"/>
      <c r="T55" s="1">
        <f t="shared" si="5"/>
        <v>8.625</v>
      </c>
      <c r="U55" s="1">
        <f t="shared" si="6"/>
        <v>0.7142857142857143</v>
      </c>
      <c r="V55" s="1">
        <f t="shared" si="7"/>
        <v>0.5</v>
      </c>
      <c r="W55" s="1">
        <f t="shared" si="8"/>
        <v>3.125</v>
      </c>
      <c r="X55" s="1">
        <f t="shared" si="9"/>
        <v>17.25</v>
      </c>
      <c r="Y55" s="1">
        <f t="shared" si="10"/>
        <v>2.2321428571428572</v>
      </c>
      <c r="Z55" s="1">
        <f t="shared" si="11"/>
        <v>10.0464</v>
      </c>
      <c r="AA55" s="1">
        <f t="shared" si="12"/>
        <v>12.259303721488596</v>
      </c>
    </row>
    <row r="56" spans="2:27" ht="13.5" x14ac:dyDescent="0.15">
      <c r="B56" s="2">
        <v>13</v>
      </c>
      <c r="C56" s="10" t="s">
        <v>33</v>
      </c>
      <c r="D56" s="10" t="s">
        <v>93</v>
      </c>
      <c r="E56" s="2">
        <v>4.25</v>
      </c>
      <c r="F56" s="2">
        <v>1</v>
      </c>
      <c r="G56" s="2">
        <v>6</v>
      </c>
      <c r="H56" s="2">
        <v>5</v>
      </c>
      <c r="I56" s="2">
        <v>2.5</v>
      </c>
      <c r="J56" s="2">
        <v>5</v>
      </c>
      <c r="K56" s="2">
        <v>3.2</v>
      </c>
      <c r="L56" s="2">
        <v>1.7</v>
      </c>
      <c r="M56" s="2"/>
      <c r="N56" s="2"/>
      <c r="O56" s="2"/>
      <c r="P56" s="2"/>
      <c r="Q56" s="2"/>
      <c r="R56" s="2"/>
      <c r="S56" s="2"/>
      <c r="T56" s="1">
        <f t="shared" si="5"/>
        <v>8.625</v>
      </c>
      <c r="U56" s="1">
        <f t="shared" si="6"/>
        <v>0.45945945945945943</v>
      </c>
      <c r="V56" s="1">
        <f t="shared" si="7"/>
        <v>0.38461538461538458</v>
      </c>
      <c r="W56" s="1">
        <f t="shared" si="8"/>
        <v>3.0625</v>
      </c>
      <c r="X56" s="1">
        <f t="shared" si="9"/>
        <v>22.425000000000001</v>
      </c>
      <c r="Y56" s="1">
        <f t="shared" si="10"/>
        <v>1.4070945945945945</v>
      </c>
      <c r="Z56" s="1">
        <f t="shared" si="11"/>
        <v>15.102040816326532</v>
      </c>
      <c r="AA56" s="1">
        <f t="shared" si="12"/>
        <v>11.96</v>
      </c>
    </row>
    <row r="57" spans="2:27" ht="13.5" x14ac:dyDescent="0.15">
      <c r="B57" s="2">
        <v>14</v>
      </c>
      <c r="C57" s="7" t="s">
        <v>34</v>
      </c>
      <c r="D57" s="7" t="s">
        <v>99</v>
      </c>
      <c r="E57" s="2">
        <v>5</v>
      </c>
      <c r="F57" s="2">
        <v>1.2</v>
      </c>
      <c r="G57" s="2">
        <v>5</v>
      </c>
      <c r="H57" s="2">
        <v>4</v>
      </c>
      <c r="I57" s="2">
        <v>3</v>
      </c>
      <c r="J57" s="2">
        <v>4</v>
      </c>
      <c r="K57" s="2">
        <v>3</v>
      </c>
      <c r="L57" s="2">
        <v>3</v>
      </c>
      <c r="M57" s="2"/>
      <c r="N57" s="2"/>
      <c r="O57" s="2"/>
      <c r="P57" s="2"/>
      <c r="Q57" s="2"/>
      <c r="R57" s="2"/>
      <c r="S57" s="2"/>
      <c r="T57" s="1">
        <f t="shared" si="5"/>
        <v>8.5</v>
      </c>
      <c r="U57" s="1">
        <f t="shared" si="6"/>
        <v>0.6</v>
      </c>
      <c r="V57" s="1">
        <f t="shared" si="7"/>
        <v>0.4</v>
      </c>
      <c r="W57" s="1">
        <f t="shared" si="8"/>
        <v>3.125</v>
      </c>
      <c r="X57" s="1">
        <f t="shared" si="9"/>
        <v>21.25</v>
      </c>
      <c r="Y57" s="1">
        <f t="shared" si="10"/>
        <v>1.875</v>
      </c>
      <c r="Z57" s="1">
        <f t="shared" si="11"/>
        <v>16.266666666666666</v>
      </c>
      <c r="AA57" s="1">
        <f t="shared" si="12"/>
        <v>10.793650793650794</v>
      </c>
    </row>
    <row r="58" spans="2:27" ht="13.5" x14ac:dyDescent="0.15">
      <c r="B58" s="2">
        <v>15</v>
      </c>
      <c r="C58" s="10" t="s">
        <v>36</v>
      </c>
      <c r="D58" s="10" t="s">
        <v>74</v>
      </c>
      <c r="E58" s="2">
        <v>5</v>
      </c>
      <c r="F58" s="2">
        <v>1.2</v>
      </c>
      <c r="G58" s="2">
        <v>3</v>
      </c>
      <c r="H58" s="2">
        <v>3</v>
      </c>
      <c r="I58" s="2">
        <v>3</v>
      </c>
      <c r="J58" s="2">
        <v>3</v>
      </c>
      <c r="K58" s="2">
        <v>6</v>
      </c>
      <c r="L58" s="2">
        <v>6</v>
      </c>
      <c r="M58" s="2"/>
      <c r="N58" s="2"/>
      <c r="O58" s="2"/>
      <c r="P58" s="2"/>
      <c r="Q58" s="2"/>
      <c r="R58" s="2"/>
      <c r="S58" s="2"/>
      <c r="T58" s="1">
        <f t="shared" si="5"/>
        <v>7.625</v>
      </c>
      <c r="U58" s="1">
        <f t="shared" si="6"/>
        <v>0.75</v>
      </c>
      <c r="V58" s="1">
        <f t="shared" si="7"/>
        <v>0.25</v>
      </c>
      <c r="W58" s="1">
        <f t="shared" si="8"/>
        <v>2.625</v>
      </c>
      <c r="X58" s="1">
        <f t="shared" si="9"/>
        <v>30.5</v>
      </c>
      <c r="Y58" s="1">
        <f t="shared" si="10"/>
        <v>1.96875</v>
      </c>
      <c r="Z58" s="1">
        <f t="shared" si="11"/>
        <v>8.6349206349206344</v>
      </c>
      <c r="AA58" s="1">
        <f t="shared" si="12"/>
        <v>12.323232323232324</v>
      </c>
    </row>
    <row r="59" spans="2:27" ht="13.5" x14ac:dyDescent="0.15">
      <c r="B59" s="2">
        <v>16</v>
      </c>
      <c r="C59" s="7" t="s">
        <v>38</v>
      </c>
      <c r="D59" s="7" t="s">
        <v>100</v>
      </c>
      <c r="E59" s="2">
        <v>5</v>
      </c>
      <c r="F59" s="2">
        <v>1.4</v>
      </c>
      <c r="G59" s="2">
        <v>4</v>
      </c>
      <c r="H59" s="2">
        <v>4</v>
      </c>
      <c r="I59" s="2">
        <v>5</v>
      </c>
      <c r="J59" s="2">
        <v>4</v>
      </c>
      <c r="K59" s="2">
        <v>2</v>
      </c>
      <c r="L59" s="2">
        <v>3</v>
      </c>
      <c r="M59" s="2"/>
      <c r="N59" s="2"/>
      <c r="O59" s="2"/>
      <c r="P59" s="2"/>
      <c r="Q59" s="2"/>
      <c r="R59" s="2"/>
      <c r="S59" s="2"/>
      <c r="T59" s="1">
        <f t="shared" si="5"/>
        <v>8.5</v>
      </c>
      <c r="U59" s="1">
        <f t="shared" si="6"/>
        <v>0.6</v>
      </c>
      <c r="V59" s="1">
        <f t="shared" si="7"/>
        <v>0.5</v>
      </c>
      <c r="W59" s="1">
        <f t="shared" si="8"/>
        <v>4.125</v>
      </c>
      <c r="X59" s="1">
        <f t="shared" si="9"/>
        <v>17</v>
      </c>
      <c r="Y59" s="1">
        <f t="shared" si="10"/>
        <v>2.4750000000000001</v>
      </c>
      <c r="Z59" s="1">
        <f t="shared" si="11"/>
        <v>6.9696969696969697</v>
      </c>
      <c r="AA59" s="1">
        <f t="shared" si="12"/>
        <v>6.8</v>
      </c>
    </row>
    <row r="60" spans="2:27" ht="13.5" x14ac:dyDescent="0.15">
      <c r="B60" s="2">
        <v>17</v>
      </c>
      <c r="C60" s="10" t="s">
        <v>40</v>
      </c>
      <c r="D60" s="10" t="s">
        <v>101</v>
      </c>
      <c r="E60" s="2">
        <v>4.75</v>
      </c>
      <c r="F60" s="2">
        <v>1.4</v>
      </c>
      <c r="G60" s="2">
        <v>2.5</v>
      </c>
      <c r="H60" s="2">
        <v>3</v>
      </c>
      <c r="I60" s="2">
        <v>5</v>
      </c>
      <c r="J60" s="2">
        <v>5</v>
      </c>
      <c r="K60" s="2">
        <v>2</v>
      </c>
      <c r="L60" s="2">
        <v>4</v>
      </c>
      <c r="M60" s="2"/>
      <c r="N60" s="2"/>
      <c r="O60" s="2"/>
      <c r="P60" s="2"/>
      <c r="Q60" s="2"/>
      <c r="R60" s="2"/>
      <c r="S60" s="2"/>
      <c r="T60" s="1">
        <f t="shared" si="5"/>
        <v>8.625</v>
      </c>
      <c r="U60" s="1">
        <f t="shared" si="6"/>
        <v>0.66666666666666663</v>
      </c>
      <c r="V60" s="1">
        <f t="shared" si="7"/>
        <v>0.5</v>
      </c>
      <c r="W60" s="1">
        <f t="shared" si="8"/>
        <v>3.75</v>
      </c>
      <c r="X60" s="1">
        <f t="shared" si="9"/>
        <v>17.25</v>
      </c>
      <c r="Y60" s="1">
        <f t="shared" si="10"/>
        <v>2.5</v>
      </c>
      <c r="Z60" s="1">
        <f t="shared" si="11"/>
        <v>7.625</v>
      </c>
      <c r="AA60" s="1">
        <f t="shared" si="12"/>
        <v>6</v>
      </c>
    </row>
    <row r="61" spans="2:27" ht="13.5" x14ac:dyDescent="0.15">
      <c r="B61" s="2">
        <v>18</v>
      </c>
      <c r="C61" s="7" t="s">
        <v>42</v>
      </c>
      <c r="D61" s="7" t="s">
        <v>102</v>
      </c>
      <c r="E61" s="2">
        <v>5</v>
      </c>
      <c r="F61" s="2">
        <v>1.2</v>
      </c>
      <c r="G61" s="2">
        <v>6</v>
      </c>
      <c r="H61" s="2">
        <v>3</v>
      </c>
      <c r="I61" s="2">
        <v>4.5</v>
      </c>
      <c r="J61" s="2">
        <v>3</v>
      </c>
      <c r="K61" s="2">
        <v>3</v>
      </c>
      <c r="L61" s="2">
        <v>4</v>
      </c>
      <c r="M61" s="2"/>
      <c r="N61" s="2"/>
      <c r="O61" s="2"/>
      <c r="P61" s="2"/>
      <c r="Q61" s="2"/>
      <c r="R61" s="2"/>
      <c r="S61" s="2"/>
      <c r="T61" s="1">
        <f t="shared" si="5"/>
        <v>7.625</v>
      </c>
      <c r="U61" s="1">
        <f t="shared" si="6"/>
        <v>0.66666666666666663</v>
      </c>
      <c r="V61" s="1">
        <f t="shared" si="7"/>
        <v>0.4</v>
      </c>
      <c r="W61" s="1">
        <f t="shared" si="8"/>
        <v>4.3125</v>
      </c>
      <c r="X61" s="1">
        <f t="shared" si="9"/>
        <v>19.0625</v>
      </c>
      <c r="Y61" s="1">
        <f t="shared" si="10"/>
        <v>2.875</v>
      </c>
      <c r="Z61" s="1">
        <f t="shared" si="11"/>
        <v>8.4782608695652169</v>
      </c>
      <c r="AA61" s="1">
        <f t="shared" si="12"/>
        <v>9.7756410256410255</v>
      </c>
    </row>
    <row r="62" spans="2:27" ht="13.5" x14ac:dyDescent="0.15">
      <c r="B62" s="2">
        <v>19</v>
      </c>
      <c r="C62" s="10" t="s">
        <v>44</v>
      </c>
      <c r="D62" s="10" t="s">
        <v>96</v>
      </c>
      <c r="E62" s="2">
        <v>5</v>
      </c>
      <c r="F62" s="2">
        <v>1.2</v>
      </c>
      <c r="G62" s="2">
        <v>5.5</v>
      </c>
      <c r="H62" s="2">
        <v>5</v>
      </c>
      <c r="I62" s="2">
        <v>3</v>
      </c>
      <c r="J62" s="2">
        <v>3</v>
      </c>
      <c r="K62" s="2">
        <v>4</v>
      </c>
      <c r="L62" s="2">
        <v>3</v>
      </c>
      <c r="M62" s="2"/>
      <c r="N62" s="2"/>
      <c r="O62" s="2"/>
      <c r="P62" s="2"/>
      <c r="Q62" s="2"/>
      <c r="R62" s="2"/>
      <c r="S62" s="2"/>
      <c r="T62" s="1">
        <f t="shared" si="5"/>
        <v>8.125</v>
      </c>
      <c r="U62" s="1">
        <f t="shared" si="6"/>
        <v>0.6</v>
      </c>
      <c r="V62" s="1">
        <f t="shared" si="7"/>
        <v>0.33333333333333331</v>
      </c>
      <c r="W62" s="1">
        <f t="shared" si="8"/>
        <v>3.25</v>
      </c>
      <c r="X62" s="1">
        <f t="shared" si="9"/>
        <v>24.375</v>
      </c>
      <c r="Y62" s="1">
        <f t="shared" si="10"/>
        <v>1.95</v>
      </c>
      <c r="Z62" s="1">
        <f t="shared" si="11"/>
        <v>9.9358974358974361</v>
      </c>
      <c r="AA62" s="1">
        <f t="shared" si="12"/>
        <v>11.142857142857142</v>
      </c>
    </row>
    <row r="63" spans="2:27" ht="13.5" x14ac:dyDescent="0.15">
      <c r="B63" s="2">
        <v>20</v>
      </c>
      <c r="C63" s="7" t="s">
        <v>46</v>
      </c>
      <c r="D63" s="7" t="s">
        <v>75</v>
      </c>
      <c r="E63" s="2">
        <v>4.25</v>
      </c>
      <c r="F63" s="2">
        <v>1.4</v>
      </c>
      <c r="G63" s="2">
        <v>5</v>
      </c>
      <c r="H63" s="2">
        <v>4</v>
      </c>
      <c r="I63" s="2">
        <v>5</v>
      </c>
      <c r="J63" s="2">
        <v>4</v>
      </c>
      <c r="K63" s="2">
        <v>3</v>
      </c>
      <c r="L63" s="2">
        <v>2</v>
      </c>
      <c r="M63" s="2"/>
      <c r="N63" s="2"/>
      <c r="O63" s="2"/>
      <c r="P63" s="2"/>
      <c r="Q63" s="2"/>
      <c r="R63" s="2"/>
      <c r="S63" s="2"/>
      <c r="T63" s="1">
        <f t="shared" si="5"/>
        <v>7.75</v>
      </c>
      <c r="U63" s="1">
        <f t="shared" si="6"/>
        <v>0.5</v>
      </c>
      <c r="V63" s="1">
        <f t="shared" si="7"/>
        <v>0.4</v>
      </c>
      <c r="W63" s="1">
        <f t="shared" si="8"/>
        <v>4.375</v>
      </c>
      <c r="X63" s="1">
        <f t="shared" si="9"/>
        <v>19.375</v>
      </c>
      <c r="Y63" s="1">
        <f t="shared" si="10"/>
        <v>2.1875</v>
      </c>
      <c r="Z63" s="1">
        <f t="shared" si="11"/>
        <v>8.3428571428571434</v>
      </c>
      <c r="AA63" s="1">
        <f t="shared" si="12"/>
        <v>8.68</v>
      </c>
    </row>
    <row r="64" spans="2:27" ht="13.5" x14ac:dyDescent="0.15">
      <c r="B64" s="2">
        <v>21</v>
      </c>
      <c r="C64" s="10" t="s">
        <v>47</v>
      </c>
      <c r="D64" s="10" t="s">
        <v>76</v>
      </c>
      <c r="E64" s="2">
        <v>5</v>
      </c>
      <c r="F64" s="2">
        <v>1.2</v>
      </c>
      <c r="G64" s="2">
        <v>5</v>
      </c>
      <c r="H64" s="2">
        <v>4</v>
      </c>
      <c r="I64" s="2">
        <v>3</v>
      </c>
      <c r="J64" s="2">
        <v>5</v>
      </c>
      <c r="K64" s="2">
        <v>2</v>
      </c>
      <c r="L64" s="2">
        <v>5</v>
      </c>
      <c r="M64" s="2"/>
      <c r="N64" s="2"/>
      <c r="O64" s="2"/>
      <c r="P64" s="2"/>
      <c r="Q64" s="2"/>
      <c r="R64" s="2"/>
      <c r="S64" s="2"/>
      <c r="T64" s="1">
        <f t="shared" si="5"/>
        <v>9.125</v>
      </c>
      <c r="U64" s="1">
        <f t="shared" si="6"/>
        <v>0.7142857142857143</v>
      </c>
      <c r="V64" s="1">
        <f t="shared" si="7"/>
        <v>0.5</v>
      </c>
      <c r="W64" s="1">
        <f t="shared" si="8"/>
        <v>3.125</v>
      </c>
      <c r="X64" s="1">
        <f t="shared" si="9"/>
        <v>18.25</v>
      </c>
      <c r="Y64" s="1">
        <f t="shared" si="10"/>
        <v>2.2321428571428572</v>
      </c>
      <c r="Z64" s="1">
        <f t="shared" si="11"/>
        <v>14.895999999999999</v>
      </c>
      <c r="AA64" s="1">
        <f t="shared" si="12"/>
        <v>9.7333333333333325</v>
      </c>
    </row>
    <row r="65" spans="2:27" ht="13.5" x14ac:dyDescent="0.15">
      <c r="B65" s="2">
        <v>22</v>
      </c>
      <c r="C65" s="7" t="s">
        <v>49</v>
      </c>
      <c r="D65" s="7" t="s">
        <v>103</v>
      </c>
      <c r="E65" s="2">
        <v>5</v>
      </c>
      <c r="F65" s="2">
        <v>1.2</v>
      </c>
      <c r="G65" s="2">
        <v>2.5</v>
      </c>
      <c r="H65" s="2">
        <v>3</v>
      </c>
      <c r="I65" s="2">
        <v>3</v>
      </c>
      <c r="J65" s="2">
        <v>6</v>
      </c>
      <c r="K65" s="2">
        <v>5</v>
      </c>
      <c r="L65" s="2">
        <v>6</v>
      </c>
      <c r="M65" s="2"/>
      <c r="N65" s="2"/>
      <c r="O65" s="2"/>
      <c r="P65" s="2"/>
      <c r="Q65" s="2"/>
      <c r="R65" s="2"/>
      <c r="S65" s="2"/>
      <c r="T65" s="1">
        <f t="shared" si="5"/>
        <v>9.5</v>
      </c>
      <c r="U65" s="1">
        <f t="shared" si="6"/>
        <v>0.75</v>
      </c>
      <c r="V65" s="1">
        <f t="shared" si="7"/>
        <v>0.2857142857142857</v>
      </c>
      <c r="W65" s="1">
        <f t="shared" si="8"/>
        <v>2.5</v>
      </c>
      <c r="X65" s="1">
        <f t="shared" si="9"/>
        <v>33.25</v>
      </c>
      <c r="Y65" s="1">
        <f t="shared" si="10"/>
        <v>1.875</v>
      </c>
      <c r="Z65" s="1">
        <f t="shared" si="11"/>
        <v>20.266666666666666</v>
      </c>
      <c r="AA65" s="1">
        <f t="shared" si="12"/>
        <v>20.129729729729728</v>
      </c>
    </row>
    <row r="66" spans="2:27" ht="13.5" x14ac:dyDescent="0.15">
      <c r="B66" s="2">
        <v>23</v>
      </c>
      <c r="C66" s="10" t="s">
        <v>49</v>
      </c>
      <c r="D66" s="7" t="s">
        <v>103</v>
      </c>
      <c r="E66" s="2">
        <v>5</v>
      </c>
      <c r="F66" s="2">
        <v>1.2</v>
      </c>
      <c r="G66" s="2">
        <v>3</v>
      </c>
      <c r="H66" s="2">
        <v>3</v>
      </c>
      <c r="I66" s="2">
        <v>2.5</v>
      </c>
      <c r="J66" s="2">
        <v>6</v>
      </c>
      <c r="K66" s="2">
        <v>6</v>
      </c>
      <c r="L66" s="2">
        <v>5</v>
      </c>
      <c r="M66" s="2"/>
      <c r="N66" s="2"/>
      <c r="O66" s="2"/>
      <c r="P66" s="2"/>
      <c r="Q66" s="2"/>
      <c r="R66" s="2"/>
      <c r="S66" s="2"/>
      <c r="T66" s="1">
        <f t="shared" si="5"/>
        <v>9.5</v>
      </c>
      <c r="U66" s="1">
        <f t="shared" si="6"/>
        <v>0.7142857142857143</v>
      </c>
      <c r="V66" s="1">
        <f t="shared" si="7"/>
        <v>0.25</v>
      </c>
      <c r="W66" s="1">
        <f t="shared" si="8"/>
        <v>2.3125</v>
      </c>
      <c r="X66" s="1">
        <f t="shared" si="9"/>
        <v>38</v>
      </c>
      <c r="Y66" s="1">
        <f t="shared" si="10"/>
        <v>1.6517857142857144</v>
      </c>
      <c r="Z66" s="1">
        <f t="shared" si="11"/>
        <v>20.054054054054053</v>
      </c>
      <c r="AA66" s="1">
        <f t="shared" si="12"/>
        <v>13.028571428571427</v>
      </c>
    </row>
    <row r="67" spans="2:27" ht="13.5" x14ac:dyDescent="0.15">
      <c r="B67" s="2">
        <v>24</v>
      </c>
      <c r="C67" s="7" t="s">
        <v>51</v>
      </c>
      <c r="D67" s="7" t="s">
        <v>104</v>
      </c>
      <c r="E67" s="2">
        <v>4</v>
      </c>
      <c r="F67" s="2">
        <v>1.2</v>
      </c>
      <c r="G67" s="2">
        <v>4</v>
      </c>
      <c r="H67" s="2">
        <v>3</v>
      </c>
      <c r="I67" s="2">
        <v>4</v>
      </c>
      <c r="J67" s="2">
        <v>3</v>
      </c>
      <c r="K67" s="2">
        <v>8</v>
      </c>
      <c r="L67" s="2">
        <v>10</v>
      </c>
      <c r="M67" s="2"/>
      <c r="N67" s="2"/>
      <c r="O67" s="2"/>
      <c r="P67" s="2"/>
      <c r="Q67" s="2"/>
      <c r="R67" s="2"/>
      <c r="S67" s="2"/>
      <c r="T67" s="1">
        <f t="shared" si="5"/>
        <v>6.625</v>
      </c>
      <c r="U67" s="1">
        <f t="shared" si="6"/>
        <v>0.83333333333333337</v>
      </c>
      <c r="V67" s="1">
        <f t="shared" si="7"/>
        <v>0.2</v>
      </c>
      <c r="W67" s="1">
        <f t="shared" si="8"/>
        <v>3.5</v>
      </c>
      <c r="X67" s="1">
        <f t="shared" si="9"/>
        <v>33.125</v>
      </c>
      <c r="Y67" s="1">
        <f t="shared" si="10"/>
        <v>2.916666666666667</v>
      </c>
      <c r="Z67" s="1">
        <f t="shared" si="11"/>
        <v>5.9142857142857137</v>
      </c>
      <c r="AA67" s="1">
        <f t="shared" si="12"/>
        <v>12.268518518518519</v>
      </c>
    </row>
    <row r="68" spans="2:27" ht="13.5" x14ac:dyDescent="0.15">
      <c r="B68" s="2">
        <v>25</v>
      </c>
      <c r="C68" s="10" t="s">
        <v>53</v>
      </c>
      <c r="D68" s="10" t="s">
        <v>105</v>
      </c>
      <c r="E68" s="2">
        <v>4.5</v>
      </c>
      <c r="F68" s="2">
        <v>1.5</v>
      </c>
      <c r="G68" s="2">
        <v>3</v>
      </c>
      <c r="H68" s="2">
        <v>4</v>
      </c>
      <c r="I68" s="2">
        <v>6</v>
      </c>
      <c r="J68" s="2">
        <v>5</v>
      </c>
      <c r="K68" s="2">
        <v>2</v>
      </c>
      <c r="L68" s="2">
        <v>3</v>
      </c>
      <c r="M68" s="2"/>
      <c r="N68" s="2"/>
      <c r="O68" s="2"/>
      <c r="P68" s="2"/>
      <c r="Q68" s="2"/>
      <c r="R68" s="2"/>
      <c r="S68" s="2"/>
      <c r="T68" s="1">
        <f t="shared" si="5"/>
        <v>8.625</v>
      </c>
      <c r="U68" s="1">
        <f t="shared" si="6"/>
        <v>0.6</v>
      </c>
      <c r="V68" s="1">
        <f t="shared" si="7"/>
        <v>0.5</v>
      </c>
      <c r="W68" s="1">
        <f t="shared" si="8"/>
        <v>4.5</v>
      </c>
      <c r="X68" s="1">
        <f t="shared" si="9"/>
        <v>17.25</v>
      </c>
      <c r="Y68" s="1">
        <f t="shared" si="10"/>
        <v>2.6999999999999997</v>
      </c>
      <c r="Z68" s="1">
        <f t="shared" si="11"/>
        <v>13.333333333333334</v>
      </c>
      <c r="AA68" s="1">
        <f t="shared" si="12"/>
        <v>7.7279999999999998</v>
      </c>
    </row>
    <row r="69" spans="2:27" ht="13.5" x14ac:dyDescent="0.15">
      <c r="B69" s="2">
        <v>26</v>
      </c>
      <c r="C69" s="7" t="s">
        <v>55</v>
      </c>
      <c r="D69" s="7" t="s">
        <v>106</v>
      </c>
      <c r="E69" s="2">
        <v>4.5</v>
      </c>
      <c r="F69" s="2">
        <v>1.2</v>
      </c>
      <c r="G69" s="2">
        <v>2.5</v>
      </c>
      <c r="H69" s="2">
        <v>3</v>
      </c>
      <c r="I69" s="2">
        <v>4</v>
      </c>
      <c r="J69" s="2">
        <v>6</v>
      </c>
      <c r="K69" s="2">
        <v>6</v>
      </c>
      <c r="L69" s="2">
        <v>5</v>
      </c>
      <c r="M69" s="2"/>
      <c r="N69" s="2"/>
      <c r="O69" s="2"/>
      <c r="P69" s="2"/>
      <c r="Q69" s="2"/>
      <c r="R69" s="2"/>
      <c r="S69" s="2"/>
      <c r="T69" s="1">
        <f t="shared" si="5"/>
        <v>9</v>
      </c>
      <c r="U69" s="1">
        <f t="shared" si="6"/>
        <v>0.7142857142857143</v>
      </c>
      <c r="V69" s="1">
        <f t="shared" si="7"/>
        <v>0.25</v>
      </c>
      <c r="W69" s="1">
        <f t="shared" si="8"/>
        <v>3.125</v>
      </c>
      <c r="X69" s="1">
        <f t="shared" si="9"/>
        <v>36</v>
      </c>
      <c r="Y69" s="1">
        <f t="shared" si="10"/>
        <v>2.2321428571428572</v>
      </c>
      <c r="Z69" s="1">
        <f t="shared" si="11"/>
        <v>15.68</v>
      </c>
      <c r="AA69" s="1">
        <f t="shared" si="12"/>
        <v>18.285714285714285</v>
      </c>
    </row>
    <row r="70" spans="2:27" ht="13.5" x14ac:dyDescent="0.15">
      <c r="B70" s="2">
        <v>27</v>
      </c>
      <c r="C70" s="10" t="s">
        <v>56</v>
      </c>
      <c r="D70" s="7" t="s">
        <v>50</v>
      </c>
      <c r="E70" s="2">
        <v>4.5</v>
      </c>
      <c r="F70" s="2">
        <v>1.2</v>
      </c>
      <c r="G70" s="2">
        <v>3</v>
      </c>
      <c r="H70" s="2">
        <v>2</v>
      </c>
      <c r="I70" s="2">
        <v>3</v>
      </c>
      <c r="J70" s="2">
        <v>8</v>
      </c>
      <c r="K70" s="2">
        <v>5</v>
      </c>
      <c r="L70" s="2">
        <v>6</v>
      </c>
      <c r="M70" s="2"/>
      <c r="N70" s="2"/>
      <c r="O70" s="2"/>
      <c r="P70" s="2"/>
      <c r="Q70" s="2"/>
      <c r="R70" s="2"/>
      <c r="S70" s="2"/>
      <c r="T70" s="1">
        <f t="shared" si="5"/>
        <v>10</v>
      </c>
      <c r="U70" s="1">
        <f t="shared" si="6"/>
        <v>0.75</v>
      </c>
      <c r="V70" s="1">
        <f t="shared" si="7"/>
        <v>0.2857142857142857</v>
      </c>
      <c r="W70" s="1">
        <f t="shared" si="8"/>
        <v>2.625</v>
      </c>
      <c r="X70" s="1">
        <f t="shared" si="9"/>
        <v>35</v>
      </c>
      <c r="Y70" s="1">
        <f t="shared" si="10"/>
        <v>1.96875</v>
      </c>
      <c r="Z70" s="1">
        <f t="shared" si="11"/>
        <v>10.158730158730158</v>
      </c>
      <c r="AA70" s="1">
        <f t="shared" si="12"/>
        <v>16.969696969696969</v>
      </c>
    </row>
    <row r="71" spans="2:27" ht="13.5" x14ac:dyDescent="0.15">
      <c r="B71" s="2">
        <v>28</v>
      </c>
      <c r="C71" s="7" t="s">
        <v>58</v>
      </c>
      <c r="D71" s="7" t="s">
        <v>39</v>
      </c>
      <c r="E71" s="2">
        <v>4.5</v>
      </c>
      <c r="F71" s="2">
        <v>1.4</v>
      </c>
      <c r="G71" s="2">
        <v>4</v>
      </c>
      <c r="H71" s="2">
        <v>4</v>
      </c>
      <c r="I71" s="2">
        <v>5</v>
      </c>
      <c r="J71" s="2">
        <v>4</v>
      </c>
      <c r="K71" s="2">
        <v>3</v>
      </c>
      <c r="L71" s="2">
        <v>2</v>
      </c>
      <c r="M71" s="2"/>
      <c r="N71" s="2"/>
      <c r="O71" s="2"/>
      <c r="P71" s="2"/>
      <c r="Q71" s="2"/>
      <c r="R71" s="2"/>
      <c r="S71" s="2"/>
      <c r="T71" s="1">
        <f t="shared" si="5"/>
        <v>8</v>
      </c>
      <c r="U71" s="1">
        <f t="shared" si="6"/>
        <v>0.5</v>
      </c>
      <c r="V71" s="1">
        <f t="shared" si="7"/>
        <v>0.4</v>
      </c>
      <c r="W71" s="1">
        <f t="shared" si="8"/>
        <v>4.125</v>
      </c>
      <c r="X71" s="1">
        <f t="shared" si="9"/>
        <v>20</v>
      </c>
      <c r="Y71" s="1">
        <f t="shared" si="10"/>
        <v>2.0625</v>
      </c>
      <c r="Z71" s="1">
        <f t="shared" si="11"/>
        <v>11.818181818181818</v>
      </c>
      <c r="AA71" s="1">
        <f t="shared" si="12"/>
        <v>10.256410256410257</v>
      </c>
    </row>
    <row r="72" spans="2:27" ht="13.5" x14ac:dyDescent="0.15">
      <c r="B72" s="2">
        <v>29</v>
      </c>
      <c r="C72" s="10" t="s">
        <v>59</v>
      </c>
      <c r="D72" s="10" t="s">
        <v>45</v>
      </c>
      <c r="E72" s="2">
        <v>5</v>
      </c>
      <c r="F72" s="2">
        <v>1.2</v>
      </c>
      <c r="G72" s="2">
        <v>5.5</v>
      </c>
      <c r="H72" s="2">
        <v>5</v>
      </c>
      <c r="I72" s="2">
        <v>3</v>
      </c>
      <c r="J72" s="2">
        <v>3</v>
      </c>
      <c r="K72" s="2">
        <v>4</v>
      </c>
      <c r="L72" s="2">
        <v>3</v>
      </c>
      <c r="M72" s="2"/>
      <c r="N72" s="2"/>
      <c r="O72" s="2"/>
      <c r="P72" s="2"/>
      <c r="Q72" s="2"/>
      <c r="R72" s="2"/>
      <c r="S72" s="2"/>
      <c r="T72" s="1">
        <f t="shared" si="5"/>
        <v>8.125</v>
      </c>
      <c r="U72" s="1">
        <f t="shared" si="6"/>
        <v>0.6</v>
      </c>
      <c r="V72" s="1">
        <f t="shared" si="7"/>
        <v>0.33333333333333331</v>
      </c>
      <c r="W72" s="1">
        <f t="shared" si="8"/>
        <v>3.25</v>
      </c>
      <c r="X72" s="1">
        <f t="shared" si="9"/>
        <v>24.375</v>
      </c>
      <c r="Y72" s="1">
        <f t="shared" si="10"/>
        <v>1.95</v>
      </c>
      <c r="Z72" s="1">
        <f t="shared" si="11"/>
        <v>4.1955128205128203</v>
      </c>
      <c r="AA72" s="1">
        <f t="shared" si="12"/>
        <v>21.477162293488824</v>
      </c>
    </row>
    <row r="73" spans="2:27" ht="13.5" x14ac:dyDescent="0.15">
      <c r="B73" s="2">
        <v>30</v>
      </c>
      <c r="C73" s="7" t="s">
        <v>60</v>
      </c>
      <c r="D73" s="7" t="s">
        <v>107</v>
      </c>
      <c r="E73" s="2">
        <v>4.1999999999999993</v>
      </c>
      <c r="F73" s="2">
        <v>0.84</v>
      </c>
      <c r="G73" s="2">
        <v>3.15</v>
      </c>
      <c r="H73" s="2">
        <v>0.7</v>
      </c>
      <c r="I73" s="2">
        <v>3.15</v>
      </c>
      <c r="J73" s="2">
        <v>0.7</v>
      </c>
      <c r="K73" s="2">
        <v>1.4</v>
      </c>
      <c r="L73" s="2">
        <v>1.4</v>
      </c>
      <c r="M73" s="2"/>
      <c r="N73" s="2"/>
      <c r="O73" s="2"/>
      <c r="P73" s="2"/>
      <c r="Q73" s="2"/>
      <c r="R73" s="2"/>
      <c r="S73" s="2"/>
      <c r="T73" s="1">
        <f t="shared" si="5"/>
        <v>4.8124999999999991</v>
      </c>
      <c r="U73" s="1">
        <f t="shared" si="6"/>
        <v>0.41176470588235292</v>
      </c>
      <c r="V73" s="1">
        <f t="shared" si="7"/>
        <v>0.58823529411764708</v>
      </c>
      <c r="W73" s="1">
        <f t="shared" si="8"/>
        <v>2.7562500000000001</v>
      </c>
      <c r="X73" s="1">
        <f t="shared" si="9"/>
        <v>8.1812499999999986</v>
      </c>
      <c r="Y73" s="1">
        <f t="shared" si="10"/>
        <v>1.1349264705882354</v>
      </c>
      <c r="Z73" s="1">
        <f t="shared" si="11"/>
        <v>8.9124716553287975</v>
      </c>
      <c r="AA73" s="1">
        <f t="shared" si="12"/>
        <v>8.1096938775510186</v>
      </c>
    </row>
    <row r="74" spans="2:27" ht="13.5" x14ac:dyDescent="0.15">
      <c r="B74" s="2">
        <v>31</v>
      </c>
      <c r="C74" s="10" t="s">
        <v>61</v>
      </c>
      <c r="D74" s="10" t="s">
        <v>107</v>
      </c>
      <c r="E74" s="2">
        <f>E45*0.7</f>
        <v>3.5</v>
      </c>
      <c r="F74" s="2">
        <f t="shared" ref="F74:L74" si="13">F45*0.7</f>
        <v>0.84</v>
      </c>
      <c r="G74" s="2">
        <f t="shared" si="13"/>
        <v>2.8</v>
      </c>
      <c r="H74" s="2">
        <f t="shared" si="13"/>
        <v>2.8</v>
      </c>
      <c r="I74" s="2">
        <f t="shared" si="13"/>
        <v>2.8</v>
      </c>
      <c r="J74" s="2">
        <f t="shared" si="13"/>
        <v>2.8</v>
      </c>
      <c r="K74" s="2">
        <f t="shared" si="13"/>
        <v>1.4</v>
      </c>
      <c r="L74" s="2">
        <f t="shared" si="13"/>
        <v>1.4</v>
      </c>
      <c r="M74" s="2"/>
      <c r="N74" s="2"/>
      <c r="O74" s="2"/>
      <c r="P74" s="2"/>
      <c r="Q74" s="2"/>
      <c r="R74" s="2"/>
      <c r="S74" s="2"/>
      <c r="T74" s="1">
        <f t="shared" si="5"/>
        <v>5.95</v>
      </c>
      <c r="U74" s="1">
        <f t="shared" si="6"/>
        <v>0.41176470588235292</v>
      </c>
      <c r="V74" s="1">
        <f t="shared" si="7"/>
        <v>0.58823529411764708</v>
      </c>
      <c r="W74" s="1">
        <f t="shared" si="8"/>
        <v>2.4500000000000002</v>
      </c>
      <c r="X74" s="1">
        <f t="shared" si="9"/>
        <v>10.115</v>
      </c>
      <c r="Y74" s="1">
        <f t="shared" si="10"/>
        <v>1.0088235294117647</v>
      </c>
      <c r="Z74" s="1">
        <f t="shared" si="11"/>
        <v>31.596209912536445</v>
      </c>
      <c r="AA74" s="1">
        <f t="shared" si="12"/>
        <v>3.2111111111111112</v>
      </c>
    </row>
    <row r="75" spans="2:27" x14ac:dyDescent="0.15">
      <c r="B75" s="2">
        <v>32</v>
      </c>
      <c r="C75" s="2" t="s">
        <v>12</v>
      </c>
      <c r="D75" s="2" t="s">
        <v>45</v>
      </c>
      <c r="E75" s="2">
        <f>E45*1.5</f>
        <v>7.5</v>
      </c>
      <c r="F75" s="2">
        <f t="shared" ref="F75:L75" si="14">F45*1.5</f>
        <v>1.7999999999999998</v>
      </c>
      <c r="G75" s="2">
        <f t="shared" si="14"/>
        <v>6</v>
      </c>
      <c r="H75" s="2">
        <f t="shared" si="14"/>
        <v>6</v>
      </c>
      <c r="I75" s="2">
        <f t="shared" si="14"/>
        <v>6</v>
      </c>
      <c r="J75" s="2">
        <f t="shared" si="14"/>
        <v>6</v>
      </c>
      <c r="K75" s="2">
        <f t="shared" si="14"/>
        <v>3</v>
      </c>
      <c r="L75" s="2">
        <f t="shared" si="14"/>
        <v>3</v>
      </c>
      <c r="M75" s="2"/>
      <c r="N75" s="2"/>
      <c r="O75" s="2"/>
      <c r="P75" s="2"/>
      <c r="Q75" s="2"/>
      <c r="R75" s="2"/>
      <c r="S75" s="2"/>
      <c r="T75" s="1">
        <f t="shared" si="5"/>
        <v>12.75</v>
      </c>
      <c r="U75" s="1">
        <f t="shared" si="6"/>
        <v>0.6</v>
      </c>
      <c r="V75" s="1">
        <f t="shared" si="7"/>
        <v>0.4</v>
      </c>
      <c r="W75" s="1">
        <f t="shared" si="8"/>
        <v>5.25</v>
      </c>
      <c r="X75" s="1">
        <f t="shared" si="9"/>
        <v>31.875</v>
      </c>
      <c r="Y75" s="1">
        <f t="shared" si="10"/>
        <v>3.15</v>
      </c>
      <c r="Z75" s="1">
        <f t="shared" si="11"/>
        <v>7.8764880952380967</v>
      </c>
      <c r="AA75" s="1">
        <f t="shared" si="12"/>
        <v>6.5481481481481483</v>
      </c>
    </row>
    <row r="76" spans="2:27" x14ac:dyDescent="0.15">
      <c r="B76" s="2">
        <v>33</v>
      </c>
      <c r="C76" s="2" t="s">
        <v>14</v>
      </c>
      <c r="D76" s="2" t="s">
        <v>100</v>
      </c>
      <c r="E76" s="2">
        <f t="shared" ref="E76:L77" si="15">E46*1.5</f>
        <v>6.375</v>
      </c>
      <c r="F76" s="2">
        <f t="shared" si="15"/>
        <v>2.5499999999999998</v>
      </c>
      <c r="G76" s="2">
        <f t="shared" si="15"/>
        <v>3.75</v>
      </c>
      <c r="H76" s="2">
        <f t="shared" si="15"/>
        <v>6</v>
      </c>
      <c r="I76" s="2">
        <f t="shared" si="15"/>
        <v>9.75</v>
      </c>
      <c r="J76" s="2">
        <f t="shared" si="15"/>
        <v>7.5</v>
      </c>
      <c r="K76" s="2">
        <f t="shared" si="15"/>
        <v>1.9500000000000002</v>
      </c>
      <c r="L76" s="2">
        <f t="shared" si="15"/>
        <v>4.5</v>
      </c>
      <c r="M76" s="2"/>
      <c r="N76" s="2"/>
      <c r="O76" s="2"/>
      <c r="P76" s="2"/>
      <c r="Q76" s="2"/>
      <c r="R76" s="2"/>
      <c r="S76" s="2"/>
      <c r="T76" s="1">
        <f t="shared" si="5"/>
        <v>12.5625</v>
      </c>
      <c r="U76" s="1">
        <f t="shared" si="6"/>
        <v>0.69230769230769229</v>
      </c>
      <c r="V76" s="1">
        <f t="shared" si="7"/>
        <v>0.50632911392405056</v>
      </c>
      <c r="W76" s="1">
        <f t="shared" si="8"/>
        <v>7.03125</v>
      </c>
      <c r="X76" s="1">
        <f t="shared" si="9"/>
        <v>24.810937500000005</v>
      </c>
      <c r="Y76" s="1">
        <f t="shared" si="10"/>
        <v>4.8677884615384617</v>
      </c>
      <c r="Z76" s="1">
        <f t="shared" si="11"/>
        <v>9.0364444444444452</v>
      </c>
      <c r="AA76" s="1">
        <f t="shared" si="12"/>
        <v>9.6371148459383775</v>
      </c>
    </row>
    <row r="77" spans="2:27" x14ac:dyDescent="0.15">
      <c r="B77" s="2">
        <v>34</v>
      </c>
      <c r="C77" s="2" t="s">
        <v>16</v>
      </c>
      <c r="D77" s="2" t="s">
        <v>102</v>
      </c>
      <c r="E77" s="2">
        <f t="shared" si="15"/>
        <v>6.375</v>
      </c>
      <c r="F77" s="2">
        <f t="shared" si="15"/>
        <v>1.5</v>
      </c>
      <c r="G77" s="2">
        <f t="shared" si="15"/>
        <v>9</v>
      </c>
      <c r="H77" s="2">
        <f t="shared" si="15"/>
        <v>7.5</v>
      </c>
      <c r="I77" s="2">
        <f t="shared" si="15"/>
        <v>3.75</v>
      </c>
      <c r="J77" s="2">
        <f t="shared" si="15"/>
        <v>7.5</v>
      </c>
      <c r="K77" s="2">
        <f t="shared" si="15"/>
        <v>4.8000000000000007</v>
      </c>
      <c r="L77" s="2">
        <f t="shared" si="15"/>
        <v>2.5499999999999998</v>
      </c>
      <c r="M77" s="2"/>
      <c r="N77" s="2"/>
      <c r="O77" s="2"/>
      <c r="P77" s="2"/>
      <c r="Q77" s="2"/>
      <c r="R77" s="2"/>
      <c r="S77" s="2"/>
      <c r="T77" s="1">
        <f t="shared" si="5"/>
        <v>12.9375</v>
      </c>
      <c r="U77" s="1">
        <f t="shared" si="6"/>
        <v>0.56043956043956045</v>
      </c>
      <c r="V77" s="1">
        <f t="shared" si="7"/>
        <v>0.29411764705882348</v>
      </c>
      <c r="W77" s="1">
        <f t="shared" si="8"/>
        <v>4.59375</v>
      </c>
      <c r="X77" s="1">
        <f t="shared" si="9"/>
        <v>43.987500000000004</v>
      </c>
      <c r="Y77" s="1">
        <f t="shared" si="10"/>
        <v>2.5745192307692308</v>
      </c>
      <c r="Z77" s="1">
        <f t="shared" si="11"/>
        <v>18.935574229691877</v>
      </c>
      <c r="AA77" s="1">
        <f t="shared" si="12"/>
        <v>13.033333333333335</v>
      </c>
    </row>
    <row r="78" spans="2:27" x14ac:dyDescent="0.15">
      <c r="B78" s="2">
        <v>35</v>
      </c>
      <c r="C78" s="2" t="s">
        <v>77</v>
      </c>
      <c r="D78" s="2" t="s">
        <v>108</v>
      </c>
      <c r="E78" s="2">
        <f>E62*1.5</f>
        <v>7.5</v>
      </c>
      <c r="F78" s="2">
        <f t="shared" ref="F78:K78" si="16">F62*1.5</f>
        <v>1.7999999999999998</v>
      </c>
      <c r="G78" s="2">
        <f t="shared" si="16"/>
        <v>8.25</v>
      </c>
      <c r="H78" s="2">
        <f t="shared" si="16"/>
        <v>7.5</v>
      </c>
      <c r="I78" s="2">
        <f t="shared" si="16"/>
        <v>4.5</v>
      </c>
      <c r="J78" s="2">
        <f t="shared" si="16"/>
        <v>4.5</v>
      </c>
      <c r="K78" s="2">
        <f t="shared" si="16"/>
        <v>6</v>
      </c>
      <c r="L78" s="2">
        <f>L62*1.5</f>
        <v>4.5</v>
      </c>
      <c r="M78" s="2"/>
      <c r="N78" s="2"/>
      <c r="O78" s="2"/>
      <c r="P78" s="2"/>
      <c r="Q78" s="2"/>
      <c r="R78" s="2"/>
      <c r="S78" s="2"/>
      <c r="T78" s="1">
        <f t="shared" si="5"/>
        <v>12.1875</v>
      </c>
      <c r="U78" s="1">
        <f t="shared" si="6"/>
        <v>0.69230769230769229</v>
      </c>
      <c r="V78" s="1">
        <f t="shared" si="7"/>
        <v>0.25</v>
      </c>
      <c r="W78" s="1">
        <f t="shared" si="8"/>
        <v>4.875</v>
      </c>
      <c r="X78" s="1">
        <f t="shared" si="9"/>
        <v>48.75</v>
      </c>
      <c r="Y78" s="1">
        <f t="shared" si="10"/>
        <v>3.375</v>
      </c>
      <c r="Z78" s="1">
        <f t="shared" si="11"/>
        <v>11.013888888888889</v>
      </c>
      <c r="AA78" s="1">
        <f t="shared" si="12"/>
        <v>10.048309178743962</v>
      </c>
    </row>
    <row r="79" spans="2:27" x14ac:dyDescent="0.15">
      <c r="B79" s="2">
        <v>36</v>
      </c>
      <c r="C79" s="2" t="s">
        <v>109</v>
      </c>
      <c r="D79" s="2" t="s">
        <v>43</v>
      </c>
      <c r="E79" s="2">
        <f>E61*1.5</f>
        <v>7.5</v>
      </c>
      <c r="F79" s="2">
        <f t="shared" ref="F79:L79" si="17">F61*1.5</f>
        <v>1.7999999999999998</v>
      </c>
      <c r="G79" s="2">
        <f t="shared" si="17"/>
        <v>9</v>
      </c>
      <c r="H79" s="2">
        <f t="shared" si="17"/>
        <v>4.5</v>
      </c>
      <c r="I79" s="2">
        <f t="shared" si="17"/>
        <v>6.75</v>
      </c>
      <c r="J79" s="2">
        <f t="shared" si="17"/>
        <v>4.5</v>
      </c>
      <c r="K79" s="2">
        <f t="shared" si="17"/>
        <v>4.5</v>
      </c>
      <c r="L79" s="2">
        <f t="shared" si="17"/>
        <v>6</v>
      </c>
      <c r="M79" s="2"/>
      <c r="N79" s="2"/>
      <c r="O79" s="2"/>
      <c r="P79" s="2"/>
      <c r="Q79" s="2"/>
      <c r="R79" s="2"/>
      <c r="S79" s="2"/>
      <c r="T79" s="1">
        <f t="shared" si="5"/>
        <v>11.4375</v>
      </c>
      <c r="U79" s="1">
        <f t="shared" si="6"/>
        <v>0.75</v>
      </c>
      <c r="V79" s="1">
        <f t="shared" si="7"/>
        <v>0.30769230769230771</v>
      </c>
      <c r="W79" s="1">
        <f t="shared" si="8"/>
        <v>6.46875</v>
      </c>
      <c r="X79" s="1">
        <f t="shared" si="9"/>
        <v>37.171875</v>
      </c>
      <c r="Y79" s="1">
        <f t="shared" si="10"/>
        <v>4.8515625</v>
      </c>
      <c r="Z79" s="1">
        <f t="shared" si="11"/>
        <v>8.0386473429951693</v>
      </c>
      <c r="AA79" s="1">
        <f t="shared" si="12"/>
        <v>10.012626262626263</v>
      </c>
    </row>
    <row r="80" spans="2:27" x14ac:dyDescent="0.15">
      <c r="B80" s="2">
        <v>37</v>
      </c>
      <c r="C80" s="2" t="s">
        <v>110</v>
      </c>
      <c r="D80" s="2" t="s">
        <v>100</v>
      </c>
      <c r="E80" s="2">
        <f>E71*1.5</f>
        <v>6.75</v>
      </c>
      <c r="F80" s="2">
        <f t="shared" ref="F80:L80" si="18">F71*1.5</f>
        <v>2.0999999999999996</v>
      </c>
      <c r="G80" s="2">
        <f t="shared" si="18"/>
        <v>6</v>
      </c>
      <c r="H80" s="2">
        <f t="shared" si="18"/>
        <v>6</v>
      </c>
      <c r="I80" s="2">
        <f t="shared" si="18"/>
        <v>7.5</v>
      </c>
      <c r="J80" s="2">
        <f t="shared" si="18"/>
        <v>6</v>
      </c>
      <c r="K80" s="2">
        <f t="shared" si="18"/>
        <v>4.5</v>
      </c>
      <c r="L80" s="2">
        <f t="shared" si="18"/>
        <v>3</v>
      </c>
      <c r="M80" s="2"/>
      <c r="N80" s="2"/>
      <c r="O80" s="2"/>
      <c r="P80" s="2"/>
      <c r="Q80" s="2"/>
      <c r="R80" s="2"/>
      <c r="S80" s="2"/>
      <c r="T80" s="1">
        <f t="shared" si="5"/>
        <v>12</v>
      </c>
      <c r="U80" s="1">
        <f t="shared" si="6"/>
        <v>0.6</v>
      </c>
      <c r="V80" s="1">
        <f t="shared" si="7"/>
        <v>0.30769230769230771</v>
      </c>
      <c r="W80" s="1">
        <f t="shared" si="8"/>
        <v>6.1875</v>
      </c>
      <c r="X80" s="1">
        <f t="shared" si="9"/>
        <v>39</v>
      </c>
      <c r="Y80" s="1">
        <f t="shared" si="10"/>
        <v>3.7124999999999999</v>
      </c>
    </row>
    <row r="82" spans="2:19" x14ac:dyDescent="0.15">
      <c r="C82" s="4" t="s">
        <v>111</v>
      </c>
      <c r="D82" s="5" t="s">
        <v>112</v>
      </c>
      <c r="E82" s="4" t="s">
        <v>113</v>
      </c>
      <c r="F82" s="4" t="s">
        <v>114</v>
      </c>
      <c r="G82" s="6" t="s">
        <v>115</v>
      </c>
      <c r="H82" s="6" t="s">
        <v>116</v>
      </c>
      <c r="I82" s="6" t="s">
        <v>117</v>
      </c>
      <c r="J82" s="5" t="s">
        <v>118</v>
      </c>
      <c r="K82" s="4" t="s">
        <v>119</v>
      </c>
      <c r="L82" s="4" t="s">
        <v>120</v>
      </c>
      <c r="M82" s="11" t="s">
        <v>121</v>
      </c>
      <c r="N82" s="11" t="s">
        <v>122</v>
      </c>
      <c r="O82" s="11" t="s">
        <v>123</v>
      </c>
      <c r="P82" s="11" t="s">
        <v>124</v>
      </c>
      <c r="Q82" s="11" t="s">
        <v>125</v>
      </c>
      <c r="R82" s="11" t="s">
        <v>126</v>
      </c>
      <c r="S82" s="11" t="s">
        <v>127</v>
      </c>
    </row>
    <row r="83" spans="2:19" x14ac:dyDescent="0.15">
      <c r="B83" s="1">
        <v>1</v>
      </c>
      <c r="C83" s="13" t="s">
        <v>128</v>
      </c>
      <c r="D83" s="14">
        <v>1</v>
      </c>
      <c r="E83" s="2">
        <v>1.1000000000000001</v>
      </c>
      <c r="F83" s="2">
        <v>0.4</v>
      </c>
      <c r="G83" s="2">
        <v>1.1000000000000001</v>
      </c>
      <c r="H83" s="2">
        <v>1</v>
      </c>
      <c r="I83" s="2">
        <v>0.19999999999999996</v>
      </c>
      <c r="J83" s="2">
        <v>0.7</v>
      </c>
      <c r="K83" s="2">
        <v>0.6</v>
      </c>
      <c r="L83" s="2">
        <v>0.9</v>
      </c>
      <c r="M83" s="2">
        <v>1.05</v>
      </c>
      <c r="N83" s="2">
        <v>0.89999999999999991</v>
      </c>
      <c r="O83" s="2">
        <v>0.44999999999999996</v>
      </c>
      <c r="P83" s="2">
        <v>0.44999999999999996</v>
      </c>
      <c r="Q83" s="2">
        <v>0.44999999999999996</v>
      </c>
      <c r="R83" s="2">
        <v>0.44999999999999996</v>
      </c>
      <c r="S83" s="2">
        <v>0.44999999999999996</v>
      </c>
    </row>
    <row r="84" spans="2:19" x14ac:dyDescent="0.15">
      <c r="B84" s="1">
        <v>2</v>
      </c>
      <c r="C84" s="13" t="s">
        <v>129</v>
      </c>
      <c r="D84" s="14">
        <v>1</v>
      </c>
      <c r="E84" s="2">
        <v>1</v>
      </c>
      <c r="F84" s="2">
        <v>0.5</v>
      </c>
      <c r="G84" s="2">
        <v>1.1000000000000001</v>
      </c>
      <c r="H84" s="2">
        <v>0.9</v>
      </c>
      <c r="I84" s="2">
        <v>0.5</v>
      </c>
      <c r="J84" s="2">
        <v>0.7</v>
      </c>
      <c r="K84" s="2">
        <v>1.1499999999999999</v>
      </c>
      <c r="L84" s="2">
        <v>1</v>
      </c>
      <c r="M84" s="2">
        <v>2</v>
      </c>
      <c r="N84" s="2">
        <v>0.6</v>
      </c>
      <c r="O84" s="2">
        <v>0.6</v>
      </c>
      <c r="P84" s="2">
        <v>0.6</v>
      </c>
      <c r="Q84" s="2">
        <v>0.6</v>
      </c>
      <c r="R84" s="2">
        <v>0.6</v>
      </c>
      <c r="S84" s="2">
        <v>0.6</v>
      </c>
    </row>
    <row r="85" spans="2:19" x14ac:dyDescent="0.15">
      <c r="B85" s="1">
        <v>3</v>
      </c>
      <c r="C85" s="13" t="s">
        <v>130</v>
      </c>
      <c r="D85" s="14">
        <v>1</v>
      </c>
      <c r="E85" s="2">
        <v>0.6</v>
      </c>
      <c r="F85" s="2">
        <v>1.1000000000000001</v>
      </c>
      <c r="G85" s="2">
        <v>0.6</v>
      </c>
      <c r="H85" s="2">
        <v>0.8</v>
      </c>
      <c r="I85" s="2">
        <v>1.3</v>
      </c>
      <c r="J85" s="2">
        <v>1.2</v>
      </c>
      <c r="K85" s="2">
        <v>1.2</v>
      </c>
      <c r="L85" s="2">
        <v>1.2</v>
      </c>
      <c r="M85" s="2">
        <v>0.7</v>
      </c>
      <c r="N85" s="2">
        <v>1.25</v>
      </c>
      <c r="O85" s="2">
        <v>1.25</v>
      </c>
      <c r="P85" s="2">
        <v>1.25</v>
      </c>
      <c r="Q85" s="2">
        <v>1.25</v>
      </c>
      <c r="R85" s="2">
        <v>1.25</v>
      </c>
      <c r="S85" s="2">
        <v>2.5</v>
      </c>
    </row>
    <row r="86" spans="2:19" x14ac:dyDescent="0.15">
      <c r="B86" s="1">
        <v>4</v>
      </c>
      <c r="C86" s="13" t="s">
        <v>131</v>
      </c>
      <c r="D86" s="14">
        <v>1</v>
      </c>
      <c r="E86" s="2">
        <v>0.8</v>
      </c>
      <c r="F86" s="2">
        <v>1</v>
      </c>
      <c r="G86" s="2">
        <v>0.8</v>
      </c>
      <c r="H86" s="2">
        <v>0.7</v>
      </c>
      <c r="I86" s="2">
        <v>1.1000000000000001</v>
      </c>
      <c r="J86" s="2">
        <v>1.4</v>
      </c>
      <c r="K86" s="2">
        <v>1.1000000000000001</v>
      </c>
      <c r="L86" s="2">
        <v>1</v>
      </c>
      <c r="M86" s="2">
        <v>0.75</v>
      </c>
      <c r="N86" s="2">
        <v>1.25</v>
      </c>
      <c r="O86" s="2">
        <v>1.25</v>
      </c>
      <c r="P86" s="2">
        <v>1.25</v>
      </c>
      <c r="Q86" s="2">
        <v>2.5</v>
      </c>
      <c r="R86" s="2">
        <v>1.25</v>
      </c>
      <c r="S86" s="2">
        <v>1.25</v>
      </c>
    </row>
    <row r="87" spans="2:19" x14ac:dyDescent="0.15">
      <c r="B87" s="1">
        <v>5</v>
      </c>
      <c r="C87" s="13" t="s">
        <v>132</v>
      </c>
      <c r="D87" s="14">
        <v>1</v>
      </c>
      <c r="E87" s="2">
        <v>0.7</v>
      </c>
      <c r="F87" s="2">
        <v>0.8</v>
      </c>
      <c r="G87" s="2">
        <v>0.8</v>
      </c>
      <c r="H87" s="2">
        <v>0.7</v>
      </c>
      <c r="I87" s="2">
        <v>1</v>
      </c>
      <c r="J87" s="2">
        <v>1.2</v>
      </c>
      <c r="K87" s="2">
        <v>1.4</v>
      </c>
      <c r="L87" s="2">
        <v>1.4</v>
      </c>
      <c r="M87" s="2">
        <v>0.75</v>
      </c>
      <c r="N87" s="2">
        <v>1.1000000000000001</v>
      </c>
      <c r="O87" s="2">
        <v>1.1000000000000001</v>
      </c>
      <c r="P87" s="2">
        <v>2.2000000000000002</v>
      </c>
      <c r="Q87" s="2">
        <v>1.1000000000000001</v>
      </c>
      <c r="R87" s="2">
        <v>1.1000000000000001</v>
      </c>
      <c r="S87" s="2">
        <v>1.1000000000000001</v>
      </c>
    </row>
    <row r="88" spans="2:19" x14ac:dyDescent="0.15">
      <c r="B88" s="1">
        <v>6</v>
      </c>
      <c r="C88" s="13" t="s">
        <v>133</v>
      </c>
      <c r="D88" s="14">
        <v>1</v>
      </c>
      <c r="E88" s="2">
        <v>0.9</v>
      </c>
      <c r="F88" s="2">
        <v>0.6</v>
      </c>
      <c r="G88" s="2">
        <v>0.9</v>
      </c>
      <c r="H88" s="2">
        <v>0.7</v>
      </c>
      <c r="I88" s="2">
        <v>0.9</v>
      </c>
      <c r="J88" s="2">
        <v>0.9</v>
      </c>
      <c r="K88" s="2">
        <v>1.2</v>
      </c>
      <c r="L88" s="2">
        <v>0.8</v>
      </c>
      <c r="M88" s="2">
        <v>0.8</v>
      </c>
      <c r="N88" s="2">
        <v>0.9</v>
      </c>
      <c r="O88" s="2">
        <v>0.9</v>
      </c>
      <c r="P88" s="2">
        <v>0.9</v>
      </c>
      <c r="Q88" s="2">
        <v>0.9</v>
      </c>
      <c r="R88" s="2">
        <v>1.8</v>
      </c>
      <c r="S88" s="2">
        <v>0.9</v>
      </c>
    </row>
    <row r="89" spans="2:19" ht="15" x14ac:dyDescent="0.15">
      <c r="B89" s="1">
        <v>7</v>
      </c>
      <c r="C89" s="15" t="s">
        <v>134</v>
      </c>
      <c r="D89" s="14">
        <v>1</v>
      </c>
      <c r="E89" s="2">
        <v>0.8</v>
      </c>
      <c r="F89" s="2">
        <v>0.7</v>
      </c>
      <c r="G89" s="2">
        <v>0.85</v>
      </c>
      <c r="H89" s="2">
        <v>0.8</v>
      </c>
      <c r="I89" s="2">
        <v>1</v>
      </c>
      <c r="J89" s="2">
        <v>1</v>
      </c>
      <c r="K89" s="2">
        <v>1</v>
      </c>
      <c r="L89" s="2">
        <v>1</v>
      </c>
      <c r="M89" s="2">
        <v>0.82499999999999996</v>
      </c>
      <c r="N89" s="2">
        <v>2</v>
      </c>
      <c r="O89" s="2">
        <v>1</v>
      </c>
      <c r="P89" s="2">
        <v>1</v>
      </c>
      <c r="Q89" s="2">
        <v>1</v>
      </c>
      <c r="R89" s="2">
        <v>1</v>
      </c>
      <c r="S89" s="2">
        <v>1</v>
      </c>
    </row>
    <row r="90" spans="2:19" x14ac:dyDescent="0.15">
      <c r="B90" s="1">
        <v>8</v>
      </c>
      <c r="C90" s="13" t="s">
        <v>135</v>
      </c>
      <c r="D90" s="14">
        <v>1</v>
      </c>
      <c r="E90" s="2">
        <v>0.8</v>
      </c>
      <c r="F90" s="2">
        <v>1</v>
      </c>
      <c r="G90" s="2">
        <v>0.75</v>
      </c>
      <c r="H90" s="2">
        <v>0.85</v>
      </c>
      <c r="I90" s="2">
        <v>1.2</v>
      </c>
      <c r="J90" s="2">
        <v>1</v>
      </c>
      <c r="K90" s="2">
        <v>0.9</v>
      </c>
      <c r="L90" s="2">
        <v>1.1000000000000001</v>
      </c>
      <c r="M90" s="2">
        <v>0.8</v>
      </c>
      <c r="N90" s="2">
        <v>1.1000000000000001</v>
      </c>
      <c r="O90" s="2">
        <v>1.1000000000000001</v>
      </c>
      <c r="P90" s="2">
        <v>1.1000000000000001</v>
      </c>
      <c r="Q90" s="2">
        <v>2.2000000000000002</v>
      </c>
      <c r="R90" s="2">
        <v>1.1000000000000001</v>
      </c>
      <c r="S90" s="2">
        <v>1.1000000000000001</v>
      </c>
    </row>
    <row r="91" spans="2:19" x14ac:dyDescent="0.15">
      <c r="B91" s="1">
        <v>9</v>
      </c>
      <c r="C91" s="13" t="s">
        <v>136</v>
      </c>
      <c r="D91" s="14">
        <v>1</v>
      </c>
      <c r="E91" s="2">
        <v>0.7</v>
      </c>
      <c r="F91" s="2">
        <v>0.6</v>
      </c>
      <c r="G91" s="2">
        <v>0.7</v>
      </c>
      <c r="H91" s="2">
        <v>0.8</v>
      </c>
      <c r="I91" s="2">
        <v>0.8</v>
      </c>
      <c r="J91" s="2">
        <v>1.5</v>
      </c>
      <c r="K91" s="2">
        <v>0.7</v>
      </c>
      <c r="L91" s="2">
        <v>1.05</v>
      </c>
      <c r="M91" s="2">
        <v>0.75</v>
      </c>
      <c r="N91" s="2">
        <v>1.1499999999999999</v>
      </c>
      <c r="O91" s="2">
        <v>1.1499999999999999</v>
      </c>
      <c r="P91" s="2">
        <v>1.1499999999999999</v>
      </c>
      <c r="Q91" s="2">
        <v>1.1499999999999999</v>
      </c>
      <c r="R91" s="2">
        <v>1.1499999999999999</v>
      </c>
      <c r="S91" s="2">
        <v>2.2999999999999998</v>
      </c>
    </row>
    <row r="92" spans="2:19" ht="15" x14ac:dyDescent="0.15">
      <c r="B92" s="1">
        <v>10</v>
      </c>
      <c r="C92" s="15" t="s">
        <v>137</v>
      </c>
      <c r="D92" s="14">
        <v>1</v>
      </c>
      <c r="E92" s="2">
        <v>1.1499999999999999</v>
      </c>
      <c r="F92" s="2">
        <v>0.8</v>
      </c>
      <c r="G92" s="2">
        <v>0.9</v>
      </c>
      <c r="H92" s="2">
        <v>1.1000000000000001</v>
      </c>
      <c r="I92" s="2">
        <v>0.19999999999999996</v>
      </c>
      <c r="J92" s="2">
        <v>0.5</v>
      </c>
      <c r="K92" s="2">
        <v>1.05</v>
      </c>
      <c r="L92" s="2">
        <v>1</v>
      </c>
      <c r="M92" s="2">
        <v>1</v>
      </c>
      <c r="N92" s="2">
        <v>0.35</v>
      </c>
      <c r="O92" s="2">
        <v>0.7</v>
      </c>
      <c r="P92" s="2">
        <v>0.35</v>
      </c>
      <c r="Q92" s="2">
        <v>0.35</v>
      </c>
      <c r="R92" s="2">
        <v>0.35</v>
      </c>
      <c r="S92" s="2">
        <v>0.35</v>
      </c>
    </row>
    <row r="93" spans="2:19" x14ac:dyDescent="0.15">
      <c r="B93" s="1">
        <v>11</v>
      </c>
      <c r="C93" s="13" t="s">
        <v>138</v>
      </c>
      <c r="D93" s="13">
        <v>1.2</v>
      </c>
      <c r="E93" s="2">
        <v>1.44</v>
      </c>
      <c r="F93" s="2">
        <v>0.72</v>
      </c>
      <c r="G93" s="2">
        <v>1.38</v>
      </c>
      <c r="H93" s="2">
        <v>1.32</v>
      </c>
      <c r="I93" s="2">
        <v>0.96</v>
      </c>
      <c r="J93" s="2">
        <v>0.96</v>
      </c>
      <c r="K93" s="2">
        <v>1.32</v>
      </c>
      <c r="L93" s="2">
        <v>1.2</v>
      </c>
      <c r="M93" s="2">
        <v>2.7</v>
      </c>
      <c r="N93" s="2">
        <v>0.96</v>
      </c>
      <c r="O93" s="2">
        <v>0.96</v>
      </c>
      <c r="P93" s="2">
        <v>0.96</v>
      </c>
      <c r="Q93" s="2">
        <v>0.96</v>
      </c>
      <c r="R93" s="2">
        <v>0.96</v>
      </c>
      <c r="S93" s="2">
        <v>0.96</v>
      </c>
    </row>
    <row r="94" spans="2:19" x14ac:dyDescent="0.15">
      <c r="B94" s="1">
        <v>12</v>
      </c>
      <c r="C94" s="13" t="s">
        <v>139</v>
      </c>
      <c r="D94" s="13">
        <v>1.2</v>
      </c>
      <c r="E94" s="2">
        <v>1.08</v>
      </c>
      <c r="F94" s="2">
        <v>1.32</v>
      </c>
      <c r="G94" s="2">
        <v>1.26</v>
      </c>
      <c r="H94" s="2">
        <v>1.02</v>
      </c>
      <c r="I94" s="2">
        <v>1.2</v>
      </c>
      <c r="J94" s="2">
        <v>1.44</v>
      </c>
      <c r="K94" s="2">
        <v>1.08</v>
      </c>
      <c r="L94" s="2">
        <v>1.56</v>
      </c>
      <c r="M94" s="2">
        <v>1.1400000000000001</v>
      </c>
      <c r="N94" s="2">
        <v>1.3199999999999998</v>
      </c>
      <c r="O94" s="2">
        <v>1.3199999999999998</v>
      </c>
      <c r="P94" s="2">
        <v>1.3199999999999998</v>
      </c>
      <c r="Q94" s="2">
        <v>1.3199999999999998</v>
      </c>
      <c r="R94" s="2">
        <v>1.3199999999999998</v>
      </c>
      <c r="S94" s="2">
        <v>2.6399999999999997</v>
      </c>
    </row>
    <row r="95" spans="2:19" x14ac:dyDescent="0.15">
      <c r="B95" s="1">
        <v>13</v>
      </c>
      <c r="C95" s="13" t="s">
        <v>140</v>
      </c>
      <c r="D95" s="13">
        <v>1.2</v>
      </c>
      <c r="E95" s="2">
        <v>1.2</v>
      </c>
      <c r="F95" s="2">
        <v>1.2</v>
      </c>
      <c r="G95" s="2">
        <v>1.32</v>
      </c>
      <c r="H95" s="2">
        <v>1.2</v>
      </c>
      <c r="I95" s="2">
        <v>1.38</v>
      </c>
      <c r="J95" s="2">
        <v>1.56</v>
      </c>
      <c r="K95" s="2">
        <v>1.38</v>
      </c>
      <c r="L95" s="2">
        <v>1.2</v>
      </c>
      <c r="M95" s="2">
        <v>1.26</v>
      </c>
      <c r="N95" s="2">
        <v>1.47</v>
      </c>
      <c r="O95" s="2">
        <v>1.47</v>
      </c>
      <c r="P95" s="2">
        <v>1.47</v>
      </c>
      <c r="Q95" s="2">
        <v>2.94</v>
      </c>
      <c r="R95" s="2">
        <v>1.47</v>
      </c>
      <c r="S95" s="2">
        <v>1.47</v>
      </c>
    </row>
    <row r="96" spans="2:19" x14ac:dyDescent="0.15">
      <c r="B96" s="1">
        <v>14</v>
      </c>
      <c r="C96" s="13" t="s">
        <v>141</v>
      </c>
      <c r="D96" s="13">
        <v>1.2</v>
      </c>
      <c r="E96" s="2">
        <v>0.96</v>
      </c>
      <c r="F96" s="2">
        <v>1.44</v>
      </c>
      <c r="G96" s="2">
        <v>0.84</v>
      </c>
      <c r="H96" s="2">
        <v>0.96</v>
      </c>
      <c r="I96" s="2">
        <v>1.44</v>
      </c>
      <c r="J96" s="2">
        <v>1.44</v>
      </c>
      <c r="K96" s="2">
        <v>1.26</v>
      </c>
      <c r="L96" s="2">
        <v>1.2</v>
      </c>
      <c r="M96" s="2">
        <v>0.89999999999999991</v>
      </c>
      <c r="N96" s="2">
        <v>1.44</v>
      </c>
      <c r="O96" s="2">
        <v>1.44</v>
      </c>
      <c r="P96" s="2">
        <v>2.88</v>
      </c>
      <c r="Q96" s="2">
        <v>1.44</v>
      </c>
      <c r="R96" s="2">
        <v>1.44</v>
      </c>
      <c r="S96" s="2">
        <v>1.44</v>
      </c>
    </row>
    <row r="97" spans="2:19" x14ac:dyDescent="0.15">
      <c r="B97" s="1">
        <v>15</v>
      </c>
      <c r="C97" s="13" t="s">
        <v>142</v>
      </c>
      <c r="D97" s="13">
        <v>1.2</v>
      </c>
      <c r="E97" s="2">
        <v>1.1399999999999999</v>
      </c>
      <c r="F97" s="2">
        <v>1.1399999999999999</v>
      </c>
      <c r="G97" s="2">
        <v>1.2</v>
      </c>
      <c r="H97" s="2">
        <v>1.2</v>
      </c>
      <c r="I97" s="2">
        <v>1.44</v>
      </c>
      <c r="J97" s="2">
        <v>1.2</v>
      </c>
      <c r="K97" s="2">
        <v>1.32</v>
      </c>
      <c r="L97" s="2">
        <v>1.26</v>
      </c>
      <c r="M97" s="2">
        <v>1.2</v>
      </c>
      <c r="N97" s="2">
        <v>1.3199999999999998</v>
      </c>
      <c r="O97" s="2">
        <v>1.3199999999999998</v>
      </c>
      <c r="P97" s="2">
        <v>1.3199999999999998</v>
      </c>
      <c r="Q97" s="2">
        <v>1.3199999999999998</v>
      </c>
      <c r="R97" s="2">
        <v>2.6399999999999997</v>
      </c>
      <c r="S97" s="2">
        <v>1.3199999999999998</v>
      </c>
    </row>
    <row r="98" spans="2:19" x14ac:dyDescent="0.15">
      <c r="B98" s="1">
        <v>16</v>
      </c>
      <c r="C98" s="13" t="s">
        <v>143</v>
      </c>
      <c r="D98" s="13">
        <v>1.2</v>
      </c>
      <c r="E98" s="2">
        <v>1.26</v>
      </c>
      <c r="F98" s="2">
        <v>1.08</v>
      </c>
      <c r="G98" s="2">
        <v>1.32</v>
      </c>
      <c r="H98" s="2">
        <v>1.44</v>
      </c>
      <c r="I98" s="2">
        <v>1.08</v>
      </c>
      <c r="J98" s="2">
        <v>1.2</v>
      </c>
      <c r="K98" s="2">
        <v>1.32</v>
      </c>
      <c r="L98" s="2">
        <v>1.2</v>
      </c>
      <c r="M98" s="2">
        <v>1.38</v>
      </c>
      <c r="N98" s="2">
        <v>1.1400000000000001</v>
      </c>
      <c r="O98" s="2">
        <v>2.2800000000000002</v>
      </c>
      <c r="P98" s="2">
        <v>1.1400000000000001</v>
      </c>
      <c r="Q98" s="2">
        <v>1.1400000000000001</v>
      </c>
      <c r="R98" s="2">
        <v>1.1400000000000001</v>
      </c>
      <c r="S98" s="2">
        <v>1.1400000000000001</v>
      </c>
    </row>
    <row r="99" spans="2:19" x14ac:dyDescent="0.15">
      <c r="B99" s="1">
        <v>17</v>
      </c>
      <c r="C99" s="13" t="s">
        <v>144</v>
      </c>
      <c r="D99" s="13">
        <v>1.2</v>
      </c>
      <c r="E99" s="2">
        <v>0.96</v>
      </c>
      <c r="F99" s="2">
        <v>1.08</v>
      </c>
      <c r="G99" s="2">
        <v>0.96</v>
      </c>
      <c r="H99" s="2">
        <v>1.08</v>
      </c>
      <c r="I99" s="2">
        <v>1.2</v>
      </c>
      <c r="J99" s="2">
        <v>1.2</v>
      </c>
      <c r="K99" s="2">
        <v>1.08</v>
      </c>
      <c r="L99" s="2">
        <v>1.38</v>
      </c>
      <c r="M99" s="2">
        <v>2.04</v>
      </c>
      <c r="N99" s="2">
        <v>1.2</v>
      </c>
      <c r="O99" s="2">
        <v>1.2</v>
      </c>
      <c r="P99" s="2">
        <v>1.2</v>
      </c>
      <c r="Q99" s="2">
        <v>1.2</v>
      </c>
      <c r="R99" s="2">
        <v>1.2</v>
      </c>
      <c r="S99" s="2">
        <v>1.2</v>
      </c>
    </row>
    <row r="100" spans="2:19" x14ac:dyDescent="0.15">
      <c r="B100" s="1">
        <v>18</v>
      </c>
      <c r="C100" s="13" t="s">
        <v>145</v>
      </c>
      <c r="D100" s="13">
        <v>1.44</v>
      </c>
      <c r="E100" s="2">
        <v>1.44</v>
      </c>
      <c r="F100" s="2">
        <v>1.728</v>
      </c>
      <c r="G100" s="2">
        <v>1.296</v>
      </c>
      <c r="H100" s="2">
        <v>1.296</v>
      </c>
      <c r="I100" s="2">
        <v>1.8719999999999999</v>
      </c>
      <c r="J100" s="2">
        <v>1.5840000000000001</v>
      </c>
      <c r="K100" s="2">
        <v>1.6559999999999999</v>
      </c>
      <c r="L100" s="2">
        <v>1.44</v>
      </c>
      <c r="M100" s="2">
        <v>1.296</v>
      </c>
      <c r="N100" s="2">
        <v>1.728</v>
      </c>
      <c r="O100" s="2">
        <v>1.728</v>
      </c>
      <c r="P100" s="2">
        <v>1.728</v>
      </c>
      <c r="Q100" s="2">
        <v>1.728</v>
      </c>
      <c r="R100" s="2">
        <v>1.728</v>
      </c>
      <c r="S100" s="2">
        <v>3.456</v>
      </c>
    </row>
    <row r="101" spans="2:19" x14ac:dyDescent="0.15">
      <c r="B101" s="1">
        <v>19</v>
      </c>
      <c r="C101" s="13" t="s">
        <v>146</v>
      </c>
      <c r="D101" s="13">
        <v>1.44</v>
      </c>
      <c r="E101" s="2">
        <v>1.5840000000000001</v>
      </c>
      <c r="F101" s="2">
        <v>1.296</v>
      </c>
      <c r="G101" s="2">
        <v>1.7999999999999998</v>
      </c>
      <c r="H101" s="2">
        <v>1.512</v>
      </c>
      <c r="I101" s="2">
        <v>1.44</v>
      </c>
      <c r="J101" s="2">
        <v>1.44</v>
      </c>
      <c r="K101" s="2">
        <v>1.5840000000000001</v>
      </c>
      <c r="L101" s="2">
        <v>1.44</v>
      </c>
      <c r="M101" s="2">
        <v>1.6559999999999999</v>
      </c>
      <c r="N101" s="2">
        <v>1.44</v>
      </c>
      <c r="O101" s="2">
        <v>1.44</v>
      </c>
      <c r="P101" s="2">
        <v>1.44</v>
      </c>
      <c r="Q101" s="2">
        <v>2.88</v>
      </c>
      <c r="R101" s="2">
        <v>1.44</v>
      </c>
      <c r="S101" s="2">
        <v>1.44</v>
      </c>
    </row>
    <row r="102" spans="2:19" x14ac:dyDescent="0.15">
      <c r="B102" s="1">
        <v>20</v>
      </c>
      <c r="C102" s="13" t="s">
        <v>147</v>
      </c>
      <c r="D102" s="13">
        <v>1.44</v>
      </c>
      <c r="E102" s="2">
        <v>1.5840000000000001</v>
      </c>
      <c r="F102" s="2">
        <v>1.5840000000000001</v>
      </c>
      <c r="G102" s="2">
        <v>1.5840000000000001</v>
      </c>
      <c r="H102" s="2">
        <v>1.44</v>
      </c>
      <c r="I102" s="2">
        <v>1.5840000000000001</v>
      </c>
      <c r="J102" s="2">
        <v>1.44</v>
      </c>
      <c r="K102" s="2">
        <v>1.44</v>
      </c>
      <c r="L102" s="2">
        <v>1.5840000000000001</v>
      </c>
      <c r="M102" s="2">
        <v>1.512</v>
      </c>
      <c r="N102" s="2">
        <v>3.024</v>
      </c>
      <c r="O102" s="2">
        <v>1.512</v>
      </c>
      <c r="P102" s="2">
        <v>1.512</v>
      </c>
      <c r="Q102" s="2">
        <v>1.512</v>
      </c>
      <c r="R102" s="2">
        <v>1.512</v>
      </c>
      <c r="S102" s="2">
        <v>1.512</v>
      </c>
    </row>
  </sheetData>
  <phoneticPr fontId="2" type="noConversion"/>
  <conditionalFormatting sqref="E4:L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{0C0D7928-8830-492E-A30D-1ADFFFA81C30}</x14:id>
        </ext>
      </extLst>
    </cfRule>
  </conditionalFormatting>
  <conditionalFormatting sqref="E5:L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{12F81BE4-17BE-427B-882C-192C0B2315F2}</x14:id>
        </ext>
      </extLst>
    </cfRule>
  </conditionalFormatting>
  <conditionalFormatting sqref="E6:L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{EA49B1DD-2065-4A82-B1B1-D28FC38C69E3}</x14:id>
        </ext>
      </extLst>
    </cfRule>
  </conditionalFormatting>
  <conditionalFormatting sqref="E3:L3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{741D7DB5-3839-4996-9879-9906CA7A9ACA}</x14:id>
        </ext>
      </extLst>
    </cfRule>
  </conditionalFormatting>
  <conditionalFormatting sqref="E7:L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{E8B34E41-F56A-4B35-84A6-FAAB0125EA70}</x14:id>
        </ext>
      </extLst>
    </cfRule>
  </conditionalFormatting>
  <conditionalFormatting sqref="E8:L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{04C21998-DC96-4187-A802-79EF5B683AEE}</x14:id>
        </ext>
      </extLst>
    </cfRule>
  </conditionalFormatting>
  <conditionalFormatting sqref="E9:L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{62729135-9D96-47CF-9FCD-C15BCF0A19D3}</x14:id>
        </ext>
      </extLst>
    </cfRule>
  </conditionalFormatting>
  <conditionalFormatting sqref="E10:L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{F192837A-4DE3-4412-BECC-3982ED82F986}</x14:id>
        </ext>
      </extLst>
    </cfRule>
  </conditionalFormatting>
  <conditionalFormatting sqref="E11:L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{51245893-ADC2-41CC-9524-BF1D415B3918}</x14:id>
        </ext>
      </extLst>
    </cfRule>
  </conditionalFormatting>
  <conditionalFormatting sqref="E12:L12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{75E42EEE-1067-4171-AA0A-83382C294960}</x14:id>
        </ext>
      </extLst>
    </cfRule>
  </conditionalFormatting>
  <conditionalFormatting sqref="E13:L13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{F5D2DC26-7BF6-4F90-9531-22261B9135E3}</x14:id>
        </ext>
      </extLst>
    </cfRule>
  </conditionalFormatting>
  <conditionalFormatting sqref="E14:L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{844EC473-A158-436B-B78D-4ACFD99FD575}</x14:id>
        </ext>
      </extLst>
    </cfRule>
  </conditionalFormatting>
  <conditionalFormatting sqref="E15:L1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{8EFA42FA-C114-4D4A-A975-5382D4AC7A69}</x14:id>
        </ext>
      </extLst>
    </cfRule>
  </conditionalFormatting>
  <conditionalFormatting sqref="E16:L1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{5465F3F1-262F-42B5-880D-4D33A15C251B}</x14:id>
        </ext>
      </extLst>
    </cfRule>
  </conditionalFormatting>
  <conditionalFormatting sqref="E17:L1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{80D9978C-31B6-42A7-A44C-393FFCE64D56}</x14:id>
        </ext>
      </extLst>
    </cfRule>
  </conditionalFormatting>
  <conditionalFormatting sqref="E18:L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{36CAC3B2-30A6-478D-84AA-529DC41DC28D}</x14:id>
        </ext>
      </extLst>
    </cfRule>
  </conditionalFormatting>
  <conditionalFormatting sqref="E19:L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{E217DAB2-B92D-4D99-ABC2-38853C5CC817}</x14:id>
        </ext>
      </extLst>
    </cfRule>
  </conditionalFormatting>
  <conditionalFormatting sqref="E20:L2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{02BD2CD0-7568-4EA0-8AE2-E06E24F1DA2A}</x14:id>
        </ext>
      </extLst>
    </cfRule>
  </conditionalFormatting>
  <conditionalFormatting sqref="E21:L2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{DB4BD265-8CC9-4CB2-BDB7-2D7E169CFCE6}</x14:id>
        </ext>
      </extLst>
    </cfRule>
  </conditionalFormatting>
  <conditionalFormatting sqref="E22:L2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{D01E097B-27BE-429B-897A-12DB9D549253}</x14:id>
        </ext>
      </extLst>
    </cfRule>
  </conditionalFormatting>
  <conditionalFormatting sqref="E23:L2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{5574AA71-7321-43CF-BD8B-37CC767EA0EA}</x14:id>
        </ext>
      </extLst>
    </cfRule>
  </conditionalFormatting>
  <conditionalFormatting sqref="E24:L2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{621A91C3-FA13-4119-A4BB-C80BF4BD7810}</x14:id>
        </ext>
      </extLst>
    </cfRule>
  </conditionalFormatting>
  <conditionalFormatting sqref="E25:L2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{5D67AF26-49AE-4DE6-99FF-D7DB862A19A5}</x14:id>
        </ext>
      </extLst>
    </cfRule>
  </conditionalFormatting>
  <conditionalFormatting sqref="E26:L2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{CF3D5830-7679-4F55-ACBF-22265A3E833A}</x14:id>
        </ext>
      </extLst>
    </cfRule>
  </conditionalFormatting>
  <conditionalFormatting sqref="E27:L2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{0F15614C-BF60-4789-97DA-F937FBF186E5}</x14:id>
        </ext>
      </extLst>
    </cfRule>
  </conditionalFormatting>
  <conditionalFormatting sqref="E28:L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{3BB9EC39-09CC-4C01-B87E-0EB3D4C133B9}</x14:id>
        </ext>
      </extLst>
    </cfRule>
  </conditionalFormatting>
  <conditionalFormatting sqref="E29:L2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{20799F0C-F158-47D1-8FE1-834BF425FF6E}</x14:id>
        </ext>
      </extLst>
    </cfRule>
  </conditionalFormatting>
  <conditionalFormatting sqref="E30:L3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{AB7F1C8D-1419-4781-AAE5-EBB14B410F72}</x14:id>
        </ext>
      </extLst>
    </cfRule>
  </conditionalFormatting>
  <conditionalFormatting sqref="E31:L31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{0DB8D9F9-3C04-4C34-B8A1-24CE07A099FA}</x14:id>
        </ext>
      </extLst>
    </cfRule>
  </conditionalFormatting>
  <conditionalFormatting sqref="E32:L3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{BCBB4A4C-8F8D-4991-B9B2-C02A55DE94D2}</x14:id>
        </ext>
      </extLst>
    </cfRule>
  </conditionalFormatting>
  <conditionalFormatting sqref="E33:L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{95634010-732C-4CCC-8F24-808B700D66DF}</x14:id>
        </ext>
      </extLst>
    </cfRule>
  </conditionalFormatting>
  <conditionalFormatting sqref="E44:S74 E75:L7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{CEC0D7BC-F3B9-460F-9536-359FA6596B77}</x14:id>
        </ext>
      </extLst>
    </cfRule>
  </conditionalFormatting>
  <conditionalFormatting sqref="E78:L8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{588E90A1-2DA5-453C-89AF-78BDBA7433C6}</x14:id>
        </ext>
      </extLst>
    </cfRule>
  </conditionalFormatting>
  <conditionalFormatting sqref="E83:S10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{407029B2-B3A3-44A2-8307-F77ED5094055}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D7928-8830-492E-A30D-1ADFFFA81C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E4:L4</xm:sqref>
        </x14:conditionalFormatting>
        <x14:conditionalFormatting xmlns:xm="http://schemas.microsoft.com/office/excel/2006/main">
          <x14:cfRule type="dataBar" id="{12F81BE4-17BE-427B-882C-192C0B231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E5:L5</xm:sqref>
        </x14:conditionalFormatting>
        <x14:conditionalFormatting xmlns:xm="http://schemas.microsoft.com/office/excel/2006/main">
          <x14:cfRule type="dataBar" id="{EA49B1DD-2065-4A82-B1B1-D28FC38C69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E6:L6</xm:sqref>
        </x14:conditionalFormatting>
        <x14:conditionalFormatting xmlns:xm="http://schemas.microsoft.com/office/excel/2006/main">
          <x14:cfRule type="dataBar" id="{741D7DB5-3839-4996-9879-9906CA7A9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E3:L3</xm:sqref>
        </x14:conditionalFormatting>
        <x14:conditionalFormatting xmlns:xm="http://schemas.microsoft.com/office/excel/2006/main">
          <x14:cfRule type="dataBar" id="{E8B34E41-F56A-4B35-84A6-FAAB0125E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E7:L7</xm:sqref>
        </x14:conditionalFormatting>
        <x14:conditionalFormatting xmlns:xm="http://schemas.microsoft.com/office/excel/2006/main">
          <x14:cfRule type="dataBar" id="{04C21998-DC96-4187-A802-79EF5B683A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E8:L8</xm:sqref>
        </x14:conditionalFormatting>
        <x14:conditionalFormatting xmlns:xm="http://schemas.microsoft.com/office/excel/2006/main">
          <x14:cfRule type="dataBar" id="{62729135-9D96-47CF-9FCD-C15BCF0A1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E9:L9</xm:sqref>
        </x14:conditionalFormatting>
        <x14:conditionalFormatting xmlns:xm="http://schemas.microsoft.com/office/excel/2006/main">
          <x14:cfRule type="dataBar" id="{F192837A-4DE3-4412-BECC-3982ED82F9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E10:L10</xm:sqref>
        </x14:conditionalFormatting>
        <x14:conditionalFormatting xmlns:xm="http://schemas.microsoft.com/office/excel/2006/main">
          <x14:cfRule type="dataBar" id="{51245893-ADC2-41CC-9524-BF1D415B39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E11:L11</xm:sqref>
        </x14:conditionalFormatting>
        <x14:conditionalFormatting xmlns:xm="http://schemas.microsoft.com/office/excel/2006/main">
          <x14:cfRule type="dataBar" id="{75E42EEE-1067-4171-AA0A-83382C2949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E12:L12</xm:sqref>
        </x14:conditionalFormatting>
        <x14:conditionalFormatting xmlns:xm="http://schemas.microsoft.com/office/excel/2006/main">
          <x14:cfRule type="dataBar" id="{F5D2DC26-7BF6-4F90-9531-22261B9135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E13:L13</xm:sqref>
        </x14:conditionalFormatting>
        <x14:conditionalFormatting xmlns:xm="http://schemas.microsoft.com/office/excel/2006/main">
          <x14:cfRule type="dataBar" id="{844EC473-A158-436B-B78D-4ACFD99FD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E14:L14</xm:sqref>
        </x14:conditionalFormatting>
        <x14:conditionalFormatting xmlns:xm="http://schemas.microsoft.com/office/excel/2006/main">
          <x14:cfRule type="dataBar" id="{8EFA42FA-C114-4D4A-A975-5382D4AC7A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E15:L15</xm:sqref>
        </x14:conditionalFormatting>
        <x14:conditionalFormatting xmlns:xm="http://schemas.microsoft.com/office/excel/2006/main">
          <x14:cfRule type="dataBar" id="{5465F3F1-262F-42B5-880D-4D33A15C2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E16:L16</xm:sqref>
        </x14:conditionalFormatting>
        <x14:conditionalFormatting xmlns:xm="http://schemas.microsoft.com/office/excel/2006/main">
          <x14:cfRule type="dataBar" id="{80D9978C-31B6-42A7-A44C-393FFCE64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E17:L17</xm:sqref>
        </x14:conditionalFormatting>
        <x14:conditionalFormatting xmlns:xm="http://schemas.microsoft.com/office/excel/2006/main">
          <x14:cfRule type="dataBar" id="{36CAC3B2-30A6-478D-84AA-529DC41DC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E18:L18</xm:sqref>
        </x14:conditionalFormatting>
        <x14:conditionalFormatting xmlns:xm="http://schemas.microsoft.com/office/excel/2006/main">
          <x14:cfRule type="dataBar" id="{E217DAB2-B92D-4D99-ABC2-38853C5C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E19:L19</xm:sqref>
        </x14:conditionalFormatting>
        <x14:conditionalFormatting xmlns:xm="http://schemas.microsoft.com/office/excel/2006/main">
          <x14:cfRule type="dataBar" id="{02BD2CD0-7568-4EA0-8AE2-E06E24F1DA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E20:L20</xm:sqref>
        </x14:conditionalFormatting>
        <x14:conditionalFormatting xmlns:xm="http://schemas.microsoft.com/office/excel/2006/main">
          <x14:cfRule type="dataBar" id="{DB4BD265-8CC9-4CB2-BDB7-2D7E169CFC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E21:L21</xm:sqref>
        </x14:conditionalFormatting>
        <x14:conditionalFormatting xmlns:xm="http://schemas.microsoft.com/office/excel/2006/main">
          <x14:cfRule type="dataBar" id="{D01E097B-27BE-429B-897A-12DB9D5492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E22:L22</xm:sqref>
        </x14:conditionalFormatting>
        <x14:conditionalFormatting xmlns:xm="http://schemas.microsoft.com/office/excel/2006/main">
          <x14:cfRule type="dataBar" id="{5574AA71-7321-43CF-BD8B-37CC767EA0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E23:L23</xm:sqref>
        </x14:conditionalFormatting>
        <x14:conditionalFormatting xmlns:xm="http://schemas.microsoft.com/office/excel/2006/main">
          <x14:cfRule type="dataBar" id="{621A91C3-FA13-4119-A4BB-C80BF4BD78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E24:L24</xm:sqref>
        </x14:conditionalFormatting>
        <x14:conditionalFormatting xmlns:xm="http://schemas.microsoft.com/office/excel/2006/main">
          <x14:cfRule type="dataBar" id="{5D67AF26-49AE-4DE6-99FF-D7DB862A1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E25:L25</xm:sqref>
        </x14:conditionalFormatting>
        <x14:conditionalFormatting xmlns:xm="http://schemas.microsoft.com/office/excel/2006/main">
          <x14:cfRule type="dataBar" id="{CF3D5830-7679-4F55-ACBF-22265A3E83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E26:L26</xm:sqref>
        </x14:conditionalFormatting>
        <x14:conditionalFormatting xmlns:xm="http://schemas.microsoft.com/office/excel/2006/main">
          <x14:cfRule type="dataBar" id="{0F15614C-BF60-4789-97DA-F937FBF186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E27:L27</xm:sqref>
        </x14:conditionalFormatting>
        <x14:conditionalFormatting xmlns:xm="http://schemas.microsoft.com/office/excel/2006/main">
          <x14:cfRule type="dataBar" id="{3BB9EC39-09CC-4C01-B87E-0EB3D4C133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E28:L28</xm:sqref>
        </x14:conditionalFormatting>
        <x14:conditionalFormatting xmlns:xm="http://schemas.microsoft.com/office/excel/2006/main">
          <x14:cfRule type="dataBar" id="{20799F0C-F158-47D1-8FE1-834BF425FF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E29:L29</xm:sqref>
        </x14:conditionalFormatting>
        <x14:conditionalFormatting xmlns:xm="http://schemas.microsoft.com/office/excel/2006/main">
          <x14:cfRule type="dataBar" id="{AB7F1C8D-1419-4781-AAE5-EBB14B41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E30:L30</xm:sqref>
        </x14:conditionalFormatting>
        <x14:conditionalFormatting xmlns:xm="http://schemas.microsoft.com/office/excel/2006/main">
          <x14:cfRule type="dataBar" id="{0DB8D9F9-3C04-4C34-B8A1-24CE07A09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E31:L31</xm:sqref>
        </x14:conditionalFormatting>
        <x14:conditionalFormatting xmlns:xm="http://schemas.microsoft.com/office/excel/2006/main">
          <x14:cfRule type="dataBar" id="{BCBB4A4C-8F8D-4991-B9B2-C02A55DE94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E32:L32</xm:sqref>
        </x14:conditionalFormatting>
        <x14:conditionalFormatting xmlns:xm="http://schemas.microsoft.com/office/excel/2006/main">
          <x14:cfRule type="dataBar" id="{95634010-732C-4CCC-8F24-808B700D66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E33:L39</xm:sqref>
        </x14:conditionalFormatting>
        <x14:conditionalFormatting xmlns:xm="http://schemas.microsoft.com/office/excel/2006/main">
          <x14:cfRule type="dataBar" id="{CEC0D7BC-F3B9-460F-9536-359FA6596B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E44:S74 E75:L77</xm:sqref>
        </x14:conditionalFormatting>
        <x14:conditionalFormatting xmlns:xm="http://schemas.microsoft.com/office/excel/2006/main">
          <x14:cfRule type="dataBar" id="{588E90A1-2DA5-453C-89AF-78BDBA743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E78:L80</xm:sqref>
        </x14:conditionalFormatting>
        <x14:conditionalFormatting xmlns:xm="http://schemas.microsoft.com/office/excel/2006/main">
          <x14:cfRule type="dataBar" id="{407029B2-B3A3-44A2-8307-F77ED5094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E83:S102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4" sqref="E4"/>
    </sheetView>
  </sheetViews>
  <sheetFormatPr defaultRowHeight="12.75" x14ac:dyDescent="0.1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E101"/>
  <sheetViews>
    <sheetView topLeftCell="K1" workbookViewId="0">
      <selection activeCell="P2" sqref="P2:V101"/>
    </sheetView>
  </sheetViews>
  <sheetFormatPr defaultRowHeight="12.75" x14ac:dyDescent="0.15"/>
  <cols>
    <col min="1" max="1" width="2" style="26" customWidth="1"/>
    <col min="2" max="7" width="9" style="26"/>
    <col min="8" max="8" width="12.125" style="26" customWidth="1"/>
    <col min="9" max="9" width="9" style="26"/>
    <col min="10" max="10" width="13" style="26" customWidth="1"/>
    <col min="11" max="13" width="9" style="26"/>
    <col min="14" max="15" width="22.125" style="26" customWidth="1"/>
    <col min="16" max="16" width="8.875" style="26" customWidth="1"/>
    <col min="17" max="17" width="8" style="26" customWidth="1"/>
    <col min="18" max="21" width="12.625" style="26" customWidth="1"/>
    <col min="22" max="22" width="14.875" style="30" customWidth="1"/>
    <col min="23" max="24" width="12.625" style="26" customWidth="1"/>
    <col min="25" max="25" width="13.375" style="26" customWidth="1"/>
    <col min="26" max="26" width="22.125" style="26" customWidth="1"/>
    <col min="27" max="16384" width="9" style="26"/>
  </cols>
  <sheetData>
    <row r="2" spans="2:36" x14ac:dyDescent="0.15">
      <c r="B2" s="53" t="s">
        <v>294</v>
      </c>
      <c r="C2" s="53" t="s">
        <v>295</v>
      </c>
      <c r="D2" s="53" t="s">
        <v>275</v>
      </c>
      <c r="E2" s="53" t="s">
        <v>453</v>
      </c>
      <c r="F2" s="53" t="s">
        <v>276</v>
      </c>
      <c r="G2" s="53" t="s">
        <v>277</v>
      </c>
      <c r="H2" s="53" t="s">
        <v>414</v>
      </c>
      <c r="I2" s="53" t="s">
        <v>415</v>
      </c>
      <c r="J2" s="53" t="s">
        <v>416</v>
      </c>
      <c r="K2" s="53" t="s">
        <v>278</v>
      </c>
      <c r="L2" s="54" t="s">
        <v>413</v>
      </c>
      <c r="M2" s="53" t="s">
        <v>279</v>
      </c>
      <c r="N2" s="53" t="s">
        <v>280</v>
      </c>
      <c r="O2" s="28"/>
      <c r="P2" s="28" t="s">
        <v>380</v>
      </c>
      <c r="Q2" s="28" t="s">
        <v>381</v>
      </c>
      <c r="R2" s="28" t="s">
        <v>384</v>
      </c>
      <c r="S2" s="28" t="s">
        <v>385</v>
      </c>
      <c r="T2" s="28" t="s">
        <v>383</v>
      </c>
      <c r="U2" s="28" t="s">
        <v>382</v>
      </c>
      <c r="V2" s="47" t="s">
        <v>386</v>
      </c>
      <c r="W2" s="28"/>
      <c r="X2" s="28"/>
      <c r="Y2" s="28"/>
      <c r="Z2" s="28"/>
    </row>
    <row r="3" spans="2:36" x14ac:dyDescent="0.15">
      <c r="B3" s="26">
        <v>1</v>
      </c>
      <c r="C3" s="26">
        <v>1</v>
      </c>
      <c r="D3" s="29">
        <v>0.3</v>
      </c>
      <c r="E3" s="29"/>
      <c r="F3" s="29">
        <f>D3*(B3/130)+20%</f>
        <v>0.20230769230769233</v>
      </c>
      <c r="G3" s="30">
        <f>1-((1-D3)/(1-F3))</f>
        <v>0.12246865959498565</v>
      </c>
      <c r="H3" s="30">
        <f>I3/(I3+B3*9)</f>
        <v>0.1</v>
      </c>
      <c r="I3" s="26">
        <f>B3</f>
        <v>1</v>
      </c>
      <c r="J3" s="26">
        <f>ROUNDUP((F3*I3+9*B3*F3-I3)/(1-F3),0)</f>
        <v>2</v>
      </c>
      <c r="K3" s="26">
        <f>L3+M3</f>
        <v>10</v>
      </c>
      <c r="L3" s="26">
        <v>2</v>
      </c>
      <c r="M3" s="26">
        <v>8</v>
      </c>
      <c r="N3" s="42">
        <f>G3/K3</f>
        <v>1.2246865959498565E-2</v>
      </c>
      <c r="O3" s="42"/>
      <c r="P3" s="26">
        <v>1</v>
      </c>
      <c r="Q3" s="26">
        <v>1</v>
      </c>
      <c r="R3" s="29">
        <v>0.95</v>
      </c>
      <c r="S3" s="29">
        <f>T3/(T3+P3*0.3)</f>
        <v>0.76923076923076916</v>
      </c>
      <c r="T3" s="26">
        <v>1</v>
      </c>
      <c r="U3" s="26">
        <f>(T3*R3-T3+0.2*P3)/(1-R3)</f>
        <v>2.9999999999999964</v>
      </c>
      <c r="V3" s="30">
        <f>(T3+3)/(T3+3+P3*0.2)</f>
        <v>0.95238095238095233</v>
      </c>
      <c r="W3" s="29"/>
      <c r="X3" s="29"/>
      <c r="AB3" s="21"/>
      <c r="AC3" s="21" t="s">
        <v>2</v>
      </c>
      <c r="AD3" s="21" t="s">
        <v>154</v>
      </c>
      <c r="AE3" s="21"/>
      <c r="AF3" s="21" t="s">
        <v>174</v>
      </c>
      <c r="AG3" s="21" t="s">
        <v>175</v>
      </c>
      <c r="AH3" s="21"/>
      <c r="AI3" s="21" t="s">
        <v>155</v>
      </c>
      <c r="AJ3" s="21" t="s">
        <v>156</v>
      </c>
    </row>
    <row r="4" spans="2:36" x14ac:dyDescent="0.15">
      <c r="B4" s="26">
        <v>2</v>
      </c>
      <c r="C4" s="26">
        <v>1</v>
      </c>
      <c r="D4" s="29">
        <f>D3+0.005</f>
        <v>0.30499999999999999</v>
      </c>
      <c r="E4" s="29"/>
      <c r="F4" s="29">
        <f t="shared" ref="F4:F67" si="0">D4*(B4/130)+20%</f>
        <v>0.2046923076923077</v>
      </c>
      <c r="G4" s="30">
        <f t="shared" ref="G4:G67" si="1">1-((1-D4)/(1-F4))</f>
        <v>0.12612438340265009</v>
      </c>
      <c r="H4" s="30">
        <f t="shared" ref="H4:H67" si="2">I4/(I4+B4*9)</f>
        <v>0.1</v>
      </c>
      <c r="I4" s="26">
        <f>B4</f>
        <v>2</v>
      </c>
      <c r="J4" s="26">
        <f t="shared" ref="J4:J67" si="3">ROUNDUP((F4*I4+9*B4*F4-I4)/(1-F4),0)</f>
        <v>3</v>
      </c>
      <c r="K4" s="26">
        <f t="shared" ref="K4:K67" si="4">L4+M4</f>
        <v>20</v>
      </c>
      <c r="L4" s="26">
        <f>L3+1</f>
        <v>3</v>
      </c>
      <c r="M4" s="26">
        <f>M3+9</f>
        <v>17</v>
      </c>
      <c r="N4" s="42">
        <f t="shared" ref="N4:N67" si="5">G4/K4</f>
        <v>6.3062191701325045E-3</v>
      </c>
      <c r="O4" s="42"/>
      <c r="P4" s="26">
        <v>2</v>
      </c>
      <c r="Q4" s="26">
        <v>1</v>
      </c>
      <c r="R4" s="29">
        <v>0.95</v>
      </c>
      <c r="S4" s="29">
        <f t="shared" ref="S4:S67" si="6">T4/(T4+P4*0.3)</f>
        <v>0.76923076923076916</v>
      </c>
      <c r="T4" s="26">
        <f>T3+1</f>
        <v>2</v>
      </c>
      <c r="U4" s="26">
        <f t="shared" ref="U4:U67" si="7">(T4*R4-T4+0.2*P4)/(1-R4)</f>
        <v>5.9999999999999929</v>
      </c>
      <c r="V4" s="30">
        <f t="shared" ref="V4:V67" si="8">(T4+3)/(T4+3+P4*0.2)</f>
        <v>0.92592592592592582</v>
      </c>
      <c r="W4" s="29"/>
      <c r="X4" s="29"/>
      <c r="AB4" s="21">
        <v>1</v>
      </c>
      <c r="AC4" s="21">
        <v>10</v>
      </c>
      <c r="AD4" s="21">
        <v>10</v>
      </c>
      <c r="AE4" s="21"/>
      <c r="AF4" s="21">
        <v>0.5</v>
      </c>
      <c r="AG4" s="21">
        <v>0.95</v>
      </c>
      <c r="AH4" s="21"/>
      <c r="AI4" s="21">
        <f>AC4*AF4</f>
        <v>5</v>
      </c>
      <c r="AJ4" s="21">
        <f>AD4/AG4</f>
        <v>10.526315789473685</v>
      </c>
    </row>
    <row r="5" spans="2:36" x14ac:dyDescent="0.15">
      <c r="B5" s="26">
        <v>3</v>
      </c>
      <c r="C5" s="26">
        <v>1</v>
      </c>
      <c r="D5" s="29">
        <f t="shared" ref="D5:D68" si="9">D4+0.005</f>
        <v>0.31</v>
      </c>
      <c r="E5" s="29"/>
      <c r="F5" s="29">
        <f t="shared" si="0"/>
        <v>0.20715384615384616</v>
      </c>
      <c r="G5" s="30">
        <f t="shared" si="1"/>
        <v>0.12971766760454073</v>
      </c>
      <c r="H5" s="30">
        <f t="shared" si="2"/>
        <v>0.1</v>
      </c>
      <c r="I5" s="26">
        <f t="shared" ref="I5:I68" si="10">B5</f>
        <v>3</v>
      </c>
      <c r="J5" s="26">
        <f t="shared" si="3"/>
        <v>5</v>
      </c>
      <c r="K5" s="26">
        <f t="shared" si="4"/>
        <v>30</v>
      </c>
      <c r="L5" s="26">
        <f t="shared" ref="L5:L68" si="11">L4+1</f>
        <v>4</v>
      </c>
      <c r="M5" s="26">
        <f t="shared" ref="M5:M68" si="12">M4+9</f>
        <v>26</v>
      </c>
      <c r="N5" s="42">
        <f t="shared" si="5"/>
        <v>4.3239222534846907E-3</v>
      </c>
      <c r="O5" s="42"/>
      <c r="P5" s="26">
        <v>3</v>
      </c>
      <c r="Q5" s="26">
        <v>1</v>
      </c>
      <c r="R5" s="29">
        <v>0.95</v>
      </c>
      <c r="S5" s="29">
        <f t="shared" si="6"/>
        <v>0.76923076923076927</v>
      </c>
      <c r="T5" s="26">
        <f t="shared" ref="T5:T68" si="13">T4+1</f>
        <v>3</v>
      </c>
      <c r="U5" s="26">
        <f t="shared" si="7"/>
        <v>8.9999999999999858</v>
      </c>
      <c r="V5" s="30">
        <f t="shared" si="8"/>
        <v>0.90909090909090917</v>
      </c>
      <c r="W5" s="29"/>
      <c r="X5" s="29"/>
      <c r="AB5" s="21">
        <v>2</v>
      </c>
      <c r="AC5" s="21">
        <f>AC4+1</f>
        <v>11</v>
      </c>
      <c r="AD5" s="21">
        <f>AC4/(AC5/AD4)</f>
        <v>9.0909090909090899</v>
      </c>
      <c r="AE5" s="21"/>
      <c r="AF5" s="21">
        <f>AF4+0.05</f>
        <v>0.55000000000000004</v>
      </c>
      <c r="AG5" s="21">
        <f>AG4-0.05</f>
        <v>0.89999999999999991</v>
      </c>
      <c r="AH5" s="21"/>
      <c r="AI5" s="21">
        <f t="shared" ref="AI5:AI13" si="14">AC5*AF5</f>
        <v>6.0500000000000007</v>
      </c>
      <c r="AJ5" s="21">
        <f t="shared" ref="AJ5:AJ13" si="15">AD5/AG5</f>
        <v>10.1010101010101</v>
      </c>
    </row>
    <row r="6" spans="2:36" x14ac:dyDescent="0.15">
      <c r="B6" s="26">
        <v>4</v>
      </c>
      <c r="C6" s="26">
        <v>1</v>
      </c>
      <c r="D6" s="29">
        <f t="shared" si="9"/>
        <v>0.315</v>
      </c>
      <c r="E6" s="29"/>
      <c r="F6" s="29">
        <f t="shared" si="0"/>
        <v>0.20969230769230771</v>
      </c>
      <c r="G6" s="30">
        <f t="shared" si="1"/>
        <v>0.13324897800272517</v>
      </c>
      <c r="H6" s="30">
        <f t="shared" si="2"/>
        <v>0.1</v>
      </c>
      <c r="I6" s="26">
        <f t="shared" si="10"/>
        <v>4</v>
      </c>
      <c r="J6" s="26">
        <f t="shared" si="3"/>
        <v>6</v>
      </c>
      <c r="K6" s="26">
        <f t="shared" si="4"/>
        <v>40</v>
      </c>
      <c r="L6" s="26">
        <f t="shared" si="11"/>
        <v>5</v>
      </c>
      <c r="M6" s="26">
        <f t="shared" si="12"/>
        <v>35</v>
      </c>
      <c r="N6" s="42">
        <f t="shared" si="5"/>
        <v>3.3312244500681293E-3</v>
      </c>
      <c r="O6" s="42"/>
      <c r="P6" s="26">
        <v>4</v>
      </c>
      <c r="Q6" s="26">
        <v>1</v>
      </c>
      <c r="R6" s="29">
        <v>0.95</v>
      </c>
      <c r="S6" s="29">
        <f t="shared" si="6"/>
        <v>0.76923076923076916</v>
      </c>
      <c r="T6" s="26">
        <f t="shared" si="13"/>
        <v>4</v>
      </c>
      <c r="U6" s="26">
        <f t="shared" si="7"/>
        <v>11.999999999999986</v>
      </c>
      <c r="V6" s="30">
        <f t="shared" si="8"/>
        <v>0.89743589743589747</v>
      </c>
      <c r="W6" s="29"/>
      <c r="X6" s="29"/>
      <c r="AB6" s="21">
        <v>3</v>
      </c>
      <c r="AC6" s="21">
        <f t="shared" ref="AC6:AC13" si="16">AC5+1</f>
        <v>12</v>
      </c>
      <c r="AD6" s="21">
        <f t="shared" ref="AD6:AD13" si="17">AC5/(AC6/AD5)</f>
        <v>8.3333333333333321</v>
      </c>
      <c r="AE6" s="21"/>
      <c r="AF6" s="21">
        <f t="shared" ref="AF6:AF13" si="18">AF5+0.05</f>
        <v>0.60000000000000009</v>
      </c>
      <c r="AG6" s="21">
        <f t="shared" ref="AG6:AG13" si="19">AG5-0.05</f>
        <v>0.84999999999999987</v>
      </c>
      <c r="AH6" s="21"/>
      <c r="AI6" s="21">
        <f t="shared" si="14"/>
        <v>7.2000000000000011</v>
      </c>
      <c r="AJ6" s="21">
        <f t="shared" si="15"/>
        <v>9.8039215686274517</v>
      </c>
    </row>
    <row r="7" spans="2:36" x14ac:dyDescent="0.15">
      <c r="B7" s="26">
        <v>5</v>
      </c>
      <c r="C7" s="26">
        <v>1</v>
      </c>
      <c r="D7" s="29">
        <f t="shared" si="9"/>
        <v>0.32</v>
      </c>
      <c r="E7" s="29"/>
      <c r="F7" s="29">
        <f t="shared" si="0"/>
        <v>0.21230769230769231</v>
      </c>
      <c r="G7" s="30">
        <f t="shared" si="1"/>
        <v>0.13671875000000011</v>
      </c>
      <c r="H7" s="30">
        <f t="shared" si="2"/>
        <v>0.1</v>
      </c>
      <c r="I7" s="26">
        <f t="shared" si="10"/>
        <v>5</v>
      </c>
      <c r="J7" s="26">
        <f t="shared" si="3"/>
        <v>8</v>
      </c>
      <c r="K7" s="26">
        <f t="shared" si="4"/>
        <v>50</v>
      </c>
      <c r="L7" s="26">
        <f t="shared" si="11"/>
        <v>6</v>
      </c>
      <c r="M7" s="26">
        <f t="shared" si="12"/>
        <v>44</v>
      </c>
      <c r="N7" s="42">
        <f t="shared" si="5"/>
        <v>2.7343750000000024E-3</v>
      </c>
      <c r="O7" s="42"/>
      <c r="P7" s="26">
        <v>5</v>
      </c>
      <c r="Q7" s="26">
        <v>1</v>
      </c>
      <c r="R7" s="29">
        <v>0.95</v>
      </c>
      <c r="S7" s="29">
        <f t="shared" si="6"/>
        <v>0.76923076923076927</v>
      </c>
      <c r="T7" s="26">
        <f t="shared" si="13"/>
        <v>5</v>
      </c>
      <c r="U7" s="26">
        <f t="shared" si="7"/>
        <v>14.999999999999986</v>
      </c>
      <c r="V7" s="30">
        <f t="shared" si="8"/>
        <v>0.88888888888888884</v>
      </c>
      <c r="W7" s="29"/>
      <c r="X7" s="29"/>
      <c r="AB7" s="21">
        <v>4</v>
      </c>
      <c r="AC7" s="21">
        <f t="shared" si="16"/>
        <v>13</v>
      </c>
      <c r="AD7" s="21">
        <f t="shared" si="17"/>
        <v>7.6923076923076907</v>
      </c>
      <c r="AE7" s="21"/>
      <c r="AF7" s="21">
        <f t="shared" si="18"/>
        <v>0.65000000000000013</v>
      </c>
      <c r="AG7" s="21">
        <f t="shared" si="19"/>
        <v>0.79999999999999982</v>
      </c>
      <c r="AH7" s="21"/>
      <c r="AI7" s="21">
        <f t="shared" si="14"/>
        <v>8.4500000000000011</v>
      </c>
      <c r="AJ7" s="21">
        <f t="shared" si="15"/>
        <v>9.615384615384615</v>
      </c>
    </row>
    <row r="8" spans="2:36" x14ac:dyDescent="0.15">
      <c r="B8" s="26">
        <v>6</v>
      </c>
      <c r="C8" s="26">
        <v>1</v>
      </c>
      <c r="D8" s="29">
        <f t="shared" si="9"/>
        <v>0.32500000000000001</v>
      </c>
      <c r="E8" s="29"/>
      <c r="F8" s="29">
        <f t="shared" si="0"/>
        <v>0.21500000000000002</v>
      </c>
      <c r="G8" s="30">
        <f t="shared" si="1"/>
        <v>0.1401273885350317</v>
      </c>
      <c r="H8" s="30">
        <f t="shared" si="2"/>
        <v>0.1</v>
      </c>
      <c r="I8" s="26">
        <f t="shared" si="10"/>
        <v>6</v>
      </c>
      <c r="J8" s="26">
        <f t="shared" si="3"/>
        <v>9</v>
      </c>
      <c r="K8" s="26">
        <f t="shared" si="4"/>
        <v>60</v>
      </c>
      <c r="L8" s="26">
        <f t="shared" si="11"/>
        <v>7</v>
      </c>
      <c r="M8" s="26">
        <f t="shared" si="12"/>
        <v>53</v>
      </c>
      <c r="N8" s="42">
        <f t="shared" si="5"/>
        <v>2.3354564755838619E-3</v>
      </c>
      <c r="O8" s="42"/>
      <c r="P8" s="26">
        <v>6</v>
      </c>
      <c r="Q8" s="26">
        <v>1</v>
      </c>
      <c r="R8" s="29">
        <v>0.95</v>
      </c>
      <c r="S8" s="29">
        <f t="shared" si="6"/>
        <v>0.76923076923076927</v>
      </c>
      <c r="T8" s="26">
        <f t="shared" si="13"/>
        <v>6</v>
      </c>
      <c r="U8" s="26">
        <f t="shared" si="7"/>
        <v>17.999999999999972</v>
      </c>
      <c r="V8" s="30">
        <f t="shared" si="8"/>
        <v>0.88235294117647067</v>
      </c>
      <c r="W8" s="29"/>
      <c r="X8" s="29"/>
      <c r="AB8" s="21">
        <v>5</v>
      </c>
      <c r="AC8" s="21">
        <f t="shared" si="16"/>
        <v>14</v>
      </c>
      <c r="AD8" s="21">
        <f t="shared" si="17"/>
        <v>7.1428571428571415</v>
      </c>
      <c r="AE8" s="21"/>
      <c r="AF8" s="21">
        <f t="shared" si="18"/>
        <v>0.70000000000000018</v>
      </c>
      <c r="AG8" s="21">
        <f t="shared" si="19"/>
        <v>0.74999999999999978</v>
      </c>
      <c r="AH8" s="21"/>
      <c r="AI8" s="21">
        <f t="shared" si="14"/>
        <v>9.8000000000000025</v>
      </c>
      <c r="AJ8" s="21">
        <f t="shared" si="15"/>
        <v>9.5238095238095255</v>
      </c>
    </row>
    <row r="9" spans="2:36" x14ac:dyDescent="0.15">
      <c r="B9" s="26">
        <v>7</v>
      </c>
      <c r="C9" s="26">
        <v>1</v>
      </c>
      <c r="D9" s="29">
        <f t="shared" si="9"/>
        <v>0.33</v>
      </c>
      <c r="E9" s="29"/>
      <c r="F9" s="29">
        <f t="shared" si="0"/>
        <v>0.21776923076923077</v>
      </c>
      <c r="G9" s="30">
        <f t="shared" si="1"/>
        <v>0.1434752679712854</v>
      </c>
      <c r="H9" s="30">
        <f t="shared" si="2"/>
        <v>0.1</v>
      </c>
      <c r="I9" s="26">
        <f t="shared" si="10"/>
        <v>7</v>
      </c>
      <c r="J9" s="26">
        <f t="shared" si="3"/>
        <v>11</v>
      </c>
      <c r="K9" s="26">
        <f t="shared" si="4"/>
        <v>70</v>
      </c>
      <c r="L9" s="26">
        <f t="shared" si="11"/>
        <v>8</v>
      </c>
      <c r="M9" s="26">
        <f t="shared" si="12"/>
        <v>62</v>
      </c>
      <c r="N9" s="42">
        <f t="shared" si="5"/>
        <v>2.0496466853040774E-3</v>
      </c>
      <c r="O9" s="42"/>
      <c r="P9" s="26">
        <v>7</v>
      </c>
      <c r="Q9" s="26">
        <v>1</v>
      </c>
      <c r="R9" s="29">
        <v>0.95</v>
      </c>
      <c r="S9" s="29">
        <f t="shared" si="6"/>
        <v>0.76923076923076927</v>
      </c>
      <c r="T9" s="26">
        <f t="shared" si="13"/>
        <v>7</v>
      </c>
      <c r="U9" s="26">
        <f t="shared" si="7"/>
        <v>20.999999999999972</v>
      </c>
      <c r="V9" s="30">
        <f t="shared" si="8"/>
        <v>0.8771929824561403</v>
      </c>
      <c r="W9" s="29"/>
      <c r="X9" s="29">
        <f>99/8</f>
        <v>12.375</v>
      </c>
      <c r="AB9" s="21">
        <v>6</v>
      </c>
      <c r="AC9" s="21">
        <f t="shared" si="16"/>
        <v>15</v>
      </c>
      <c r="AD9" s="21">
        <f t="shared" si="17"/>
        <v>6.6666666666666652</v>
      </c>
      <c r="AE9" s="21"/>
      <c r="AF9" s="21">
        <f t="shared" si="18"/>
        <v>0.75000000000000022</v>
      </c>
      <c r="AG9" s="21">
        <f t="shared" si="19"/>
        <v>0.69999999999999973</v>
      </c>
      <c r="AH9" s="21"/>
      <c r="AI9" s="21">
        <f t="shared" si="14"/>
        <v>11.250000000000004</v>
      </c>
      <c r="AJ9" s="21">
        <f t="shared" si="15"/>
        <v>9.5238095238095255</v>
      </c>
    </row>
    <row r="10" spans="2:36" x14ac:dyDescent="0.15">
      <c r="B10" s="26">
        <v>8</v>
      </c>
      <c r="C10" s="26">
        <v>1</v>
      </c>
      <c r="D10" s="29">
        <f t="shared" si="9"/>
        <v>0.33500000000000002</v>
      </c>
      <c r="E10" s="29"/>
      <c r="F10" s="29">
        <f t="shared" si="0"/>
        <v>0.22061538461538463</v>
      </c>
      <c r="G10" s="30">
        <f t="shared" si="1"/>
        <v>0.14676273193841283</v>
      </c>
      <c r="H10" s="30">
        <f t="shared" si="2"/>
        <v>0.1</v>
      </c>
      <c r="I10" s="26">
        <f t="shared" si="10"/>
        <v>8</v>
      </c>
      <c r="J10" s="26">
        <f t="shared" si="3"/>
        <v>13</v>
      </c>
      <c r="K10" s="26">
        <f t="shared" si="4"/>
        <v>80</v>
      </c>
      <c r="L10" s="26">
        <f t="shared" si="11"/>
        <v>9</v>
      </c>
      <c r="M10" s="26">
        <f t="shared" si="12"/>
        <v>71</v>
      </c>
      <c r="N10" s="42">
        <f t="shared" si="5"/>
        <v>1.8345341492301604E-3</v>
      </c>
      <c r="O10" s="42"/>
      <c r="P10" s="26">
        <v>8</v>
      </c>
      <c r="Q10" s="26">
        <v>1</v>
      </c>
      <c r="R10" s="29">
        <v>0.95</v>
      </c>
      <c r="S10" s="29">
        <f t="shared" si="6"/>
        <v>0.76923076923076916</v>
      </c>
      <c r="T10" s="26">
        <f t="shared" si="13"/>
        <v>8</v>
      </c>
      <c r="U10" s="26">
        <f t="shared" si="7"/>
        <v>23.999999999999972</v>
      </c>
      <c r="V10" s="30">
        <f t="shared" si="8"/>
        <v>0.87301587301587302</v>
      </c>
      <c r="W10" s="29"/>
      <c r="X10" s="29"/>
      <c r="AB10" s="21">
        <v>7</v>
      </c>
      <c r="AC10" s="21">
        <f t="shared" si="16"/>
        <v>16</v>
      </c>
      <c r="AD10" s="21">
        <f t="shared" si="17"/>
        <v>6.2499999999999991</v>
      </c>
      <c r="AE10" s="21"/>
      <c r="AF10" s="21">
        <f t="shared" si="18"/>
        <v>0.80000000000000027</v>
      </c>
      <c r="AG10" s="21">
        <f t="shared" si="19"/>
        <v>0.64999999999999969</v>
      </c>
      <c r="AH10" s="21"/>
      <c r="AI10" s="21">
        <f t="shared" si="14"/>
        <v>12.800000000000004</v>
      </c>
      <c r="AJ10" s="21">
        <f t="shared" si="15"/>
        <v>9.6153846153846185</v>
      </c>
    </row>
    <row r="11" spans="2:36" x14ac:dyDescent="0.15">
      <c r="B11" s="26">
        <v>9</v>
      </c>
      <c r="C11" s="26">
        <v>1</v>
      </c>
      <c r="D11" s="29">
        <f t="shared" si="9"/>
        <v>0.34</v>
      </c>
      <c r="E11" s="29"/>
      <c r="F11" s="29">
        <f t="shared" si="0"/>
        <v>0.22353846153846155</v>
      </c>
      <c r="G11" s="30">
        <f t="shared" si="1"/>
        <v>0.14999009312462852</v>
      </c>
      <c r="H11" s="30">
        <f t="shared" si="2"/>
        <v>0.1</v>
      </c>
      <c r="I11" s="26">
        <f t="shared" si="10"/>
        <v>9</v>
      </c>
      <c r="J11" s="26">
        <f t="shared" si="3"/>
        <v>15</v>
      </c>
      <c r="K11" s="26">
        <f t="shared" si="4"/>
        <v>90</v>
      </c>
      <c r="L11" s="26">
        <f t="shared" si="11"/>
        <v>10</v>
      </c>
      <c r="M11" s="26">
        <f t="shared" si="12"/>
        <v>80</v>
      </c>
      <c r="N11" s="42">
        <f t="shared" si="5"/>
        <v>1.6665565902736503E-3</v>
      </c>
      <c r="O11" s="42"/>
      <c r="P11" s="26">
        <v>9</v>
      </c>
      <c r="Q11" s="26">
        <v>1</v>
      </c>
      <c r="R11" s="29">
        <v>0.95</v>
      </c>
      <c r="S11" s="29">
        <f t="shared" si="6"/>
        <v>0.76923076923076927</v>
      </c>
      <c r="T11" s="26">
        <f t="shared" si="13"/>
        <v>9</v>
      </c>
      <c r="U11" s="26">
        <f t="shared" si="7"/>
        <v>26.999999999999957</v>
      </c>
      <c r="V11" s="30">
        <f t="shared" si="8"/>
        <v>0.86956521739130432</v>
      </c>
      <c r="W11" s="29"/>
      <c r="X11" s="29"/>
      <c r="AB11" s="21">
        <v>8</v>
      </c>
      <c r="AC11" s="21">
        <f t="shared" si="16"/>
        <v>17</v>
      </c>
      <c r="AD11" s="21">
        <f t="shared" si="17"/>
        <v>5.8823529411764701</v>
      </c>
      <c r="AE11" s="21"/>
      <c r="AF11" s="21">
        <f t="shared" si="18"/>
        <v>0.85000000000000031</v>
      </c>
      <c r="AG11" s="21">
        <f t="shared" si="19"/>
        <v>0.59999999999999964</v>
      </c>
      <c r="AH11" s="21"/>
      <c r="AI11" s="21">
        <f t="shared" si="14"/>
        <v>14.450000000000005</v>
      </c>
      <c r="AJ11" s="21">
        <f t="shared" si="15"/>
        <v>9.8039215686274552</v>
      </c>
    </row>
    <row r="12" spans="2:36" x14ac:dyDescent="0.15">
      <c r="B12" s="26">
        <v>10</v>
      </c>
      <c r="C12" s="26">
        <v>1</v>
      </c>
      <c r="D12" s="29">
        <f t="shared" si="9"/>
        <v>0.34500000000000003</v>
      </c>
      <c r="E12" s="29"/>
      <c r="F12" s="29">
        <f t="shared" si="0"/>
        <v>0.22653846153846155</v>
      </c>
      <c r="G12" s="30">
        <f t="shared" si="1"/>
        <v>0.15315763301839869</v>
      </c>
      <c r="H12" s="30">
        <f t="shared" si="2"/>
        <v>0.1</v>
      </c>
      <c r="I12" s="26">
        <f t="shared" si="10"/>
        <v>10</v>
      </c>
      <c r="J12" s="26">
        <f t="shared" si="3"/>
        <v>17</v>
      </c>
      <c r="K12" s="26">
        <f t="shared" si="4"/>
        <v>100</v>
      </c>
      <c r="L12" s="26">
        <f t="shared" si="11"/>
        <v>11</v>
      </c>
      <c r="M12" s="26">
        <f t="shared" si="12"/>
        <v>89</v>
      </c>
      <c r="N12" s="42">
        <f t="shared" si="5"/>
        <v>1.5315763301839869E-3</v>
      </c>
      <c r="O12" s="42"/>
      <c r="P12" s="26">
        <v>10</v>
      </c>
      <c r="Q12" s="26">
        <v>1</v>
      </c>
      <c r="R12" s="29">
        <v>0.95</v>
      </c>
      <c r="S12" s="29">
        <f t="shared" si="6"/>
        <v>0.76923076923076927</v>
      </c>
      <c r="T12" s="26">
        <f t="shared" si="13"/>
        <v>10</v>
      </c>
      <c r="U12" s="26">
        <f t="shared" si="7"/>
        <v>29.999999999999972</v>
      </c>
      <c r="V12" s="30">
        <f t="shared" si="8"/>
        <v>0.8666666666666667</v>
      </c>
      <c r="W12" s="29"/>
      <c r="X12" s="29"/>
      <c r="AB12" s="21">
        <v>9</v>
      </c>
      <c r="AC12" s="21">
        <f t="shared" si="16"/>
        <v>18</v>
      </c>
      <c r="AD12" s="21">
        <f t="shared" si="17"/>
        <v>5.5555555555555554</v>
      </c>
      <c r="AE12" s="21"/>
      <c r="AF12" s="21">
        <f t="shared" si="18"/>
        <v>0.90000000000000036</v>
      </c>
      <c r="AG12" s="21">
        <f t="shared" si="19"/>
        <v>0.5499999999999996</v>
      </c>
      <c r="AH12" s="21"/>
      <c r="AI12" s="21">
        <f t="shared" si="14"/>
        <v>16.200000000000006</v>
      </c>
      <c r="AJ12" s="21">
        <f t="shared" si="15"/>
        <v>10.101010101010107</v>
      </c>
    </row>
    <row r="13" spans="2:36" x14ac:dyDescent="0.15">
      <c r="B13" s="26">
        <v>11</v>
      </c>
      <c r="C13" s="26">
        <f>C3+1</f>
        <v>2</v>
      </c>
      <c r="D13" s="29">
        <f t="shared" si="9"/>
        <v>0.35000000000000003</v>
      </c>
      <c r="E13" s="29"/>
      <c r="F13" s="29">
        <f t="shared" si="0"/>
        <v>0.22961538461538464</v>
      </c>
      <c r="G13" s="30">
        <f t="shared" si="1"/>
        <v>0.15626560159760361</v>
      </c>
      <c r="H13" s="30">
        <f t="shared" si="2"/>
        <v>0.1</v>
      </c>
      <c r="I13" s="26">
        <f t="shared" si="10"/>
        <v>11</v>
      </c>
      <c r="J13" s="26">
        <f t="shared" si="3"/>
        <v>19</v>
      </c>
      <c r="K13" s="26">
        <f t="shared" si="4"/>
        <v>110</v>
      </c>
      <c r="L13" s="26">
        <f t="shared" si="11"/>
        <v>12</v>
      </c>
      <c r="M13" s="26">
        <f t="shared" si="12"/>
        <v>98</v>
      </c>
      <c r="N13" s="42">
        <f t="shared" si="5"/>
        <v>1.4205963781600329E-3</v>
      </c>
      <c r="O13" s="42"/>
      <c r="P13" s="48">
        <v>11</v>
      </c>
      <c r="Q13" s="48">
        <f>Q3+1</f>
        <v>2</v>
      </c>
      <c r="R13" s="49">
        <v>0.95</v>
      </c>
      <c r="S13" s="29">
        <f t="shared" si="6"/>
        <v>0.76923076923076916</v>
      </c>
      <c r="T13" s="48">
        <f t="shared" si="13"/>
        <v>11</v>
      </c>
      <c r="U13" s="48">
        <f t="shared" si="7"/>
        <v>32.999999999999957</v>
      </c>
      <c r="V13" s="50">
        <f>(T13+33)/(T13+33+P13*0.2)</f>
        <v>0.95238095238095233</v>
      </c>
      <c r="W13" s="29"/>
      <c r="X13" s="29"/>
      <c r="AB13" s="21">
        <v>10</v>
      </c>
      <c r="AC13" s="21">
        <f t="shared" si="16"/>
        <v>19</v>
      </c>
      <c r="AD13" s="21">
        <f t="shared" si="17"/>
        <v>5.2631578947368425</v>
      </c>
      <c r="AE13" s="21"/>
      <c r="AF13" s="21">
        <f t="shared" si="18"/>
        <v>0.9500000000000004</v>
      </c>
      <c r="AG13" s="21">
        <f t="shared" si="19"/>
        <v>0.49999999999999961</v>
      </c>
      <c r="AH13" s="21"/>
      <c r="AI13" s="21">
        <f t="shared" si="14"/>
        <v>18.050000000000008</v>
      </c>
      <c r="AJ13" s="21">
        <f t="shared" si="15"/>
        <v>10.526315789473694</v>
      </c>
    </row>
    <row r="14" spans="2:36" x14ac:dyDescent="0.15">
      <c r="B14" s="26">
        <v>12</v>
      </c>
      <c r="C14" s="26">
        <f t="shared" ref="C14:C77" si="20">C4+1</f>
        <v>2</v>
      </c>
      <c r="D14" s="29">
        <f t="shared" si="9"/>
        <v>0.35500000000000004</v>
      </c>
      <c r="E14" s="29"/>
      <c r="F14" s="29">
        <f t="shared" si="0"/>
        <v>0.23276923076923078</v>
      </c>
      <c r="G14" s="30">
        <f t="shared" si="1"/>
        <v>0.15931421696410653</v>
      </c>
      <c r="H14" s="30">
        <f t="shared" si="2"/>
        <v>0.1</v>
      </c>
      <c r="I14" s="26">
        <f t="shared" si="10"/>
        <v>12</v>
      </c>
      <c r="J14" s="26">
        <f t="shared" si="3"/>
        <v>21</v>
      </c>
      <c r="K14" s="26">
        <f t="shared" si="4"/>
        <v>120</v>
      </c>
      <c r="L14" s="26">
        <f t="shared" si="11"/>
        <v>13</v>
      </c>
      <c r="M14" s="26">
        <f t="shared" si="12"/>
        <v>107</v>
      </c>
      <c r="N14" s="42">
        <f t="shared" si="5"/>
        <v>1.3276184747008878E-3</v>
      </c>
      <c r="O14" s="42"/>
      <c r="P14" s="26">
        <v>12</v>
      </c>
      <c r="Q14" s="26">
        <f t="shared" ref="Q14:Q77" si="21">Q4+1</f>
        <v>2</v>
      </c>
      <c r="R14" s="29">
        <v>0.95</v>
      </c>
      <c r="S14" s="29">
        <f t="shared" si="6"/>
        <v>0.76923076923076927</v>
      </c>
      <c r="T14" s="26">
        <f t="shared" si="13"/>
        <v>12</v>
      </c>
      <c r="U14" s="26">
        <f t="shared" si="7"/>
        <v>35.999999999999943</v>
      </c>
      <c r="V14" s="50">
        <f t="shared" ref="V14:V22" si="22">(T14+33)/(T14+33+P14*0.2)</f>
        <v>0.949367088607595</v>
      </c>
      <c r="W14" s="29"/>
      <c r="X14" s="29"/>
    </row>
    <row r="15" spans="2:36" x14ac:dyDescent="0.15">
      <c r="B15" s="26">
        <v>13</v>
      </c>
      <c r="C15" s="26">
        <f t="shared" si="20"/>
        <v>2</v>
      </c>
      <c r="D15" s="29">
        <f t="shared" si="9"/>
        <v>0.36000000000000004</v>
      </c>
      <c r="E15" s="29"/>
      <c r="F15" s="29">
        <f t="shared" si="0"/>
        <v>0.23600000000000002</v>
      </c>
      <c r="G15" s="30">
        <f t="shared" si="1"/>
        <v>0.16230366492146608</v>
      </c>
      <c r="H15" s="30">
        <f t="shared" si="2"/>
        <v>0.1</v>
      </c>
      <c r="I15" s="26">
        <f t="shared" si="10"/>
        <v>13</v>
      </c>
      <c r="J15" s="26">
        <f t="shared" si="3"/>
        <v>24</v>
      </c>
      <c r="K15" s="26">
        <f t="shared" si="4"/>
        <v>130</v>
      </c>
      <c r="L15" s="26">
        <f t="shared" si="11"/>
        <v>14</v>
      </c>
      <c r="M15" s="26">
        <f t="shared" si="12"/>
        <v>116</v>
      </c>
      <c r="N15" s="42">
        <f t="shared" si="5"/>
        <v>1.2484897301651237E-3</v>
      </c>
      <c r="O15" s="42"/>
      <c r="P15" s="26">
        <v>13</v>
      </c>
      <c r="Q15" s="26">
        <f t="shared" si="21"/>
        <v>2</v>
      </c>
      <c r="R15" s="29">
        <v>0.95</v>
      </c>
      <c r="S15" s="29">
        <f t="shared" si="6"/>
        <v>0.76923076923076927</v>
      </c>
      <c r="T15" s="26">
        <f t="shared" si="13"/>
        <v>13</v>
      </c>
      <c r="U15" s="26">
        <f t="shared" si="7"/>
        <v>38.999999999999957</v>
      </c>
      <c r="V15" s="50">
        <f t="shared" si="22"/>
        <v>0.94650205761316875</v>
      </c>
      <c r="W15" s="29"/>
      <c r="X15" s="29"/>
    </row>
    <row r="16" spans="2:36" x14ac:dyDescent="0.15">
      <c r="B16" s="26">
        <v>14</v>
      </c>
      <c r="C16" s="26">
        <f t="shared" si="20"/>
        <v>2</v>
      </c>
      <c r="D16" s="29">
        <f t="shared" si="9"/>
        <v>0.36500000000000005</v>
      </c>
      <c r="E16" s="29"/>
      <c r="F16" s="29">
        <f t="shared" si="0"/>
        <v>0.23930769230769233</v>
      </c>
      <c r="G16" s="30">
        <f t="shared" si="1"/>
        <v>0.16523409849327531</v>
      </c>
      <c r="H16" s="30">
        <f t="shared" si="2"/>
        <v>0.1</v>
      </c>
      <c r="I16" s="26">
        <f t="shared" si="10"/>
        <v>14</v>
      </c>
      <c r="J16" s="26">
        <f t="shared" si="3"/>
        <v>26</v>
      </c>
      <c r="K16" s="26">
        <f t="shared" si="4"/>
        <v>140</v>
      </c>
      <c r="L16" s="26">
        <f t="shared" si="11"/>
        <v>15</v>
      </c>
      <c r="M16" s="26">
        <f t="shared" si="12"/>
        <v>125</v>
      </c>
      <c r="N16" s="42">
        <f t="shared" si="5"/>
        <v>1.1802435606662522E-3</v>
      </c>
      <c r="O16" s="42"/>
      <c r="P16" s="26">
        <v>14</v>
      </c>
      <c r="Q16" s="26">
        <f t="shared" si="21"/>
        <v>2</v>
      </c>
      <c r="R16" s="29">
        <v>0.95</v>
      </c>
      <c r="S16" s="29">
        <f t="shared" si="6"/>
        <v>0.76923076923076927</v>
      </c>
      <c r="T16" s="26">
        <f t="shared" si="13"/>
        <v>14</v>
      </c>
      <c r="U16" s="26">
        <f t="shared" si="7"/>
        <v>41.999999999999943</v>
      </c>
      <c r="V16" s="50">
        <f t="shared" si="22"/>
        <v>0.9437751004016065</v>
      </c>
      <c r="W16" s="29"/>
      <c r="X16" s="29"/>
    </row>
    <row r="17" spans="2:57" x14ac:dyDescent="0.15">
      <c r="B17" s="26">
        <v>15</v>
      </c>
      <c r="C17" s="26">
        <f t="shared" si="20"/>
        <v>2</v>
      </c>
      <c r="D17" s="29">
        <f t="shared" si="9"/>
        <v>0.37000000000000005</v>
      </c>
      <c r="E17" s="29"/>
      <c r="F17" s="29">
        <f t="shared" si="0"/>
        <v>0.24269230769230771</v>
      </c>
      <c r="G17" s="30">
        <f t="shared" si="1"/>
        <v>0.16810563737938045</v>
      </c>
      <c r="H17" s="30">
        <f t="shared" si="2"/>
        <v>0.1</v>
      </c>
      <c r="I17" s="26">
        <f t="shared" si="10"/>
        <v>15</v>
      </c>
      <c r="J17" s="26">
        <f t="shared" si="3"/>
        <v>29</v>
      </c>
      <c r="K17" s="26">
        <f t="shared" si="4"/>
        <v>150</v>
      </c>
      <c r="L17" s="26">
        <f t="shared" si="11"/>
        <v>16</v>
      </c>
      <c r="M17" s="26">
        <f t="shared" si="12"/>
        <v>134</v>
      </c>
      <c r="N17" s="42">
        <f t="shared" si="5"/>
        <v>1.1207042491958696E-3</v>
      </c>
      <c r="O17" s="42"/>
      <c r="P17" s="26">
        <v>15</v>
      </c>
      <c r="Q17" s="26">
        <f t="shared" si="21"/>
        <v>2</v>
      </c>
      <c r="R17" s="29">
        <v>0.95</v>
      </c>
      <c r="S17" s="29">
        <f t="shared" si="6"/>
        <v>0.76923076923076927</v>
      </c>
      <c r="T17" s="26">
        <f t="shared" si="13"/>
        <v>15</v>
      </c>
      <c r="U17" s="26">
        <f t="shared" si="7"/>
        <v>44.999999999999957</v>
      </c>
      <c r="V17" s="50">
        <f t="shared" si="22"/>
        <v>0.94117647058823528</v>
      </c>
      <c r="W17" s="29"/>
      <c r="X17" s="29"/>
    </row>
    <row r="18" spans="2:57" x14ac:dyDescent="0.15">
      <c r="B18" s="26">
        <v>16</v>
      </c>
      <c r="C18" s="26">
        <f t="shared" si="20"/>
        <v>2</v>
      </c>
      <c r="D18" s="29">
        <f t="shared" si="9"/>
        <v>0.37500000000000006</v>
      </c>
      <c r="E18" s="29"/>
      <c r="F18" s="29">
        <f t="shared" si="0"/>
        <v>0.24615384615384617</v>
      </c>
      <c r="G18" s="30">
        <f t="shared" si="1"/>
        <v>0.17091836734693877</v>
      </c>
      <c r="H18" s="30">
        <f t="shared" si="2"/>
        <v>0.1</v>
      </c>
      <c r="I18" s="26">
        <f t="shared" si="10"/>
        <v>16</v>
      </c>
      <c r="J18" s="26">
        <f t="shared" si="3"/>
        <v>32</v>
      </c>
      <c r="K18" s="26">
        <f t="shared" si="4"/>
        <v>160</v>
      </c>
      <c r="L18" s="26">
        <f t="shared" si="11"/>
        <v>17</v>
      </c>
      <c r="M18" s="26">
        <f t="shared" si="12"/>
        <v>143</v>
      </c>
      <c r="N18" s="42">
        <f t="shared" si="5"/>
        <v>1.0682397959183674E-3</v>
      </c>
      <c r="O18" s="42"/>
      <c r="P18" s="26">
        <v>16</v>
      </c>
      <c r="Q18" s="26">
        <f t="shared" si="21"/>
        <v>2</v>
      </c>
      <c r="R18" s="29">
        <v>0.95</v>
      </c>
      <c r="S18" s="29">
        <f t="shared" si="6"/>
        <v>0.76923076923076916</v>
      </c>
      <c r="T18" s="26">
        <f t="shared" si="13"/>
        <v>16</v>
      </c>
      <c r="U18" s="26">
        <f t="shared" si="7"/>
        <v>47.999999999999943</v>
      </c>
      <c r="V18" s="50">
        <f t="shared" si="22"/>
        <v>0.93869731800766276</v>
      </c>
      <c r="W18" s="29"/>
      <c r="X18" s="29"/>
    </row>
    <row r="19" spans="2:57" x14ac:dyDescent="0.15">
      <c r="B19" s="26">
        <v>17</v>
      </c>
      <c r="C19" s="26">
        <f t="shared" si="20"/>
        <v>2</v>
      </c>
      <c r="D19" s="29">
        <f t="shared" si="9"/>
        <v>0.38000000000000006</v>
      </c>
      <c r="E19" s="29"/>
      <c r="F19" s="29">
        <f t="shared" si="0"/>
        <v>0.24969230769230771</v>
      </c>
      <c r="G19" s="30">
        <f t="shared" si="1"/>
        <v>0.1736723395530041</v>
      </c>
      <c r="H19" s="30">
        <f t="shared" si="2"/>
        <v>0.1</v>
      </c>
      <c r="I19" s="26">
        <f t="shared" si="10"/>
        <v>17</v>
      </c>
      <c r="J19" s="26">
        <f t="shared" si="3"/>
        <v>34</v>
      </c>
      <c r="K19" s="26">
        <f t="shared" si="4"/>
        <v>170</v>
      </c>
      <c r="L19" s="26">
        <f t="shared" si="11"/>
        <v>18</v>
      </c>
      <c r="M19" s="26">
        <f t="shared" si="12"/>
        <v>152</v>
      </c>
      <c r="N19" s="42">
        <f t="shared" si="5"/>
        <v>1.0216019973706123E-3</v>
      </c>
      <c r="O19" s="42"/>
      <c r="P19" s="26">
        <v>17</v>
      </c>
      <c r="Q19" s="26">
        <f t="shared" si="21"/>
        <v>2</v>
      </c>
      <c r="R19" s="29">
        <v>0.95</v>
      </c>
      <c r="S19" s="29">
        <f t="shared" si="6"/>
        <v>0.76923076923076916</v>
      </c>
      <c r="T19" s="26">
        <f t="shared" si="13"/>
        <v>17</v>
      </c>
      <c r="U19" s="26">
        <f t="shared" si="7"/>
        <v>50.999999999999936</v>
      </c>
      <c r="V19" s="50">
        <f t="shared" si="22"/>
        <v>0.93632958801498134</v>
      </c>
      <c r="W19" s="29"/>
      <c r="X19" s="29"/>
    </row>
    <row r="20" spans="2:57" x14ac:dyDescent="0.15">
      <c r="B20" s="26">
        <v>18</v>
      </c>
      <c r="C20" s="26">
        <f t="shared" si="20"/>
        <v>2</v>
      </c>
      <c r="D20" s="29">
        <f t="shared" si="9"/>
        <v>0.38500000000000006</v>
      </c>
      <c r="E20" s="29"/>
      <c r="F20" s="29">
        <f t="shared" si="0"/>
        <v>0.25330769230769234</v>
      </c>
      <c r="G20" s="30">
        <f t="shared" si="1"/>
        <v>0.17636756979499324</v>
      </c>
      <c r="H20" s="30">
        <f t="shared" si="2"/>
        <v>0.1</v>
      </c>
      <c r="I20" s="26">
        <f t="shared" si="10"/>
        <v>18</v>
      </c>
      <c r="J20" s="26">
        <f t="shared" si="3"/>
        <v>37</v>
      </c>
      <c r="K20" s="26">
        <f t="shared" si="4"/>
        <v>180</v>
      </c>
      <c r="L20" s="26">
        <f t="shared" si="11"/>
        <v>19</v>
      </c>
      <c r="M20" s="26">
        <f t="shared" si="12"/>
        <v>161</v>
      </c>
      <c r="N20" s="42">
        <f t="shared" si="5"/>
        <v>9.7981983219440696E-4</v>
      </c>
      <c r="O20" s="42"/>
      <c r="P20" s="26">
        <v>18</v>
      </c>
      <c r="Q20" s="26">
        <f t="shared" si="21"/>
        <v>2</v>
      </c>
      <c r="R20" s="29">
        <v>0.95</v>
      </c>
      <c r="S20" s="29">
        <f t="shared" si="6"/>
        <v>0.76923076923076927</v>
      </c>
      <c r="T20" s="26">
        <f t="shared" si="13"/>
        <v>18</v>
      </c>
      <c r="U20" s="26">
        <f t="shared" si="7"/>
        <v>53.999999999999915</v>
      </c>
      <c r="V20" s="50">
        <f t="shared" si="22"/>
        <v>0.93406593406593408</v>
      </c>
      <c r="W20" s="29"/>
      <c r="X20" s="29"/>
    </row>
    <row r="21" spans="2:57" x14ac:dyDescent="0.15">
      <c r="B21" s="26">
        <v>19</v>
      </c>
      <c r="C21" s="26">
        <f t="shared" si="20"/>
        <v>2</v>
      </c>
      <c r="D21" s="29">
        <f t="shared" si="9"/>
        <v>0.39000000000000007</v>
      </c>
      <c r="E21" s="29"/>
      <c r="F21" s="29">
        <f t="shared" si="0"/>
        <v>0.25700000000000001</v>
      </c>
      <c r="G21" s="30">
        <f t="shared" si="1"/>
        <v>0.17900403768506068</v>
      </c>
      <c r="H21" s="30">
        <f t="shared" si="2"/>
        <v>0.1</v>
      </c>
      <c r="I21" s="26">
        <f t="shared" si="10"/>
        <v>19</v>
      </c>
      <c r="J21" s="26">
        <f t="shared" si="3"/>
        <v>41</v>
      </c>
      <c r="K21" s="26">
        <f t="shared" si="4"/>
        <v>190</v>
      </c>
      <c r="L21" s="26">
        <f t="shared" si="11"/>
        <v>20</v>
      </c>
      <c r="M21" s="26">
        <f t="shared" si="12"/>
        <v>170</v>
      </c>
      <c r="N21" s="42">
        <f t="shared" si="5"/>
        <v>9.4212651413189835E-4</v>
      </c>
      <c r="O21" s="42"/>
      <c r="P21" s="26">
        <v>19</v>
      </c>
      <c r="Q21" s="26">
        <f t="shared" si="21"/>
        <v>2</v>
      </c>
      <c r="R21" s="29">
        <v>0.95</v>
      </c>
      <c r="S21" s="29">
        <f t="shared" si="6"/>
        <v>0.76923076923076927</v>
      </c>
      <c r="T21" s="26">
        <f t="shared" si="13"/>
        <v>19</v>
      </c>
      <c r="U21" s="26">
        <f t="shared" si="7"/>
        <v>56.999999999999972</v>
      </c>
      <c r="V21" s="50">
        <f t="shared" si="22"/>
        <v>0.93189964157706096</v>
      </c>
      <c r="W21" s="29"/>
      <c r="X21" s="29"/>
    </row>
    <row r="22" spans="2:57" x14ac:dyDescent="0.15">
      <c r="B22" s="26">
        <v>20</v>
      </c>
      <c r="C22" s="26">
        <f t="shared" si="20"/>
        <v>2</v>
      </c>
      <c r="D22" s="29">
        <f t="shared" si="9"/>
        <v>0.39500000000000007</v>
      </c>
      <c r="E22" s="29"/>
      <c r="F22" s="29">
        <f t="shared" si="0"/>
        <v>0.26076923076923081</v>
      </c>
      <c r="G22" s="30">
        <f t="shared" si="1"/>
        <v>0.18158168574401656</v>
      </c>
      <c r="H22" s="30">
        <f t="shared" si="2"/>
        <v>0.1</v>
      </c>
      <c r="I22" s="26">
        <f t="shared" si="10"/>
        <v>20</v>
      </c>
      <c r="J22" s="26">
        <f t="shared" si="3"/>
        <v>44</v>
      </c>
      <c r="K22" s="26">
        <f t="shared" si="4"/>
        <v>200</v>
      </c>
      <c r="L22" s="26">
        <f t="shared" si="11"/>
        <v>21</v>
      </c>
      <c r="M22" s="26">
        <f t="shared" si="12"/>
        <v>179</v>
      </c>
      <c r="N22" s="42">
        <f t="shared" si="5"/>
        <v>9.0790842872008279E-4</v>
      </c>
      <c r="O22" s="42"/>
      <c r="P22" s="26">
        <v>20</v>
      </c>
      <c r="Q22" s="26">
        <f t="shared" si="21"/>
        <v>2</v>
      </c>
      <c r="R22" s="29">
        <v>0.95</v>
      </c>
      <c r="S22" s="29">
        <f t="shared" si="6"/>
        <v>0.76923076923076927</v>
      </c>
      <c r="T22" s="26">
        <f t="shared" si="13"/>
        <v>20</v>
      </c>
      <c r="U22" s="26">
        <f t="shared" si="7"/>
        <v>59.999999999999943</v>
      </c>
      <c r="V22" s="50">
        <f t="shared" si="22"/>
        <v>0.92982456140350878</v>
      </c>
      <c r="W22" s="29"/>
      <c r="X22" s="29"/>
      <c r="AE22" s="26" t="s">
        <v>176</v>
      </c>
      <c r="AF22" s="17" t="s">
        <v>2</v>
      </c>
      <c r="AG22" s="17" t="s">
        <v>3</v>
      </c>
      <c r="AH22" s="17" t="s">
        <v>177</v>
      </c>
      <c r="AI22" s="17" t="s">
        <v>178</v>
      </c>
      <c r="AJ22" s="17" t="s">
        <v>179</v>
      </c>
      <c r="AK22" s="17" t="s">
        <v>180</v>
      </c>
      <c r="AL22" s="17" t="s">
        <v>181</v>
      </c>
      <c r="AM22" s="17" t="s">
        <v>160</v>
      </c>
      <c r="AN22" s="22" t="s">
        <v>264</v>
      </c>
      <c r="AO22" s="22" t="s">
        <v>265</v>
      </c>
      <c r="AP22" s="18" t="s">
        <v>159</v>
      </c>
      <c r="AQ22" s="18" t="s">
        <v>157</v>
      </c>
      <c r="AR22" s="18" t="s">
        <v>158</v>
      </c>
      <c r="AZ22" s="26" t="s">
        <v>182</v>
      </c>
      <c r="BA22" s="19" t="s">
        <v>2</v>
      </c>
      <c r="BB22" s="20" t="s">
        <v>183</v>
      </c>
      <c r="BC22" s="19" t="s">
        <v>184</v>
      </c>
      <c r="BD22" s="20" t="s">
        <v>185</v>
      </c>
      <c r="BE22" s="19" t="s">
        <v>186</v>
      </c>
    </row>
    <row r="23" spans="2:57" x14ac:dyDescent="0.15">
      <c r="B23" s="26">
        <v>21</v>
      </c>
      <c r="C23" s="26">
        <f t="shared" si="20"/>
        <v>3</v>
      </c>
      <c r="D23" s="29">
        <f t="shared" si="9"/>
        <v>0.40000000000000008</v>
      </c>
      <c r="E23" s="29"/>
      <c r="F23" s="29">
        <f t="shared" si="0"/>
        <v>0.26461538461538464</v>
      </c>
      <c r="G23" s="30">
        <f t="shared" si="1"/>
        <v>0.18410041841004188</v>
      </c>
      <c r="H23" s="30">
        <f t="shared" si="2"/>
        <v>0.1</v>
      </c>
      <c r="I23" s="26">
        <f t="shared" si="10"/>
        <v>21</v>
      </c>
      <c r="J23" s="26">
        <f t="shared" si="3"/>
        <v>48</v>
      </c>
      <c r="K23" s="26">
        <f t="shared" si="4"/>
        <v>210</v>
      </c>
      <c r="L23" s="26">
        <f t="shared" si="11"/>
        <v>22</v>
      </c>
      <c r="M23" s="26">
        <f t="shared" si="12"/>
        <v>188</v>
      </c>
      <c r="N23" s="42">
        <f t="shared" si="5"/>
        <v>8.7666865909543756E-4</v>
      </c>
      <c r="O23" s="42"/>
      <c r="P23" s="48">
        <v>21</v>
      </c>
      <c r="Q23" s="48">
        <f t="shared" si="21"/>
        <v>3</v>
      </c>
      <c r="R23" s="49">
        <v>0.95</v>
      </c>
      <c r="S23" s="29">
        <f t="shared" si="6"/>
        <v>0.76923076923076916</v>
      </c>
      <c r="T23" s="48">
        <f t="shared" si="13"/>
        <v>21</v>
      </c>
      <c r="U23" s="48">
        <f t="shared" si="7"/>
        <v>62.999999999999936</v>
      </c>
      <c r="V23" s="50">
        <f t="shared" si="8"/>
        <v>0.85106382978723405</v>
      </c>
      <c r="W23" s="29"/>
      <c r="X23" s="29"/>
      <c r="AC23" s="23" t="s">
        <v>187</v>
      </c>
      <c r="AD23" s="23" t="s">
        <v>188</v>
      </c>
      <c r="AE23" s="26">
        <v>1</v>
      </c>
      <c r="AF23" s="26" t="e">
        <f t="shared" ref="AF23:AF33" si="23">(1-AN23)*AQ23*mVlookup(AC23,test1,AF$22,FALSE)</f>
        <v>#VALUE!</v>
      </c>
      <c r="AH23" s="26" t="e">
        <f t="shared" ref="AH23:AH33" si="24">2*mVlookup(AC23,test1,AH$22,FALSE)*AR23/AO23</f>
        <v>#VALUE!</v>
      </c>
      <c r="AI23" s="26" t="e">
        <f t="shared" ref="AI23:AI33" si="25">(1-AN23)*AQ23*mVlookup(AC23,test1,AI$22,FALSE)*4</f>
        <v>#VALUE!</v>
      </c>
      <c r="AJ23" s="26" t="e">
        <f t="shared" ref="AJ23:AJ33" si="26">2*mVlookup(AC23,test1,AJ$22,FALSE)*AR23/AO23</f>
        <v>#VALUE!</v>
      </c>
      <c r="AK23" s="26" t="e">
        <f t="shared" ref="AK23:AK33" si="27">(1-AN23)*AQ23*mVlookup(AC23,test1,AK$22,FALSE)*4</f>
        <v>#VALUE!</v>
      </c>
      <c r="AL23" s="26">
        <f>aglie(AN23)</f>
        <v>1.0714285714285714</v>
      </c>
      <c r="AM23" s="26">
        <f>lucky(AO23)</f>
        <v>2.0000000000000004</v>
      </c>
      <c r="AN23" s="26">
        <v>0.3</v>
      </c>
      <c r="AO23" s="26">
        <v>0.8</v>
      </c>
      <c r="AP23" s="26">
        <v>10</v>
      </c>
      <c r="AQ23" s="26">
        <f>VLOOKUP(AP23,AB$3:AD$13,2,FALSE)*AE23</f>
        <v>19</v>
      </c>
      <c r="AR23" s="26">
        <f>VLOOKUP(AP23,AB$3:AD$13,3,FALSE)*AE23</f>
        <v>5.2631578947368425</v>
      </c>
      <c r="AW23" s="26">
        <v>1</v>
      </c>
      <c r="AX23" s="23" t="s">
        <v>187</v>
      </c>
      <c r="AY23" s="23" t="s">
        <v>189</v>
      </c>
      <c r="AZ23" s="26">
        <v>1</v>
      </c>
      <c r="BA23" s="26">
        <v>0.7</v>
      </c>
      <c r="BB23" s="26">
        <v>0.5</v>
      </c>
      <c r="BC23" s="26">
        <v>0.1</v>
      </c>
      <c r="BD23" s="26">
        <v>0.5</v>
      </c>
      <c r="BE23" s="26">
        <v>0.2</v>
      </c>
    </row>
    <row r="24" spans="2:57" x14ac:dyDescent="0.15">
      <c r="B24" s="26">
        <v>22</v>
      </c>
      <c r="C24" s="26">
        <f t="shared" si="20"/>
        <v>3</v>
      </c>
      <c r="D24" s="29">
        <f t="shared" si="9"/>
        <v>0.40500000000000008</v>
      </c>
      <c r="E24" s="29"/>
      <c r="F24" s="29">
        <f t="shared" si="0"/>
        <v>0.26853846153846156</v>
      </c>
      <c r="G24" s="30">
        <f t="shared" si="1"/>
        <v>0.18656010095698805</v>
      </c>
      <c r="H24" s="30">
        <f t="shared" si="2"/>
        <v>0.1</v>
      </c>
      <c r="I24" s="26">
        <f t="shared" si="10"/>
        <v>22</v>
      </c>
      <c r="J24" s="26">
        <f t="shared" si="3"/>
        <v>51</v>
      </c>
      <c r="K24" s="26">
        <f t="shared" si="4"/>
        <v>220</v>
      </c>
      <c r="L24" s="26">
        <f t="shared" si="11"/>
        <v>23</v>
      </c>
      <c r="M24" s="26">
        <f t="shared" si="12"/>
        <v>197</v>
      </c>
      <c r="N24" s="42">
        <f t="shared" si="5"/>
        <v>8.4800045889540021E-4</v>
      </c>
      <c r="O24" s="42"/>
      <c r="P24" s="26">
        <v>22</v>
      </c>
      <c r="Q24" s="26">
        <f t="shared" si="21"/>
        <v>3</v>
      </c>
      <c r="R24" s="29">
        <v>0.95</v>
      </c>
      <c r="S24" s="29">
        <f t="shared" si="6"/>
        <v>0.76923076923076916</v>
      </c>
      <c r="T24" s="26">
        <f t="shared" si="13"/>
        <v>22</v>
      </c>
      <c r="U24" s="26">
        <f t="shared" si="7"/>
        <v>65.999999999999915</v>
      </c>
      <c r="V24" s="30">
        <f t="shared" si="8"/>
        <v>0.85034013605442182</v>
      </c>
      <c r="W24" s="29"/>
      <c r="X24" s="29"/>
      <c r="AC24" s="24" t="s">
        <v>190</v>
      </c>
      <c r="AD24" s="24" t="s">
        <v>191</v>
      </c>
      <c r="AE24" s="26">
        <v>1</v>
      </c>
      <c r="AF24" s="26" t="e">
        <f t="shared" si="23"/>
        <v>#VALUE!</v>
      </c>
      <c r="AH24" s="26" t="e">
        <f t="shared" si="24"/>
        <v>#VALUE!</v>
      </c>
      <c r="AI24" s="26" t="e">
        <f t="shared" si="25"/>
        <v>#VALUE!</v>
      </c>
      <c r="AJ24" s="26" t="e">
        <f t="shared" si="26"/>
        <v>#VALUE!</v>
      </c>
      <c r="AK24" s="26" t="e">
        <f t="shared" si="27"/>
        <v>#VALUE!</v>
      </c>
      <c r="AL24" s="26">
        <f t="shared" ref="AL24:AL33" si="28">aglie(AN24)</f>
        <v>1.0714285714285714</v>
      </c>
      <c r="AM24" s="26">
        <f t="shared" ref="AM24:AM33" si="29">lucky(AO24)</f>
        <v>2.0000000000000004</v>
      </c>
      <c r="AN24" s="26">
        <v>0.3</v>
      </c>
      <c r="AO24" s="26">
        <v>0.8</v>
      </c>
      <c r="AP24" s="26">
        <v>8</v>
      </c>
      <c r="AQ24" s="26">
        <f t="shared" ref="AQ24:AQ31" si="30">VLOOKUP(AP24,AB$3:AD$13,2,FALSE)*AE24</f>
        <v>17</v>
      </c>
      <c r="AR24" s="26">
        <f t="shared" ref="AR24:AR31" si="31">VLOOKUP(AP24,AB$3:AD$13,3,FALSE)*AE24</f>
        <v>5.8823529411764701</v>
      </c>
      <c r="AW24" s="26">
        <v>2</v>
      </c>
      <c r="AX24" s="24" t="s">
        <v>190</v>
      </c>
      <c r="AY24" s="24" t="s">
        <v>192</v>
      </c>
      <c r="AZ24" s="26">
        <v>1</v>
      </c>
      <c r="BA24" s="26">
        <v>0.7</v>
      </c>
      <c r="BB24" s="26">
        <v>0.5</v>
      </c>
      <c r="BC24" s="26">
        <v>0.1</v>
      </c>
      <c r="BD24" s="26">
        <v>0.5</v>
      </c>
      <c r="BE24" s="26">
        <v>0.2</v>
      </c>
    </row>
    <row r="25" spans="2:57" x14ac:dyDescent="0.15">
      <c r="B25" s="26">
        <v>23</v>
      </c>
      <c r="C25" s="26">
        <f t="shared" si="20"/>
        <v>3</v>
      </c>
      <c r="D25" s="29">
        <f t="shared" si="9"/>
        <v>0.41000000000000009</v>
      </c>
      <c r="E25" s="29"/>
      <c r="F25" s="29">
        <f t="shared" si="0"/>
        <v>0.27253846153846156</v>
      </c>
      <c r="G25" s="30">
        <f t="shared" si="1"/>
        <v>0.18896055831659098</v>
      </c>
      <c r="H25" s="30">
        <f t="shared" si="2"/>
        <v>0.1</v>
      </c>
      <c r="I25" s="26">
        <f t="shared" si="10"/>
        <v>23</v>
      </c>
      <c r="J25" s="26">
        <f t="shared" si="3"/>
        <v>55</v>
      </c>
      <c r="K25" s="26">
        <f t="shared" si="4"/>
        <v>230</v>
      </c>
      <c r="L25" s="26">
        <f t="shared" si="11"/>
        <v>24</v>
      </c>
      <c r="M25" s="26">
        <f t="shared" si="12"/>
        <v>206</v>
      </c>
      <c r="N25" s="42">
        <f t="shared" si="5"/>
        <v>8.2156764485474332E-4</v>
      </c>
      <c r="O25" s="42"/>
      <c r="P25" s="26">
        <v>23</v>
      </c>
      <c r="Q25" s="26">
        <f t="shared" si="21"/>
        <v>3</v>
      </c>
      <c r="R25" s="29">
        <v>0.95</v>
      </c>
      <c r="S25" s="29">
        <f t="shared" si="6"/>
        <v>0.76923076923076927</v>
      </c>
      <c r="T25" s="26">
        <f t="shared" si="13"/>
        <v>23</v>
      </c>
      <c r="U25" s="26">
        <f t="shared" si="7"/>
        <v>68.999999999999901</v>
      </c>
      <c r="V25" s="30">
        <f t="shared" si="8"/>
        <v>0.84967320261437906</v>
      </c>
      <c r="W25" s="29"/>
      <c r="X25" s="29"/>
      <c r="AC25" s="25" t="s">
        <v>193</v>
      </c>
      <c r="AD25" s="25" t="s">
        <v>194</v>
      </c>
      <c r="AE25" s="26">
        <v>1</v>
      </c>
      <c r="AF25" s="26" t="e">
        <f t="shared" si="23"/>
        <v>#VALUE!</v>
      </c>
      <c r="AH25" s="26" t="e">
        <f t="shared" si="24"/>
        <v>#VALUE!</v>
      </c>
      <c r="AI25" s="26" t="e">
        <f t="shared" si="25"/>
        <v>#VALUE!</v>
      </c>
      <c r="AJ25" s="26" t="e">
        <f t="shared" si="26"/>
        <v>#VALUE!</v>
      </c>
      <c r="AK25" s="26" t="e">
        <f t="shared" si="27"/>
        <v>#VALUE!</v>
      </c>
      <c r="AL25" s="26">
        <f t="shared" si="28"/>
        <v>1.0714285714285714</v>
      </c>
      <c r="AM25" s="26">
        <f t="shared" si="29"/>
        <v>2.0000000000000004</v>
      </c>
      <c r="AN25" s="26">
        <v>0.3</v>
      </c>
      <c r="AO25" s="26">
        <v>0.8</v>
      </c>
      <c r="AP25" s="26">
        <v>3</v>
      </c>
      <c r="AQ25" s="26">
        <f t="shared" si="30"/>
        <v>12</v>
      </c>
      <c r="AR25" s="26">
        <f t="shared" si="31"/>
        <v>8.3333333333333321</v>
      </c>
      <c r="AW25" s="26">
        <v>3</v>
      </c>
      <c r="AX25" s="25" t="s">
        <v>193</v>
      </c>
      <c r="AY25" s="25" t="s">
        <v>195</v>
      </c>
      <c r="AZ25" s="26">
        <v>1</v>
      </c>
      <c r="BA25" s="26">
        <v>0.7</v>
      </c>
      <c r="BB25" s="26">
        <v>0.5</v>
      </c>
      <c r="BC25" s="26">
        <v>0.1</v>
      </c>
      <c r="BD25" s="26">
        <v>0.5</v>
      </c>
      <c r="BE25" s="26">
        <v>0.2</v>
      </c>
    </row>
    <row r="26" spans="2:57" x14ac:dyDescent="0.15">
      <c r="B26" s="26">
        <v>24</v>
      </c>
      <c r="C26" s="26">
        <f t="shared" si="20"/>
        <v>3</v>
      </c>
      <c r="D26" s="29">
        <f t="shared" si="9"/>
        <v>0.41500000000000009</v>
      </c>
      <c r="E26" s="29"/>
      <c r="F26" s="29">
        <f t="shared" si="0"/>
        <v>0.27661538461538465</v>
      </c>
      <c r="G26" s="30">
        <f t="shared" si="1"/>
        <v>0.19130157379838364</v>
      </c>
      <c r="H26" s="30">
        <f t="shared" si="2"/>
        <v>0.1</v>
      </c>
      <c r="I26" s="26">
        <f t="shared" si="10"/>
        <v>24</v>
      </c>
      <c r="J26" s="26">
        <f t="shared" si="3"/>
        <v>59</v>
      </c>
      <c r="K26" s="26">
        <f t="shared" si="4"/>
        <v>240</v>
      </c>
      <c r="L26" s="26">
        <f t="shared" si="11"/>
        <v>25</v>
      </c>
      <c r="M26" s="26">
        <f t="shared" si="12"/>
        <v>215</v>
      </c>
      <c r="N26" s="42">
        <f t="shared" si="5"/>
        <v>7.9708989082659853E-4</v>
      </c>
      <c r="O26" s="42"/>
      <c r="P26" s="26">
        <v>24</v>
      </c>
      <c r="Q26" s="26">
        <f t="shared" si="21"/>
        <v>3</v>
      </c>
      <c r="R26" s="29">
        <v>0.95</v>
      </c>
      <c r="S26" s="29">
        <f t="shared" si="6"/>
        <v>0.76923076923076927</v>
      </c>
      <c r="T26" s="26">
        <f t="shared" si="13"/>
        <v>24</v>
      </c>
      <c r="U26" s="26">
        <f t="shared" si="7"/>
        <v>71.999999999999886</v>
      </c>
      <c r="V26" s="30">
        <f t="shared" si="8"/>
        <v>0.84905660377358494</v>
      </c>
      <c r="W26" s="29"/>
      <c r="X26" s="29"/>
      <c r="AC26" s="24" t="s">
        <v>196</v>
      </c>
      <c r="AD26" s="24" t="s">
        <v>197</v>
      </c>
      <c r="AE26" s="26">
        <v>1</v>
      </c>
      <c r="AF26" s="26" t="e">
        <f t="shared" si="23"/>
        <v>#VALUE!</v>
      </c>
      <c r="AH26" s="26" t="e">
        <f t="shared" si="24"/>
        <v>#VALUE!</v>
      </c>
      <c r="AI26" s="26" t="e">
        <f t="shared" si="25"/>
        <v>#VALUE!</v>
      </c>
      <c r="AJ26" s="26" t="e">
        <f t="shared" si="26"/>
        <v>#VALUE!</v>
      </c>
      <c r="AK26" s="26" t="e">
        <f t="shared" si="27"/>
        <v>#VALUE!</v>
      </c>
      <c r="AL26" s="26">
        <f t="shared" si="28"/>
        <v>1.0714285714285714</v>
      </c>
      <c r="AM26" s="26">
        <f t="shared" si="29"/>
        <v>2.0000000000000004</v>
      </c>
      <c r="AN26" s="26">
        <v>0.3</v>
      </c>
      <c r="AO26" s="26">
        <v>0.8</v>
      </c>
      <c r="AP26" s="26">
        <v>2</v>
      </c>
      <c r="AQ26" s="26">
        <f t="shared" si="30"/>
        <v>11</v>
      </c>
      <c r="AR26" s="26">
        <f t="shared" si="31"/>
        <v>9.0909090909090899</v>
      </c>
      <c r="AW26" s="26">
        <v>4</v>
      </c>
      <c r="AX26" s="24" t="s">
        <v>196</v>
      </c>
      <c r="AY26" s="24" t="s">
        <v>198</v>
      </c>
      <c r="AZ26" s="26">
        <v>1</v>
      </c>
      <c r="BA26" s="26">
        <v>0.7</v>
      </c>
      <c r="BB26" s="26">
        <v>0.5</v>
      </c>
      <c r="BC26" s="26">
        <v>0.1</v>
      </c>
      <c r="BD26" s="26">
        <v>0.5</v>
      </c>
      <c r="BE26" s="26">
        <v>0.2</v>
      </c>
    </row>
    <row r="27" spans="2:57" x14ac:dyDescent="0.15">
      <c r="B27" s="26">
        <v>25</v>
      </c>
      <c r="C27" s="26">
        <f t="shared" si="20"/>
        <v>3</v>
      </c>
      <c r="D27" s="29">
        <f t="shared" si="9"/>
        <v>0.4200000000000001</v>
      </c>
      <c r="E27" s="29"/>
      <c r="F27" s="29">
        <f t="shared" si="0"/>
        <v>0.28076923076923077</v>
      </c>
      <c r="G27" s="30">
        <f t="shared" si="1"/>
        <v>0.193582887700535</v>
      </c>
      <c r="H27" s="30">
        <f t="shared" si="2"/>
        <v>0.1</v>
      </c>
      <c r="I27" s="26">
        <f t="shared" si="10"/>
        <v>25</v>
      </c>
      <c r="J27" s="26">
        <f t="shared" si="3"/>
        <v>63</v>
      </c>
      <c r="K27" s="26">
        <f t="shared" si="4"/>
        <v>250</v>
      </c>
      <c r="L27" s="26">
        <f t="shared" si="11"/>
        <v>26</v>
      </c>
      <c r="M27" s="26">
        <f t="shared" si="12"/>
        <v>224</v>
      </c>
      <c r="N27" s="42">
        <f t="shared" si="5"/>
        <v>7.7433155080213997E-4</v>
      </c>
      <c r="O27" s="42"/>
      <c r="P27" s="26">
        <v>25</v>
      </c>
      <c r="Q27" s="26">
        <f t="shared" si="21"/>
        <v>3</v>
      </c>
      <c r="R27" s="29">
        <v>0.95</v>
      </c>
      <c r="S27" s="29">
        <f t="shared" si="6"/>
        <v>0.76923076923076927</v>
      </c>
      <c r="T27" s="26">
        <f t="shared" si="13"/>
        <v>25</v>
      </c>
      <c r="U27" s="26">
        <f t="shared" si="7"/>
        <v>74.999999999999929</v>
      </c>
      <c r="V27" s="30">
        <f t="shared" si="8"/>
        <v>0.84848484848484851</v>
      </c>
      <c r="W27" s="29"/>
      <c r="X27" s="29"/>
      <c r="AC27" s="23" t="s">
        <v>199</v>
      </c>
      <c r="AD27" s="23" t="s">
        <v>200</v>
      </c>
      <c r="AE27" s="26">
        <v>1</v>
      </c>
      <c r="AF27" s="26" t="e">
        <f t="shared" si="23"/>
        <v>#VALUE!</v>
      </c>
      <c r="AH27" s="26" t="e">
        <f t="shared" si="24"/>
        <v>#VALUE!</v>
      </c>
      <c r="AI27" s="26" t="e">
        <f t="shared" si="25"/>
        <v>#VALUE!</v>
      </c>
      <c r="AJ27" s="26" t="e">
        <f t="shared" si="26"/>
        <v>#VALUE!</v>
      </c>
      <c r="AK27" s="26" t="e">
        <f t="shared" si="27"/>
        <v>#VALUE!</v>
      </c>
      <c r="AL27" s="26">
        <f t="shared" si="28"/>
        <v>0.83333333333333337</v>
      </c>
      <c r="AM27" s="26">
        <f t="shared" si="29"/>
        <v>2.833333333333333</v>
      </c>
      <c r="AN27" s="26">
        <v>0.25</v>
      </c>
      <c r="AO27" s="26">
        <v>0.85</v>
      </c>
      <c r="AP27" s="26">
        <v>9</v>
      </c>
      <c r="AQ27" s="26">
        <f t="shared" si="30"/>
        <v>18</v>
      </c>
      <c r="AR27" s="26">
        <f t="shared" si="31"/>
        <v>5.5555555555555554</v>
      </c>
      <c r="AW27" s="26">
        <v>5</v>
      </c>
      <c r="AX27" s="23" t="s">
        <v>199</v>
      </c>
      <c r="AY27" s="23" t="s">
        <v>201</v>
      </c>
      <c r="AZ27" s="26">
        <v>1</v>
      </c>
      <c r="BA27" s="26">
        <v>0.7</v>
      </c>
      <c r="BB27" s="26">
        <v>0.5</v>
      </c>
      <c r="BC27" s="26">
        <v>0.1</v>
      </c>
      <c r="BD27" s="26">
        <v>0.5</v>
      </c>
      <c r="BE27" s="26">
        <v>0.2</v>
      </c>
    </row>
    <row r="28" spans="2:57" x14ac:dyDescent="0.15">
      <c r="B28" s="26">
        <v>26</v>
      </c>
      <c r="C28" s="26">
        <f t="shared" si="20"/>
        <v>3</v>
      </c>
      <c r="D28" s="29">
        <f t="shared" si="9"/>
        <v>0.4250000000000001</v>
      </c>
      <c r="E28" s="29"/>
      <c r="F28" s="29">
        <f t="shared" si="0"/>
        <v>0.28500000000000003</v>
      </c>
      <c r="G28" s="30">
        <f t="shared" si="1"/>
        <v>0.19580419580419584</v>
      </c>
      <c r="H28" s="30">
        <f t="shared" si="2"/>
        <v>0.1</v>
      </c>
      <c r="I28" s="26">
        <f t="shared" si="10"/>
        <v>26</v>
      </c>
      <c r="J28" s="26">
        <f t="shared" si="3"/>
        <v>68</v>
      </c>
      <c r="K28" s="26">
        <f t="shared" si="4"/>
        <v>260</v>
      </c>
      <c r="L28" s="26">
        <f t="shared" si="11"/>
        <v>27</v>
      </c>
      <c r="M28" s="26">
        <f t="shared" si="12"/>
        <v>233</v>
      </c>
      <c r="N28" s="42">
        <f t="shared" si="5"/>
        <v>7.5309306078536864E-4</v>
      </c>
      <c r="O28" s="42"/>
      <c r="P28" s="26">
        <v>26</v>
      </c>
      <c r="Q28" s="26">
        <f t="shared" si="21"/>
        <v>3</v>
      </c>
      <c r="R28" s="29">
        <v>0.95</v>
      </c>
      <c r="S28" s="29">
        <f t="shared" si="6"/>
        <v>0.76923076923076927</v>
      </c>
      <c r="T28" s="26">
        <f t="shared" si="13"/>
        <v>26</v>
      </c>
      <c r="U28" s="26">
        <f t="shared" si="7"/>
        <v>77.999999999999915</v>
      </c>
      <c r="V28" s="30">
        <f t="shared" si="8"/>
        <v>0.8479532163742689</v>
      </c>
      <c r="W28" s="29"/>
      <c r="X28" s="29"/>
      <c r="AC28" s="21" t="s">
        <v>202</v>
      </c>
      <c r="AD28" s="23" t="s">
        <v>203</v>
      </c>
      <c r="AE28" s="26">
        <v>1</v>
      </c>
      <c r="AF28" s="26" t="e">
        <f t="shared" si="23"/>
        <v>#VALUE!</v>
      </c>
      <c r="AH28" s="26" t="e">
        <f t="shared" si="24"/>
        <v>#VALUE!</v>
      </c>
      <c r="AI28" s="26" t="e">
        <f t="shared" si="25"/>
        <v>#VALUE!</v>
      </c>
      <c r="AJ28" s="26" t="e">
        <f t="shared" si="26"/>
        <v>#VALUE!</v>
      </c>
      <c r="AK28" s="26" t="e">
        <f t="shared" si="27"/>
        <v>#VALUE!</v>
      </c>
      <c r="AL28" s="26">
        <f t="shared" si="28"/>
        <v>0.625</v>
      </c>
      <c r="AM28" s="26">
        <f t="shared" si="29"/>
        <v>4.5000000000000009</v>
      </c>
      <c r="AN28" s="26">
        <v>0.2</v>
      </c>
      <c r="AO28" s="26">
        <v>0.9</v>
      </c>
      <c r="AP28" s="26">
        <v>7</v>
      </c>
      <c r="AQ28" s="26">
        <f t="shared" si="30"/>
        <v>16</v>
      </c>
      <c r="AR28" s="26">
        <f t="shared" si="31"/>
        <v>6.2499999999999991</v>
      </c>
      <c r="AW28" s="26">
        <v>6</v>
      </c>
      <c r="AX28" s="21" t="s">
        <v>202</v>
      </c>
      <c r="AY28" s="23" t="s">
        <v>203</v>
      </c>
      <c r="AZ28" s="26">
        <v>1</v>
      </c>
      <c r="BA28" s="26">
        <v>0.7</v>
      </c>
      <c r="BB28" s="26">
        <v>0.5</v>
      </c>
      <c r="BC28" s="26">
        <v>0.1</v>
      </c>
      <c r="BD28" s="26">
        <v>0.5</v>
      </c>
      <c r="BE28" s="26">
        <v>0.2</v>
      </c>
    </row>
    <row r="29" spans="2:57" x14ac:dyDescent="0.15">
      <c r="B29" s="26">
        <v>27</v>
      </c>
      <c r="C29" s="26">
        <f t="shared" si="20"/>
        <v>3</v>
      </c>
      <c r="D29" s="29">
        <f t="shared" si="9"/>
        <v>0.4300000000000001</v>
      </c>
      <c r="E29" s="29"/>
      <c r="F29" s="29">
        <f t="shared" si="0"/>
        <v>0.28930769230769238</v>
      </c>
      <c r="G29" s="30">
        <f t="shared" si="1"/>
        <v>0.19796514774326246</v>
      </c>
      <c r="H29" s="30">
        <f t="shared" si="2"/>
        <v>0.1</v>
      </c>
      <c r="I29" s="26">
        <f t="shared" si="10"/>
        <v>27</v>
      </c>
      <c r="J29" s="26">
        <f t="shared" si="3"/>
        <v>72</v>
      </c>
      <c r="K29" s="26">
        <f t="shared" si="4"/>
        <v>270</v>
      </c>
      <c r="L29" s="26">
        <f t="shared" si="11"/>
        <v>28</v>
      </c>
      <c r="M29" s="26">
        <f t="shared" si="12"/>
        <v>242</v>
      </c>
      <c r="N29" s="42">
        <f t="shared" si="5"/>
        <v>7.3320425090097209E-4</v>
      </c>
      <c r="O29" s="42"/>
      <c r="P29" s="26">
        <v>27</v>
      </c>
      <c r="Q29" s="26">
        <f t="shared" si="21"/>
        <v>3</v>
      </c>
      <c r="R29" s="29">
        <v>0.95</v>
      </c>
      <c r="S29" s="29">
        <f t="shared" si="6"/>
        <v>0.76923076923076916</v>
      </c>
      <c r="T29" s="26">
        <f t="shared" si="13"/>
        <v>27</v>
      </c>
      <c r="U29" s="26">
        <f t="shared" si="7"/>
        <v>80.999999999999901</v>
      </c>
      <c r="V29" s="30">
        <f t="shared" si="8"/>
        <v>0.84745762711864414</v>
      </c>
      <c r="W29" s="29"/>
      <c r="X29" s="29"/>
      <c r="AC29" s="21" t="s">
        <v>204</v>
      </c>
      <c r="AD29" s="21" t="s">
        <v>205</v>
      </c>
      <c r="AE29" s="26">
        <v>1</v>
      </c>
      <c r="AF29" s="26" t="e">
        <f t="shared" si="23"/>
        <v>#VALUE!</v>
      </c>
      <c r="AH29" s="26" t="e">
        <f t="shared" si="24"/>
        <v>#VALUE!</v>
      </c>
      <c r="AI29" s="26" t="e">
        <f t="shared" si="25"/>
        <v>#VALUE!</v>
      </c>
      <c r="AJ29" s="26" t="e">
        <f t="shared" si="26"/>
        <v>#VALUE!</v>
      </c>
      <c r="AK29" s="26" t="e">
        <f t="shared" si="27"/>
        <v>#VALUE!</v>
      </c>
      <c r="AL29" s="26">
        <f t="shared" si="28"/>
        <v>1.0714285714285714</v>
      </c>
      <c r="AM29" s="26">
        <f t="shared" si="29"/>
        <v>2.0000000000000004</v>
      </c>
      <c r="AN29" s="26">
        <v>0.3</v>
      </c>
      <c r="AO29" s="26">
        <v>0.8</v>
      </c>
      <c r="AP29" s="26">
        <v>4</v>
      </c>
      <c r="AQ29" s="26">
        <f t="shared" si="30"/>
        <v>13</v>
      </c>
      <c r="AR29" s="26">
        <f t="shared" si="31"/>
        <v>7.6923076923076907</v>
      </c>
      <c r="AW29" s="26">
        <v>7</v>
      </c>
      <c r="AX29" s="21" t="s">
        <v>204</v>
      </c>
      <c r="AY29" s="21" t="s">
        <v>206</v>
      </c>
      <c r="AZ29" s="26">
        <v>1</v>
      </c>
      <c r="BA29" s="26">
        <v>0.7</v>
      </c>
      <c r="BB29" s="26">
        <v>0.5</v>
      </c>
      <c r="BC29" s="26">
        <v>0.1</v>
      </c>
      <c r="BD29" s="26">
        <v>0.5</v>
      </c>
      <c r="BE29" s="26">
        <v>0.2</v>
      </c>
    </row>
    <row r="30" spans="2:57" x14ac:dyDescent="0.15">
      <c r="B30" s="26">
        <v>28</v>
      </c>
      <c r="C30" s="26">
        <f t="shared" si="20"/>
        <v>3</v>
      </c>
      <c r="D30" s="29">
        <f t="shared" si="9"/>
        <v>0.43500000000000011</v>
      </c>
      <c r="E30" s="29"/>
      <c r="F30" s="29">
        <f t="shared" si="0"/>
        <v>0.29369230769230775</v>
      </c>
      <c r="G30" s="30">
        <f t="shared" si="1"/>
        <v>0.20006534524068842</v>
      </c>
      <c r="H30" s="30">
        <f t="shared" si="2"/>
        <v>0.1</v>
      </c>
      <c r="I30" s="26">
        <f t="shared" si="10"/>
        <v>28</v>
      </c>
      <c r="J30" s="26">
        <f t="shared" si="3"/>
        <v>77</v>
      </c>
      <c r="K30" s="26">
        <f t="shared" si="4"/>
        <v>280</v>
      </c>
      <c r="L30" s="26">
        <f t="shared" si="11"/>
        <v>29</v>
      </c>
      <c r="M30" s="26">
        <f t="shared" si="12"/>
        <v>251</v>
      </c>
      <c r="N30" s="42">
        <f t="shared" si="5"/>
        <v>7.1451909014531574E-4</v>
      </c>
      <c r="O30" s="42"/>
      <c r="P30" s="26">
        <v>28</v>
      </c>
      <c r="Q30" s="26">
        <f t="shared" si="21"/>
        <v>3</v>
      </c>
      <c r="R30" s="29">
        <v>0.95</v>
      </c>
      <c r="S30" s="29">
        <f t="shared" si="6"/>
        <v>0.76923076923076927</v>
      </c>
      <c r="T30" s="26">
        <f t="shared" si="13"/>
        <v>28</v>
      </c>
      <c r="U30" s="26">
        <f t="shared" si="7"/>
        <v>83.999999999999886</v>
      </c>
      <c r="V30" s="30">
        <f t="shared" si="8"/>
        <v>0.84699453551912562</v>
      </c>
      <c r="W30" s="29"/>
      <c r="X30" s="29"/>
      <c r="AC30" s="23" t="s">
        <v>207</v>
      </c>
      <c r="AD30" s="23" t="s">
        <v>208</v>
      </c>
      <c r="AE30" s="26">
        <v>1</v>
      </c>
      <c r="AF30" s="26" t="e">
        <f t="shared" si="23"/>
        <v>#VALUE!</v>
      </c>
      <c r="AH30" s="26" t="e">
        <f t="shared" si="24"/>
        <v>#VALUE!</v>
      </c>
      <c r="AI30" s="26" t="e">
        <f t="shared" si="25"/>
        <v>#VALUE!</v>
      </c>
      <c r="AJ30" s="26" t="e">
        <f t="shared" si="26"/>
        <v>#VALUE!</v>
      </c>
      <c r="AK30" s="26" t="e">
        <f t="shared" si="27"/>
        <v>#VALUE!</v>
      </c>
      <c r="AL30" s="26">
        <f t="shared" si="28"/>
        <v>1.0714285714285714</v>
      </c>
      <c r="AM30" s="26">
        <f t="shared" si="29"/>
        <v>2.0000000000000004</v>
      </c>
      <c r="AN30" s="26">
        <v>0.3</v>
      </c>
      <c r="AO30" s="26">
        <v>0.8</v>
      </c>
      <c r="AP30" s="26">
        <v>2</v>
      </c>
      <c r="AQ30" s="26">
        <f t="shared" si="30"/>
        <v>11</v>
      </c>
      <c r="AR30" s="26">
        <f t="shared" si="31"/>
        <v>9.0909090909090899</v>
      </c>
      <c r="AW30" s="26">
        <v>8</v>
      </c>
      <c r="AX30" s="23" t="s">
        <v>207</v>
      </c>
      <c r="AY30" s="23" t="s">
        <v>209</v>
      </c>
      <c r="AZ30" s="26">
        <v>1</v>
      </c>
      <c r="BA30" s="26">
        <v>0.7</v>
      </c>
      <c r="BB30" s="26">
        <v>0.5</v>
      </c>
      <c r="BC30" s="26">
        <v>0.1</v>
      </c>
      <c r="BD30" s="26">
        <v>0.5</v>
      </c>
      <c r="BE30" s="26">
        <v>0.2</v>
      </c>
    </row>
    <row r="31" spans="2:57" x14ac:dyDescent="0.15">
      <c r="B31" s="26">
        <v>29</v>
      </c>
      <c r="C31" s="26">
        <f t="shared" si="20"/>
        <v>3</v>
      </c>
      <c r="D31" s="29">
        <f t="shared" si="9"/>
        <v>0.44000000000000011</v>
      </c>
      <c r="E31" s="29"/>
      <c r="F31" s="29">
        <f t="shared" si="0"/>
        <v>0.29815384615384621</v>
      </c>
      <c r="G31" s="30">
        <f t="shared" si="1"/>
        <v>0.20210434020166612</v>
      </c>
      <c r="H31" s="30">
        <f t="shared" si="2"/>
        <v>0.1</v>
      </c>
      <c r="I31" s="26">
        <f t="shared" si="10"/>
        <v>29</v>
      </c>
      <c r="J31" s="26">
        <f t="shared" si="3"/>
        <v>82</v>
      </c>
      <c r="K31" s="26">
        <f t="shared" si="4"/>
        <v>290</v>
      </c>
      <c r="L31" s="26">
        <f t="shared" si="11"/>
        <v>30</v>
      </c>
      <c r="M31" s="26">
        <f t="shared" si="12"/>
        <v>260</v>
      </c>
      <c r="N31" s="42">
        <f t="shared" si="5"/>
        <v>6.9691151793677976E-4</v>
      </c>
      <c r="O31" s="42"/>
      <c r="P31" s="26">
        <v>29</v>
      </c>
      <c r="Q31" s="26">
        <f t="shared" si="21"/>
        <v>3</v>
      </c>
      <c r="R31" s="29">
        <v>0.95</v>
      </c>
      <c r="S31" s="29">
        <f t="shared" si="6"/>
        <v>0.76923076923076916</v>
      </c>
      <c r="T31" s="26">
        <f t="shared" si="13"/>
        <v>29</v>
      </c>
      <c r="U31" s="26">
        <f t="shared" si="7"/>
        <v>86.999999999999886</v>
      </c>
      <c r="V31" s="30">
        <f t="shared" si="8"/>
        <v>0.84656084656084662</v>
      </c>
      <c r="W31" s="29"/>
      <c r="X31" s="29"/>
      <c r="AC31" s="21" t="s">
        <v>210</v>
      </c>
      <c r="AD31" s="21" t="s">
        <v>211</v>
      </c>
      <c r="AE31" s="26">
        <v>1.2</v>
      </c>
      <c r="AF31" s="26" t="e">
        <f t="shared" si="23"/>
        <v>#VALUE!</v>
      </c>
      <c r="AH31" s="26" t="e">
        <f t="shared" si="24"/>
        <v>#VALUE!</v>
      </c>
      <c r="AI31" s="26" t="e">
        <f t="shared" si="25"/>
        <v>#VALUE!</v>
      </c>
      <c r="AJ31" s="26" t="e">
        <f t="shared" si="26"/>
        <v>#VALUE!</v>
      </c>
      <c r="AK31" s="26" t="e">
        <f t="shared" si="27"/>
        <v>#VALUE!</v>
      </c>
      <c r="AL31" s="26">
        <f t="shared" si="28"/>
        <v>1.0714285714285714</v>
      </c>
      <c r="AM31" s="26">
        <f t="shared" si="29"/>
        <v>2.0000000000000004</v>
      </c>
      <c r="AN31" s="26">
        <v>0.3</v>
      </c>
      <c r="AO31" s="26">
        <v>0.8</v>
      </c>
      <c r="AP31" s="26">
        <v>7</v>
      </c>
      <c r="AQ31" s="26">
        <f t="shared" si="30"/>
        <v>19.2</v>
      </c>
      <c r="AR31" s="26">
        <f t="shared" si="31"/>
        <v>7.4999999999999982</v>
      </c>
      <c r="AW31" s="26">
        <v>9</v>
      </c>
      <c r="AX31" s="21" t="s">
        <v>210</v>
      </c>
      <c r="AY31" s="21" t="s">
        <v>212</v>
      </c>
      <c r="AZ31" s="26">
        <v>1.2</v>
      </c>
      <c r="BA31" s="26">
        <v>0.7</v>
      </c>
      <c r="BB31" s="26">
        <v>0.5</v>
      </c>
      <c r="BC31" s="26">
        <v>0.1</v>
      </c>
      <c r="BD31" s="26">
        <v>0.5</v>
      </c>
      <c r="BE31" s="26">
        <v>0.2</v>
      </c>
    </row>
    <row r="32" spans="2:57" x14ac:dyDescent="0.15">
      <c r="B32" s="26">
        <v>30</v>
      </c>
      <c r="C32" s="26">
        <f t="shared" si="20"/>
        <v>3</v>
      </c>
      <c r="D32" s="29">
        <f t="shared" si="9"/>
        <v>0.44500000000000012</v>
      </c>
      <c r="E32" s="29"/>
      <c r="F32" s="29">
        <f t="shared" si="0"/>
        <v>0.3026923076923077</v>
      </c>
      <c r="G32" s="30">
        <f t="shared" si="1"/>
        <v>0.20408163265306134</v>
      </c>
      <c r="H32" s="30">
        <f t="shared" si="2"/>
        <v>0.1</v>
      </c>
      <c r="I32" s="26">
        <f t="shared" si="10"/>
        <v>30</v>
      </c>
      <c r="J32" s="26">
        <f t="shared" si="3"/>
        <v>88</v>
      </c>
      <c r="K32" s="26">
        <f t="shared" si="4"/>
        <v>300</v>
      </c>
      <c r="L32" s="26">
        <f t="shared" si="11"/>
        <v>31</v>
      </c>
      <c r="M32" s="26">
        <f t="shared" si="12"/>
        <v>269</v>
      </c>
      <c r="N32" s="42">
        <f t="shared" si="5"/>
        <v>6.802721088435378E-4</v>
      </c>
      <c r="O32" s="42"/>
      <c r="P32" s="26">
        <v>30</v>
      </c>
      <c r="Q32" s="26">
        <f t="shared" si="21"/>
        <v>3</v>
      </c>
      <c r="R32" s="29">
        <v>0.95</v>
      </c>
      <c r="S32" s="29">
        <f t="shared" si="6"/>
        <v>0.76923076923076927</v>
      </c>
      <c r="T32" s="26">
        <f t="shared" si="13"/>
        <v>30</v>
      </c>
      <c r="U32" s="26">
        <f t="shared" si="7"/>
        <v>89.999999999999915</v>
      </c>
      <c r="V32" s="30">
        <f t="shared" si="8"/>
        <v>0.84615384615384615</v>
      </c>
      <c r="W32" s="29"/>
      <c r="X32" s="29"/>
      <c r="AC32" s="23" t="s">
        <v>213</v>
      </c>
      <c r="AD32" s="23" t="s">
        <v>214</v>
      </c>
      <c r="AE32" s="26">
        <v>1</v>
      </c>
      <c r="AF32" s="26" t="e">
        <f t="shared" si="23"/>
        <v>#VALUE!</v>
      </c>
      <c r="AH32" s="26" t="e">
        <f t="shared" si="24"/>
        <v>#VALUE!</v>
      </c>
      <c r="AI32" s="26" t="e">
        <f t="shared" si="25"/>
        <v>#VALUE!</v>
      </c>
      <c r="AJ32" s="26" t="e">
        <f t="shared" si="26"/>
        <v>#VALUE!</v>
      </c>
      <c r="AK32" s="26" t="e">
        <f t="shared" si="27"/>
        <v>#VALUE!</v>
      </c>
      <c r="AL32" s="26">
        <f t="shared" si="28"/>
        <v>0.625</v>
      </c>
      <c r="AM32" s="26">
        <f t="shared" si="29"/>
        <v>4.5000000000000009</v>
      </c>
      <c r="AN32" s="26">
        <v>0.2</v>
      </c>
      <c r="AO32" s="26">
        <v>0.9</v>
      </c>
      <c r="AP32" s="26">
        <v>1</v>
      </c>
      <c r="AQ32" s="26">
        <f t="shared" ref="AQ32:AQ33" si="32">VLOOKUP(AP32,AB$3:AD$13,2,FALSE)</f>
        <v>10</v>
      </c>
      <c r="AR32" s="26">
        <f t="shared" ref="AR32:AR33" si="33">VLOOKUP(AP32,AB$3:AD$13,3,FALSE)</f>
        <v>10</v>
      </c>
      <c r="AW32" s="26">
        <v>10</v>
      </c>
      <c r="AX32" s="23" t="s">
        <v>213</v>
      </c>
      <c r="AY32" s="23" t="s">
        <v>215</v>
      </c>
      <c r="AZ32" s="26">
        <v>1</v>
      </c>
      <c r="BA32" s="26">
        <v>0.7</v>
      </c>
      <c r="BB32" s="26">
        <v>0.5</v>
      </c>
      <c r="BC32" s="26">
        <v>0.1</v>
      </c>
      <c r="BD32" s="26">
        <v>0.5</v>
      </c>
      <c r="BE32" s="26">
        <v>0.2</v>
      </c>
    </row>
    <row r="33" spans="2:57" x14ac:dyDescent="0.15">
      <c r="B33" s="26">
        <v>31</v>
      </c>
      <c r="C33" s="26">
        <f t="shared" si="20"/>
        <v>4</v>
      </c>
      <c r="D33" s="29">
        <f t="shared" si="9"/>
        <v>0.45000000000000012</v>
      </c>
      <c r="E33" s="29"/>
      <c r="F33" s="29">
        <f t="shared" si="0"/>
        <v>0.30730769230769234</v>
      </c>
      <c r="G33" s="30">
        <f t="shared" si="1"/>
        <v>0.20599666851749054</v>
      </c>
      <c r="H33" s="30">
        <f t="shared" si="2"/>
        <v>0.1</v>
      </c>
      <c r="I33" s="26">
        <f t="shared" si="10"/>
        <v>31</v>
      </c>
      <c r="J33" s="26">
        <f t="shared" si="3"/>
        <v>93</v>
      </c>
      <c r="K33" s="26">
        <f t="shared" si="4"/>
        <v>310</v>
      </c>
      <c r="L33" s="26">
        <f t="shared" si="11"/>
        <v>32</v>
      </c>
      <c r="M33" s="26">
        <f t="shared" si="12"/>
        <v>278</v>
      </c>
      <c r="N33" s="42">
        <f t="shared" si="5"/>
        <v>6.6450538231448565E-4</v>
      </c>
      <c r="O33" s="42"/>
      <c r="P33" s="26">
        <v>31</v>
      </c>
      <c r="Q33" s="26">
        <f t="shared" si="21"/>
        <v>4</v>
      </c>
      <c r="R33" s="29">
        <v>0.95</v>
      </c>
      <c r="S33" s="29">
        <f t="shared" si="6"/>
        <v>0.76923076923076927</v>
      </c>
      <c r="T33" s="26">
        <f t="shared" si="13"/>
        <v>31</v>
      </c>
      <c r="U33" s="26">
        <f t="shared" si="7"/>
        <v>92.999999999999901</v>
      </c>
      <c r="V33" s="30">
        <f t="shared" si="8"/>
        <v>0.84577114427860689</v>
      </c>
      <c r="W33" s="29"/>
      <c r="X33" s="29"/>
      <c r="AC33" s="21" t="s">
        <v>216</v>
      </c>
      <c r="AD33" s="21" t="s">
        <v>217</v>
      </c>
      <c r="AE33" s="26">
        <v>1</v>
      </c>
      <c r="AF33" s="26" t="e">
        <f t="shared" si="23"/>
        <v>#VALUE!</v>
      </c>
      <c r="AH33" s="26" t="e">
        <f t="shared" si="24"/>
        <v>#VALUE!</v>
      </c>
      <c r="AI33" s="26" t="e">
        <f t="shared" si="25"/>
        <v>#VALUE!</v>
      </c>
      <c r="AJ33" s="26" t="e">
        <f t="shared" si="26"/>
        <v>#VALUE!</v>
      </c>
      <c r="AK33" s="26" t="e">
        <f t="shared" si="27"/>
        <v>#VALUE!</v>
      </c>
      <c r="AL33" s="26">
        <f t="shared" si="28"/>
        <v>1.0714285714285714</v>
      </c>
      <c r="AM33" s="26">
        <f t="shared" si="29"/>
        <v>2.0000000000000004</v>
      </c>
      <c r="AN33" s="26">
        <v>0.3</v>
      </c>
      <c r="AO33" s="26">
        <v>0.8</v>
      </c>
      <c r="AP33" s="26">
        <v>10</v>
      </c>
      <c r="AQ33" s="26">
        <f t="shared" si="32"/>
        <v>19</v>
      </c>
      <c r="AR33" s="26">
        <f t="shared" si="33"/>
        <v>5.2631578947368425</v>
      </c>
      <c r="AW33" s="26">
        <v>11</v>
      </c>
      <c r="AX33" s="21" t="s">
        <v>216</v>
      </c>
      <c r="AY33" s="21" t="s">
        <v>218</v>
      </c>
      <c r="AZ33" s="26">
        <v>1</v>
      </c>
      <c r="BA33" s="26">
        <v>0.7</v>
      </c>
      <c r="BB33" s="26">
        <v>0.5</v>
      </c>
      <c r="BC33" s="26">
        <v>0.1</v>
      </c>
      <c r="BD33" s="26">
        <v>0.5</v>
      </c>
      <c r="BE33" s="26">
        <v>0.2</v>
      </c>
    </row>
    <row r="34" spans="2:57" x14ac:dyDescent="0.15">
      <c r="B34" s="26">
        <v>32</v>
      </c>
      <c r="C34" s="26">
        <f t="shared" si="20"/>
        <v>4</v>
      </c>
      <c r="D34" s="29">
        <f t="shared" si="9"/>
        <v>0.45500000000000013</v>
      </c>
      <c r="E34" s="29"/>
      <c r="F34" s="29">
        <f t="shared" si="0"/>
        <v>0.31200000000000006</v>
      </c>
      <c r="G34" s="30">
        <f t="shared" si="1"/>
        <v>0.20784883720930236</v>
      </c>
      <c r="H34" s="30">
        <f t="shared" si="2"/>
        <v>0.1</v>
      </c>
      <c r="I34" s="26">
        <f t="shared" si="10"/>
        <v>32</v>
      </c>
      <c r="J34" s="26">
        <f t="shared" si="3"/>
        <v>99</v>
      </c>
      <c r="K34" s="26">
        <f t="shared" si="4"/>
        <v>320</v>
      </c>
      <c r="L34" s="26">
        <f t="shared" si="11"/>
        <v>33</v>
      </c>
      <c r="M34" s="26">
        <f t="shared" si="12"/>
        <v>287</v>
      </c>
      <c r="N34" s="42">
        <f t="shared" si="5"/>
        <v>6.4952761627906988E-4</v>
      </c>
      <c r="O34" s="42"/>
      <c r="P34" s="26">
        <v>32</v>
      </c>
      <c r="Q34" s="26">
        <f t="shared" si="21"/>
        <v>4</v>
      </c>
      <c r="R34" s="29">
        <v>0.95</v>
      </c>
      <c r="S34" s="29">
        <f t="shared" si="6"/>
        <v>0.76923076923076916</v>
      </c>
      <c r="T34" s="26">
        <f t="shared" si="13"/>
        <v>32</v>
      </c>
      <c r="U34" s="26">
        <f t="shared" si="7"/>
        <v>95.999999999999886</v>
      </c>
      <c r="V34" s="30">
        <f t="shared" si="8"/>
        <v>0.84541062801932365</v>
      </c>
      <c r="W34" s="29"/>
      <c r="X34" s="29"/>
      <c r="AC34" s="23" t="s">
        <v>219</v>
      </c>
      <c r="AD34" s="23" t="s">
        <v>220</v>
      </c>
      <c r="AW34" s="26">
        <v>12</v>
      </c>
      <c r="AX34" s="23" t="s">
        <v>219</v>
      </c>
      <c r="AY34" s="23" t="s">
        <v>220</v>
      </c>
      <c r="AZ34" s="26">
        <v>1</v>
      </c>
      <c r="BA34" s="26">
        <v>0.7</v>
      </c>
      <c r="BB34" s="26">
        <v>0.5</v>
      </c>
      <c r="BC34" s="26">
        <v>0.1</v>
      </c>
      <c r="BD34" s="26">
        <v>0.5</v>
      </c>
      <c r="BE34" s="26">
        <v>0.2</v>
      </c>
    </row>
    <row r="35" spans="2:57" x14ac:dyDescent="0.15">
      <c r="B35" s="26">
        <v>33</v>
      </c>
      <c r="C35" s="26">
        <f t="shared" si="20"/>
        <v>4</v>
      </c>
      <c r="D35" s="29">
        <f t="shared" si="9"/>
        <v>0.46000000000000013</v>
      </c>
      <c r="E35" s="29"/>
      <c r="F35" s="29">
        <f t="shared" si="0"/>
        <v>0.3167692307692308</v>
      </c>
      <c r="G35" s="30">
        <f t="shared" si="1"/>
        <v>0.20963746903850511</v>
      </c>
      <c r="H35" s="30">
        <f t="shared" si="2"/>
        <v>0.1</v>
      </c>
      <c r="I35" s="26">
        <f t="shared" si="10"/>
        <v>33</v>
      </c>
      <c r="J35" s="26">
        <f t="shared" si="3"/>
        <v>105</v>
      </c>
      <c r="K35" s="26">
        <f t="shared" si="4"/>
        <v>330</v>
      </c>
      <c r="L35" s="26">
        <f t="shared" si="11"/>
        <v>34</v>
      </c>
      <c r="M35" s="26">
        <f t="shared" si="12"/>
        <v>296</v>
      </c>
      <c r="N35" s="42">
        <f t="shared" si="5"/>
        <v>6.3526505769243968E-4</v>
      </c>
      <c r="O35" s="42"/>
      <c r="P35" s="26">
        <v>33</v>
      </c>
      <c r="Q35" s="26">
        <f t="shared" si="21"/>
        <v>4</v>
      </c>
      <c r="R35" s="29">
        <v>0.95</v>
      </c>
      <c r="S35" s="29">
        <f t="shared" si="6"/>
        <v>0.76923076923076927</v>
      </c>
      <c r="T35" s="26">
        <f t="shared" si="13"/>
        <v>33</v>
      </c>
      <c r="U35" s="26">
        <f t="shared" si="7"/>
        <v>98.999999999999886</v>
      </c>
      <c r="V35" s="30">
        <f t="shared" si="8"/>
        <v>0.84507042253521125</v>
      </c>
      <c r="W35" s="29"/>
      <c r="X35" s="29"/>
      <c r="AC35" s="21" t="s">
        <v>221</v>
      </c>
      <c r="AD35" s="21" t="s">
        <v>222</v>
      </c>
      <c r="AW35" s="26">
        <v>13</v>
      </c>
      <c r="AX35" s="21" t="s">
        <v>221</v>
      </c>
      <c r="AY35" s="21" t="s">
        <v>223</v>
      </c>
      <c r="AZ35" s="26">
        <v>1</v>
      </c>
      <c r="BA35" s="26">
        <v>0.7</v>
      </c>
      <c r="BB35" s="26">
        <v>0.5</v>
      </c>
      <c r="BC35" s="26">
        <v>0.1</v>
      </c>
      <c r="BD35" s="26">
        <v>0.5</v>
      </c>
      <c r="BE35" s="26">
        <v>0.2</v>
      </c>
    </row>
    <row r="36" spans="2:57" x14ac:dyDescent="0.15">
      <c r="B36" s="26">
        <v>34</v>
      </c>
      <c r="C36" s="26">
        <f t="shared" si="20"/>
        <v>4</v>
      </c>
      <c r="D36" s="29">
        <f t="shared" si="9"/>
        <v>0.46500000000000014</v>
      </c>
      <c r="E36" s="29"/>
      <c r="F36" s="29">
        <f t="shared" si="0"/>
        <v>0.32161538461538464</v>
      </c>
      <c r="G36" s="30">
        <f t="shared" si="1"/>
        <v>0.21136183240730255</v>
      </c>
      <c r="H36" s="30">
        <f t="shared" si="2"/>
        <v>0.1</v>
      </c>
      <c r="I36" s="26">
        <f t="shared" si="10"/>
        <v>34</v>
      </c>
      <c r="J36" s="26">
        <f t="shared" si="3"/>
        <v>112</v>
      </c>
      <c r="K36" s="26">
        <f t="shared" si="4"/>
        <v>340</v>
      </c>
      <c r="L36" s="26">
        <f t="shared" si="11"/>
        <v>35</v>
      </c>
      <c r="M36" s="26">
        <f t="shared" si="12"/>
        <v>305</v>
      </c>
      <c r="N36" s="42">
        <f t="shared" si="5"/>
        <v>6.2165244825677219E-4</v>
      </c>
      <c r="O36" s="42"/>
      <c r="P36" s="26">
        <v>34</v>
      </c>
      <c r="Q36" s="26">
        <f t="shared" si="21"/>
        <v>4</v>
      </c>
      <c r="R36" s="29">
        <v>0.95</v>
      </c>
      <c r="S36" s="29">
        <f t="shared" si="6"/>
        <v>0.76923076923076916</v>
      </c>
      <c r="T36" s="26">
        <f t="shared" si="13"/>
        <v>34</v>
      </c>
      <c r="U36" s="26">
        <f t="shared" si="7"/>
        <v>101.99999999999987</v>
      </c>
      <c r="V36" s="30">
        <f t="shared" si="8"/>
        <v>0.84474885844748859</v>
      </c>
      <c r="W36" s="29"/>
      <c r="X36" s="29"/>
      <c r="AC36" s="23" t="s">
        <v>224</v>
      </c>
      <c r="AD36" s="23" t="s">
        <v>225</v>
      </c>
      <c r="AW36" s="26">
        <v>14</v>
      </c>
      <c r="AX36" s="23" t="s">
        <v>224</v>
      </c>
      <c r="AY36" s="23" t="s">
        <v>226</v>
      </c>
      <c r="AZ36" s="26">
        <v>1</v>
      </c>
      <c r="BA36" s="26">
        <v>0.7</v>
      </c>
      <c r="BB36" s="26">
        <v>0.5</v>
      </c>
      <c r="BC36" s="26">
        <v>0.1</v>
      </c>
      <c r="BD36" s="26">
        <v>0.5</v>
      </c>
      <c r="BE36" s="26">
        <v>0.2</v>
      </c>
    </row>
    <row r="37" spans="2:57" x14ac:dyDescent="0.15">
      <c r="B37" s="26">
        <v>35</v>
      </c>
      <c r="C37" s="26">
        <f t="shared" si="20"/>
        <v>4</v>
      </c>
      <c r="D37" s="29">
        <f t="shared" si="9"/>
        <v>0.47000000000000014</v>
      </c>
      <c r="E37" s="29"/>
      <c r="F37" s="29">
        <f t="shared" si="0"/>
        <v>0.32653846153846156</v>
      </c>
      <c r="G37" s="30">
        <f t="shared" si="1"/>
        <v>0.21302113078241036</v>
      </c>
      <c r="H37" s="30">
        <f t="shared" si="2"/>
        <v>0.1</v>
      </c>
      <c r="I37" s="26">
        <f t="shared" si="10"/>
        <v>35</v>
      </c>
      <c r="J37" s="26">
        <f t="shared" si="3"/>
        <v>118</v>
      </c>
      <c r="K37" s="26">
        <f t="shared" si="4"/>
        <v>350</v>
      </c>
      <c r="L37" s="26">
        <f t="shared" si="11"/>
        <v>36</v>
      </c>
      <c r="M37" s="26">
        <f t="shared" si="12"/>
        <v>314</v>
      </c>
      <c r="N37" s="42">
        <f t="shared" si="5"/>
        <v>6.0863180223545818E-4</v>
      </c>
      <c r="O37" s="42"/>
      <c r="P37" s="26">
        <v>35</v>
      </c>
      <c r="Q37" s="26">
        <f t="shared" si="21"/>
        <v>4</v>
      </c>
      <c r="R37" s="29">
        <v>0.95</v>
      </c>
      <c r="S37" s="29">
        <f t="shared" si="6"/>
        <v>0.76923076923076927</v>
      </c>
      <c r="T37" s="26">
        <f t="shared" si="13"/>
        <v>35</v>
      </c>
      <c r="U37" s="26">
        <f t="shared" si="7"/>
        <v>104.9999999999999</v>
      </c>
      <c r="V37" s="30">
        <f t="shared" si="8"/>
        <v>0.84444444444444444</v>
      </c>
      <c r="W37" s="29"/>
      <c r="X37" s="29"/>
      <c r="AC37" s="21" t="s">
        <v>227</v>
      </c>
      <c r="AD37" s="21" t="s">
        <v>228</v>
      </c>
      <c r="AW37" s="26">
        <v>15</v>
      </c>
      <c r="AX37" s="21" t="s">
        <v>227</v>
      </c>
      <c r="AY37" s="21" t="s">
        <v>229</v>
      </c>
      <c r="AZ37" s="26">
        <v>1</v>
      </c>
      <c r="BA37" s="26">
        <v>0.7</v>
      </c>
      <c r="BB37" s="26">
        <v>0.5</v>
      </c>
      <c r="BC37" s="26">
        <v>0.1</v>
      </c>
      <c r="BD37" s="26">
        <v>0.5</v>
      </c>
      <c r="BE37" s="26">
        <v>0.2</v>
      </c>
    </row>
    <row r="38" spans="2:57" x14ac:dyDescent="0.15">
      <c r="B38" s="26">
        <v>36</v>
      </c>
      <c r="C38" s="26">
        <f t="shared" si="20"/>
        <v>4</v>
      </c>
      <c r="D38" s="29">
        <f t="shared" si="9"/>
        <v>0.47500000000000014</v>
      </c>
      <c r="E38" s="29"/>
      <c r="F38" s="29">
        <f t="shared" si="0"/>
        <v>0.33153846153846156</v>
      </c>
      <c r="G38" s="30">
        <f t="shared" si="1"/>
        <v>0.21461449942462607</v>
      </c>
      <c r="H38" s="30">
        <f t="shared" si="2"/>
        <v>0.1</v>
      </c>
      <c r="I38" s="26">
        <f t="shared" si="10"/>
        <v>36</v>
      </c>
      <c r="J38" s="26">
        <f t="shared" si="3"/>
        <v>125</v>
      </c>
      <c r="K38" s="26">
        <f t="shared" si="4"/>
        <v>360</v>
      </c>
      <c r="L38" s="26">
        <f t="shared" si="11"/>
        <v>37</v>
      </c>
      <c r="M38" s="26">
        <f t="shared" si="12"/>
        <v>323</v>
      </c>
      <c r="N38" s="42">
        <f t="shared" si="5"/>
        <v>5.9615138729062801E-4</v>
      </c>
      <c r="O38" s="42"/>
      <c r="P38" s="26">
        <v>36</v>
      </c>
      <c r="Q38" s="26">
        <f t="shared" si="21"/>
        <v>4</v>
      </c>
      <c r="R38" s="29">
        <v>0.95</v>
      </c>
      <c r="S38" s="29">
        <f t="shared" si="6"/>
        <v>0.76923076923076927</v>
      </c>
      <c r="T38" s="26">
        <f t="shared" si="13"/>
        <v>36</v>
      </c>
      <c r="U38" s="26">
        <f t="shared" si="7"/>
        <v>107.99999999999983</v>
      </c>
      <c r="V38" s="30">
        <f t="shared" si="8"/>
        <v>0.8441558441558441</v>
      </c>
      <c r="W38" s="29"/>
      <c r="X38" s="29"/>
      <c r="AC38" s="23" t="s">
        <v>230</v>
      </c>
      <c r="AD38" s="23" t="s">
        <v>231</v>
      </c>
      <c r="AW38" s="26">
        <v>16</v>
      </c>
      <c r="AX38" s="23" t="s">
        <v>230</v>
      </c>
      <c r="AY38" s="23" t="s">
        <v>231</v>
      </c>
      <c r="AZ38" s="26">
        <v>1</v>
      </c>
      <c r="BA38" s="26">
        <v>0.7</v>
      </c>
      <c r="BB38" s="26">
        <v>0.5</v>
      </c>
      <c r="BC38" s="26">
        <v>0.1</v>
      </c>
      <c r="BD38" s="26">
        <v>0.5</v>
      </c>
      <c r="BE38" s="26">
        <v>0.2</v>
      </c>
    </row>
    <row r="39" spans="2:57" x14ac:dyDescent="0.15">
      <c r="B39" s="26">
        <v>37</v>
      </c>
      <c r="C39" s="26">
        <f t="shared" si="20"/>
        <v>4</v>
      </c>
      <c r="D39" s="29">
        <f t="shared" si="9"/>
        <v>0.48000000000000015</v>
      </c>
      <c r="E39" s="29"/>
      <c r="F39" s="29">
        <f t="shared" si="0"/>
        <v>0.33661538461538465</v>
      </c>
      <c r="G39" s="30">
        <f t="shared" si="1"/>
        <v>0.21614100185528784</v>
      </c>
      <c r="H39" s="30">
        <f t="shared" si="2"/>
        <v>0.1</v>
      </c>
      <c r="I39" s="26">
        <f t="shared" si="10"/>
        <v>37</v>
      </c>
      <c r="J39" s="26">
        <f t="shared" si="3"/>
        <v>132</v>
      </c>
      <c r="K39" s="26">
        <f t="shared" si="4"/>
        <v>370</v>
      </c>
      <c r="L39" s="26">
        <f t="shared" si="11"/>
        <v>38</v>
      </c>
      <c r="M39" s="26">
        <f t="shared" si="12"/>
        <v>332</v>
      </c>
      <c r="N39" s="42">
        <f t="shared" si="5"/>
        <v>5.8416486987915631E-4</v>
      </c>
      <c r="O39" s="42"/>
      <c r="P39" s="26">
        <v>37</v>
      </c>
      <c r="Q39" s="26">
        <f t="shared" si="21"/>
        <v>4</v>
      </c>
      <c r="R39" s="29">
        <v>0.95</v>
      </c>
      <c r="S39" s="29">
        <f t="shared" si="6"/>
        <v>0.76923076923076916</v>
      </c>
      <c r="T39" s="26">
        <f t="shared" si="13"/>
        <v>37</v>
      </c>
      <c r="U39" s="26">
        <f t="shared" si="7"/>
        <v>110.99999999999989</v>
      </c>
      <c r="V39" s="30">
        <f t="shared" si="8"/>
        <v>0.84388185654008441</v>
      </c>
      <c r="W39" s="29"/>
      <c r="X39" s="29"/>
      <c r="AC39" s="21" t="s">
        <v>232</v>
      </c>
      <c r="AD39" s="21" t="s">
        <v>233</v>
      </c>
      <c r="AW39" s="26">
        <v>17</v>
      </c>
      <c r="AX39" s="21" t="s">
        <v>232</v>
      </c>
      <c r="AY39" s="21" t="s">
        <v>234</v>
      </c>
      <c r="AZ39" s="26">
        <v>1</v>
      </c>
      <c r="BA39" s="26">
        <v>0.7</v>
      </c>
      <c r="BB39" s="26">
        <v>0.5</v>
      </c>
      <c r="BC39" s="26">
        <v>0.1</v>
      </c>
      <c r="BD39" s="26">
        <v>0.5</v>
      </c>
      <c r="BE39" s="26">
        <v>0.2</v>
      </c>
    </row>
    <row r="40" spans="2:57" x14ac:dyDescent="0.15">
      <c r="B40" s="26">
        <v>38</v>
      </c>
      <c r="C40" s="26">
        <f t="shared" si="20"/>
        <v>4</v>
      </c>
      <c r="D40" s="29">
        <f t="shared" si="9"/>
        <v>0.48500000000000015</v>
      </c>
      <c r="E40" s="29"/>
      <c r="F40" s="29">
        <f t="shared" si="0"/>
        <v>0.34176923076923083</v>
      </c>
      <c r="G40" s="30">
        <f t="shared" si="1"/>
        <v>0.21759962603716265</v>
      </c>
      <c r="H40" s="30">
        <f t="shared" si="2"/>
        <v>0.1</v>
      </c>
      <c r="I40" s="26">
        <f t="shared" si="10"/>
        <v>38</v>
      </c>
      <c r="J40" s="26">
        <f t="shared" si="3"/>
        <v>140</v>
      </c>
      <c r="K40" s="26">
        <f t="shared" si="4"/>
        <v>380</v>
      </c>
      <c r="L40" s="26">
        <f t="shared" si="11"/>
        <v>39</v>
      </c>
      <c r="M40" s="26">
        <f t="shared" si="12"/>
        <v>341</v>
      </c>
      <c r="N40" s="42">
        <f t="shared" si="5"/>
        <v>5.7263059483463855E-4</v>
      </c>
      <c r="O40" s="42"/>
      <c r="P40" s="26">
        <v>38</v>
      </c>
      <c r="Q40" s="26">
        <f t="shared" si="21"/>
        <v>4</v>
      </c>
      <c r="R40" s="29">
        <v>0.95</v>
      </c>
      <c r="S40" s="29">
        <f t="shared" si="6"/>
        <v>0.76923076923076927</v>
      </c>
      <c r="T40" s="26">
        <f t="shared" si="13"/>
        <v>38</v>
      </c>
      <c r="U40" s="26">
        <f t="shared" si="7"/>
        <v>113.99999999999994</v>
      </c>
      <c r="V40" s="30">
        <f t="shared" si="8"/>
        <v>0.84362139917695467</v>
      </c>
      <c r="W40" s="29"/>
      <c r="X40" s="29"/>
      <c r="AC40" s="23" t="s">
        <v>235</v>
      </c>
      <c r="AD40" s="23" t="s">
        <v>236</v>
      </c>
      <c r="AW40" s="26">
        <v>18</v>
      </c>
      <c r="AX40" s="23" t="s">
        <v>235</v>
      </c>
      <c r="AY40" s="23" t="s">
        <v>237</v>
      </c>
      <c r="AZ40" s="26">
        <v>1</v>
      </c>
      <c r="BA40" s="26">
        <v>0.7</v>
      </c>
      <c r="BB40" s="26">
        <v>0.5</v>
      </c>
      <c r="BC40" s="26">
        <v>0.1</v>
      </c>
      <c r="BD40" s="26">
        <v>0.5</v>
      </c>
      <c r="BE40" s="26">
        <v>0.2</v>
      </c>
    </row>
    <row r="41" spans="2:57" x14ac:dyDescent="0.15">
      <c r="B41" s="26">
        <v>39</v>
      </c>
      <c r="C41" s="26">
        <f t="shared" si="20"/>
        <v>4</v>
      </c>
      <c r="D41" s="29">
        <f t="shared" si="9"/>
        <v>0.49000000000000016</v>
      </c>
      <c r="E41" s="29"/>
      <c r="F41" s="29">
        <f t="shared" si="0"/>
        <v>0.34700000000000009</v>
      </c>
      <c r="G41" s="30">
        <f t="shared" si="1"/>
        <v>0.21898928024502318</v>
      </c>
      <c r="H41" s="30">
        <f t="shared" si="2"/>
        <v>0.1</v>
      </c>
      <c r="I41" s="26">
        <f t="shared" si="10"/>
        <v>39</v>
      </c>
      <c r="J41" s="26">
        <f t="shared" si="3"/>
        <v>148</v>
      </c>
      <c r="K41" s="26">
        <f t="shared" si="4"/>
        <v>390</v>
      </c>
      <c r="L41" s="26">
        <f t="shared" si="11"/>
        <v>40</v>
      </c>
      <c r="M41" s="26">
        <f t="shared" si="12"/>
        <v>350</v>
      </c>
      <c r="N41" s="42">
        <f t="shared" si="5"/>
        <v>5.6151097498723893E-4</v>
      </c>
      <c r="O41" s="42"/>
      <c r="P41" s="26">
        <v>39</v>
      </c>
      <c r="Q41" s="26">
        <f t="shared" si="21"/>
        <v>4</v>
      </c>
      <c r="R41" s="29">
        <v>0.95</v>
      </c>
      <c r="S41" s="29">
        <f t="shared" si="6"/>
        <v>0.76923076923076916</v>
      </c>
      <c r="T41" s="26">
        <f t="shared" si="13"/>
        <v>39</v>
      </c>
      <c r="U41" s="26">
        <f t="shared" si="7"/>
        <v>116.99999999999986</v>
      </c>
      <c r="V41" s="30">
        <f t="shared" si="8"/>
        <v>0.84337349397590367</v>
      </c>
      <c r="W41" s="29"/>
      <c r="X41" s="29"/>
      <c r="AC41" s="21" t="s">
        <v>238</v>
      </c>
      <c r="AD41" s="21" t="s">
        <v>212</v>
      </c>
      <c r="AW41" s="26">
        <v>19</v>
      </c>
      <c r="AX41" s="21" t="s">
        <v>238</v>
      </c>
      <c r="AY41" s="21" t="s">
        <v>212</v>
      </c>
      <c r="AZ41" s="26">
        <v>1</v>
      </c>
      <c r="BA41" s="26">
        <v>0.7</v>
      </c>
      <c r="BB41" s="26">
        <v>0.5</v>
      </c>
      <c r="BC41" s="26">
        <v>0.1</v>
      </c>
      <c r="BD41" s="26">
        <v>0.5</v>
      </c>
      <c r="BE41" s="26">
        <v>0.2</v>
      </c>
    </row>
    <row r="42" spans="2:57" x14ac:dyDescent="0.15">
      <c r="B42" s="26">
        <v>40</v>
      </c>
      <c r="C42" s="26">
        <f t="shared" si="20"/>
        <v>4</v>
      </c>
      <c r="D42" s="29">
        <f t="shared" si="9"/>
        <v>0.49500000000000016</v>
      </c>
      <c r="E42" s="29"/>
      <c r="F42" s="29">
        <f t="shared" si="0"/>
        <v>0.35230769230769238</v>
      </c>
      <c r="G42" s="30">
        <f t="shared" si="1"/>
        <v>0.22030878859857483</v>
      </c>
      <c r="H42" s="30">
        <f t="shared" si="2"/>
        <v>0.1</v>
      </c>
      <c r="I42" s="26">
        <f t="shared" si="10"/>
        <v>40</v>
      </c>
      <c r="J42" s="26">
        <f t="shared" si="3"/>
        <v>156</v>
      </c>
      <c r="K42" s="26">
        <f t="shared" si="4"/>
        <v>400</v>
      </c>
      <c r="L42" s="26">
        <f t="shared" si="11"/>
        <v>41</v>
      </c>
      <c r="M42" s="26">
        <f t="shared" si="12"/>
        <v>359</v>
      </c>
      <c r="N42" s="42">
        <f t="shared" si="5"/>
        <v>5.5077197149643704E-4</v>
      </c>
      <c r="O42" s="42"/>
      <c r="P42" s="26">
        <v>40</v>
      </c>
      <c r="Q42" s="26">
        <f t="shared" si="21"/>
        <v>4</v>
      </c>
      <c r="R42" s="29">
        <v>0.95</v>
      </c>
      <c r="S42" s="29">
        <f t="shared" si="6"/>
        <v>0.76923076923076927</v>
      </c>
      <c r="T42" s="26">
        <f t="shared" si="13"/>
        <v>40</v>
      </c>
      <c r="U42" s="26">
        <f t="shared" si="7"/>
        <v>119.99999999999989</v>
      </c>
      <c r="V42" s="30">
        <f t="shared" si="8"/>
        <v>0.84313725490196079</v>
      </c>
      <c r="W42" s="29"/>
      <c r="X42" s="29"/>
      <c r="AC42" s="23" t="s">
        <v>239</v>
      </c>
      <c r="AD42" s="23" t="s">
        <v>231</v>
      </c>
      <c r="AW42" s="26">
        <v>20</v>
      </c>
      <c r="AX42" s="23" t="s">
        <v>239</v>
      </c>
      <c r="AY42" s="23" t="s">
        <v>231</v>
      </c>
      <c r="AZ42" s="26">
        <v>1</v>
      </c>
      <c r="BA42" s="26">
        <v>0.7</v>
      </c>
      <c r="BB42" s="26">
        <v>0.5</v>
      </c>
      <c r="BC42" s="26">
        <v>0.1</v>
      </c>
      <c r="BD42" s="26">
        <v>0.5</v>
      </c>
      <c r="BE42" s="26">
        <v>0.2</v>
      </c>
    </row>
    <row r="43" spans="2:57" x14ac:dyDescent="0.15">
      <c r="B43" s="26">
        <v>41</v>
      </c>
      <c r="C43" s="26">
        <f t="shared" si="20"/>
        <v>5</v>
      </c>
      <c r="D43" s="29">
        <f t="shared" si="9"/>
        <v>0.50000000000000011</v>
      </c>
      <c r="E43" s="29"/>
      <c r="F43" s="29">
        <f t="shared" si="0"/>
        <v>0.35769230769230775</v>
      </c>
      <c r="G43" s="30">
        <f t="shared" si="1"/>
        <v>0.22155688622754499</v>
      </c>
      <c r="H43" s="30">
        <f t="shared" si="2"/>
        <v>0.1</v>
      </c>
      <c r="I43" s="26">
        <f t="shared" si="10"/>
        <v>41</v>
      </c>
      <c r="J43" s="26">
        <f t="shared" si="3"/>
        <v>165</v>
      </c>
      <c r="K43" s="26">
        <f t="shared" si="4"/>
        <v>410</v>
      </c>
      <c r="L43" s="26">
        <f t="shared" si="11"/>
        <v>42</v>
      </c>
      <c r="M43" s="26">
        <f t="shared" si="12"/>
        <v>368</v>
      </c>
      <c r="N43" s="42">
        <f t="shared" si="5"/>
        <v>5.4038264933547564E-4</v>
      </c>
      <c r="O43" s="42"/>
      <c r="P43" s="26">
        <v>41</v>
      </c>
      <c r="Q43" s="26">
        <f t="shared" si="21"/>
        <v>5</v>
      </c>
      <c r="R43" s="29">
        <v>0.95</v>
      </c>
      <c r="S43" s="29">
        <f t="shared" si="6"/>
        <v>0.76923076923076927</v>
      </c>
      <c r="T43" s="26">
        <f t="shared" si="13"/>
        <v>41</v>
      </c>
      <c r="U43" s="26">
        <f t="shared" si="7"/>
        <v>122.99999999999983</v>
      </c>
      <c r="V43" s="30">
        <f t="shared" si="8"/>
        <v>0.84291187739463602</v>
      </c>
      <c r="W43" s="29"/>
      <c r="X43" s="29"/>
      <c r="AC43" s="21" t="s">
        <v>240</v>
      </c>
      <c r="AD43" s="21" t="s">
        <v>241</v>
      </c>
      <c r="AW43" s="26">
        <v>21</v>
      </c>
      <c r="AX43" s="21" t="s">
        <v>240</v>
      </c>
      <c r="AY43" s="21" t="s">
        <v>241</v>
      </c>
      <c r="AZ43" s="26">
        <v>1</v>
      </c>
      <c r="BA43" s="26">
        <v>0.7</v>
      </c>
      <c r="BB43" s="26">
        <v>0.5</v>
      </c>
      <c r="BC43" s="26">
        <v>0.1</v>
      </c>
      <c r="BD43" s="26">
        <v>0.5</v>
      </c>
      <c r="BE43" s="26">
        <v>0.2</v>
      </c>
    </row>
    <row r="44" spans="2:57" x14ac:dyDescent="0.15">
      <c r="B44" s="26">
        <v>42</v>
      </c>
      <c r="C44" s="26">
        <f t="shared" si="20"/>
        <v>5</v>
      </c>
      <c r="D44" s="29">
        <f t="shared" si="9"/>
        <v>0.50500000000000012</v>
      </c>
      <c r="E44" s="29"/>
      <c r="F44" s="29">
        <f t="shared" si="0"/>
        <v>0.36315384615384622</v>
      </c>
      <c r="G44" s="30">
        <f t="shared" si="1"/>
        <v>0.22273221403551169</v>
      </c>
      <c r="H44" s="30">
        <f t="shared" si="2"/>
        <v>0.1</v>
      </c>
      <c r="I44" s="26">
        <f t="shared" si="10"/>
        <v>42</v>
      </c>
      <c r="J44" s="26">
        <f t="shared" si="3"/>
        <v>174</v>
      </c>
      <c r="K44" s="26">
        <f t="shared" si="4"/>
        <v>420</v>
      </c>
      <c r="L44" s="26">
        <f t="shared" si="11"/>
        <v>43</v>
      </c>
      <c r="M44" s="26">
        <f t="shared" si="12"/>
        <v>377</v>
      </c>
      <c r="N44" s="42">
        <f t="shared" si="5"/>
        <v>5.3031479532264687E-4</v>
      </c>
      <c r="O44" s="42"/>
      <c r="P44" s="26">
        <v>42</v>
      </c>
      <c r="Q44" s="26">
        <f t="shared" si="21"/>
        <v>5</v>
      </c>
      <c r="R44" s="29">
        <v>0.95</v>
      </c>
      <c r="S44" s="29">
        <f t="shared" si="6"/>
        <v>0.76923076923076916</v>
      </c>
      <c r="T44" s="26">
        <f t="shared" si="13"/>
        <v>42</v>
      </c>
      <c r="U44" s="26">
        <f t="shared" si="7"/>
        <v>125.99999999999987</v>
      </c>
      <c r="V44" s="30">
        <f t="shared" si="8"/>
        <v>0.84269662921348321</v>
      </c>
      <c r="W44" s="29"/>
      <c r="X44" s="29"/>
      <c r="AC44" s="23" t="s">
        <v>242</v>
      </c>
      <c r="AD44" s="23" t="s">
        <v>243</v>
      </c>
      <c r="AW44" s="26">
        <v>22</v>
      </c>
      <c r="AX44" s="23" t="s">
        <v>242</v>
      </c>
      <c r="AY44" s="23" t="s">
        <v>243</v>
      </c>
      <c r="AZ44" s="26">
        <v>1</v>
      </c>
      <c r="BA44" s="26">
        <v>0.7</v>
      </c>
      <c r="BB44" s="26">
        <v>0.5</v>
      </c>
      <c r="BC44" s="26">
        <v>0.1</v>
      </c>
      <c r="BD44" s="26">
        <v>0.5</v>
      </c>
      <c r="BE44" s="26">
        <v>0.2</v>
      </c>
    </row>
    <row r="45" spans="2:57" x14ac:dyDescent="0.15">
      <c r="B45" s="26">
        <v>43</v>
      </c>
      <c r="C45" s="26">
        <f t="shared" si="20"/>
        <v>5</v>
      </c>
      <c r="D45" s="29">
        <f t="shared" si="9"/>
        <v>0.51000000000000012</v>
      </c>
      <c r="E45" s="29"/>
      <c r="F45" s="29">
        <f t="shared" si="0"/>
        <v>0.36869230769230776</v>
      </c>
      <c r="G45" s="30">
        <f t="shared" si="1"/>
        <v>0.22383331302546616</v>
      </c>
      <c r="H45" s="30">
        <f t="shared" si="2"/>
        <v>0.1</v>
      </c>
      <c r="I45" s="26">
        <f t="shared" si="10"/>
        <v>43</v>
      </c>
      <c r="J45" s="26">
        <f t="shared" si="3"/>
        <v>184</v>
      </c>
      <c r="K45" s="26">
        <f t="shared" si="4"/>
        <v>430</v>
      </c>
      <c r="L45" s="26">
        <f t="shared" si="11"/>
        <v>44</v>
      </c>
      <c r="M45" s="26">
        <f t="shared" si="12"/>
        <v>386</v>
      </c>
      <c r="N45" s="42">
        <f t="shared" si="5"/>
        <v>5.2054258843131662E-4</v>
      </c>
      <c r="O45" s="42"/>
      <c r="P45" s="26">
        <v>43</v>
      </c>
      <c r="Q45" s="26">
        <f t="shared" si="21"/>
        <v>5</v>
      </c>
      <c r="R45" s="29">
        <v>0.95</v>
      </c>
      <c r="S45" s="29">
        <f t="shared" si="6"/>
        <v>0.76923076923076927</v>
      </c>
      <c r="T45" s="26">
        <f t="shared" si="13"/>
        <v>43</v>
      </c>
      <c r="U45" s="26">
        <f t="shared" si="7"/>
        <v>128.99999999999991</v>
      </c>
      <c r="V45" s="30">
        <f t="shared" si="8"/>
        <v>0.8424908424908425</v>
      </c>
      <c r="W45" s="29"/>
      <c r="X45" s="29"/>
      <c r="AC45" s="21" t="s">
        <v>242</v>
      </c>
      <c r="AD45" s="23" t="s">
        <v>244</v>
      </c>
      <c r="AW45" s="26">
        <v>23</v>
      </c>
      <c r="AX45" s="21" t="s">
        <v>242</v>
      </c>
      <c r="AY45" s="23" t="s">
        <v>244</v>
      </c>
      <c r="AZ45" s="26">
        <v>1</v>
      </c>
      <c r="BA45" s="26">
        <v>0.7</v>
      </c>
      <c r="BB45" s="26">
        <v>0.5</v>
      </c>
      <c r="BC45" s="26">
        <v>0.1</v>
      </c>
      <c r="BD45" s="26">
        <v>0.5</v>
      </c>
      <c r="BE45" s="26">
        <v>0.2</v>
      </c>
    </row>
    <row r="46" spans="2:57" x14ac:dyDescent="0.15">
      <c r="B46" s="26">
        <v>44</v>
      </c>
      <c r="C46" s="26">
        <f t="shared" si="20"/>
        <v>5</v>
      </c>
      <c r="D46" s="29">
        <f t="shared" si="9"/>
        <v>0.51500000000000012</v>
      </c>
      <c r="E46" s="29"/>
      <c r="F46" s="29">
        <f t="shared" si="0"/>
        <v>0.37430769230769234</v>
      </c>
      <c r="G46" s="30">
        <f t="shared" si="1"/>
        <v>0.22485861814605379</v>
      </c>
      <c r="H46" s="30">
        <f t="shared" si="2"/>
        <v>0.1</v>
      </c>
      <c r="I46" s="26">
        <f t="shared" si="10"/>
        <v>44</v>
      </c>
      <c r="J46" s="26">
        <f t="shared" si="3"/>
        <v>193</v>
      </c>
      <c r="K46" s="26">
        <f t="shared" si="4"/>
        <v>440</v>
      </c>
      <c r="L46" s="26">
        <f t="shared" si="11"/>
        <v>45</v>
      </c>
      <c r="M46" s="26">
        <f t="shared" si="12"/>
        <v>395</v>
      </c>
      <c r="N46" s="42">
        <f t="shared" si="5"/>
        <v>5.1104231396830412E-4</v>
      </c>
      <c r="O46" s="42"/>
      <c r="P46" s="26">
        <v>44</v>
      </c>
      <c r="Q46" s="26">
        <f t="shared" si="21"/>
        <v>5</v>
      </c>
      <c r="R46" s="29">
        <v>0.95</v>
      </c>
      <c r="S46" s="29">
        <f t="shared" si="6"/>
        <v>0.76923076923076916</v>
      </c>
      <c r="T46" s="26">
        <f t="shared" si="13"/>
        <v>44</v>
      </c>
      <c r="U46" s="26">
        <f t="shared" si="7"/>
        <v>131.99999999999983</v>
      </c>
      <c r="V46" s="30">
        <f t="shared" si="8"/>
        <v>0.84229390681003591</v>
      </c>
      <c r="W46" s="29"/>
      <c r="X46" s="29"/>
      <c r="AC46" s="23" t="s">
        <v>245</v>
      </c>
      <c r="AD46" s="23" t="s">
        <v>246</v>
      </c>
      <c r="AW46" s="26">
        <v>24</v>
      </c>
      <c r="AX46" s="23" t="s">
        <v>245</v>
      </c>
      <c r="AY46" s="23" t="s">
        <v>247</v>
      </c>
      <c r="AZ46" s="26">
        <v>1</v>
      </c>
      <c r="BA46" s="26">
        <v>0.7</v>
      </c>
      <c r="BB46" s="26">
        <v>0.5</v>
      </c>
      <c r="BC46" s="26">
        <v>0.1</v>
      </c>
      <c r="BD46" s="26">
        <v>0.5</v>
      </c>
      <c r="BE46" s="26">
        <v>0.2</v>
      </c>
    </row>
    <row r="47" spans="2:57" x14ac:dyDescent="0.15">
      <c r="B47" s="26">
        <v>45</v>
      </c>
      <c r="C47" s="26">
        <f t="shared" si="20"/>
        <v>5</v>
      </c>
      <c r="D47" s="29">
        <f t="shared" si="9"/>
        <v>0.52000000000000013</v>
      </c>
      <c r="E47" s="29"/>
      <c r="F47" s="29">
        <f t="shared" si="0"/>
        <v>0.38000000000000006</v>
      </c>
      <c r="G47" s="30">
        <f t="shared" si="1"/>
        <v>0.22580645161290325</v>
      </c>
      <c r="H47" s="30">
        <f t="shared" si="2"/>
        <v>0.1</v>
      </c>
      <c r="I47" s="26">
        <f t="shared" si="10"/>
        <v>45</v>
      </c>
      <c r="J47" s="26">
        <f t="shared" si="3"/>
        <v>204</v>
      </c>
      <c r="K47" s="26">
        <f t="shared" si="4"/>
        <v>450</v>
      </c>
      <c r="L47" s="26">
        <f t="shared" si="11"/>
        <v>46</v>
      </c>
      <c r="M47" s="26">
        <f t="shared" si="12"/>
        <v>404</v>
      </c>
      <c r="N47" s="42">
        <f t="shared" si="5"/>
        <v>5.017921146953405E-4</v>
      </c>
      <c r="O47" s="42"/>
      <c r="P47" s="26">
        <v>45</v>
      </c>
      <c r="Q47" s="26">
        <f t="shared" si="21"/>
        <v>5</v>
      </c>
      <c r="R47" s="29">
        <v>0.95</v>
      </c>
      <c r="S47" s="29">
        <f t="shared" si="6"/>
        <v>0.76923076923076927</v>
      </c>
      <c r="T47" s="26">
        <f t="shared" si="13"/>
        <v>45</v>
      </c>
      <c r="U47" s="26">
        <f t="shared" si="7"/>
        <v>134.99999999999989</v>
      </c>
      <c r="V47" s="30">
        <f t="shared" si="8"/>
        <v>0.84210526315789469</v>
      </c>
      <c r="W47" s="29"/>
      <c r="X47" s="29"/>
      <c r="AC47" s="21" t="s">
        <v>248</v>
      </c>
      <c r="AD47" s="21" t="s">
        <v>249</v>
      </c>
      <c r="AW47" s="26">
        <v>25</v>
      </c>
      <c r="AX47" s="21" t="s">
        <v>248</v>
      </c>
      <c r="AY47" s="21" t="s">
        <v>250</v>
      </c>
      <c r="AZ47" s="26">
        <v>1</v>
      </c>
      <c r="BA47" s="26">
        <v>0.7</v>
      </c>
      <c r="BB47" s="26">
        <v>0.5</v>
      </c>
      <c r="BC47" s="26">
        <v>0.1</v>
      </c>
      <c r="BD47" s="26">
        <v>0.5</v>
      </c>
      <c r="BE47" s="26">
        <v>0.2</v>
      </c>
    </row>
    <row r="48" spans="2:57" x14ac:dyDescent="0.15">
      <c r="B48" s="26">
        <v>46</v>
      </c>
      <c r="C48" s="26">
        <f t="shared" si="20"/>
        <v>5</v>
      </c>
      <c r="D48" s="29">
        <f t="shared" si="9"/>
        <v>0.52500000000000013</v>
      </c>
      <c r="E48" s="29"/>
      <c r="F48" s="29">
        <f t="shared" si="0"/>
        <v>0.38576923076923086</v>
      </c>
      <c r="G48" s="30">
        <f t="shared" si="1"/>
        <v>0.226675015654352</v>
      </c>
      <c r="H48" s="30">
        <f t="shared" si="2"/>
        <v>0.1</v>
      </c>
      <c r="I48" s="26">
        <f t="shared" si="10"/>
        <v>46</v>
      </c>
      <c r="J48" s="26">
        <f t="shared" si="3"/>
        <v>215</v>
      </c>
      <c r="K48" s="26">
        <f t="shared" si="4"/>
        <v>460</v>
      </c>
      <c r="L48" s="26">
        <f t="shared" si="11"/>
        <v>47</v>
      </c>
      <c r="M48" s="26">
        <f t="shared" si="12"/>
        <v>413</v>
      </c>
      <c r="N48" s="42">
        <f t="shared" si="5"/>
        <v>4.9277177316163479E-4</v>
      </c>
      <c r="O48" s="42"/>
      <c r="P48" s="26">
        <v>46</v>
      </c>
      <c r="Q48" s="26">
        <f t="shared" si="21"/>
        <v>5</v>
      </c>
      <c r="R48" s="29">
        <v>0.95</v>
      </c>
      <c r="S48" s="29">
        <f t="shared" si="6"/>
        <v>0.76923076923076927</v>
      </c>
      <c r="T48" s="26">
        <f t="shared" si="13"/>
        <v>46</v>
      </c>
      <c r="U48" s="26">
        <f t="shared" si="7"/>
        <v>137.9999999999998</v>
      </c>
      <c r="V48" s="30">
        <f t="shared" si="8"/>
        <v>0.84192439862542956</v>
      </c>
      <c r="W48" s="29"/>
      <c r="X48" s="29"/>
      <c r="AC48" s="23" t="s">
        <v>251</v>
      </c>
      <c r="AD48" s="23" t="s">
        <v>243</v>
      </c>
      <c r="AW48" s="26">
        <v>26</v>
      </c>
      <c r="AX48" s="23" t="s">
        <v>251</v>
      </c>
      <c r="AY48" s="23" t="s">
        <v>243</v>
      </c>
      <c r="AZ48" s="26">
        <v>1</v>
      </c>
      <c r="BA48" s="26">
        <v>0.7</v>
      </c>
      <c r="BB48" s="26">
        <v>0.5</v>
      </c>
      <c r="BC48" s="26">
        <v>0.1</v>
      </c>
      <c r="BD48" s="26">
        <v>0.5</v>
      </c>
      <c r="BE48" s="26">
        <v>0.2</v>
      </c>
    </row>
    <row r="49" spans="2:57" x14ac:dyDescent="0.15">
      <c r="B49" s="26">
        <v>47</v>
      </c>
      <c r="C49" s="26">
        <f t="shared" si="20"/>
        <v>5</v>
      </c>
      <c r="D49" s="29">
        <f t="shared" si="9"/>
        <v>0.53000000000000014</v>
      </c>
      <c r="E49" s="29"/>
      <c r="F49" s="29">
        <f t="shared" si="0"/>
        <v>0.3916153846153847</v>
      </c>
      <c r="G49" s="30">
        <f t="shared" si="1"/>
        <v>0.2274623846251107</v>
      </c>
      <c r="H49" s="30">
        <f t="shared" si="2"/>
        <v>0.1</v>
      </c>
      <c r="I49" s="26">
        <f t="shared" si="10"/>
        <v>47</v>
      </c>
      <c r="J49" s="26">
        <f t="shared" si="3"/>
        <v>226</v>
      </c>
      <c r="K49" s="26">
        <f t="shared" si="4"/>
        <v>470</v>
      </c>
      <c r="L49" s="26">
        <f t="shared" si="11"/>
        <v>48</v>
      </c>
      <c r="M49" s="26">
        <f t="shared" si="12"/>
        <v>422</v>
      </c>
      <c r="N49" s="42">
        <f t="shared" si="5"/>
        <v>4.8396252047895892E-4</v>
      </c>
      <c r="O49" s="42"/>
      <c r="P49" s="26">
        <v>47</v>
      </c>
      <c r="Q49" s="26">
        <f t="shared" si="21"/>
        <v>5</v>
      </c>
      <c r="R49" s="29">
        <v>0.95</v>
      </c>
      <c r="S49" s="29">
        <f t="shared" si="6"/>
        <v>0.76923076923076916</v>
      </c>
      <c r="T49" s="26">
        <f t="shared" si="13"/>
        <v>47</v>
      </c>
      <c r="U49" s="26">
        <f t="shared" si="7"/>
        <v>140.99999999999986</v>
      </c>
      <c r="V49" s="30">
        <f t="shared" si="8"/>
        <v>0.84175084175084181</v>
      </c>
      <c r="W49" s="29"/>
      <c r="X49" s="29"/>
      <c r="AC49" s="21" t="s">
        <v>252</v>
      </c>
      <c r="AD49" s="23" t="s">
        <v>243</v>
      </c>
      <c r="AW49" s="26">
        <v>27</v>
      </c>
      <c r="AX49" s="21" t="s">
        <v>252</v>
      </c>
      <c r="AY49" s="23" t="s">
        <v>253</v>
      </c>
      <c r="AZ49" s="26">
        <v>1</v>
      </c>
      <c r="BA49" s="26">
        <v>0.7</v>
      </c>
      <c r="BB49" s="26">
        <v>0.5</v>
      </c>
      <c r="BC49" s="26">
        <v>0.1</v>
      </c>
      <c r="BD49" s="26">
        <v>0.5</v>
      </c>
      <c r="BE49" s="26">
        <v>0.2</v>
      </c>
    </row>
    <row r="50" spans="2:57" x14ac:dyDescent="0.15">
      <c r="B50" s="26">
        <v>48</v>
      </c>
      <c r="C50" s="26">
        <f t="shared" si="20"/>
        <v>5</v>
      </c>
      <c r="D50" s="29">
        <f t="shared" si="9"/>
        <v>0.53500000000000014</v>
      </c>
      <c r="E50" s="29"/>
      <c r="F50" s="29">
        <f t="shared" si="0"/>
        <v>0.39753846153846162</v>
      </c>
      <c r="G50" s="30">
        <f t="shared" si="1"/>
        <v>0.22816649642492348</v>
      </c>
      <c r="H50" s="30">
        <f t="shared" si="2"/>
        <v>0.1</v>
      </c>
      <c r="I50" s="26">
        <f t="shared" si="10"/>
        <v>48</v>
      </c>
      <c r="J50" s="26">
        <f t="shared" si="3"/>
        <v>238</v>
      </c>
      <c r="K50" s="26">
        <f t="shared" si="4"/>
        <v>480</v>
      </c>
      <c r="L50" s="26">
        <f t="shared" si="11"/>
        <v>49</v>
      </c>
      <c r="M50" s="26">
        <f t="shared" si="12"/>
        <v>431</v>
      </c>
      <c r="N50" s="42">
        <f t="shared" si="5"/>
        <v>4.7534686755192393E-4</v>
      </c>
      <c r="O50" s="42"/>
      <c r="P50" s="26">
        <v>48</v>
      </c>
      <c r="Q50" s="26">
        <f t="shared" si="21"/>
        <v>5</v>
      </c>
      <c r="R50" s="29">
        <v>0.95</v>
      </c>
      <c r="S50" s="29">
        <f t="shared" si="6"/>
        <v>0.76923076923076927</v>
      </c>
      <c r="T50" s="26">
        <f t="shared" si="13"/>
        <v>48</v>
      </c>
      <c r="U50" s="26">
        <f t="shared" si="7"/>
        <v>143.99999999999977</v>
      </c>
      <c r="V50" s="30">
        <f t="shared" si="8"/>
        <v>0.84158415841584155</v>
      </c>
      <c r="W50" s="29"/>
      <c r="X50" s="29"/>
      <c r="AC50" s="23" t="s">
        <v>254</v>
      </c>
      <c r="AD50" s="23" t="s">
        <v>255</v>
      </c>
      <c r="AW50" s="26">
        <v>28</v>
      </c>
      <c r="AX50" s="23" t="s">
        <v>254</v>
      </c>
      <c r="AY50" s="23" t="s">
        <v>256</v>
      </c>
      <c r="AZ50" s="26">
        <v>1</v>
      </c>
      <c r="BA50" s="26">
        <v>0.7</v>
      </c>
      <c r="BB50" s="26">
        <v>0.5</v>
      </c>
      <c r="BC50" s="26">
        <v>0.1</v>
      </c>
      <c r="BD50" s="26">
        <v>0.5</v>
      </c>
      <c r="BE50" s="26">
        <v>0.2</v>
      </c>
    </row>
    <row r="51" spans="2:57" x14ac:dyDescent="0.15">
      <c r="B51" s="26">
        <v>49</v>
      </c>
      <c r="C51" s="26">
        <f t="shared" si="20"/>
        <v>5</v>
      </c>
      <c r="D51" s="29">
        <f t="shared" si="9"/>
        <v>0.54000000000000015</v>
      </c>
      <c r="E51" s="29"/>
      <c r="F51" s="29">
        <f t="shared" si="0"/>
        <v>0.40353846153846162</v>
      </c>
      <c r="G51" s="30">
        <f t="shared" si="1"/>
        <v>0.22878514315192178</v>
      </c>
      <c r="H51" s="30">
        <f t="shared" si="2"/>
        <v>0.1</v>
      </c>
      <c r="I51" s="26">
        <f t="shared" si="10"/>
        <v>49</v>
      </c>
      <c r="J51" s="26">
        <f t="shared" si="3"/>
        <v>250</v>
      </c>
      <c r="K51" s="26">
        <f t="shared" si="4"/>
        <v>490</v>
      </c>
      <c r="L51" s="26">
        <f t="shared" si="11"/>
        <v>50</v>
      </c>
      <c r="M51" s="26">
        <f t="shared" si="12"/>
        <v>440</v>
      </c>
      <c r="N51" s="42">
        <f t="shared" si="5"/>
        <v>4.6690845541208525E-4</v>
      </c>
      <c r="O51" s="42"/>
      <c r="P51" s="26">
        <v>49</v>
      </c>
      <c r="Q51" s="26">
        <f t="shared" si="21"/>
        <v>5</v>
      </c>
      <c r="R51" s="29">
        <v>0.95</v>
      </c>
      <c r="S51" s="29">
        <f t="shared" si="6"/>
        <v>0.76923076923076916</v>
      </c>
      <c r="T51" s="26">
        <f t="shared" si="13"/>
        <v>49</v>
      </c>
      <c r="U51" s="26">
        <f t="shared" si="7"/>
        <v>146.99999999999983</v>
      </c>
      <c r="V51" s="30">
        <f t="shared" si="8"/>
        <v>0.84142394822006472</v>
      </c>
      <c r="W51" s="29"/>
      <c r="X51" s="29"/>
      <c r="AC51" s="21" t="s">
        <v>257</v>
      </c>
      <c r="AD51" s="21" t="s">
        <v>258</v>
      </c>
      <c r="AW51" s="26">
        <v>29</v>
      </c>
      <c r="AX51" s="21" t="s">
        <v>257</v>
      </c>
      <c r="AY51" s="21" t="s">
        <v>259</v>
      </c>
      <c r="AZ51" s="26">
        <v>1</v>
      </c>
      <c r="BA51" s="26">
        <v>0.7</v>
      </c>
      <c r="BB51" s="26">
        <v>0.5</v>
      </c>
      <c r="BC51" s="26">
        <v>0.1</v>
      </c>
      <c r="BD51" s="26">
        <v>0.5</v>
      </c>
      <c r="BE51" s="26">
        <v>0.2</v>
      </c>
    </row>
    <row r="52" spans="2:57" x14ac:dyDescent="0.15">
      <c r="B52" s="26">
        <v>50</v>
      </c>
      <c r="C52" s="26">
        <f t="shared" si="20"/>
        <v>5</v>
      </c>
      <c r="D52" s="29">
        <f t="shared" si="9"/>
        <v>0.54500000000000015</v>
      </c>
      <c r="E52" s="29"/>
      <c r="F52" s="29">
        <f t="shared" si="0"/>
        <v>0.40961538461538471</v>
      </c>
      <c r="G52" s="30">
        <f t="shared" si="1"/>
        <v>0.2293159609120522</v>
      </c>
      <c r="H52" s="30">
        <f t="shared" si="2"/>
        <v>0.1</v>
      </c>
      <c r="I52" s="26">
        <f t="shared" si="10"/>
        <v>50</v>
      </c>
      <c r="J52" s="26">
        <f t="shared" si="3"/>
        <v>263</v>
      </c>
      <c r="K52" s="26">
        <f t="shared" si="4"/>
        <v>500</v>
      </c>
      <c r="L52" s="26">
        <f t="shared" si="11"/>
        <v>51</v>
      </c>
      <c r="M52" s="26">
        <f t="shared" si="12"/>
        <v>449</v>
      </c>
      <c r="N52" s="42">
        <f t="shared" si="5"/>
        <v>4.5863192182410439E-4</v>
      </c>
      <c r="O52" s="42"/>
      <c r="P52" s="26">
        <v>50</v>
      </c>
      <c r="Q52" s="26">
        <f t="shared" si="21"/>
        <v>5</v>
      </c>
      <c r="R52" s="29">
        <v>0.95</v>
      </c>
      <c r="S52" s="29">
        <f t="shared" si="6"/>
        <v>0.76923076923076927</v>
      </c>
      <c r="T52" s="26">
        <f t="shared" si="13"/>
        <v>50</v>
      </c>
      <c r="U52" s="26">
        <f t="shared" si="7"/>
        <v>149.99999999999986</v>
      </c>
      <c r="V52" s="30">
        <f t="shared" si="8"/>
        <v>0.84126984126984128</v>
      </c>
      <c r="W52" s="29"/>
      <c r="X52" s="29"/>
      <c r="AC52" s="23" t="s">
        <v>260</v>
      </c>
      <c r="AD52" s="23" t="s">
        <v>261</v>
      </c>
      <c r="AW52" s="26">
        <v>30</v>
      </c>
      <c r="AX52" s="23" t="s">
        <v>260</v>
      </c>
      <c r="AY52" s="23" t="s">
        <v>262</v>
      </c>
      <c r="AZ52" s="26">
        <v>1</v>
      </c>
      <c r="BA52" s="26">
        <v>0.7</v>
      </c>
      <c r="BB52" s="26">
        <v>0.5</v>
      </c>
      <c r="BC52" s="26">
        <v>0.1</v>
      </c>
      <c r="BD52" s="26">
        <v>0.5</v>
      </c>
      <c r="BE52" s="26">
        <v>0.2</v>
      </c>
    </row>
    <row r="53" spans="2:57" x14ac:dyDescent="0.15">
      <c r="B53" s="26">
        <v>51</v>
      </c>
      <c r="C53" s="26">
        <f t="shared" si="20"/>
        <v>6</v>
      </c>
      <c r="D53" s="29">
        <f t="shared" si="9"/>
        <v>0.55000000000000016</v>
      </c>
      <c r="E53" s="29"/>
      <c r="F53" s="29">
        <f t="shared" si="0"/>
        <v>0.41576923076923084</v>
      </c>
      <c r="G53" s="30">
        <f t="shared" si="1"/>
        <v>0.22975641869651098</v>
      </c>
      <c r="H53" s="30">
        <f t="shared" si="2"/>
        <v>0.1</v>
      </c>
      <c r="I53" s="26">
        <f t="shared" si="10"/>
        <v>51</v>
      </c>
      <c r="J53" s="26">
        <f t="shared" si="3"/>
        <v>276</v>
      </c>
      <c r="K53" s="26">
        <f t="shared" si="4"/>
        <v>510</v>
      </c>
      <c r="L53" s="26">
        <f t="shared" si="11"/>
        <v>52</v>
      </c>
      <c r="M53" s="26">
        <f t="shared" si="12"/>
        <v>458</v>
      </c>
      <c r="N53" s="42">
        <f t="shared" si="5"/>
        <v>4.5050278175786464E-4</v>
      </c>
      <c r="O53" s="42"/>
      <c r="P53" s="26">
        <v>51</v>
      </c>
      <c r="Q53" s="26">
        <f t="shared" si="21"/>
        <v>6</v>
      </c>
      <c r="R53" s="29">
        <v>0.95</v>
      </c>
      <c r="S53" s="29">
        <f t="shared" si="6"/>
        <v>0.76923076923076927</v>
      </c>
      <c r="T53" s="26">
        <f t="shared" si="13"/>
        <v>51</v>
      </c>
      <c r="U53" s="26">
        <f t="shared" si="7"/>
        <v>152.9999999999998</v>
      </c>
      <c r="V53" s="30">
        <f t="shared" si="8"/>
        <v>0.84112149532710279</v>
      </c>
      <c r="W53" s="29"/>
      <c r="X53" s="29"/>
      <c r="AC53" s="21" t="s">
        <v>263</v>
      </c>
      <c r="AD53" s="21" t="s">
        <v>262</v>
      </c>
      <c r="AW53" s="26">
        <v>31</v>
      </c>
      <c r="AX53" s="21" t="s">
        <v>263</v>
      </c>
      <c r="AY53" s="21" t="s">
        <v>191</v>
      </c>
      <c r="AZ53" s="26">
        <v>1</v>
      </c>
      <c r="BA53" s="26">
        <v>0.7</v>
      </c>
      <c r="BB53" s="26">
        <v>0.5</v>
      </c>
      <c r="BC53" s="26">
        <v>0.1</v>
      </c>
      <c r="BD53" s="26">
        <v>0.5</v>
      </c>
      <c r="BE53" s="26">
        <v>0.2</v>
      </c>
    </row>
    <row r="54" spans="2:57" x14ac:dyDescent="0.15">
      <c r="B54" s="26">
        <v>52</v>
      </c>
      <c r="C54" s="26">
        <f t="shared" si="20"/>
        <v>6</v>
      </c>
      <c r="D54" s="29">
        <f t="shared" si="9"/>
        <v>0.55500000000000016</v>
      </c>
      <c r="E54" s="29"/>
      <c r="F54" s="29">
        <f t="shared" si="0"/>
        <v>0.4220000000000001</v>
      </c>
      <c r="G54" s="30">
        <f t="shared" si="1"/>
        <v>0.23010380622837379</v>
      </c>
      <c r="H54" s="30">
        <f t="shared" si="2"/>
        <v>0.1</v>
      </c>
      <c r="I54" s="26">
        <f t="shared" si="10"/>
        <v>52</v>
      </c>
      <c r="J54" s="26">
        <f t="shared" si="3"/>
        <v>290</v>
      </c>
      <c r="K54" s="26">
        <f t="shared" si="4"/>
        <v>520</v>
      </c>
      <c r="L54" s="26">
        <f t="shared" si="11"/>
        <v>53</v>
      </c>
      <c r="M54" s="26">
        <f t="shared" si="12"/>
        <v>467</v>
      </c>
      <c r="N54" s="42">
        <f t="shared" si="5"/>
        <v>4.4250731966994961E-4</v>
      </c>
      <c r="O54" s="42"/>
      <c r="P54" s="26">
        <v>52</v>
      </c>
      <c r="Q54" s="26">
        <f t="shared" si="21"/>
        <v>6</v>
      </c>
      <c r="R54" s="29">
        <v>0.95</v>
      </c>
      <c r="S54" s="29">
        <f t="shared" si="6"/>
        <v>0.76923076923076927</v>
      </c>
      <c r="T54" s="26">
        <f t="shared" si="13"/>
        <v>52</v>
      </c>
      <c r="U54" s="26">
        <f t="shared" si="7"/>
        <v>155.99999999999983</v>
      </c>
      <c r="V54" s="30">
        <f t="shared" si="8"/>
        <v>0.84097859327217117</v>
      </c>
      <c r="W54" s="29"/>
      <c r="X54" s="29"/>
      <c r="AC54" s="21" t="s">
        <v>12</v>
      </c>
      <c r="AD54" s="21" t="s">
        <v>161</v>
      </c>
      <c r="AW54" s="26">
        <v>32</v>
      </c>
      <c r="AX54" s="21" t="s">
        <v>12</v>
      </c>
      <c r="AY54" s="21" t="s">
        <v>26</v>
      </c>
      <c r="AZ54" s="26">
        <v>1</v>
      </c>
      <c r="BA54" s="26">
        <v>0.7</v>
      </c>
      <c r="BB54" s="26">
        <v>0.5</v>
      </c>
      <c r="BC54" s="26">
        <v>0.1</v>
      </c>
      <c r="BD54" s="26">
        <v>0.5</v>
      </c>
      <c r="BE54" s="26">
        <v>0.2</v>
      </c>
    </row>
    <row r="55" spans="2:57" x14ac:dyDescent="0.15">
      <c r="B55" s="26">
        <v>53</v>
      </c>
      <c r="C55" s="26">
        <f t="shared" si="20"/>
        <v>6</v>
      </c>
      <c r="D55" s="29">
        <f t="shared" si="9"/>
        <v>0.56000000000000016</v>
      </c>
      <c r="E55" s="29"/>
      <c r="F55" s="29">
        <f t="shared" si="0"/>
        <v>0.42830769230769239</v>
      </c>
      <c r="G55" s="30">
        <f t="shared" si="1"/>
        <v>0.23035522066738445</v>
      </c>
      <c r="H55" s="30">
        <f t="shared" si="2"/>
        <v>0.1</v>
      </c>
      <c r="I55" s="26">
        <f t="shared" si="10"/>
        <v>53</v>
      </c>
      <c r="J55" s="26">
        <f t="shared" si="3"/>
        <v>305</v>
      </c>
      <c r="K55" s="26">
        <f t="shared" si="4"/>
        <v>530</v>
      </c>
      <c r="L55" s="26">
        <f t="shared" si="11"/>
        <v>54</v>
      </c>
      <c r="M55" s="26">
        <f t="shared" si="12"/>
        <v>476</v>
      </c>
      <c r="N55" s="42">
        <f t="shared" si="5"/>
        <v>4.3463249182525371E-4</v>
      </c>
      <c r="O55" s="42"/>
      <c r="P55" s="26">
        <v>53</v>
      </c>
      <c r="Q55" s="26">
        <f t="shared" si="21"/>
        <v>6</v>
      </c>
      <c r="R55" s="29">
        <v>0.95</v>
      </c>
      <c r="S55" s="29">
        <f t="shared" si="6"/>
        <v>0.76923076923076916</v>
      </c>
      <c r="T55" s="26">
        <f t="shared" si="13"/>
        <v>53</v>
      </c>
      <c r="U55" s="26">
        <f t="shared" si="7"/>
        <v>158.99999999999977</v>
      </c>
      <c r="V55" s="30">
        <f t="shared" si="8"/>
        <v>0.84084084084084088</v>
      </c>
      <c r="W55" s="29"/>
      <c r="X55" s="29"/>
      <c r="AC55" s="21" t="s">
        <v>14</v>
      </c>
      <c r="AD55" s="21" t="s">
        <v>162</v>
      </c>
      <c r="AW55" s="26">
        <v>33</v>
      </c>
      <c r="AX55" s="21" t="s">
        <v>14</v>
      </c>
      <c r="AY55" s="21" t="s">
        <v>162</v>
      </c>
      <c r="AZ55" s="26">
        <v>1</v>
      </c>
      <c r="BA55" s="26">
        <v>0.7</v>
      </c>
      <c r="BB55" s="26">
        <v>0.5</v>
      </c>
      <c r="BC55" s="26">
        <v>0.1</v>
      </c>
      <c r="BD55" s="26">
        <v>0.5</v>
      </c>
      <c r="BE55" s="26">
        <v>0.2</v>
      </c>
    </row>
    <row r="56" spans="2:57" x14ac:dyDescent="0.15">
      <c r="B56" s="26">
        <v>54</v>
      </c>
      <c r="C56" s="26">
        <f t="shared" si="20"/>
        <v>6</v>
      </c>
      <c r="D56" s="29">
        <f t="shared" si="9"/>
        <v>0.56500000000000017</v>
      </c>
      <c r="E56" s="29"/>
      <c r="F56" s="29">
        <f t="shared" si="0"/>
        <v>0.43469230769230782</v>
      </c>
      <c r="G56" s="30">
        <f t="shared" si="1"/>
        <v>0.23050755204789775</v>
      </c>
      <c r="H56" s="30">
        <f t="shared" si="2"/>
        <v>0.1</v>
      </c>
      <c r="I56" s="26">
        <f t="shared" si="10"/>
        <v>54</v>
      </c>
      <c r="J56" s="26">
        <f t="shared" si="3"/>
        <v>320</v>
      </c>
      <c r="K56" s="26">
        <f t="shared" si="4"/>
        <v>540</v>
      </c>
      <c r="L56" s="26">
        <f t="shared" si="11"/>
        <v>55</v>
      </c>
      <c r="M56" s="26">
        <f t="shared" si="12"/>
        <v>485</v>
      </c>
      <c r="N56" s="42">
        <f t="shared" si="5"/>
        <v>4.2686583712573658E-4</v>
      </c>
      <c r="O56" s="42"/>
      <c r="P56" s="26">
        <v>54</v>
      </c>
      <c r="Q56" s="26">
        <f t="shared" si="21"/>
        <v>6</v>
      </c>
      <c r="R56" s="29">
        <v>0.95</v>
      </c>
      <c r="S56" s="29">
        <f t="shared" si="6"/>
        <v>0.76923076923076916</v>
      </c>
      <c r="T56" s="26">
        <f t="shared" si="13"/>
        <v>54</v>
      </c>
      <c r="U56" s="26">
        <f t="shared" si="7"/>
        <v>161.9999999999998</v>
      </c>
      <c r="V56" s="30">
        <f t="shared" si="8"/>
        <v>0.84070796460177</v>
      </c>
      <c r="W56" s="29"/>
      <c r="X56" s="29"/>
      <c r="AC56" s="21" t="s">
        <v>16</v>
      </c>
      <c r="AD56" s="21" t="s">
        <v>163</v>
      </c>
      <c r="AW56" s="26">
        <v>34</v>
      </c>
      <c r="AX56" s="21" t="s">
        <v>16</v>
      </c>
      <c r="AY56" s="21" t="s">
        <v>164</v>
      </c>
      <c r="AZ56" s="26">
        <v>1</v>
      </c>
      <c r="BA56" s="26">
        <v>0.7</v>
      </c>
      <c r="BB56" s="26">
        <v>0.5</v>
      </c>
      <c r="BC56" s="26">
        <v>0.1</v>
      </c>
      <c r="BD56" s="26">
        <v>0.5</v>
      </c>
      <c r="BE56" s="26">
        <v>0.2</v>
      </c>
    </row>
    <row r="57" spans="2:57" x14ac:dyDescent="0.15">
      <c r="B57" s="26">
        <v>55</v>
      </c>
      <c r="C57" s="26">
        <f t="shared" si="20"/>
        <v>6</v>
      </c>
      <c r="D57" s="29">
        <f t="shared" si="9"/>
        <v>0.57000000000000017</v>
      </c>
      <c r="E57" s="29"/>
      <c r="F57" s="29">
        <f t="shared" si="0"/>
        <v>0.44115384615384623</v>
      </c>
      <c r="G57" s="30">
        <f t="shared" si="1"/>
        <v>0.23055746730901605</v>
      </c>
      <c r="H57" s="30">
        <f t="shared" si="2"/>
        <v>0.1</v>
      </c>
      <c r="I57" s="26">
        <f t="shared" si="10"/>
        <v>55</v>
      </c>
      <c r="J57" s="26">
        <f t="shared" si="3"/>
        <v>336</v>
      </c>
      <c r="K57" s="26">
        <f t="shared" si="4"/>
        <v>550</v>
      </c>
      <c r="L57" s="26">
        <f t="shared" si="11"/>
        <v>56</v>
      </c>
      <c r="M57" s="26">
        <f t="shared" si="12"/>
        <v>494</v>
      </c>
      <c r="N57" s="42">
        <f t="shared" si="5"/>
        <v>4.1919539510730188E-4</v>
      </c>
      <c r="O57" s="42"/>
      <c r="P57" s="26">
        <v>55</v>
      </c>
      <c r="Q57" s="26">
        <f t="shared" si="21"/>
        <v>6</v>
      </c>
      <c r="R57" s="29">
        <v>0.95</v>
      </c>
      <c r="S57" s="29">
        <f t="shared" si="6"/>
        <v>0.76923076923076927</v>
      </c>
      <c r="T57" s="26">
        <f t="shared" si="13"/>
        <v>55</v>
      </c>
      <c r="U57" s="26">
        <f t="shared" si="7"/>
        <v>164.99999999999986</v>
      </c>
      <c r="V57" s="30">
        <f t="shared" si="8"/>
        <v>0.84057971014492749</v>
      </c>
      <c r="W57" s="29"/>
      <c r="X57" s="29"/>
      <c r="AC57" s="21" t="s">
        <v>165</v>
      </c>
      <c r="AD57" s="21" t="s">
        <v>161</v>
      </c>
      <c r="AW57" s="26">
        <v>35</v>
      </c>
      <c r="AX57" s="21" t="s">
        <v>166</v>
      </c>
      <c r="AY57" s="21" t="s">
        <v>167</v>
      </c>
      <c r="AZ57" s="26">
        <v>1</v>
      </c>
      <c r="BA57" s="26">
        <v>0.7</v>
      </c>
      <c r="BB57" s="26">
        <v>0.5</v>
      </c>
      <c r="BC57" s="26">
        <v>0.1</v>
      </c>
      <c r="BD57" s="26">
        <v>0.5</v>
      </c>
      <c r="BE57" s="26">
        <v>0.2</v>
      </c>
    </row>
    <row r="58" spans="2:57" x14ac:dyDescent="0.15">
      <c r="B58" s="26">
        <v>56</v>
      </c>
      <c r="C58" s="26">
        <f t="shared" si="20"/>
        <v>6</v>
      </c>
      <c r="D58" s="29">
        <f t="shared" si="9"/>
        <v>0.57500000000000018</v>
      </c>
      <c r="E58" s="29"/>
      <c r="F58" s="29">
        <f t="shared" si="0"/>
        <v>0.44769230769230783</v>
      </c>
      <c r="G58" s="30">
        <f t="shared" si="1"/>
        <v>0.23050139275766024</v>
      </c>
      <c r="H58" s="30">
        <f t="shared" si="2"/>
        <v>0.1</v>
      </c>
      <c r="I58" s="26">
        <f t="shared" si="10"/>
        <v>56</v>
      </c>
      <c r="J58" s="26">
        <f t="shared" si="3"/>
        <v>353</v>
      </c>
      <c r="K58" s="26">
        <f t="shared" si="4"/>
        <v>560</v>
      </c>
      <c r="L58" s="26">
        <f t="shared" si="11"/>
        <v>57</v>
      </c>
      <c r="M58" s="26">
        <f t="shared" si="12"/>
        <v>503</v>
      </c>
      <c r="N58" s="42">
        <f t="shared" si="5"/>
        <v>4.1160962992439331E-4</v>
      </c>
      <c r="O58" s="42"/>
      <c r="P58" s="26">
        <v>56</v>
      </c>
      <c r="Q58" s="26">
        <f t="shared" si="21"/>
        <v>6</v>
      </c>
      <c r="R58" s="29">
        <v>0.95</v>
      </c>
      <c r="S58" s="29">
        <f t="shared" si="6"/>
        <v>0.76923076923076927</v>
      </c>
      <c r="T58" s="26">
        <f t="shared" si="13"/>
        <v>56</v>
      </c>
      <c r="U58" s="26">
        <f t="shared" si="7"/>
        <v>167.99999999999977</v>
      </c>
      <c r="V58" s="30">
        <f t="shared" si="8"/>
        <v>0.84045584045584043</v>
      </c>
      <c r="W58" s="29"/>
      <c r="X58" s="29"/>
      <c r="AC58" s="21" t="s">
        <v>168</v>
      </c>
      <c r="AD58" s="21" t="s">
        <v>169</v>
      </c>
      <c r="AW58" s="26">
        <v>36</v>
      </c>
      <c r="AX58" s="21" t="s">
        <v>168</v>
      </c>
      <c r="AY58" s="21" t="s">
        <v>170</v>
      </c>
      <c r="AZ58" s="26">
        <v>1</v>
      </c>
      <c r="BA58" s="26">
        <v>0.7</v>
      </c>
      <c r="BB58" s="26">
        <v>0.5</v>
      </c>
      <c r="BC58" s="26">
        <v>0.1</v>
      </c>
      <c r="BD58" s="26">
        <v>0.5</v>
      </c>
      <c r="BE58" s="26">
        <v>0.2</v>
      </c>
    </row>
    <row r="59" spans="2:57" x14ac:dyDescent="0.15">
      <c r="B59" s="26">
        <v>57</v>
      </c>
      <c r="C59" s="26">
        <f t="shared" si="20"/>
        <v>6</v>
      </c>
      <c r="D59" s="29">
        <f t="shared" si="9"/>
        <v>0.58000000000000018</v>
      </c>
      <c r="E59" s="29"/>
      <c r="F59" s="29">
        <f t="shared" si="0"/>
        <v>0.45430769230769241</v>
      </c>
      <c r="G59" s="30">
        <f t="shared" si="1"/>
        <v>0.23033549478432491</v>
      </c>
      <c r="H59" s="30">
        <f t="shared" si="2"/>
        <v>0.1</v>
      </c>
      <c r="I59" s="26">
        <f t="shared" si="10"/>
        <v>57</v>
      </c>
      <c r="J59" s="26">
        <f t="shared" si="3"/>
        <v>371</v>
      </c>
      <c r="K59" s="26">
        <f t="shared" si="4"/>
        <v>570</v>
      </c>
      <c r="L59" s="26">
        <f t="shared" si="11"/>
        <v>58</v>
      </c>
      <c r="M59" s="26">
        <f t="shared" si="12"/>
        <v>512</v>
      </c>
      <c r="N59" s="42">
        <f t="shared" si="5"/>
        <v>4.0409735927074544E-4</v>
      </c>
      <c r="O59" s="42"/>
      <c r="P59" s="26">
        <v>57</v>
      </c>
      <c r="Q59" s="26">
        <f t="shared" si="21"/>
        <v>6</v>
      </c>
      <c r="R59" s="29">
        <v>0.95</v>
      </c>
      <c r="S59" s="29">
        <f t="shared" si="6"/>
        <v>0.76923076923076927</v>
      </c>
      <c r="T59" s="26">
        <f t="shared" si="13"/>
        <v>57</v>
      </c>
      <c r="U59" s="26">
        <f t="shared" si="7"/>
        <v>170.99999999999983</v>
      </c>
      <c r="V59" s="30">
        <f t="shared" si="8"/>
        <v>0.84033613445378141</v>
      </c>
      <c r="W59" s="29"/>
      <c r="X59" s="29"/>
      <c r="AC59" s="21" t="s">
        <v>171</v>
      </c>
      <c r="AD59" s="21" t="s">
        <v>172</v>
      </c>
      <c r="AW59" s="26">
        <v>37</v>
      </c>
      <c r="AX59" s="21" t="s">
        <v>173</v>
      </c>
      <c r="AY59" s="21" t="s">
        <v>172</v>
      </c>
      <c r="AZ59" s="26">
        <v>1</v>
      </c>
      <c r="BA59" s="26">
        <v>0.7</v>
      </c>
      <c r="BB59" s="26">
        <v>0.5</v>
      </c>
      <c r="BC59" s="26">
        <v>0.1</v>
      </c>
      <c r="BD59" s="26">
        <v>0.5</v>
      </c>
      <c r="BE59" s="26">
        <v>0.2</v>
      </c>
    </row>
    <row r="60" spans="2:57" x14ac:dyDescent="0.15">
      <c r="B60" s="26">
        <v>58</v>
      </c>
      <c r="C60" s="26">
        <f t="shared" si="20"/>
        <v>6</v>
      </c>
      <c r="D60" s="29">
        <f t="shared" si="9"/>
        <v>0.58500000000000019</v>
      </c>
      <c r="E60" s="29"/>
      <c r="F60" s="29">
        <f t="shared" si="0"/>
        <v>0.46100000000000013</v>
      </c>
      <c r="G60" s="30">
        <f t="shared" si="1"/>
        <v>0.23005565862708743</v>
      </c>
      <c r="H60" s="30">
        <f t="shared" si="2"/>
        <v>0.1</v>
      </c>
      <c r="I60" s="26">
        <f t="shared" si="10"/>
        <v>58</v>
      </c>
      <c r="J60" s="26">
        <f t="shared" si="3"/>
        <v>389</v>
      </c>
      <c r="K60" s="26">
        <f t="shared" si="4"/>
        <v>580</v>
      </c>
      <c r="L60" s="26">
        <f t="shared" si="11"/>
        <v>59</v>
      </c>
      <c r="M60" s="26">
        <f t="shared" si="12"/>
        <v>521</v>
      </c>
      <c r="N60" s="42">
        <f t="shared" si="5"/>
        <v>3.9664768728808178E-4</v>
      </c>
      <c r="O60" s="42"/>
      <c r="P60" s="26">
        <v>58</v>
      </c>
      <c r="Q60" s="26">
        <f t="shared" si="21"/>
        <v>6</v>
      </c>
      <c r="R60" s="29">
        <v>0.95</v>
      </c>
      <c r="S60" s="29">
        <f t="shared" si="6"/>
        <v>0.76923076923076916</v>
      </c>
      <c r="T60" s="26">
        <f t="shared" si="13"/>
        <v>58</v>
      </c>
      <c r="U60" s="26">
        <f t="shared" si="7"/>
        <v>173.99999999999977</v>
      </c>
      <c r="V60" s="30">
        <f t="shared" si="8"/>
        <v>0.84022038567493118</v>
      </c>
      <c r="W60" s="29"/>
      <c r="X60" s="29"/>
    </row>
    <row r="61" spans="2:57" x14ac:dyDescent="0.15">
      <c r="B61" s="26">
        <v>59</v>
      </c>
      <c r="C61" s="26">
        <f t="shared" si="20"/>
        <v>6</v>
      </c>
      <c r="D61" s="29">
        <f t="shared" si="9"/>
        <v>0.59000000000000019</v>
      </c>
      <c r="E61" s="29"/>
      <c r="F61" s="29">
        <f t="shared" si="0"/>
        <v>0.46776923076923088</v>
      </c>
      <c r="G61" s="30">
        <f t="shared" si="1"/>
        <v>0.22965746495158268</v>
      </c>
      <c r="H61" s="30">
        <f t="shared" si="2"/>
        <v>0.1</v>
      </c>
      <c r="I61" s="26">
        <f t="shared" si="10"/>
        <v>59</v>
      </c>
      <c r="J61" s="26">
        <f t="shared" si="3"/>
        <v>408</v>
      </c>
      <c r="K61" s="26">
        <f t="shared" si="4"/>
        <v>590</v>
      </c>
      <c r="L61" s="26">
        <f t="shared" si="11"/>
        <v>60</v>
      </c>
      <c r="M61" s="26">
        <f t="shared" si="12"/>
        <v>530</v>
      </c>
      <c r="N61" s="42">
        <f t="shared" si="5"/>
        <v>3.8924994059590285E-4</v>
      </c>
      <c r="O61" s="42"/>
      <c r="P61" s="26">
        <v>59</v>
      </c>
      <c r="Q61" s="26">
        <f t="shared" si="21"/>
        <v>6</v>
      </c>
      <c r="R61" s="29">
        <v>0.95</v>
      </c>
      <c r="S61" s="29">
        <f t="shared" si="6"/>
        <v>0.76923076923076916</v>
      </c>
      <c r="T61" s="26">
        <f t="shared" si="13"/>
        <v>59</v>
      </c>
      <c r="U61" s="26">
        <f t="shared" si="7"/>
        <v>176.9999999999998</v>
      </c>
      <c r="V61" s="30">
        <f t="shared" si="8"/>
        <v>0.84010840108401086</v>
      </c>
      <c r="W61" s="29"/>
      <c r="X61" s="29"/>
    </row>
    <row r="62" spans="2:57" x14ac:dyDescent="0.15">
      <c r="B62" s="26">
        <v>60</v>
      </c>
      <c r="C62" s="26">
        <f t="shared" si="20"/>
        <v>6</v>
      </c>
      <c r="D62" s="29">
        <f t="shared" si="9"/>
        <v>0.5950000000000002</v>
      </c>
      <c r="E62" s="29"/>
      <c r="F62" s="29">
        <f t="shared" si="0"/>
        <v>0.47461538461538472</v>
      </c>
      <c r="G62" s="30">
        <f t="shared" si="1"/>
        <v>0.22913616398243075</v>
      </c>
      <c r="H62" s="30">
        <f t="shared" si="2"/>
        <v>0.1</v>
      </c>
      <c r="I62" s="26">
        <f t="shared" si="10"/>
        <v>60</v>
      </c>
      <c r="J62" s="26">
        <f t="shared" si="3"/>
        <v>428</v>
      </c>
      <c r="K62" s="26">
        <f t="shared" si="4"/>
        <v>600</v>
      </c>
      <c r="L62" s="26">
        <f t="shared" si="11"/>
        <v>61</v>
      </c>
      <c r="M62" s="26">
        <f t="shared" si="12"/>
        <v>539</v>
      </c>
      <c r="N62" s="42">
        <f t="shared" si="5"/>
        <v>3.818936066373846E-4</v>
      </c>
      <c r="O62" s="42"/>
      <c r="P62" s="26">
        <v>60</v>
      </c>
      <c r="Q62" s="26">
        <f t="shared" si="21"/>
        <v>6</v>
      </c>
      <c r="R62" s="29">
        <v>0.95</v>
      </c>
      <c r="S62" s="29">
        <f t="shared" si="6"/>
        <v>0.76923076923076927</v>
      </c>
      <c r="T62" s="26">
        <f t="shared" si="13"/>
        <v>60</v>
      </c>
      <c r="U62" s="26">
        <f t="shared" si="7"/>
        <v>179.99999999999983</v>
      </c>
      <c r="V62" s="30">
        <f t="shared" si="8"/>
        <v>0.84</v>
      </c>
      <c r="W62" s="29"/>
      <c r="X62" s="29"/>
    </row>
    <row r="63" spans="2:57" x14ac:dyDescent="0.15">
      <c r="B63" s="26">
        <v>61</v>
      </c>
      <c r="C63" s="26">
        <f t="shared" si="20"/>
        <v>7</v>
      </c>
      <c r="D63" s="29">
        <f t="shared" si="9"/>
        <v>0.6000000000000002</v>
      </c>
      <c r="E63" s="29"/>
      <c r="F63" s="29">
        <f t="shared" si="0"/>
        <v>0.48153846153846164</v>
      </c>
      <c r="G63" s="30">
        <f t="shared" si="1"/>
        <v>0.22848664688427311</v>
      </c>
      <c r="H63" s="30">
        <f t="shared" si="2"/>
        <v>0.1</v>
      </c>
      <c r="I63" s="26">
        <f t="shared" si="10"/>
        <v>61</v>
      </c>
      <c r="J63" s="26">
        <f t="shared" si="3"/>
        <v>449</v>
      </c>
      <c r="K63" s="26">
        <f t="shared" si="4"/>
        <v>610</v>
      </c>
      <c r="L63" s="26">
        <f t="shared" si="11"/>
        <v>62</v>
      </c>
      <c r="M63" s="26">
        <f t="shared" si="12"/>
        <v>548</v>
      </c>
      <c r="N63" s="42">
        <f t="shared" si="5"/>
        <v>3.7456827358077558E-4</v>
      </c>
      <c r="O63" s="42"/>
      <c r="P63" s="26">
        <v>61</v>
      </c>
      <c r="Q63" s="26">
        <f t="shared" si="21"/>
        <v>7</v>
      </c>
      <c r="R63" s="29">
        <v>0.95</v>
      </c>
      <c r="S63" s="29">
        <f t="shared" si="6"/>
        <v>0.76923076923076927</v>
      </c>
      <c r="T63" s="26">
        <f t="shared" si="13"/>
        <v>61</v>
      </c>
      <c r="U63" s="26">
        <f t="shared" si="7"/>
        <v>182.99999999999977</v>
      </c>
      <c r="V63" s="30">
        <f t="shared" si="8"/>
        <v>0.83989501312335957</v>
      </c>
      <c r="W63" s="29"/>
      <c r="X63" s="29"/>
    </row>
    <row r="64" spans="2:57" x14ac:dyDescent="0.15">
      <c r="B64" s="26">
        <v>62</v>
      </c>
      <c r="C64" s="26">
        <f t="shared" si="20"/>
        <v>7</v>
      </c>
      <c r="D64" s="29">
        <f t="shared" si="9"/>
        <v>0.6050000000000002</v>
      </c>
      <c r="E64" s="29"/>
      <c r="F64" s="29">
        <f t="shared" si="0"/>
        <v>0.48853846153846164</v>
      </c>
      <c r="G64" s="30">
        <f t="shared" si="1"/>
        <v>0.22770341404722549</v>
      </c>
      <c r="H64" s="30">
        <f t="shared" si="2"/>
        <v>0.1</v>
      </c>
      <c r="I64" s="26">
        <f t="shared" si="10"/>
        <v>62</v>
      </c>
      <c r="J64" s="26">
        <f t="shared" si="3"/>
        <v>471</v>
      </c>
      <c r="K64" s="26">
        <f t="shared" si="4"/>
        <v>620</v>
      </c>
      <c r="L64" s="26">
        <f t="shared" si="11"/>
        <v>63</v>
      </c>
      <c r="M64" s="26">
        <f t="shared" si="12"/>
        <v>557</v>
      </c>
      <c r="N64" s="42">
        <f t="shared" si="5"/>
        <v>3.6726357104391208E-4</v>
      </c>
      <c r="O64" s="42"/>
      <c r="P64" s="26">
        <v>62</v>
      </c>
      <c r="Q64" s="26">
        <f t="shared" si="21"/>
        <v>7</v>
      </c>
      <c r="R64" s="29">
        <v>0.95</v>
      </c>
      <c r="S64" s="29">
        <f t="shared" si="6"/>
        <v>0.76923076923076927</v>
      </c>
      <c r="T64" s="26">
        <f t="shared" si="13"/>
        <v>62</v>
      </c>
      <c r="U64" s="26">
        <f t="shared" si="7"/>
        <v>185.9999999999998</v>
      </c>
      <c r="V64" s="30">
        <f t="shared" si="8"/>
        <v>0.83979328165374667</v>
      </c>
      <c r="W64" s="29"/>
      <c r="X64" s="29"/>
    </row>
    <row r="65" spans="2:24" x14ac:dyDescent="0.15">
      <c r="B65" s="26">
        <v>63</v>
      </c>
      <c r="C65" s="26">
        <f t="shared" si="20"/>
        <v>7</v>
      </c>
      <c r="D65" s="29">
        <f t="shared" si="9"/>
        <v>0.61000000000000021</v>
      </c>
      <c r="E65" s="29"/>
      <c r="F65" s="29">
        <f t="shared" si="0"/>
        <v>0.49561538461538474</v>
      </c>
      <c r="G65" s="30">
        <f t="shared" si="1"/>
        <v>0.2267805398810433</v>
      </c>
      <c r="H65" s="30">
        <f t="shared" si="2"/>
        <v>0.1</v>
      </c>
      <c r="I65" s="26">
        <f t="shared" si="10"/>
        <v>63</v>
      </c>
      <c r="J65" s="26">
        <f t="shared" si="3"/>
        <v>495</v>
      </c>
      <c r="K65" s="26">
        <f t="shared" si="4"/>
        <v>630</v>
      </c>
      <c r="L65" s="26">
        <f t="shared" si="11"/>
        <v>64</v>
      </c>
      <c r="M65" s="26">
        <f t="shared" si="12"/>
        <v>566</v>
      </c>
      <c r="N65" s="42">
        <f t="shared" si="5"/>
        <v>3.5996911092229096E-4</v>
      </c>
      <c r="O65" s="42"/>
      <c r="P65" s="26">
        <v>63</v>
      </c>
      <c r="Q65" s="26">
        <f t="shared" si="21"/>
        <v>7</v>
      </c>
      <c r="R65" s="29">
        <v>0.95</v>
      </c>
      <c r="S65" s="29">
        <f t="shared" si="6"/>
        <v>0.76923076923076916</v>
      </c>
      <c r="T65" s="26">
        <f t="shared" si="13"/>
        <v>63</v>
      </c>
      <c r="U65" s="26">
        <f t="shared" si="7"/>
        <v>188.99999999999974</v>
      </c>
      <c r="V65" s="30">
        <f t="shared" si="8"/>
        <v>0.83969465648854968</v>
      </c>
      <c r="W65" s="29"/>
      <c r="X65" s="29"/>
    </row>
    <row r="66" spans="2:24" x14ac:dyDescent="0.15">
      <c r="B66" s="26">
        <v>64</v>
      </c>
      <c r="C66" s="26">
        <f t="shared" si="20"/>
        <v>7</v>
      </c>
      <c r="D66" s="29">
        <f t="shared" si="9"/>
        <v>0.61500000000000021</v>
      </c>
      <c r="E66" s="29"/>
      <c r="F66" s="29">
        <f t="shared" si="0"/>
        <v>0.50276923076923086</v>
      </c>
      <c r="G66" s="30">
        <f t="shared" si="1"/>
        <v>0.22571163366336666</v>
      </c>
      <c r="H66" s="30">
        <f t="shared" si="2"/>
        <v>0.1</v>
      </c>
      <c r="I66" s="26">
        <f t="shared" si="10"/>
        <v>64</v>
      </c>
      <c r="J66" s="26">
        <f t="shared" si="3"/>
        <v>519</v>
      </c>
      <c r="K66" s="26">
        <f t="shared" si="4"/>
        <v>640</v>
      </c>
      <c r="L66" s="26">
        <f t="shared" si="11"/>
        <v>65</v>
      </c>
      <c r="M66" s="26">
        <f t="shared" si="12"/>
        <v>575</v>
      </c>
      <c r="N66" s="42">
        <f t="shared" si="5"/>
        <v>3.5267442759901043E-4</v>
      </c>
      <c r="O66" s="42"/>
      <c r="P66" s="26">
        <v>64</v>
      </c>
      <c r="Q66" s="26">
        <f t="shared" si="21"/>
        <v>7</v>
      </c>
      <c r="R66" s="29">
        <v>0.95</v>
      </c>
      <c r="S66" s="29">
        <f t="shared" si="6"/>
        <v>0.76923076923076916</v>
      </c>
      <c r="T66" s="26">
        <f t="shared" si="13"/>
        <v>64</v>
      </c>
      <c r="U66" s="26">
        <f t="shared" si="7"/>
        <v>191.99999999999977</v>
      </c>
      <c r="V66" s="30">
        <f t="shared" si="8"/>
        <v>0.83959899749373434</v>
      </c>
      <c r="W66" s="29"/>
      <c r="X66" s="29"/>
    </row>
    <row r="67" spans="2:24" x14ac:dyDescent="0.15">
      <c r="B67" s="26">
        <v>65</v>
      </c>
      <c r="C67" s="26">
        <f t="shared" si="20"/>
        <v>7</v>
      </c>
      <c r="D67" s="29">
        <f t="shared" si="9"/>
        <v>0.62000000000000022</v>
      </c>
      <c r="E67" s="29"/>
      <c r="F67" s="29">
        <f t="shared" si="0"/>
        <v>0.51000000000000012</v>
      </c>
      <c r="G67" s="30">
        <f t="shared" si="1"/>
        <v>0.2244897959183676</v>
      </c>
      <c r="H67" s="30">
        <f t="shared" si="2"/>
        <v>0.1</v>
      </c>
      <c r="I67" s="26">
        <f t="shared" si="10"/>
        <v>65</v>
      </c>
      <c r="J67" s="26">
        <f t="shared" si="3"/>
        <v>544</v>
      </c>
      <c r="K67" s="26">
        <f t="shared" si="4"/>
        <v>650</v>
      </c>
      <c r="L67" s="26">
        <f t="shared" si="11"/>
        <v>66</v>
      </c>
      <c r="M67" s="26">
        <f t="shared" si="12"/>
        <v>584</v>
      </c>
      <c r="N67" s="42">
        <f t="shared" si="5"/>
        <v>3.453689167974886E-4</v>
      </c>
      <c r="O67" s="42"/>
      <c r="P67" s="26">
        <v>65</v>
      </c>
      <c r="Q67" s="26">
        <f t="shared" si="21"/>
        <v>7</v>
      </c>
      <c r="R67" s="29">
        <v>0.95</v>
      </c>
      <c r="S67" s="29">
        <f t="shared" si="6"/>
        <v>0.76923076923076927</v>
      </c>
      <c r="T67" s="26">
        <f t="shared" si="13"/>
        <v>65</v>
      </c>
      <c r="U67" s="26">
        <f t="shared" si="7"/>
        <v>194.99999999999983</v>
      </c>
      <c r="V67" s="30">
        <f t="shared" si="8"/>
        <v>0.83950617283950613</v>
      </c>
      <c r="W67" s="29"/>
      <c r="X67" s="29"/>
    </row>
    <row r="68" spans="2:24" x14ac:dyDescent="0.15">
      <c r="B68" s="26">
        <v>66</v>
      </c>
      <c r="C68" s="26">
        <f t="shared" si="20"/>
        <v>7</v>
      </c>
      <c r="D68" s="29">
        <f t="shared" si="9"/>
        <v>0.62500000000000022</v>
      </c>
      <c r="E68" s="29"/>
      <c r="F68" s="29">
        <f t="shared" ref="F68:F101" si="34">D68*(B68/130)+20%</f>
        <v>0.51730769230769247</v>
      </c>
      <c r="G68" s="30">
        <f t="shared" ref="G68:G101" si="35">1-((1-D68)/(1-F68))</f>
        <v>0.22310756972111578</v>
      </c>
      <c r="H68" s="30">
        <f t="shared" ref="H68:H101" si="36">I68/(I68+B68*9)</f>
        <v>0.1</v>
      </c>
      <c r="I68" s="26">
        <f t="shared" si="10"/>
        <v>66</v>
      </c>
      <c r="J68" s="26">
        <f t="shared" ref="J68:J101" si="37">ROUNDUP((F68*I68+9*B68*F68-I68)/(1-F68),0)</f>
        <v>571</v>
      </c>
      <c r="K68" s="26">
        <f t="shared" ref="K68:K101" si="38">L68+M68</f>
        <v>660</v>
      </c>
      <c r="L68" s="26">
        <f t="shared" si="11"/>
        <v>67</v>
      </c>
      <c r="M68" s="26">
        <f t="shared" si="12"/>
        <v>593</v>
      </c>
      <c r="N68" s="42">
        <f t="shared" ref="N68:N101" si="39">G68/K68</f>
        <v>3.3804177230472091E-4</v>
      </c>
      <c r="O68" s="42"/>
      <c r="P68" s="26">
        <v>66</v>
      </c>
      <c r="Q68" s="26">
        <f t="shared" si="21"/>
        <v>7</v>
      </c>
      <c r="R68" s="29">
        <v>0.95</v>
      </c>
      <c r="S68" s="29">
        <f t="shared" ref="S68:S101" si="40">T68/(T68+P68*0.3)</f>
        <v>0.76923076923076927</v>
      </c>
      <c r="T68" s="26">
        <f t="shared" si="13"/>
        <v>66</v>
      </c>
      <c r="U68" s="26">
        <f t="shared" ref="U68:U101" si="41">(T68*R68-T68+0.2*P68)/(1-R68)</f>
        <v>197.99999999999977</v>
      </c>
      <c r="V68" s="30">
        <f t="shared" ref="V68:V101" si="42">(T68+3)/(T68+3+P68*0.2)</f>
        <v>0.83941605839416056</v>
      </c>
      <c r="W68" s="29"/>
      <c r="X68" s="29"/>
    </row>
    <row r="69" spans="2:24" x14ac:dyDescent="0.15">
      <c r="B69" s="26">
        <v>67</v>
      </c>
      <c r="C69" s="26">
        <f t="shared" si="20"/>
        <v>7</v>
      </c>
      <c r="D69" s="29">
        <f t="shared" ref="D69:D101" si="43">D68+0.005</f>
        <v>0.63000000000000023</v>
      </c>
      <c r="E69" s="29"/>
      <c r="F69" s="29">
        <f t="shared" si="34"/>
        <v>0.52469230769230779</v>
      </c>
      <c r="G69" s="30">
        <f t="shared" si="35"/>
        <v>0.22155688622754521</v>
      </c>
      <c r="H69" s="30">
        <f t="shared" si="36"/>
        <v>0.1</v>
      </c>
      <c r="I69" s="26">
        <f t="shared" ref="I69:I101" si="44">B69</f>
        <v>67</v>
      </c>
      <c r="J69" s="26">
        <f t="shared" si="37"/>
        <v>599</v>
      </c>
      <c r="K69" s="26">
        <f t="shared" si="38"/>
        <v>670</v>
      </c>
      <c r="L69" s="26">
        <f t="shared" ref="L69:L101" si="45">L68+1</f>
        <v>68</v>
      </c>
      <c r="M69" s="26">
        <f t="shared" ref="M69:M101" si="46">M68+9</f>
        <v>602</v>
      </c>
      <c r="N69" s="42">
        <f t="shared" si="39"/>
        <v>3.3068191974260482E-4</v>
      </c>
      <c r="O69" s="42"/>
      <c r="P69" s="26">
        <v>67</v>
      </c>
      <c r="Q69" s="26">
        <f t="shared" si="21"/>
        <v>7</v>
      </c>
      <c r="R69" s="29">
        <v>0.95</v>
      </c>
      <c r="S69" s="29">
        <f t="shared" si="40"/>
        <v>0.76923076923076927</v>
      </c>
      <c r="T69" s="26">
        <f t="shared" ref="T69:T101" si="47">T68+1</f>
        <v>67</v>
      </c>
      <c r="U69" s="26">
        <f t="shared" si="41"/>
        <v>200.9999999999998</v>
      </c>
      <c r="V69" s="30">
        <f t="shared" si="42"/>
        <v>0.83932853717026368</v>
      </c>
      <c r="W69" s="29"/>
      <c r="X69" s="29"/>
    </row>
    <row r="70" spans="2:24" x14ac:dyDescent="0.15">
      <c r="B70" s="26">
        <v>68</v>
      </c>
      <c r="C70" s="26">
        <f t="shared" si="20"/>
        <v>7</v>
      </c>
      <c r="D70" s="29">
        <f t="shared" si="43"/>
        <v>0.63500000000000023</v>
      </c>
      <c r="E70" s="29"/>
      <c r="F70" s="29">
        <f t="shared" si="34"/>
        <v>0.53215384615384631</v>
      </c>
      <c r="G70" s="30">
        <f t="shared" si="35"/>
        <v>0.21982900361723146</v>
      </c>
      <c r="H70" s="30">
        <f t="shared" si="36"/>
        <v>0.1</v>
      </c>
      <c r="I70" s="26">
        <f t="shared" si="44"/>
        <v>68</v>
      </c>
      <c r="J70" s="26">
        <f t="shared" si="37"/>
        <v>629</v>
      </c>
      <c r="K70" s="26">
        <f t="shared" si="38"/>
        <v>680</v>
      </c>
      <c r="L70" s="26">
        <f t="shared" si="45"/>
        <v>69</v>
      </c>
      <c r="M70" s="26">
        <f t="shared" si="46"/>
        <v>611</v>
      </c>
      <c r="N70" s="42">
        <f t="shared" si="39"/>
        <v>3.2327794649592863E-4</v>
      </c>
      <c r="O70" s="42"/>
      <c r="P70" s="26">
        <v>68</v>
      </c>
      <c r="Q70" s="26">
        <f t="shared" si="21"/>
        <v>7</v>
      </c>
      <c r="R70" s="29">
        <v>0.95</v>
      </c>
      <c r="S70" s="29">
        <f t="shared" si="40"/>
        <v>0.76923076923076916</v>
      </c>
      <c r="T70" s="26">
        <f t="shared" si="47"/>
        <v>68</v>
      </c>
      <c r="U70" s="26">
        <f t="shared" si="41"/>
        <v>203.99999999999974</v>
      </c>
      <c r="V70" s="30">
        <f t="shared" si="42"/>
        <v>0.839243498817967</v>
      </c>
      <c r="W70" s="29"/>
      <c r="X70" s="29"/>
    </row>
    <row r="71" spans="2:24" x14ac:dyDescent="0.15">
      <c r="B71" s="26">
        <v>69</v>
      </c>
      <c r="C71" s="26">
        <f t="shared" si="20"/>
        <v>7</v>
      </c>
      <c r="D71" s="29">
        <f t="shared" si="43"/>
        <v>0.64000000000000024</v>
      </c>
      <c r="E71" s="29"/>
      <c r="F71" s="29">
        <f t="shared" si="34"/>
        <v>0.5396923076923078</v>
      </c>
      <c r="G71" s="30">
        <f t="shared" si="35"/>
        <v>0.21791443850267411</v>
      </c>
      <c r="H71" s="30">
        <f t="shared" si="36"/>
        <v>0.1</v>
      </c>
      <c r="I71" s="26">
        <f t="shared" si="44"/>
        <v>69</v>
      </c>
      <c r="J71" s="26">
        <f t="shared" si="37"/>
        <v>660</v>
      </c>
      <c r="K71" s="26">
        <f t="shared" si="38"/>
        <v>690</v>
      </c>
      <c r="L71" s="26">
        <f t="shared" si="45"/>
        <v>70</v>
      </c>
      <c r="M71" s="26">
        <f t="shared" si="46"/>
        <v>620</v>
      </c>
      <c r="N71" s="42">
        <f t="shared" si="39"/>
        <v>3.158180268154697E-4</v>
      </c>
      <c r="O71" s="42"/>
      <c r="P71" s="26">
        <v>69</v>
      </c>
      <c r="Q71" s="26">
        <f t="shared" si="21"/>
        <v>7</v>
      </c>
      <c r="R71" s="29">
        <v>0.95</v>
      </c>
      <c r="S71" s="29">
        <f t="shared" si="40"/>
        <v>0.76923076923076916</v>
      </c>
      <c r="T71" s="26">
        <f t="shared" si="47"/>
        <v>69</v>
      </c>
      <c r="U71" s="26">
        <f t="shared" si="41"/>
        <v>206.99999999999977</v>
      </c>
      <c r="V71" s="30">
        <f t="shared" si="42"/>
        <v>0.83916083916083917</v>
      </c>
      <c r="W71" s="29"/>
      <c r="X71" s="29"/>
    </row>
    <row r="72" spans="2:24" x14ac:dyDescent="0.15">
      <c r="B72" s="26">
        <v>70</v>
      </c>
      <c r="C72" s="26">
        <f t="shared" si="20"/>
        <v>7</v>
      </c>
      <c r="D72" s="29">
        <f t="shared" si="43"/>
        <v>0.64500000000000024</v>
      </c>
      <c r="E72" s="29"/>
      <c r="F72" s="29">
        <f t="shared" si="34"/>
        <v>0.54730769230769249</v>
      </c>
      <c r="G72" s="30">
        <f t="shared" si="35"/>
        <v>0.21580288870008513</v>
      </c>
      <c r="H72" s="30">
        <f t="shared" si="36"/>
        <v>0.1</v>
      </c>
      <c r="I72" s="26">
        <f t="shared" si="44"/>
        <v>70</v>
      </c>
      <c r="J72" s="26">
        <f t="shared" si="37"/>
        <v>692</v>
      </c>
      <c r="K72" s="26">
        <f t="shared" si="38"/>
        <v>700</v>
      </c>
      <c r="L72" s="26">
        <f t="shared" si="45"/>
        <v>71</v>
      </c>
      <c r="M72" s="26">
        <f t="shared" si="46"/>
        <v>629</v>
      </c>
      <c r="N72" s="42">
        <f t="shared" si="39"/>
        <v>3.082898410001216E-4</v>
      </c>
      <c r="O72" s="42"/>
      <c r="P72" s="26">
        <v>70</v>
      </c>
      <c r="Q72" s="26">
        <f t="shared" si="21"/>
        <v>7</v>
      </c>
      <c r="R72" s="29">
        <v>0.95</v>
      </c>
      <c r="S72" s="29">
        <f t="shared" si="40"/>
        <v>0.76923076923076927</v>
      </c>
      <c r="T72" s="26">
        <f t="shared" si="47"/>
        <v>70</v>
      </c>
      <c r="U72" s="26">
        <f t="shared" si="41"/>
        <v>209.9999999999998</v>
      </c>
      <c r="V72" s="30">
        <f t="shared" si="42"/>
        <v>0.83908045977011492</v>
      </c>
      <c r="W72" s="29"/>
      <c r="X72" s="29"/>
    </row>
    <row r="73" spans="2:24" x14ac:dyDescent="0.15">
      <c r="B73" s="26">
        <v>71</v>
      </c>
      <c r="C73" s="26">
        <f t="shared" si="20"/>
        <v>8</v>
      </c>
      <c r="D73" s="29">
        <f t="shared" si="43"/>
        <v>0.65000000000000024</v>
      </c>
      <c r="E73" s="29"/>
      <c r="F73" s="29">
        <f t="shared" si="34"/>
        <v>0.55500000000000016</v>
      </c>
      <c r="G73" s="30">
        <f t="shared" si="35"/>
        <v>0.21348314606741603</v>
      </c>
      <c r="H73" s="30">
        <f t="shared" si="36"/>
        <v>0.1</v>
      </c>
      <c r="I73" s="26">
        <f t="shared" si="44"/>
        <v>71</v>
      </c>
      <c r="J73" s="26">
        <f t="shared" si="37"/>
        <v>726</v>
      </c>
      <c r="K73" s="26">
        <f t="shared" si="38"/>
        <v>710</v>
      </c>
      <c r="L73" s="26">
        <f t="shared" si="45"/>
        <v>72</v>
      </c>
      <c r="M73" s="26">
        <f t="shared" si="46"/>
        <v>638</v>
      </c>
      <c r="N73" s="42">
        <f t="shared" si="39"/>
        <v>3.0068048741889583E-4</v>
      </c>
      <c r="O73" s="42"/>
      <c r="P73" s="26">
        <v>71</v>
      </c>
      <c r="Q73" s="26">
        <f t="shared" si="21"/>
        <v>8</v>
      </c>
      <c r="R73" s="29">
        <v>0.95</v>
      </c>
      <c r="S73" s="29">
        <f t="shared" si="40"/>
        <v>0.76923076923076927</v>
      </c>
      <c r="T73" s="26">
        <f t="shared" si="47"/>
        <v>71</v>
      </c>
      <c r="U73" s="26">
        <f t="shared" si="41"/>
        <v>212.99999999999989</v>
      </c>
      <c r="V73" s="30">
        <f t="shared" si="42"/>
        <v>0.83900226757369611</v>
      </c>
      <c r="W73" s="29"/>
      <c r="X73" s="29"/>
    </row>
    <row r="74" spans="2:24" x14ac:dyDescent="0.15">
      <c r="B74" s="26">
        <v>72</v>
      </c>
      <c r="C74" s="26">
        <f t="shared" si="20"/>
        <v>8</v>
      </c>
      <c r="D74" s="29">
        <f t="shared" si="43"/>
        <v>0.65500000000000025</v>
      </c>
      <c r="E74" s="29"/>
      <c r="F74" s="29">
        <f t="shared" si="34"/>
        <v>0.56276923076923091</v>
      </c>
      <c r="G74" s="30">
        <f t="shared" si="35"/>
        <v>0.21094299788881099</v>
      </c>
      <c r="H74" s="30">
        <f t="shared" si="36"/>
        <v>0.1</v>
      </c>
      <c r="I74" s="26">
        <f t="shared" si="44"/>
        <v>72</v>
      </c>
      <c r="J74" s="26">
        <f t="shared" si="37"/>
        <v>763</v>
      </c>
      <c r="K74" s="26">
        <f t="shared" si="38"/>
        <v>720</v>
      </c>
      <c r="L74" s="26">
        <f t="shared" si="45"/>
        <v>73</v>
      </c>
      <c r="M74" s="26">
        <f t="shared" si="46"/>
        <v>647</v>
      </c>
      <c r="N74" s="42">
        <f t="shared" si="39"/>
        <v>2.9297638595668195E-4</v>
      </c>
      <c r="O74" s="42"/>
      <c r="P74" s="26">
        <v>72</v>
      </c>
      <c r="Q74" s="26">
        <f t="shared" si="21"/>
        <v>8</v>
      </c>
      <c r="R74" s="29">
        <v>0.95</v>
      </c>
      <c r="S74" s="29">
        <f t="shared" si="40"/>
        <v>0.76923076923076927</v>
      </c>
      <c r="T74" s="26">
        <f t="shared" si="47"/>
        <v>72</v>
      </c>
      <c r="U74" s="26">
        <f t="shared" si="41"/>
        <v>215.99999999999966</v>
      </c>
      <c r="V74" s="30">
        <f t="shared" si="42"/>
        <v>0.83892617449664419</v>
      </c>
      <c r="W74" s="29"/>
      <c r="X74" s="29"/>
    </row>
    <row r="75" spans="2:24" x14ac:dyDescent="0.15">
      <c r="B75" s="26">
        <v>73</v>
      </c>
      <c r="C75" s="26">
        <f t="shared" si="20"/>
        <v>8</v>
      </c>
      <c r="D75" s="29">
        <f t="shared" si="43"/>
        <v>0.66000000000000025</v>
      </c>
      <c r="E75" s="29"/>
      <c r="F75" s="29">
        <f t="shared" si="34"/>
        <v>0.57061538461538475</v>
      </c>
      <c r="G75" s="30">
        <f t="shared" si="35"/>
        <v>0.20816911501254065</v>
      </c>
      <c r="H75" s="30">
        <f t="shared" si="36"/>
        <v>0.1</v>
      </c>
      <c r="I75" s="26">
        <f t="shared" si="44"/>
        <v>73</v>
      </c>
      <c r="J75" s="26">
        <f t="shared" si="37"/>
        <v>801</v>
      </c>
      <c r="K75" s="26">
        <f t="shared" si="38"/>
        <v>730</v>
      </c>
      <c r="L75" s="26">
        <f t="shared" si="45"/>
        <v>74</v>
      </c>
      <c r="M75" s="26">
        <f t="shared" si="46"/>
        <v>656</v>
      </c>
      <c r="N75" s="42">
        <f t="shared" si="39"/>
        <v>2.851631712500557E-4</v>
      </c>
      <c r="O75" s="42"/>
      <c r="P75" s="26">
        <v>73</v>
      </c>
      <c r="Q75" s="26">
        <f t="shared" si="21"/>
        <v>8</v>
      </c>
      <c r="R75" s="29">
        <v>0.95</v>
      </c>
      <c r="S75" s="29">
        <f t="shared" si="40"/>
        <v>0.76923076923076916</v>
      </c>
      <c r="T75" s="26">
        <f t="shared" si="47"/>
        <v>73</v>
      </c>
      <c r="U75" s="26">
        <f t="shared" si="41"/>
        <v>218.99999999999972</v>
      </c>
      <c r="V75" s="30">
        <f t="shared" si="42"/>
        <v>0.83885209713024289</v>
      </c>
      <c r="W75" s="29"/>
      <c r="X75" s="29"/>
    </row>
    <row r="76" spans="2:24" x14ac:dyDescent="0.15">
      <c r="B76" s="26">
        <v>74</v>
      </c>
      <c r="C76" s="26">
        <f t="shared" si="20"/>
        <v>8</v>
      </c>
      <c r="D76" s="29">
        <f t="shared" si="43"/>
        <v>0.66500000000000026</v>
      </c>
      <c r="E76" s="29"/>
      <c r="F76" s="29">
        <f t="shared" si="34"/>
        <v>0.57853846153846167</v>
      </c>
      <c r="G76" s="30">
        <f t="shared" si="35"/>
        <v>0.20514692462128159</v>
      </c>
      <c r="H76" s="30">
        <f t="shared" si="36"/>
        <v>0.1</v>
      </c>
      <c r="I76" s="26">
        <f t="shared" si="44"/>
        <v>74</v>
      </c>
      <c r="J76" s="26">
        <f t="shared" si="37"/>
        <v>841</v>
      </c>
      <c r="K76" s="26">
        <f t="shared" si="38"/>
        <v>740</v>
      </c>
      <c r="L76" s="26">
        <f t="shared" si="45"/>
        <v>75</v>
      </c>
      <c r="M76" s="26">
        <f t="shared" si="46"/>
        <v>665</v>
      </c>
      <c r="N76" s="42">
        <f t="shared" si="39"/>
        <v>2.772255738125427E-4</v>
      </c>
      <c r="O76" s="42"/>
      <c r="P76" s="26">
        <v>74</v>
      </c>
      <c r="Q76" s="26">
        <f t="shared" si="21"/>
        <v>8</v>
      </c>
      <c r="R76" s="29">
        <v>0.95</v>
      </c>
      <c r="S76" s="29">
        <f t="shared" si="40"/>
        <v>0.76923076923076916</v>
      </c>
      <c r="T76" s="26">
        <f t="shared" si="47"/>
        <v>74</v>
      </c>
      <c r="U76" s="26">
        <f t="shared" si="41"/>
        <v>221.99999999999977</v>
      </c>
      <c r="V76" s="30">
        <f t="shared" si="42"/>
        <v>0.83877995642701531</v>
      </c>
      <c r="W76" s="29"/>
      <c r="X76" s="29"/>
    </row>
    <row r="77" spans="2:24" x14ac:dyDescent="0.15">
      <c r="B77" s="26">
        <v>75</v>
      </c>
      <c r="C77" s="26">
        <f t="shared" si="20"/>
        <v>8</v>
      </c>
      <c r="D77" s="29">
        <f t="shared" si="43"/>
        <v>0.67000000000000026</v>
      </c>
      <c r="E77" s="29"/>
      <c r="F77" s="29">
        <f t="shared" si="34"/>
        <v>0.58653846153846168</v>
      </c>
      <c r="G77" s="30">
        <f t="shared" si="35"/>
        <v>0.20186046511627942</v>
      </c>
      <c r="H77" s="30">
        <f t="shared" si="36"/>
        <v>0.1</v>
      </c>
      <c r="I77" s="26">
        <f t="shared" si="44"/>
        <v>75</v>
      </c>
      <c r="J77" s="26">
        <f t="shared" si="37"/>
        <v>883</v>
      </c>
      <c r="K77" s="26">
        <f t="shared" si="38"/>
        <v>750</v>
      </c>
      <c r="L77" s="26">
        <f t="shared" si="45"/>
        <v>76</v>
      </c>
      <c r="M77" s="26">
        <f t="shared" si="46"/>
        <v>674</v>
      </c>
      <c r="N77" s="42">
        <f t="shared" si="39"/>
        <v>2.6914728682170589E-4</v>
      </c>
      <c r="O77" s="42"/>
      <c r="P77" s="26">
        <v>75</v>
      </c>
      <c r="Q77" s="26">
        <f t="shared" si="21"/>
        <v>8</v>
      </c>
      <c r="R77" s="29">
        <v>0.95</v>
      </c>
      <c r="S77" s="29">
        <f t="shared" si="40"/>
        <v>0.76923076923076927</v>
      </c>
      <c r="T77" s="26">
        <f t="shared" si="47"/>
        <v>75</v>
      </c>
      <c r="U77" s="26">
        <f t="shared" si="41"/>
        <v>224.9999999999998</v>
      </c>
      <c r="V77" s="30">
        <f t="shared" si="42"/>
        <v>0.83870967741935487</v>
      </c>
      <c r="W77" s="29"/>
      <c r="X77" s="29"/>
    </row>
    <row r="78" spans="2:24" x14ac:dyDescent="0.15">
      <c r="B78" s="26">
        <v>76</v>
      </c>
      <c r="C78" s="26">
        <f t="shared" ref="C78:C101" si="48">C68+1</f>
        <v>8</v>
      </c>
      <c r="D78" s="29">
        <f t="shared" si="43"/>
        <v>0.67500000000000027</v>
      </c>
      <c r="E78" s="29"/>
      <c r="F78" s="29">
        <f t="shared" si="34"/>
        <v>0.59461538461538477</v>
      </c>
      <c r="G78" s="30">
        <f t="shared" si="35"/>
        <v>0.19829222011385239</v>
      </c>
      <c r="H78" s="30">
        <f t="shared" si="36"/>
        <v>0.1</v>
      </c>
      <c r="I78" s="26">
        <f t="shared" si="44"/>
        <v>76</v>
      </c>
      <c r="J78" s="26">
        <f t="shared" si="37"/>
        <v>928</v>
      </c>
      <c r="K78" s="26">
        <f t="shared" si="38"/>
        <v>760</v>
      </c>
      <c r="L78" s="26">
        <f t="shared" si="45"/>
        <v>77</v>
      </c>
      <c r="M78" s="26">
        <f t="shared" si="46"/>
        <v>683</v>
      </c>
      <c r="N78" s="42">
        <f t="shared" si="39"/>
        <v>2.6091081593927946E-4</v>
      </c>
      <c r="O78" s="42"/>
      <c r="P78" s="26">
        <v>76</v>
      </c>
      <c r="Q78" s="26">
        <f t="shared" ref="Q78:Q101" si="49">Q68+1</f>
        <v>8</v>
      </c>
      <c r="R78" s="29">
        <v>0.95</v>
      </c>
      <c r="S78" s="29">
        <f t="shared" si="40"/>
        <v>0.76923076923076927</v>
      </c>
      <c r="T78" s="26">
        <f t="shared" si="47"/>
        <v>76</v>
      </c>
      <c r="U78" s="26">
        <f t="shared" si="41"/>
        <v>227.99999999999989</v>
      </c>
      <c r="V78" s="30">
        <f t="shared" si="42"/>
        <v>0.83864118895966022</v>
      </c>
      <c r="W78" s="29"/>
      <c r="X78" s="29"/>
    </row>
    <row r="79" spans="2:24" x14ac:dyDescent="0.15">
      <c r="B79" s="26">
        <v>77</v>
      </c>
      <c r="C79" s="26">
        <f t="shared" si="48"/>
        <v>8</v>
      </c>
      <c r="D79" s="29">
        <f t="shared" si="43"/>
        <v>0.68000000000000027</v>
      </c>
      <c r="E79" s="29"/>
      <c r="F79" s="29">
        <f t="shared" si="34"/>
        <v>0.60276923076923095</v>
      </c>
      <c r="G79" s="30">
        <f t="shared" si="35"/>
        <v>0.19442292796281979</v>
      </c>
      <c r="H79" s="30">
        <f t="shared" si="36"/>
        <v>0.1</v>
      </c>
      <c r="I79" s="26">
        <f t="shared" si="44"/>
        <v>77</v>
      </c>
      <c r="J79" s="26">
        <f t="shared" si="37"/>
        <v>975</v>
      </c>
      <c r="K79" s="26">
        <f t="shared" si="38"/>
        <v>770</v>
      </c>
      <c r="L79" s="26">
        <f t="shared" si="45"/>
        <v>78</v>
      </c>
      <c r="M79" s="26">
        <f t="shared" si="46"/>
        <v>692</v>
      </c>
      <c r="N79" s="42">
        <f t="shared" si="39"/>
        <v>2.5249730904262311E-4</v>
      </c>
      <c r="O79" s="42"/>
      <c r="P79" s="26">
        <v>77</v>
      </c>
      <c r="Q79" s="26">
        <f t="shared" si="49"/>
        <v>8</v>
      </c>
      <c r="R79" s="29">
        <v>0.95</v>
      </c>
      <c r="S79" s="29">
        <f t="shared" si="40"/>
        <v>0.76923076923076927</v>
      </c>
      <c r="T79" s="26">
        <f t="shared" si="47"/>
        <v>77</v>
      </c>
      <c r="U79" s="26">
        <f t="shared" si="41"/>
        <v>230.99999999999963</v>
      </c>
      <c r="V79" s="30">
        <f t="shared" si="42"/>
        <v>0.83857442348008382</v>
      </c>
      <c r="W79" s="29"/>
      <c r="X79" s="29"/>
    </row>
    <row r="80" spans="2:24" x14ac:dyDescent="0.15">
      <c r="B80" s="26">
        <v>78</v>
      </c>
      <c r="C80" s="26">
        <f t="shared" si="48"/>
        <v>8</v>
      </c>
      <c r="D80" s="29">
        <f t="shared" si="43"/>
        <v>0.68500000000000028</v>
      </c>
      <c r="E80" s="29"/>
      <c r="F80" s="29">
        <f t="shared" si="34"/>
        <v>0.61100000000000021</v>
      </c>
      <c r="G80" s="30">
        <f t="shared" si="35"/>
        <v>0.19023136246786665</v>
      </c>
      <c r="H80" s="30">
        <f t="shared" si="36"/>
        <v>0.1</v>
      </c>
      <c r="I80" s="26">
        <f t="shared" si="44"/>
        <v>78</v>
      </c>
      <c r="J80" s="26">
        <f t="shared" si="37"/>
        <v>1025</v>
      </c>
      <c r="K80" s="26">
        <f t="shared" si="38"/>
        <v>780</v>
      </c>
      <c r="L80" s="26">
        <f t="shared" si="45"/>
        <v>79</v>
      </c>
      <c r="M80" s="26">
        <f t="shared" si="46"/>
        <v>701</v>
      </c>
      <c r="N80" s="42">
        <f t="shared" si="39"/>
        <v>2.4388636213829059E-4</v>
      </c>
      <c r="O80" s="42"/>
      <c r="P80" s="26">
        <v>78</v>
      </c>
      <c r="Q80" s="26">
        <f t="shared" si="49"/>
        <v>8</v>
      </c>
      <c r="R80" s="29">
        <v>0.95</v>
      </c>
      <c r="S80" s="29">
        <f t="shared" si="40"/>
        <v>0.76923076923076916</v>
      </c>
      <c r="T80" s="26">
        <f t="shared" si="47"/>
        <v>78</v>
      </c>
      <c r="U80" s="26">
        <f t="shared" si="41"/>
        <v>233.99999999999972</v>
      </c>
      <c r="V80" s="30">
        <f t="shared" si="42"/>
        <v>0.83850931677018636</v>
      </c>
      <c r="W80" s="29"/>
      <c r="X80" s="29"/>
    </row>
    <row r="81" spans="2:24" x14ac:dyDescent="0.15">
      <c r="B81" s="26">
        <v>79</v>
      </c>
      <c r="C81" s="26">
        <f t="shared" si="48"/>
        <v>8</v>
      </c>
      <c r="D81" s="29">
        <f t="shared" si="43"/>
        <v>0.69000000000000028</v>
      </c>
      <c r="E81" s="29"/>
      <c r="F81" s="29">
        <f t="shared" si="34"/>
        <v>0.61930769230769245</v>
      </c>
      <c r="G81" s="30">
        <f t="shared" si="35"/>
        <v>0.18569407961204332</v>
      </c>
      <c r="H81" s="30">
        <f t="shared" si="36"/>
        <v>0.1</v>
      </c>
      <c r="I81" s="26">
        <f t="shared" si="44"/>
        <v>79</v>
      </c>
      <c r="J81" s="26">
        <f t="shared" si="37"/>
        <v>1078</v>
      </c>
      <c r="K81" s="26">
        <f t="shared" si="38"/>
        <v>790</v>
      </c>
      <c r="L81" s="26">
        <f t="shared" si="45"/>
        <v>80</v>
      </c>
      <c r="M81" s="26">
        <f t="shared" si="46"/>
        <v>710</v>
      </c>
      <c r="N81" s="42">
        <f t="shared" si="39"/>
        <v>2.3505579697727003E-4</v>
      </c>
      <c r="O81" s="42"/>
      <c r="P81" s="26">
        <v>79</v>
      </c>
      <c r="Q81" s="26">
        <f t="shared" si="49"/>
        <v>8</v>
      </c>
      <c r="R81" s="29">
        <v>0.95</v>
      </c>
      <c r="S81" s="29">
        <f t="shared" si="40"/>
        <v>0.76923076923076916</v>
      </c>
      <c r="T81" s="26">
        <f t="shared" si="47"/>
        <v>79</v>
      </c>
      <c r="U81" s="26">
        <f t="shared" si="41"/>
        <v>236.99999999999974</v>
      </c>
      <c r="V81" s="30">
        <f t="shared" si="42"/>
        <v>0.83844580777096112</v>
      </c>
      <c r="W81" s="29"/>
      <c r="X81" s="29"/>
    </row>
    <row r="82" spans="2:24" x14ac:dyDescent="0.15">
      <c r="B82" s="26">
        <v>80</v>
      </c>
      <c r="C82" s="26">
        <f t="shared" si="48"/>
        <v>8</v>
      </c>
      <c r="D82" s="29">
        <f t="shared" si="43"/>
        <v>0.69500000000000028</v>
      </c>
      <c r="E82" s="29"/>
      <c r="F82" s="29">
        <f t="shared" si="34"/>
        <v>0.62769230769230788</v>
      </c>
      <c r="G82" s="30">
        <f t="shared" si="35"/>
        <v>0.18078512396694246</v>
      </c>
      <c r="H82" s="30">
        <f t="shared" si="36"/>
        <v>0.1</v>
      </c>
      <c r="I82" s="26">
        <f t="shared" si="44"/>
        <v>80</v>
      </c>
      <c r="J82" s="26">
        <f t="shared" si="37"/>
        <v>1134</v>
      </c>
      <c r="K82" s="26">
        <f t="shared" si="38"/>
        <v>800</v>
      </c>
      <c r="L82" s="26">
        <f t="shared" si="45"/>
        <v>81</v>
      </c>
      <c r="M82" s="26">
        <f t="shared" si="46"/>
        <v>719</v>
      </c>
      <c r="N82" s="42">
        <f t="shared" si="39"/>
        <v>2.2598140495867807E-4</v>
      </c>
      <c r="O82" s="42"/>
      <c r="P82" s="26">
        <v>80</v>
      </c>
      <c r="Q82" s="26">
        <f t="shared" si="49"/>
        <v>8</v>
      </c>
      <c r="R82" s="29">
        <v>0.95</v>
      </c>
      <c r="S82" s="29">
        <f t="shared" si="40"/>
        <v>0.76923076923076927</v>
      </c>
      <c r="T82" s="26">
        <f t="shared" si="47"/>
        <v>80</v>
      </c>
      <c r="U82" s="26">
        <f t="shared" si="41"/>
        <v>239.99999999999977</v>
      </c>
      <c r="V82" s="30">
        <f t="shared" si="42"/>
        <v>0.83838383838383834</v>
      </c>
      <c r="W82" s="29"/>
      <c r="X82" s="29"/>
    </row>
    <row r="83" spans="2:24" x14ac:dyDescent="0.15">
      <c r="B83" s="26">
        <v>81</v>
      </c>
      <c r="C83" s="26">
        <f t="shared" si="48"/>
        <v>9</v>
      </c>
      <c r="D83" s="29">
        <f t="shared" si="43"/>
        <v>0.70000000000000029</v>
      </c>
      <c r="E83" s="29"/>
      <c r="F83" s="29">
        <f t="shared" si="34"/>
        <v>0.63615384615384629</v>
      </c>
      <c r="G83" s="30">
        <f t="shared" si="35"/>
        <v>0.17547568710359451</v>
      </c>
      <c r="H83" s="30">
        <f t="shared" si="36"/>
        <v>0.1</v>
      </c>
      <c r="I83" s="26">
        <f t="shared" si="44"/>
        <v>81</v>
      </c>
      <c r="J83" s="26">
        <f t="shared" si="37"/>
        <v>1194</v>
      </c>
      <c r="K83" s="26">
        <f t="shared" si="38"/>
        <v>810</v>
      </c>
      <c r="L83" s="26">
        <f t="shared" si="45"/>
        <v>82</v>
      </c>
      <c r="M83" s="26">
        <f t="shared" si="46"/>
        <v>728</v>
      </c>
      <c r="N83" s="42">
        <f t="shared" si="39"/>
        <v>2.1663665074517842E-4</v>
      </c>
      <c r="O83" s="42"/>
      <c r="P83" s="26">
        <v>81</v>
      </c>
      <c r="Q83" s="26">
        <f t="shared" si="49"/>
        <v>9</v>
      </c>
      <c r="R83" s="29">
        <v>0.95</v>
      </c>
      <c r="S83" s="29">
        <f t="shared" si="40"/>
        <v>0.76923076923076927</v>
      </c>
      <c r="T83" s="26">
        <f t="shared" si="47"/>
        <v>81</v>
      </c>
      <c r="U83" s="26">
        <f t="shared" si="41"/>
        <v>242.99999999999983</v>
      </c>
      <c r="V83" s="30">
        <f t="shared" si="42"/>
        <v>0.83832335329341312</v>
      </c>
      <c r="W83" s="29"/>
      <c r="X83" s="29"/>
    </row>
    <row r="84" spans="2:24" x14ac:dyDescent="0.15">
      <c r="B84" s="26">
        <v>82</v>
      </c>
      <c r="C84" s="26">
        <f t="shared" si="48"/>
        <v>9</v>
      </c>
      <c r="D84" s="29">
        <f t="shared" si="43"/>
        <v>0.70500000000000029</v>
      </c>
      <c r="E84" s="29"/>
      <c r="F84" s="29">
        <f t="shared" si="34"/>
        <v>0.6446923076923079</v>
      </c>
      <c r="G84" s="30">
        <f t="shared" si="35"/>
        <v>0.16973370859493431</v>
      </c>
      <c r="H84" s="30">
        <f t="shared" si="36"/>
        <v>0.1</v>
      </c>
      <c r="I84" s="26">
        <f t="shared" si="44"/>
        <v>82</v>
      </c>
      <c r="J84" s="26">
        <f t="shared" si="37"/>
        <v>1258</v>
      </c>
      <c r="K84" s="26">
        <f t="shared" si="38"/>
        <v>820</v>
      </c>
      <c r="L84" s="26">
        <f t="shared" si="45"/>
        <v>83</v>
      </c>
      <c r="M84" s="26">
        <f t="shared" si="46"/>
        <v>737</v>
      </c>
      <c r="N84" s="42">
        <f t="shared" si="39"/>
        <v>2.0699232755479793E-4</v>
      </c>
      <c r="O84" s="42"/>
      <c r="P84" s="26">
        <v>82</v>
      </c>
      <c r="Q84" s="26">
        <f t="shared" si="49"/>
        <v>9</v>
      </c>
      <c r="R84" s="29">
        <v>0.95</v>
      </c>
      <c r="S84" s="29">
        <f t="shared" si="40"/>
        <v>0.76923076923076927</v>
      </c>
      <c r="T84" s="26">
        <f t="shared" si="47"/>
        <v>82</v>
      </c>
      <c r="U84" s="26">
        <f t="shared" si="41"/>
        <v>245.99999999999966</v>
      </c>
      <c r="V84" s="30">
        <f t="shared" si="42"/>
        <v>0.83826429980276129</v>
      </c>
      <c r="W84" s="29"/>
      <c r="X84" s="29"/>
    </row>
    <row r="85" spans="2:24" x14ac:dyDescent="0.15">
      <c r="B85" s="26">
        <v>83</v>
      </c>
      <c r="C85" s="26">
        <f t="shared" si="48"/>
        <v>9</v>
      </c>
      <c r="D85" s="29">
        <f t="shared" si="43"/>
        <v>0.7100000000000003</v>
      </c>
      <c r="E85" s="29"/>
      <c r="F85" s="29">
        <f t="shared" si="34"/>
        <v>0.65330769230769248</v>
      </c>
      <c r="G85" s="30">
        <f t="shared" si="35"/>
        <v>0.16352340803195076</v>
      </c>
      <c r="H85" s="30">
        <f t="shared" si="36"/>
        <v>0.1</v>
      </c>
      <c r="I85" s="26">
        <f t="shared" si="44"/>
        <v>83</v>
      </c>
      <c r="J85" s="26">
        <f t="shared" si="37"/>
        <v>1325</v>
      </c>
      <c r="K85" s="26">
        <f t="shared" si="38"/>
        <v>830</v>
      </c>
      <c r="L85" s="26">
        <f t="shared" si="45"/>
        <v>84</v>
      </c>
      <c r="M85" s="26">
        <f t="shared" si="46"/>
        <v>746</v>
      </c>
      <c r="N85" s="42">
        <f t="shared" si="39"/>
        <v>1.9701615425536236E-4</v>
      </c>
      <c r="O85" s="42"/>
      <c r="P85" s="26">
        <v>83</v>
      </c>
      <c r="Q85" s="26">
        <f t="shared" si="49"/>
        <v>9</v>
      </c>
      <c r="R85" s="29">
        <v>0.95</v>
      </c>
      <c r="S85" s="29">
        <f t="shared" si="40"/>
        <v>0.76923076923076916</v>
      </c>
      <c r="T85" s="26">
        <f t="shared" si="47"/>
        <v>83</v>
      </c>
      <c r="U85" s="26">
        <f t="shared" si="41"/>
        <v>248.99999999999969</v>
      </c>
      <c r="V85" s="30">
        <f t="shared" si="42"/>
        <v>0.83820662768031196</v>
      </c>
      <c r="W85" s="29"/>
      <c r="X85" s="29"/>
    </row>
    <row r="86" spans="2:24" x14ac:dyDescent="0.15">
      <c r="B86" s="26">
        <v>84</v>
      </c>
      <c r="C86" s="26">
        <f t="shared" si="48"/>
        <v>9</v>
      </c>
      <c r="D86" s="29">
        <f t="shared" si="43"/>
        <v>0.7150000000000003</v>
      </c>
      <c r="E86" s="29"/>
      <c r="F86" s="29">
        <f t="shared" si="34"/>
        <v>0.66200000000000025</v>
      </c>
      <c r="G86" s="30">
        <f t="shared" si="35"/>
        <v>0.1568047337278109</v>
      </c>
      <c r="H86" s="30">
        <f t="shared" si="36"/>
        <v>0.1</v>
      </c>
      <c r="I86" s="26">
        <f t="shared" si="44"/>
        <v>84</v>
      </c>
      <c r="J86" s="26">
        <f t="shared" si="37"/>
        <v>1397</v>
      </c>
      <c r="K86" s="26">
        <f t="shared" si="38"/>
        <v>840</v>
      </c>
      <c r="L86" s="26">
        <f t="shared" si="45"/>
        <v>85</v>
      </c>
      <c r="M86" s="26">
        <f t="shared" si="46"/>
        <v>755</v>
      </c>
      <c r="N86" s="42">
        <f t="shared" si="39"/>
        <v>1.8667230205691773E-4</v>
      </c>
      <c r="O86" s="42"/>
      <c r="P86" s="26">
        <v>84</v>
      </c>
      <c r="Q86" s="26">
        <f t="shared" si="49"/>
        <v>9</v>
      </c>
      <c r="R86" s="29">
        <v>0.95</v>
      </c>
      <c r="S86" s="29">
        <f t="shared" si="40"/>
        <v>0.76923076923076916</v>
      </c>
      <c r="T86" s="26">
        <f t="shared" si="47"/>
        <v>84</v>
      </c>
      <c r="U86" s="26">
        <f t="shared" si="41"/>
        <v>251.99999999999974</v>
      </c>
      <c r="V86" s="30">
        <f t="shared" si="42"/>
        <v>0.83815028901734101</v>
      </c>
      <c r="W86" s="29"/>
      <c r="X86" s="29"/>
    </row>
    <row r="87" spans="2:24" x14ac:dyDescent="0.15">
      <c r="B87" s="26">
        <v>85</v>
      </c>
      <c r="C87" s="26">
        <f t="shared" si="48"/>
        <v>9</v>
      </c>
      <c r="D87" s="29">
        <f t="shared" si="43"/>
        <v>0.72000000000000031</v>
      </c>
      <c r="E87" s="29"/>
      <c r="F87" s="29">
        <f t="shared" si="34"/>
        <v>0.67076923076923101</v>
      </c>
      <c r="G87" s="30">
        <f t="shared" si="35"/>
        <v>0.14953271028037418</v>
      </c>
      <c r="H87" s="30">
        <f t="shared" si="36"/>
        <v>0.1</v>
      </c>
      <c r="I87" s="26">
        <f t="shared" si="44"/>
        <v>85</v>
      </c>
      <c r="J87" s="26">
        <f t="shared" si="37"/>
        <v>1474</v>
      </c>
      <c r="K87" s="26">
        <f t="shared" si="38"/>
        <v>850</v>
      </c>
      <c r="L87" s="26">
        <f t="shared" si="45"/>
        <v>86</v>
      </c>
      <c r="M87" s="26">
        <f t="shared" si="46"/>
        <v>764</v>
      </c>
      <c r="N87" s="42">
        <f t="shared" si="39"/>
        <v>1.7592083562396963E-4</v>
      </c>
      <c r="O87" s="42"/>
      <c r="P87" s="26">
        <v>85</v>
      </c>
      <c r="Q87" s="26">
        <f t="shared" si="49"/>
        <v>9</v>
      </c>
      <c r="R87" s="29">
        <v>0.95</v>
      </c>
      <c r="S87" s="29">
        <f t="shared" si="40"/>
        <v>0.76923076923076927</v>
      </c>
      <c r="T87" s="26">
        <f t="shared" si="47"/>
        <v>85</v>
      </c>
      <c r="U87" s="26">
        <f t="shared" si="41"/>
        <v>254.99999999999977</v>
      </c>
      <c r="V87" s="30">
        <f t="shared" si="42"/>
        <v>0.83809523809523812</v>
      </c>
      <c r="W87" s="29"/>
      <c r="X87" s="29"/>
    </row>
    <row r="88" spans="2:24" x14ac:dyDescent="0.15">
      <c r="B88" s="26">
        <v>86</v>
      </c>
      <c r="C88" s="26">
        <f t="shared" si="48"/>
        <v>9</v>
      </c>
      <c r="D88" s="29">
        <f t="shared" si="43"/>
        <v>0.72500000000000031</v>
      </c>
      <c r="E88" s="29"/>
      <c r="F88" s="29">
        <f t="shared" si="34"/>
        <v>0.67961538461538484</v>
      </c>
      <c r="G88" s="30">
        <f t="shared" si="35"/>
        <v>0.14165666266506638</v>
      </c>
      <c r="H88" s="30">
        <f t="shared" si="36"/>
        <v>0.1</v>
      </c>
      <c r="I88" s="26">
        <f t="shared" si="44"/>
        <v>86</v>
      </c>
      <c r="J88" s="26">
        <f t="shared" si="37"/>
        <v>1556</v>
      </c>
      <c r="K88" s="26">
        <f t="shared" si="38"/>
        <v>860</v>
      </c>
      <c r="L88" s="26">
        <f t="shared" si="45"/>
        <v>87</v>
      </c>
      <c r="M88" s="26">
        <f t="shared" si="46"/>
        <v>773</v>
      </c>
      <c r="N88" s="42">
        <f t="shared" si="39"/>
        <v>1.6471704961054231E-4</v>
      </c>
      <c r="O88" s="42"/>
      <c r="P88" s="26">
        <v>86</v>
      </c>
      <c r="Q88" s="26">
        <f t="shared" si="49"/>
        <v>9</v>
      </c>
      <c r="R88" s="29">
        <v>0.95</v>
      </c>
      <c r="S88" s="29">
        <f t="shared" si="40"/>
        <v>0.76923076923076927</v>
      </c>
      <c r="T88" s="26">
        <f t="shared" si="47"/>
        <v>86</v>
      </c>
      <c r="U88" s="26">
        <f t="shared" si="41"/>
        <v>257.99999999999983</v>
      </c>
      <c r="V88" s="30">
        <f t="shared" si="42"/>
        <v>0.83804143126177022</v>
      </c>
      <c r="W88" s="29"/>
      <c r="X88" s="29"/>
    </row>
    <row r="89" spans="2:24" x14ac:dyDescent="0.15">
      <c r="B89" s="26">
        <v>87</v>
      </c>
      <c r="C89" s="26">
        <f t="shared" si="48"/>
        <v>9</v>
      </c>
      <c r="D89" s="29">
        <f t="shared" si="43"/>
        <v>0.73000000000000032</v>
      </c>
      <c r="E89" s="29"/>
      <c r="F89" s="29">
        <f t="shared" si="34"/>
        <v>0.68853846153846177</v>
      </c>
      <c r="G89" s="30">
        <f t="shared" si="35"/>
        <v>0.13311928871326295</v>
      </c>
      <c r="H89" s="30">
        <f t="shared" si="36"/>
        <v>0.1</v>
      </c>
      <c r="I89" s="26">
        <f t="shared" si="44"/>
        <v>87</v>
      </c>
      <c r="J89" s="26">
        <f t="shared" si="37"/>
        <v>1644</v>
      </c>
      <c r="K89" s="26">
        <f t="shared" si="38"/>
        <v>870</v>
      </c>
      <c r="L89" s="26">
        <f t="shared" si="45"/>
        <v>88</v>
      </c>
      <c r="M89" s="26">
        <f t="shared" si="46"/>
        <v>782</v>
      </c>
      <c r="N89" s="42">
        <f t="shared" si="39"/>
        <v>1.5301067668191143E-4</v>
      </c>
      <c r="O89" s="42"/>
      <c r="P89" s="26">
        <v>87</v>
      </c>
      <c r="Q89" s="26">
        <f t="shared" si="49"/>
        <v>9</v>
      </c>
      <c r="R89" s="29">
        <v>0.95</v>
      </c>
      <c r="S89" s="29">
        <f t="shared" si="40"/>
        <v>0.76923076923076927</v>
      </c>
      <c r="T89" s="26">
        <f t="shared" si="47"/>
        <v>87</v>
      </c>
      <c r="U89" s="26">
        <f t="shared" si="41"/>
        <v>260.99999999999966</v>
      </c>
      <c r="V89" s="30">
        <f t="shared" si="42"/>
        <v>0.83798882681564246</v>
      </c>
      <c r="W89" s="29"/>
      <c r="X89" s="29"/>
    </row>
    <row r="90" spans="2:24" x14ac:dyDescent="0.15">
      <c r="B90" s="26">
        <v>88</v>
      </c>
      <c r="C90" s="26">
        <f t="shared" si="48"/>
        <v>9</v>
      </c>
      <c r="D90" s="29">
        <f t="shared" si="43"/>
        <v>0.73500000000000032</v>
      </c>
      <c r="E90" s="29"/>
      <c r="F90" s="29">
        <f t="shared" si="34"/>
        <v>0.69753846153846177</v>
      </c>
      <c r="G90" s="30">
        <f t="shared" si="35"/>
        <v>0.12385554425228928</v>
      </c>
      <c r="H90" s="30">
        <f t="shared" si="36"/>
        <v>0.1</v>
      </c>
      <c r="I90" s="26">
        <f t="shared" si="44"/>
        <v>88</v>
      </c>
      <c r="J90" s="26">
        <f t="shared" si="37"/>
        <v>1739</v>
      </c>
      <c r="K90" s="26">
        <f t="shared" si="38"/>
        <v>880</v>
      </c>
      <c r="L90" s="26">
        <f t="shared" si="45"/>
        <v>89</v>
      </c>
      <c r="M90" s="26">
        <f t="shared" si="46"/>
        <v>791</v>
      </c>
      <c r="N90" s="42">
        <f t="shared" si="39"/>
        <v>1.4074493665032874E-4</v>
      </c>
      <c r="O90" s="42"/>
      <c r="P90" s="26">
        <v>88</v>
      </c>
      <c r="Q90" s="26">
        <f t="shared" si="49"/>
        <v>9</v>
      </c>
      <c r="R90" s="29">
        <v>0.95</v>
      </c>
      <c r="S90" s="29">
        <f t="shared" si="40"/>
        <v>0.76923076923076916</v>
      </c>
      <c r="T90" s="26">
        <f t="shared" si="47"/>
        <v>88</v>
      </c>
      <c r="U90" s="26">
        <f t="shared" si="41"/>
        <v>263.99999999999966</v>
      </c>
      <c r="V90" s="30">
        <f t="shared" si="42"/>
        <v>0.83793738489871095</v>
      </c>
      <c r="W90" s="29"/>
      <c r="X90" s="29"/>
    </row>
    <row r="91" spans="2:24" x14ac:dyDescent="0.15">
      <c r="B91" s="26">
        <v>89</v>
      </c>
      <c r="C91" s="26">
        <f t="shared" si="48"/>
        <v>9</v>
      </c>
      <c r="D91" s="29">
        <f t="shared" si="43"/>
        <v>0.74000000000000032</v>
      </c>
      <c r="E91" s="29"/>
      <c r="F91" s="29">
        <f t="shared" si="34"/>
        <v>0.70661538461538487</v>
      </c>
      <c r="G91" s="30">
        <f t="shared" si="35"/>
        <v>0.11379129522810727</v>
      </c>
      <c r="H91" s="30">
        <f t="shared" si="36"/>
        <v>0.1</v>
      </c>
      <c r="I91" s="26">
        <f t="shared" si="44"/>
        <v>89</v>
      </c>
      <c r="J91" s="26">
        <f t="shared" si="37"/>
        <v>1841</v>
      </c>
      <c r="K91" s="26">
        <f t="shared" si="38"/>
        <v>890</v>
      </c>
      <c r="L91" s="26">
        <f t="shared" si="45"/>
        <v>90</v>
      </c>
      <c r="M91" s="26">
        <f t="shared" si="46"/>
        <v>800</v>
      </c>
      <c r="N91" s="42">
        <f t="shared" si="39"/>
        <v>1.2785538789674973E-4</v>
      </c>
      <c r="O91" s="42"/>
      <c r="P91" s="26">
        <v>89</v>
      </c>
      <c r="Q91" s="26">
        <f t="shared" si="49"/>
        <v>9</v>
      </c>
      <c r="R91" s="29">
        <v>0.95</v>
      </c>
      <c r="S91" s="29">
        <f t="shared" si="40"/>
        <v>0.76923076923076916</v>
      </c>
      <c r="T91" s="26">
        <f t="shared" si="47"/>
        <v>89</v>
      </c>
      <c r="U91" s="26">
        <f t="shared" si="41"/>
        <v>266.99999999999972</v>
      </c>
      <c r="V91" s="30">
        <f t="shared" si="42"/>
        <v>0.83788706739526408</v>
      </c>
      <c r="W91" s="29"/>
      <c r="X91" s="29"/>
    </row>
    <row r="92" spans="2:24" x14ac:dyDescent="0.15">
      <c r="B92" s="26">
        <v>90</v>
      </c>
      <c r="C92" s="26">
        <f t="shared" si="48"/>
        <v>9</v>
      </c>
      <c r="D92" s="29">
        <f t="shared" si="43"/>
        <v>0.74500000000000033</v>
      </c>
      <c r="E92" s="29"/>
      <c r="F92" s="29">
        <f t="shared" si="34"/>
        <v>0.71576923076923094</v>
      </c>
      <c r="G92" s="30">
        <f t="shared" si="35"/>
        <v>0.10284167794316712</v>
      </c>
      <c r="H92" s="30">
        <f t="shared" si="36"/>
        <v>0.1</v>
      </c>
      <c r="I92" s="26">
        <f t="shared" si="44"/>
        <v>90</v>
      </c>
      <c r="J92" s="26">
        <f t="shared" si="37"/>
        <v>1950</v>
      </c>
      <c r="K92" s="26">
        <f t="shared" si="38"/>
        <v>900</v>
      </c>
      <c r="L92" s="26">
        <f t="shared" si="45"/>
        <v>91</v>
      </c>
      <c r="M92" s="26">
        <f t="shared" si="46"/>
        <v>809</v>
      </c>
      <c r="N92" s="42">
        <f t="shared" si="39"/>
        <v>1.1426853104796347E-4</v>
      </c>
      <c r="O92" s="42"/>
      <c r="P92" s="26">
        <v>90</v>
      </c>
      <c r="Q92" s="26">
        <f t="shared" si="49"/>
        <v>9</v>
      </c>
      <c r="R92" s="29">
        <v>0.95</v>
      </c>
      <c r="S92" s="29">
        <f t="shared" si="40"/>
        <v>0.76923076923076927</v>
      </c>
      <c r="T92" s="26">
        <f t="shared" si="47"/>
        <v>90</v>
      </c>
      <c r="U92" s="26">
        <f t="shared" si="41"/>
        <v>269.99999999999977</v>
      </c>
      <c r="V92" s="30">
        <f t="shared" si="42"/>
        <v>0.83783783783783783</v>
      </c>
      <c r="W92" s="29"/>
      <c r="X92" s="29"/>
    </row>
    <row r="93" spans="2:24" x14ac:dyDescent="0.15">
      <c r="B93" s="26">
        <v>91</v>
      </c>
      <c r="C93" s="26">
        <f t="shared" si="48"/>
        <v>10</v>
      </c>
      <c r="D93" s="29">
        <f t="shared" si="43"/>
        <v>0.75000000000000033</v>
      </c>
      <c r="E93" s="29"/>
      <c r="F93" s="29">
        <f t="shared" si="34"/>
        <v>0.72500000000000031</v>
      </c>
      <c r="G93" s="30">
        <f t="shared" si="35"/>
        <v>9.090909090909105E-2</v>
      </c>
      <c r="H93" s="30">
        <f t="shared" si="36"/>
        <v>0.1</v>
      </c>
      <c r="I93" s="26">
        <f t="shared" si="44"/>
        <v>91</v>
      </c>
      <c r="J93" s="26">
        <f t="shared" si="37"/>
        <v>2069</v>
      </c>
      <c r="K93" s="26">
        <f t="shared" si="38"/>
        <v>910</v>
      </c>
      <c r="L93" s="26">
        <f t="shared" si="45"/>
        <v>92</v>
      </c>
      <c r="M93" s="26">
        <f t="shared" si="46"/>
        <v>818</v>
      </c>
      <c r="N93" s="42">
        <f t="shared" si="39"/>
        <v>9.9900099900100049E-5</v>
      </c>
      <c r="O93" s="42"/>
      <c r="P93" s="26">
        <v>91</v>
      </c>
      <c r="Q93" s="26">
        <f t="shared" si="49"/>
        <v>10</v>
      </c>
      <c r="R93" s="29">
        <v>0.95</v>
      </c>
      <c r="S93" s="29">
        <f t="shared" si="40"/>
        <v>0.76923076923076927</v>
      </c>
      <c r="T93" s="26">
        <f t="shared" si="47"/>
        <v>91</v>
      </c>
      <c r="U93" s="26">
        <f t="shared" si="41"/>
        <v>272.99999999999977</v>
      </c>
      <c r="V93" s="30">
        <f t="shared" si="42"/>
        <v>0.83778966131907306</v>
      </c>
      <c r="W93" s="29"/>
      <c r="X93" s="29"/>
    </row>
    <row r="94" spans="2:24" x14ac:dyDescent="0.15">
      <c r="B94" s="26">
        <v>92</v>
      </c>
      <c r="C94" s="26">
        <f t="shared" si="48"/>
        <v>10</v>
      </c>
      <c r="D94" s="29">
        <f t="shared" si="43"/>
        <v>0.75500000000000034</v>
      </c>
      <c r="E94" s="29"/>
      <c r="F94" s="29">
        <f t="shared" si="34"/>
        <v>0.73430769230769255</v>
      </c>
      <c r="G94" s="30">
        <f t="shared" si="35"/>
        <v>7.7880718008106919E-2</v>
      </c>
      <c r="H94" s="30">
        <f t="shared" si="36"/>
        <v>0.1</v>
      </c>
      <c r="I94" s="26">
        <f t="shared" si="44"/>
        <v>92</v>
      </c>
      <c r="J94" s="26">
        <f t="shared" si="37"/>
        <v>2197</v>
      </c>
      <c r="K94" s="26">
        <f t="shared" si="38"/>
        <v>920</v>
      </c>
      <c r="L94" s="26">
        <f t="shared" si="45"/>
        <v>93</v>
      </c>
      <c r="M94" s="26">
        <f t="shared" si="46"/>
        <v>827</v>
      </c>
      <c r="N94" s="42">
        <f t="shared" si="39"/>
        <v>8.4652954356637962E-5</v>
      </c>
      <c r="O94" s="42"/>
      <c r="P94" s="26">
        <v>92</v>
      </c>
      <c r="Q94" s="26">
        <f t="shared" si="49"/>
        <v>10</v>
      </c>
      <c r="R94" s="29">
        <v>0.95</v>
      </c>
      <c r="S94" s="29">
        <f t="shared" si="40"/>
        <v>0.76923076923076927</v>
      </c>
      <c r="T94" s="26">
        <f t="shared" si="47"/>
        <v>92</v>
      </c>
      <c r="U94" s="26">
        <f t="shared" si="41"/>
        <v>275.9999999999996</v>
      </c>
      <c r="V94" s="30">
        <f t="shared" si="42"/>
        <v>0.83774250440917108</v>
      </c>
      <c r="W94" s="29"/>
      <c r="X94" s="29"/>
    </row>
    <row r="95" spans="2:24" x14ac:dyDescent="0.15">
      <c r="B95" s="26">
        <v>93</v>
      </c>
      <c r="C95" s="26">
        <f t="shared" si="48"/>
        <v>10</v>
      </c>
      <c r="D95" s="29">
        <f t="shared" si="43"/>
        <v>0.76000000000000034</v>
      </c>
      <c r="E95" s="29"/>
      <c r="F95" s="29">
        <f t="shared" si="34"/>
        <v>0.74369230769230787</v>
      </c>
      <c r="G95" s="30">
        <f t="shared" si="35"/>
        <v>6.3625450180072707E-2</v>
      </c>
      <c r="H95" s="30">
        <f t="shared" si="36"/>
        <v>0.1</v>
      </c>
      <c r="I95" s="26">
        <f t="shared" si="44"/>
        <v>93</v>
      </c>
      <c r="J95" s="26">
        <f t="shared" si="37"/>
        <v>2336</v>
      </c>
      <c r="K95" s="26">
        <f t="shared" si="38"/>
        <v>930</v>
      </c>
      <c r="L95" s="26">
        <f t="shared" si="45"/>
        <v>94</v>
      </c>
      <c r="M95" s="26">
        <f t="shared" si="46"/>
        <v>836</v>
      </c>
      <c r="N95" s="42">
        <f t="shared" si="39"/>
        <v>6.8414462559217965E-5</v>
      </c>
      <c r="O95" s="42"/>
      <c r="P95" s="26">
        <v>93</v>
      </c>
      <c r="Q95" s="26">
        <f t="shared" si="49"/>
        <v>10</v>
      </c>
      <c r="R95" s="29">
        <v>0.95</v>
      </c>
      <c r="S95" s="29">
        <f t="shared" si="40"/>
        <v>0.76923076923076916</v>
      </c>
      <c r="T95" s="26">
        <f t="shared" si="47"/>
        <v>93</v>
      </c>
      <c r="U95" s="26">
        <f t="shared" si="41"/>
        <v>278.99999999999966</v>
      </c>
      <c r="V95" s="30">
        <f t="shared" si="42"/>
        <v>0.83769633507853403</v>
      </c>
      <c r="W95" s="29"/>
      <c r="X95" s="29"/>
    </row>
    <row r="96" spans="2:24" x14ac:dyDescent="0.15">
      <c r="B96" s="26">
        <v>94</v>
      </c>
      <c r="C96" s="26">
        <f t="shared" si="48"/>
        <v>10</v>
      </c>
      <c r="D96" s="29">
        <f t="shared" si="43"/>
        <v>0.76500000000000035</v>
      </c>
      <c r="E96" s="29"/>
      <c r="F96" s="29">
        <f t="shared" si="34"/>
        <v>0.75315384615384651</v>
      </c>
      <c r="G96" s="30">
        <f t="shared" si="35"/>
        <v>4.7990028046120292E-2</v>
      </c>
      <c r="H96" s="30">
        <f t="shared" si="36"/>
        <v>0.1</v>
      </c>
      <c r="I96" s="26">
        <f t="shared" si="44"/>
        <v>94</v>
      </c>
      <c r="J96" s="26">
        <f t="shared" si="37"/>
        <v>2488</v>
      </c>
      <c r="K96" s="26">
        <f t="shared" si="38"/>
        <v>940</v>
      </c>
      <c r="L96" s="26">
        <f t="shared" si="45"/>
        <v>95</v>
      </c>
      <c r="M96" s="26">
        <f t="shared" si="46"/>
        <v>845</v>
      </c>
      <c r="N96" s="42">
        <f t="shared" si="39"/>
        <v>5.1053221325659887E-5</v>
      </c>
      <c r="O96" s="42"/>
      <c r="P96" s="26">
        <v>94</v>
      </c>
      <c r="Q96" s="26">
        <f t="shared" si="49"/>
        <v>10</v>
      </c>
      <c r="R96" s="29">
        <v>0.95</v>
      </c>
      <c r="S96" s="29">
        <f t="shared" si="40"/>
        <v>0.76923076923076916</v>
      </c>
      <c r="T96" s="26">
        <f t="shared" si="47"/>
        <v>94</v>
      </c>
      <c r="U96" s="26">
        <f t="shared" si="41"/>
        <v>281.99999999999972</v>
      </c>
      <c r="V96" s="30">
        <f t="shared" si="42"/>
        <v>0.8376511226252159</v>
      </c>
      <c r="W96" s="29"/>
      <c r="X96" s="29"/>
    </row>
    <row r="97" spans="2:24" x14ac:dyDescent="0.15">
      <c r="B97" s="26">
        <v>95</v>
      </c>
      <c r="C97" s="26">
        <f t="shared" si="48"/>
        <v>10</v>
      </c>
      <c r="D97" s="29">
        <f t="shared" si="43"/>
        <v>0.77000000000000035</v>
      </c>
      <c r="E97" s="29"/>
      <c r="F97" s="29">
        <f t="shared" si="34"/>
        <v>0.762692307692308</v>
      </c>
      <c r="G97" s="30">
        <f t="shared" si="35"/>
        <v>3.0794165316045619E-2</v>
      </c>
      <c r="H97" s="30">
        <f t="shared" si="36"/>
        <v>0.1</v>
      </c>
      <c r="I97" s="26">
        <f t="shared" si="44"/>
        <v>95</v>
      </c>
      <c r="J97" s="26">
        <f t="shared" si="37"/>
        <v>2653</v>
      </c>
      <c r="K97" s="26">
        <f t="shared" si="38"/>
        <v>950</v>
      </c>
      <c r="L97" s="26">
        <f t="shared" si="45"/>
        <v>96</v>
      </c>
      <c r="M97" s="26">
        <f t="shared" si="46"/>
        <v>854</v>
      </c>
      <c r="N97" s="42">
        <f t="shared" si="39"/>
        <v>3.2414910858995391E-5</v>
      </c>
      <c r="O97" s="42"/>
      <c r="P97" s="26">
        <v>95</v>
      </c>
      <c r="Q97" s="26">
        <f t="shared" si="49"/>
        <v>10</v>
      </c>
      <c r="R97" s="29">
        <v>0.95</v>
      </c>
      <c r="S97" s="29">
        <f t="shared" si="40"/>
        <v>0.76923076923076927</v>
      </c>
      <c r="T97" s="26">
        <f t="shared" si="47"/>
        <v>95</v>
      </c>
      <c r="U97" s="26">
        <f t="shared" si="41"/>
        <v>284.99999999999977</v>
      </c>
      <c r="V97" s="30">
        <f t="shared" si="42"/>
        <v>0.83760683760683763</v>
      </c>
      <c r="W97" s="29"/>
      <c r="X97" s="29"/>
    </row>
    <row r="98" spans="2:24" x14ac:dyDescent="0.15">
      <c r="B98" s="26">
        <v>96</v>
      </c>
      <c r="C98" s="26">
        <f t="shared" si="48"/>
        <v>10</v>
      </c>
      <c r="D98" s="29">
        <f t="shared" si="43"/>
        <v>0.77500000000000036</v>
      </c>
      <c r="E98" s="29"/>
      <c r="F98" s="29">
        <f t="shared" si="34"/>
        <v>0.77230769230769258</v>
      </c>
      <c r="G98" s="30">
        <f t="shared" si="35"/>
        <v>1.1824324324324675E-2</v>
      </c>
      <c r="H98" s="30">
        <f t="shared" si="36"/>
        <v>0.1</v>
      </c>
      <c r="I98" s="26">
        <f t="shared" si="44"/>
        <v>96</v>
      </c>
      <c r="J98" s="26">
        <f t="shared" si="37"/>
        <v>2835</v>
      </c>
      <c r="K98" s="26">
        <f t="shared" si="38"/>
        <v>960</v>
      </c>
      <c r="L98" s="26">
        <f t="shared" si="45"/>
        <v>97</v>
      </c>
      <c r="M98" s="26">
        <f t="shared" si="46"/>
        <v>863</v>
      </c>
      <c r="N98" s="42">
        <f t="shared" si="39"/>
        <v>1.231700450450487E-5</v>
      </c>
      <c r="O98" s="42"/>
      <c r="P98" s="26">
        <v>96</v>
      </c>
      <c r="Q98" s="26">
        <f t="shared" si="49"/>
        <v>10</v>
      </c>
      <c r="R98" s="29">
        <v>0.95</v>
      </c>
      <c r="S98" s="29">
        <f t="shared" si="40"/>
        <v>0.76923076923076927</v>
      </c>
      <c r="T98" s="26">
        <f t="shared" si="47"/>
        <v>96</v>
      </c>
      <c r="U98" s="26">
        <f t="shared" si="41"/>
        <v>287.99999999999955</v>
      </c>
      <c r="V98" s="30">
        <f t="shared" si="42"/>
        <v>0.8375634517766497</v>
      </c>
      <c r="W98" s="29"/>
      <c r="X98" s="29"/>
    </row>
    <row r="99" spans="2:24" x14ac:dyDescent="0.15">
      <c r="B99" s="26">
        <v>97</v>
      </c>
      <c r="C99" s="26">
        <f t="shared" si="48"/>
        <v>10</v>
      </c>
      <c r="D99" s="29">
        <f t="shared" si="43"/>
        <v>0.78000000000000036</v>
      </c>
      <c r="E99" s="29"/>
      <c r="F99" s="29">
        <f t="shared" si="34"/>
        <v>0.78200000000000025</v>
      </c>
      <c r="G99" s="30">
        <f t="shared" si="35"/>
        <v>-9.1743119266050055E-3</v>
      </c>
      <c r="H99" s="30">
        <f t="shared" si="36"/>
        <v>0.1</v>
      </c>
      <c r="I99" s="26">
        <f t="shared" si="44"/>
        <v>97</v>
      </c>
      <c r="J99" s="26">
        <f t="shared" si="37"/>
        <v>3035</v>
      </c>
      <c r="K99" s="26">
        <f t="shared" si="38"/>
        <v>970</v>
      </c>
      <c r="L99" s="26">
        <f t="shared" si="45"/>
        <v>98</v>
      </c>
      <c r="M99" s="26">
        <f t="shared" si="46"/>
        <v>872</v>
      </c>
      <c r="N99" s="42">
        <f t="shared" si="39"/>
        <v>-9.4580535325824805E-6</v>
      </c>
      <c r="O99" s="42"/>
      <c r="P99" s="26">
        <v>97</v>
      </c>
      <c r="Q99" s="26">
        <f t="shared" si="49"/>
        <v>10</v>
      </c>
      <c r="R99" s="29">
        <v>0.95</v>
      </c>
      <c r="S99" s="29">
        <f t="shared" si="40"/>
        <v>0.76923076923076927</v>
      </c>
      <c r="T99" s="26">
        <f t="shared" si="47"/>
        <v>97</v>
      </c>
      <c r="U99" s="26">
        <f t="shared" si="41"/>
        <v>290.9999999999996</v>
      </c>
      <c r="V99" s="30">
        <f t="shared" si="42"/>
        <v>0.83752093802345051</v>
      </c>
      <c r="W99" s="29"/>
      <c r="X99" s="29"/>
    </row>
    <row r="100" spans="2:24" x14ac:dyDescent="0.15">
      <c r="B100" s="26">
        <v>98</v>
      </c>
      <c r="C100" s="26">
        <f t="shared" si="48"/>
        <v>10</v>
      </c>
      <c r="D100" s="29">
        <f t="shared" si="43"/>
        <v>0.78500000000000036</v>
      </c>
      <c r="E100" s="29"/>
      <c r="F100" s="29">
        <f t="shared" si="34"/>
        <v>0.791769230769231</v>
      </c>
      <c r="G100" s="30">
        <f t="shared" si="35"/>
        <v>-3.2508311784262389E-2</v>
      </c>
      <c r="H100" s="30">
        <f t="shared" si="36"/>
        <v>0.1</v>
      </c>
      <c r="I100" s="26">
        <f t="shared" si="44"/>
        <v>98</v>
      </c>
      <c r="J100" s="26">
        <f t="shared" si="37"/>
        <v>3256</v>
      </c>
      <c r="K100" s="26">
        <f t="shared" si="38"/>
        <v>980</v>
      </c>
      <c r="L100" s="26">
        <f t="shared" si="45"/>
        <v>99</v>
      </c>
      <c r="M100" s="26">
        <f t="shared" si="46"/>
        <v>881</v>
      </c>
      <c r="N100" s="42">
        <f t="shared" si="39"/>
        <v>-3.3171746718635091E-5</v>
      </c>
      <c r="O100" s="42"/>
      <c r="P100" s="26">
        <v>98</v>
      </c>
      <c r="Q100" s="26">
        <f t="shared" si="49"/>
        <v>10</v>
      </c>
      <c r="R100" s="29">
        <v>0.95</v>
      </c>
      <c r="S100" s="29">
        <f t="shared" si="40"/>
        <v>0.76923076923076916</v>
      </c>
      <c r="T100" s="26">
        <f t="shared" si="47"/>
        <v>98</v>
      </c>
      <c r="U100" s="26">
        <f t="shared" si="41"/>
        <v>293.99999999999966</v>
      </c>
      <c r="V100" s="30">
        <f t="shared" si="42"/>
        <v>0.83747927031509128</v>
      </c>
      <c r="W100" s="29"/>
      <c r="X100" s="29"/>
    </row>
    <row r="101" spans="2:24" x14ac:dyDescent="0.15">
      <c r="B101" s="26">
        <v>99</v>
      </c>
      <c r="C101" s="26">
        <f t="shared" si="48"/>
        <v>10</v>
      </c>
      <c r="D101" s="29">
        <f t="shared" si="43"/>
        <v>0.79000000000000037</v>
      </c>
      <c r="E101" s="29"/>
      <c r="F101" s="29">
        <f t="shared" si="34"/>
        <v>0.80161538461538484</v>
      </c>
      <c r="G101" s="30">
        <f t="shared" si="35"/>
        <v>-5.854982551376442E-2</v>
      </c>
      <c r="H101" s="30">
        <f t="shared" si="36"/>
        <v>0.1</v>
      </c>
      <c r="I101" s="26">
        <f t="shared" si="44"/>
        <v>99</v>
      </c>
      <c r="J101" s="26">
        <f t="shared" si="37"/>
        <v>3502</v>
      </c>
      <c r="K101" s="26">
        <f t="shared" si="38"/>
        <v>990</v>
      </c>
      <c r="L101" s="26">
        <f t="shared" si="45"/>
        <v>100</v>
      </c>
      <c r="M101" s="26">
        <f t="shared" si="46"/>
        <v>890</v>
      </c>
      <c r="N101" s="42">
        <f t="shared" si="39"/>
        <v>-5.9141237892691333E-5</v>
      </c>
      <c r="O101" s="42"/>
      <c r="P101" s="26">
        <v>99</v>
      </c>
      <c r="Q101" s="26">
        <f t="shared" si="49"/>
        <v>10</v>
      </c>
      <c r="R101" s="29">
        <v>0.95</v>
      </c>
      <c r="S101" s="29">
        <f t="shared" si="40"/>
        <v>0.76923076923076927</v>
      </c>
      <c r="T101" s="26">
        <f t="shared" si="47"/>
        <v>99</v>
      </c>
      <c r="U101" s="26">
        <f t="shared" si="41"/>
        <v>296.99999999999972</v>
      </c>
      <c r="V101" s="30">
        <f t="shared" si="42"/>
        <v>0.83743842364532017</v>
      </c>
      <c r="W101" s="29"/>
      <c r="X101" s="29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4</vt:i4>
      </vt:variant>
    </vt:vector>
  </HeadingPairs>
  <TitlesOfParts>
    <vt:vector size="16" baseType="lpstr">
      <vt:lpstr>公式</vt:lpstr>
      <vt:lpstr>伤害减免</vt:lpstr>
      <vt:lpstr>职业闪避</vt:lpstr>
      <vt:lpstr>平衡</vt:lpstr>
      <vt:lpstr>职业</vt:lpstr>
      <vt:lpstr>装备</vt:lpstr>
      <vt:lpstr>装备名称</vt:lpstr>
      <vt:lpstr>装备明细</vt:lpstr>
      <vt:lpstr>npc基础</vt:lpstr>
      <vt:lpstr>基础怪物</vt:lpstr>
      <vt:lpstr>Sheet2</vt:lpstr>
      <vt:lpstr>职业分配</vt:lpstr>
      <vt:lpstr>baseBalance</vt:lpstr>
      <vt:lpstr>baseBalance2</vt:lpstr>
      <vt:lpstr>leagonDef</vt:lpstr>
      <vt:lpstr>weaponCO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2014-06-24T12:27:02Z</dcterms:modified>
</cp:coreProperties>
</file>