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</sheets>
  <functionGroups builtInGroupCount="18"/>
  <externalReferences>
    <externalReference r:id="rId3"/>
  </externalReferences>
  <definedNames>
    <definedName name="per">Sheet2!$S$4:$T$12</definedName>
    <definedName name="test1">Sheet2!$F$4:$N$195</definedName>
    <definedName name="test2">Sheet2!$A$67:$C$79</definedName>
    <definedName name="test3">Sheet2!$F$4:$P$195</definedName>
  </definedNames>
  <calcPr calcId="152511" calcMode="manual"/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3" i="1"/>
  <c r="P19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5" i="2"/>
  <c r="L23" i="2" l="1"/>
  <c r="L24" i="2"/>
  <c r="L25" i="2"/>
  <c r="N195" i="2" l="1"/>
  <c r="O195" i="2"/>
  <c r="O194" i="2" l="1"/>
  <c r="N194" i="2"/>
  <c r="L194" i="2"/>
  <c r="O193" i="2"/>
  <c r="N193" i="2"/>
  <c r="L193" i="2"/>
  <c r="O192" i="2"/>
  <c r="N192" i="2"/>
  <c r="L192" i="2"/>
  <c r="O191" i="2"/>
  <c r="N191" i="2"/>
  <c r="L191" i="2"/>
  <c r="O190" i="2"/>
  <c r="N190" i="2"/>
  <c r="L190" i="2"/>
  <c r="O189" i="2"/>
  <c r="N189" i="2"/>
  <c r="L189" i="2"/>
  <c r="O188" i="2"/>
  <c r="N188" i="2"/>
  <c r="L188" i="2"/>
  <c r="O187" i="2"/>
  <c r="N187" i="2"/>
  <c r="L187" i="2"/>
  <c r="O186" i="2"/>
  <c r="N186" i="2"/>
  <c r="L186" i="2"/>
  <c r="O185" i="2"/>
  <c r="N185" i="2"/>
  <c r="L185" i="2"/>
  <c r="O184" i="2"/>
  <c r="N184" i="2"/>
  <c r="L184" i="2"/>
  <c r="O183" i="2"/>
  <c r="N183" i="2"/>
  <c r="L183" i="2"/>
  <c r="O182" i="2"/>
  <c r="N182" i="2"/>
  <c r="L182" i="2"/>
  <c r="O181" i="2"/>
  <c r="N181" i="2"/>
  <c r="L181" i="2"/>
  <c r="O180" i="2"/>
  <c r="N180" i="2"/>
  <c r="L180" i="2"/>
  <c r="O179" i="2"/>
  <c r="N179" i="2"/>
  <c r="L179" i="2"/>
  <c r="O178" i="2"/>
  <c r="N178" i="2"/>
  <c r="L178" i="2"/>
  <c r="O177" i="2"/>
  <c r="N177" i="2"/>
  <c r="L177" i="2"/>
  <c r="O176" i="2"/>
  <c r="N176" i="2"/>
  <c r="L176" i="2"/>
  <c r="O175" i="2"/>
  <c r="N175" i="2"/>
  <c r="L175" i="2"/>
  <c r="O174" i="2"/>
  <c r="N174" i="2"/>
  <c r="L174" i="2"/>
  <c r="O173" i="2"/>
  <c r="N173" i="2"/>
  <c r="L173" i="2"/>
  <c r="O172" i="2"/>
  <c r="N172" i="2"/>
  <c r="L172" i="2"/>
  <c r="O171" i="2"/>
  <c r="N171" i="2"/>
  <c r="L171" i="2"/>
  <c r="O170" i="2"/>
  <c r="N170" i="2"/>
  <c r="L170" i="2"/>
  <c r="O169" i="2"/>
  <c r="N169" i="2"/>
  <c r="L169" i="2"/>
  <c r="O168" i="2"/>
  <c r="N168" i="2"/>
  <c r="L168" i="2"/>
  <c r="O167" i="2"/>
  <c r="N167" i="2"/>
  <c r="L167" i="2"/>
  <c r="O166" i="2"/>
  <c r="N166" i="2"/>
  <c r="L166" i="2"/>
  <c r="O165" i="2"/>
  <c r="N165" i="2"/>
  <c r="L165" i="2"/>
  <c r="O164" i="2"/>
  <c r="N164" i="2"/>
  <c r="L164" i="2"/>
  <c r="O163" i="2"/>
  <c r="N163" i="2"/>
  <c r="L163" i="2"/>
  <c r="O162" i="2"/>
  <c r="N162" i="2"/>
  <c r="L162" i="2"/>
  <c r="O161" i="2"/>
  <c r="N161" i="2"/>
  <c r="L161" i="2"/>
  <c r="O160" i="2"/>
  <c r="N160" i="2"/>
  <c r="L160" i="2"/>
  <c r="O159" i="2"/>
  <c r="N159" i="2"/>
  <c r="L159" i="2"/>
  <c r="O158" i="2"/>
  <c r="N158" i="2"/>
  <c r="L158" i="2"/>
  <c r="O157" i="2"/>
  <c r="N157" i="2"/>
  <c r="L157" i="2"/>
  <c r="O156" i="2"/>
  <c r="N156" i="2"/>
  <c r="L156" i="2"/>
  <c r="O155" i="2"/>
  <c r="N155" i="2"/>
  <c r="L155" i="2"/>
  <c r="O154" i="2"/>
  <c r="N154" i="2"/>
  <c r="L154" i="2"/>
  <c r="O153" i="2"/>
  <c r="N153" i="2"/>
  <c r="L153" i="2"/>
  <c r="O152" i="2"/>
  <c r="N152" i="2"/>
  <c r="L152" i="2"/>
  <c r="O151" i="2"/>
  <c r="N151" i="2"/>
  <c r="L151" i="2"/>
  <c r="O150" i="2"/>
  <c r="N150" i="2"/>
  <c r="L150" i="2"/>
  <c r="O149" i="2"/>
  <c r="N149" i="2"/>
  <c r="L149" i="2"/>
  <c r="O148" i="2"/>
  <c r="N148" i="2"/>
  <c r="L148" i="2"/>
  <c r="O147" i="2"/>
  <c r="N147" i="2"/>
  <c r="L147" i="2"/>
  <c r="O146" i="2"/>
  <c r="N146" i="2"/>
  <c r="L146" i="2"/>
  <c r="O145" i="2"/>
  <c r="N145" i="2"/>
  <c r="L145" i="2"/>
  <c r="O144" i="2"/>
  <c r="N144" i="2"/>
  <c r="L144" i="2"/>
  <c r="O143" i="2"/>
  <c r="N143" i="2"/>
  <c r="L143" i="2"/>
  <c r="O142" i="2"/>
  <c r="N142" i="2"/>
  <c r="L142" i="2"/>
  <c r="O141" i="2"/>
  <c r="N141" i="2"/>
  <c r="L141" i="2"/>
  <c r="O140" i="2"/>
  <c r="N140" i="2"/>
  <c r="L140" i="2"/>
  <c r="O139" i="2"/>
  <c r="N139" i="2"/>
  <c r="L139" i="2"/>
  <c r="O138" i="2"/>
  <c r="N138" i="2"/>
  <c r="L138" i="2"/>
  <c r="O137" i="2"/>
  <c r="N137" i="2"/>
  <c r="L137" i="2"/>
  <c r="O136" i="2"/>
  <c r="N136" i="2"/>
  <c r="L136" i="2"/>
  <c r="O135" i="2"/>
  <c r="N135" i="2"/>
  <c r="L135" i="2"/>
  <c r="O134" i="2"/>
  <c r="N134" i="2"/>
  <c r="L134" i="2"/>
  <c r="O133" i="2"/>
  <c r="N133" i="2"/>
  <c r="L133" i="2"/>
  <c r="O132" i="2"/>
  <c r="N132" i="2"/>
  <c r="L132" i="2"/>
  <c r="O131" i="2"/>
  <c r="N131" i="2"/>
  <c r="L131" i="2"/>
  <c r="O130" i="2"/>
  <c r="N130" i="2"/>
  <c r="L130" i="2"/>
  <c r="O129" i="2"/>
  <c r="N129" i="2"/>
  <c r="L129" i="2"/>
  <c r="O128" i="2"/>
  <c r="N128" i="2"/>
  <c r="L128" i="2"/>
  <c r="O127" i="2"/>
  <c r="N127" i="2"/>
  <c r="L127" i="2"/>
  <c r="O126" i="2"/>
  <c r="N126" i="2"/>
  <c r="L126" i="2"/>
  <c r="O125" i="2"/>
  <c r="N125" i="2"/>
  <c r="L125" i="2"/>
  <c r="O124" i="2"/>
  <c r="N124" i="2"/>
  <c r="L124" i="2"/>
  <c r="O123" i="2"/>
  <c r="N123" i="2"/>
  <c r="L123" i="2"/>
  <c r="O122" i="2"/>
  <c r="N122" i="2"/>
  <c r="L122" i="2"/>
  <c r="O121" i="2"/>
  <c r="N121" i="2"/>
  <c r="L121" i="2"/>
  <c r="O120" i="2"/>
  <c r="N120" i="2"/>
  <c r="L120" i="2"/>
  <c r="O119" i="2"/>
  <c r="N119" i="2"/>
  <c r="L119" i="2"/>
  <c r="O118" i="2"/>
  <c r="N118" i="2"/>
  <c r="L118" i="2"/>
  <c r="O117" i="2"/>
  <c r="N117" i="2"/>
  <c r="L117" i="2"/>
  <c r="O116" i="2"/>
  <c r="N116" i="2"/>
  <c r="L116" i="2"/>
  <c r="O115" i="2"/>
  <c r="N115" i="2"/>
  <c r="L115" i="2"/>
  <c r="O114" i="2"/>
  <c r="N114" i="2"/>
  <c r="L114" i="2"/>
  <c r="O113" i="2"/>
  <c r="N113" i="2"/>
  <c r="L113" i="2"/>
  <c r="O112" i="2"/>
  <c r="N112" i="2"/>
  <c r="L112" i="2"/>
  <c r="O111" i="2"/>
  <c r="N111" i="2"/>
  <c r="L111" i="2"/>
  <c r="O110" i="2"/>
  <c r="N110" i="2"/>
  <c r="L110" i="2"/>
  <c r="O109" i="2"/>
  <c r="N109" i="2"/>
  <c r="L109" i="2"/>
  <c r="O108" i="2"/>
  <c r="N108" i="2"/>
  <c r="L108" i="2"/>
  <c r="O107" i="2"/>
  <c r="N107" i="2"/>
  <c r="L107" i="2"/>
  <c r="O106" i="2"/>
  <c r="N106" i="2"/>
  <c r="L106" i="2"/>
  <c r="O105" i="2"/>
  <c r="N105" i="2"/>
  <c r="L105" i="2"/>
  <c r="O104" i="2"/>
  <c r="N104" i="2"/>
  <c r="L104" i="2"/>
  <c r="O103" i="2"/>
  <c r="N103" i="2"/>
  <c r="L103" i="2"/>
  <c r="O102" i="2"/>
  <c r="N102" i="2"/>
  <c r="L102" i="2"/>
  <c r="O101" i="2"/>
  <c r="N101" i="2"/>
  <c r="L101" i="2"/>
  <c r="O100" i="2"/>
  <c r="N100" i="2"/>
  <c r="L100" i="2"/>
  <c r="O99" i="2"/>
  <c r="N99" i="2"/>
  <c r="L99" i="2"/>
  <c r="O98" i="2"/>
  <c r="N98" i="2"/>
  <c r="L98" i="2"/>
  <c r="O97" i="2"/>
  <c r="N97" i="2"/>
  <c r="L97" i="2"/>
  <c r="O96" i="2"/>
  <c r="N96" i="2"/>
  <c r="L96" i="2"/>
  <c r="O95" i="2"/>
  <c r="N95" i="2"/>
  <c r="L95" i="2"/>
  <c r="O94" i="2"/>
  <c r="N94" i="2"/>
  <c r="L94" i="2"/>
  <c r="O93" i="2"/>
  <c r="N93" i="2"/>
  <c r="L93" i="2"/>
  <c r="O92" i="2"/>
  <c r="N92" i="2"/>
  <c r="L92" i="2"/>
  <c r="O91" i="2"/>
  <c r="N91" i="2"/>
  <c r="L91" i="2"/>
  <c r="O90" i="2"/>
  <c r="N90" i="2"/>
  <c r="L90" i="2"/>
  <c r="O89" i="2"/>
  <c r="N89" i="2"/>
  <c r="L89" i="2"/>
  <c r="O88" i="2"/>
  <c r="N88" i="2"/>
  <c r="L88" i="2"/>
  <c r="O87" i="2"/>
  <c r="N87" i="2"/>
  <c r="L87" i="2"/>
  <c r="O86" i="2"/>
  <c r="N86" i="2"/>
  <c r="L86" i="2"/>
  <c r="O85" i="2"/>
  <c r="N85" i="2"/>
  <c r="L85" i="2"/>
  <c r="O84" i="2"/>
  <c r="N84" i="2"/>
  <c r="L84" i="2"/>
  <c r="O83" i="2"/>
  <c r="N83" i="2"/>
  <c r="L83" i="2"/>
  <c r="O82" i="2"/>
  <c r="N82" i="2"/>
  <c r="L82" i="2"/>
  <c r="O81" i="2"/>
  <c r="N81" i="2"/>
  <c r="L81" i="2"/>
  <c r="O80" i="2"/>
  <c r="N80" i="2"/>
  <c r="L80" i="2"/>
  <c r="O79" i="2"/>
  <c r="N79" i="2"/>
  <c r="L79" i="2"/>
  <c r="O78" i="2"/>
  <c r="N78" i="2"/>
  <c r="L78" i="2"/>
  <c r="O77" i="2"/>
  <c r="N77" i="2"/>
  <c r="L77" i="2"/>
  <c r="O76" i="2"/>
  <c r="N76" i="2"/>
  <c r="L76" i="2"/>
  <c r="O75" i="2"/>
  <c r="N75" i="2"/>
  <c r="L75" i="2"/>
  <c r="O74" i="2"/>
  <c r="N74" i="2"/>
  <c r="L74" i="2"/>
  <c r="O73" i="2"/>
  <c r="N73" i="2"/>
  <c r="L73" i="2"/>
  <c r="O72" i="2"/>
  <c r="N72" i="2"/>
  <c r="L72" i="2"/>
  <c r="O71" i="2"/>
  <c r="N71" i="2"/>
  <c r="L71" i="2"/>
  <c r="O70" i="2"/>
  <c r="N70" i="2"/>
  <c r="L70" i="2"/>
  <c r="O69" i="2"/>
  <c r="N69" i="2"/>
  <c r="L69" i="2"/>
  <c r="O68" i="2"/>
  <c r="N68" i="2"/>
  <c r="L68" i="2"/>
  <c r="O67" i="2"/>
  <c r="N67" i="2"/>
  <c r="L67" i="2"/>
  <c r="O66" i="2"/>
  <c r="N66" i="2"/>
  <c r="L66" i="2"/>
  <c r="O65" i="2"/>
  <c r="N65" i="2"/>
  <c r="L65" i="2"/>
  <c r="O64" i="2"/>
  <c r="N64" i="2"/>
  <c r="L64" i="2"/>
  <c r="O63" i="2"/>
  <c r="N63" i="2"/>
  <c r="L63" i="2"/>
  <c r="O62" i="2"/>
  <c r="N62" i="2"/>
  <c r="L62" i="2"/>
  <c r="O61" i="2"/>
  <c r="N61" i="2"/>
  <c r="L61" i="2"/>
  <c r="O60" i="2"/>
  <c r="N60" i="2"/>
  <c r="L60" i="2"/>
  <c r="O59" i="2"/>
  <c r="N59" i="2"/>
  <c r="L59" i="2"/>
  <c r="O58" i="2"/>
  <c r="N58" i="2"/>
  <c r="L58" i="2"/>
  <c r="O57" i="2"/>
  <c r="N57" i="2"/>
  <c r="L57" i="2"/>
  <c r="O56" i="2"/>
  <c r="N56" i="2"/>
  <c r="L56" i="2"/>
  <c r="O55" i="2"/>
  <c r="N55" i="2"/>
  <c r="L55" i="2"/>
  <c r="O54" i="2"/>
  <c r="N54" i="2"/>
  <c r="L54" i="2"/>
  <c r="O53" i="2"/>
  <c r="N53" i="2"/>
  <c r="L53" i="2"/>
  <c r="O52" i="2"/>
  <c r="N52" i="2"/>
  <c r="L52" i="2"/>
  <c r="O51" i="2"/>
  <c r="N51" i="2"/>
  <c r="L51" i="2"/>
  <c r="O50" i="2"/>
  <c r="N50" i="2"/>
  <c r="L50" i="2"/>
  <c r="O49" i="2"/>
  <c r="N49" i="2"/>
  <c r="L49" i="2"/>
  <c r="O48" i="2"/>
  <c r="N48" i="2"/>
  <c r="L48" i="2"/>
  <c r="O47" i="2"/>
  <c r="N47" i="2"/>
  <c r="L47" i="2"/>
  <c r="O46" i="2"/>
  <c r="N46" i="2"/>
  <c r="L46" i="2"/>
  <c r="O45" i="2"/>
  <c r="N45" i="2"/>
  <c r="L45" i="2"/>
  <c r="O44" i="2"/>
  <c r="N44" i="2"/>
  <c r="L44" i="2"/>
  <c r="O43" i="2"/>
  <c r="N43" i="2"/>
  <c r="L43" i="2"/>
  <c r="O42" i="2"/>
  <c r="N42" i="2"/>
  <c r="L42" i="2"/>
  <c r="O41" i="2"/>
  <c r="N41" i="2"/>
  <c r="L41" i="2"/>
  <c r="O40" i="2"/>
  <c r="N40" i="2"/>
  <c r="L40" i="2"/>
  <c r="O39" i="2"/>
  <c r="N39" i="2"/>
  <c r="L39" i="2"/>
  <c r="O38" i="2"/>
  <c r="N38" i="2"/>
  <c r="L38" i="2"/>
  <c r="O37" i="2"/>
  <c r="N37" i="2"/>
  <c r="L37" i="2"/>
  <c r="O36" i="2"/>
  <c r="N36" i="2"/>
  <c r="L36" i="2"/>
  <c r="O35" i="2"/>
  <c r="N35" i="2"/>
  <c r="L35" i="2"/>
  <c r="O34" i="2"/>
  <c r="N34" i="2"/>
  <c r="L34" i="2"/>
  <c r="O33" i="2"/>
  <c r="N33" i="2"/>
  <c r="L33" i="2"/>
  <c r="O32" i="2"/>
  <c r="N32" i="2"/>
  <c r="L32" i="2"/>
  <c r="O31" i="2"/>
  <c r="N31" i="2"/>
  <c r="L31" i="2"/>
  <c r="O30" i="2"/>
  <c r="N30" i="2"/>
  <c r="L30" i="2"/>
  <c r="O29" i="2"/>
  <c r="N29" i="2"/>
  <c r="L29" i="2"/>
  <c r="O28" i="2"/>
  <c r="N28" i="2"/>
  <c r="L28" i="2"/>
  <c r="O27" i="2"/>
  <c r="N27" i="2"/>
  <c r="L27" i="2"/>
  <c r="O26" i="2"/>
  <c r="N26" i="2"/>
  <c r="L26" i="2"/>
  <c r="O25" i="2"/>
  <c r="N25" i="2"/>
  <c r="O24" i="2"/>
  <c r="N24" i="2"/>
  <c r="O23" i="2"/>
  <c r="N23" i="2"/>
  <c r="O22" i="2"/>
  <c r="N22" i="2"/>
  <c r="L22" i="2"/>
  <c r="O21" i="2"/>
  <c r="N21" i="2"/>
  <c r="L21" i="2"/>
  <c r="O20" i="2"/>
  <c r="N20" i="2"/>
  <c r="L20" i="2"/>
  <c r="O19" i="2"/>
  <c r="N19" i="2"/>
  <c r="L19" i="2"/>
  <c r="O18" i="2"/>
  <c r="N18" i="2"/>
  <c r="L18" i="2"/>
  <c r="O17" i="2"/>
  <c r="N17" i="2"/>
  <c r="L17" i="2"/>
  <c r="O16" i="2"/>
  <c r="N16" i="2"/>
  <c r="L16" i="2"/>
  <c r="O15" i="2"/>
  <c r="N15" i="2"/>
  <c r="L15" i="2"/>
  <c r="O14" i="2"/>
  <c r="N14" i="2"/>
  <c r="L14" i="2"/>
  <c r="O13" i="2"/>
  <c r="N13" i="2"/>
  <c r="L13" i="2"/>
  <c r="O12" i="2"/>
  <c r="N12" i="2"/>
  <c r="L12" i="2"/>
  <c r="O11" i="2"/>
  <c r="N11" i="2"/>
  <c r="L11" i="2"/>
  <c r="O10" i="2"/>
  <c r="N10" i="2"/>
  <c r="L10" i="2"/>
  <c r="O9" i="2"/>
  <c r="N9" i="2"/>
  <c r="L9" i="2"/>
  <c r="O8" i="2"/>
  <c r="N8" i="2"/>
  <c r="L8" i="2"/>
  <c r="O7" i="2"/>
  <c r="N7" i="2"/>
  <c r="L7" i="2"/>
  <c r="O6" i="2"/>
  <c r="N6" i="2"/>
  <c r="L6" i="2"/>
  <c r="O5" i="2"/>
  <c r="N5" i="2"/>
  <c r="L5" i="2"/>
  <c r="B3" i="1" l="1"/>
  <c r="B4" i="1" l="1"/>
  <c r="B5" i="1" l="1"/>
  <c r="B6" i="1" l="1"/>
  <c r="B7" i="1" l="1"/>
  <c r="B8" i="1" l="1"/>
  <c r="B9" i="1" l="1"/>
  <c r="C6" i="1"/>
  <c r="G6" i="1" l="1"/>
  <c r="D6" i="1"/>
  <c r="F6" i="1"/>
  <c r="E6" i="1"/>
  <c r="B10" i="1"/>
  <c r="C3" i="1"/>
  <c r="C7" i="1"/>
  <c r="C11" i="1"/>
  <c r="C8" i="1"/>
  <c r="C4" i="1"/>
  <c r="C9" i="1"/>
  <c r="C5" i="1"/>
  <c r="C10" i="1"/>
  <c r="I6" i="1"/>
  <c r="J6" i="1"/>
  <c r="N6" i="1"/>
  <c r="L6" i="1"/>
  <c r="P6" i="1"/>
  <c r="G5" i="1" l="1"/>
  <c r="F5" i="1"/>
  <c r="E5" i="1"/>
  <c r="D5" i="1"/>
  <c r="G9" i="1"/>
  <c r="D9" i="1"/>
  <c r="F9" i="1"/>
  <c r="E9" i="1"/>
  <c r="G7" i="1"/>
  <c r="F7" i="1"/>
  <c r="E7" i="1"/>
  <c r="D7" i="1"/>
  <c r="G4" i="1"/>
  <c r="D4" i="1"/>
  <c r="F4" i="1"/>
  <c r="E4" i="1"/>
  <c r="G3" i="1"/>
  <c r="D3" i="1"/>
  <c r="F3" i="1"/>
  <c r="E3" i="1"/>
  <c r="G11" i="1"/>
  <c r="E11" i="1"/>
  <c r="D11" i="1"/>
  <c r="F11" i="1"/>
  <c r="G10" i="1"/>
  <c r="E10" i="1"/>
  <c r="D10" i="1"/>
  <c r="F10" i="1"/>
  <c r="G8" i="1"/>
  <c r="D8" i="1"/>
  <c r="F8" i="1"/>
  <c r="E8" i="1"/>
  <c r="B11" i="1"/>
  <c r="C13" i="1"/>
  <c r="C15" i="1"/>
  <c r="C17" i="1"/>
  <c r="C18" i="1"/>
  <c r="C19" i="1"/>
  <c r="C22" i="1"/>
  <c r="C12" i="1"/>
  <c r="I9" i="1"/>
  <c r="I11" i="1"/>
  <c r="L9" i="1"/>
  <c r="N11" i="1"/>
  <c r="I7" i="1"/>
  <c r="I10" i="1"/>
  <c r="L10" i="1" s="1"/>
  <c r="N9" i="1"/>
  <c r="J7" i="1"/>
  <c r="L11" i="1"/>
  <c r="N10" i="1"/>
  <c r="I4" i="1"/>
  <c r="I8" i="1"/>
  <c r="P9" i="1"/>
  <c r="L7" i="1"/>
  <c r="P4" i="1"/>
  <c r="J11" i="1"/>
  <c r="J10" i="1"/>
  <c r="L8" i="1"/>
  <c r="I5" i="1"/>
  <c r="I3" i="1"/>
  <c r="N5" i="1"/>
  <c r="J9" i="1"/>
  <c r="J4" i="1"/>
  <c r="L3" i="1"/>
  <c r="P11" i="1"/>
  <c r="P10" i="1"/>
  <c r="J8" i="1"/>
  <c r="P7" i="1"/>
  <c r="N7" i="1"/>
  <c r="L4" i="1"/>
  <c r="N4" i="1"/>
  <c r="N8" i="1"/>
  <c r="P8" i="1"/>
  <c r="P5" i="1"/>
  <c r="L5" i="1"/>
  <c r="J5" i="1"/>
  <c r="P3" i="1"/>
  <c r="J3" i="1"/>
  <c r="N3" i="1"/>
  <c r="G12" i="1" l="1"/>
  <c r="D12" i="1"/>
  <c r="F12" i="1"/>
  <c r="E12" i="1"/>
  <c r="G17" i="1"/>
  <c r="E17" i="1"/>
  <c r="F17" i="1"/>
  <c r="D17" i="1"/>
  <c r="G22" i="1"/>
  <c r="F22" i="1"/>
  <c r="D22" i="1"/>
  <c r="E22" i="1"/>
  <c r="G15" i="1"/>
  <c r="D15" i="1"/>
  <c r="F15" i="1"/>
  <c r="E15" i="1"/>
  <c r="G18" i="1"/>
  <c r="D18" i="1"/>
  <c r="F18" i="1"/>
  <c r="E18" i="1"/>
  <c r="G19" i="1"/>
  <c r="E19" i="1"/>
  <c r="D19" i="1"/>
  <c r="F19" i="1"/>
  <c r="G13" i="1"/>
  <c r="D13" i="1"/>
  <c r="E13" i="1"/>
  <c r="F13" i="1"/>
  <c r="B12" i="1"/>
  <c r="C14" i="1"/>
  <c r="C138" i="1"/>
  <c r="C279" i="1"/>
  <c r="C28" i="1"/>
  <c r="C20" i="1"/>
  <c r="C16" i="1"/>
  <c r="C290" i="1"/>
  <c r="C283" i="1"/>
  <c r="C278" i="1"/>
  <c r="C274" i="1"/>
  <c r="C298" i="1"/>
  <c r="C286" i="1"/>
  <c r="C284" i="1"/>
  <c r="C288" i="1"/>
  <c r="C282" i="1"/>
  <c r="C276" i="1"/>
  <c r="C24" i="1"/>
  <c r="C294" i="1"/>
  <c r="C287" i="1"/>
  <c r="C273" i="1"/>
  <c r="C292" i="1"/>
  <c r="C280" i="1"/>
  <c r="C289" i="1"/>
  <c r="C154" i="1"/>
  <c r="C285" i="1"/>
  <c r="C150" i="1"/>
  <c r="C281" i="1"/>
  <c r="C146" i="1"/>
  <c r="C142" i="1"/>
  <c r="C157" i="1"/>
  <c r="C153" i="1"/>
  <c r="C149" i="1"/>
  <c r="C145" i="1"/>
  <c r="C141" i="1"/>
  <c r="C152" i="1"/>
  <c r="C148" i="1"/>
  <c r="C144" i="1"/>
  <c r="C275" i="1"/>
  <c r="C140" i="1"/>
  <c r="C163" i="1"/>
  <c r="C159" i="1"/>
  <c r="C155" i="1"/>
  <c r="C151" i="1"/>
  <c r="C147" i="1"/>
  <c r="C143" i="1"/>
  <c r="C139" i="1"/>
  <c r="I17" i="1"/>
  <c r="I18" i="1"/>
  <c r="L17" i="1"/>
  <c r="J18" i="1"/>
  <c r="I15" i="1"/>
  <c r="N15" i="1" s="1"/>
  <c r="N17" i="1"/>
  <c r="L18" i="1"/>
  <c r="J15" i="1"/>
  <c r="I19" i="1"/>
  <c r="P17" i="1"/>
  <c r="P18" i="1"/>
  <c r="I22" i="1"/>
  <c r="P15" i="1"/>
  <c r="I13" i="1"/>
  <c r="J17" i="1"/>
  <c r="J13" i="1"/>
  <c r="N18" i="1"/>
  <c r="I12" i="1"/>
  <c r="P12" i="1"/>
  <c r="N22" i="1"/>
  <c r="N19" i="1"/>
  <c r="L15" i="1"/>
  <c r="L19" i="1"/>
  <c r="J19" i="1"/>
  <c r="P19" i="1"/>
  <c r="L22" i="1"/>
  <c r="J22" i="1"/>
  <c r="P22" i="1"/>
  <c r="N13" i="1"/>
  <c r="L13" i="1"/>
  <c r="P13" i="1"/>
  <c r="J12" i="1"/>
  <c r="L12" i="1"/>
  <c r="N12" i="1"/>
  <c r="G145" i="1" l="1"/>
  <c r="E145" i="1"/>
  <c r="D145" i="1"/>
  <c r="F145" i="1"/>
  <c r="G285" i="1"/>
  <c r="F285" i="1"/>
  <c r="E285" i="1"/>
  <c r="D285" i="1"/>
  <c r="G278" i="1"/>
  <c r="F278" i="1"/>
  <c r="E278" i="1"/>
  <c r="D278" i="1"/>
  <c r="G14" i="1"/>
  <c r="D14" i="1"/>
  <c r="E14" i="1"/>
  <c r="F14" i="1"/>
  <c r="G147" i="1"/>
  <c r="F147" i="1"/>
  <c r="E147" i="1"/>
  <c r="D147" i="1"/>
  <c r="G163" i="1"/>
  <c r="E163" i="1"/>
  <c r="D163" i="1"/>
  <c r="F163" i="1"/>
  <c r="G148" i="1"/>
  <c r="E148" i="1"/>
  <c r="F148" i="1"/>
  <c r="D148" i="1"/>
  <c r="G149" i="1"/>
  <c r="D149" i="1"/>
  <c r="E149" i="1"/>
  <c r="F149" i="1"/>
  <c r="G146" i="1"/>
  <c r="D146" i="1"/>
  <c r="F146" i="1"/>
  <c r="E146" i="1"/>
  <c r="G154" i="1"/>
  <c r="F154" i="1"/>
  <c r="E154" i="1"/>
  <c r="D154" i="1"/>
  <c r="G273" i="1"/>
  <c r="E273" i="1"/>
  <c r="F273" i="1"/>
  <c r="D273" i="1"/>
  <c r="G276" i="1"/>
  <c r="D276" i="1"/>
  <c r="E276" i="1"/>
  <c r="F276" i="1"/>
  <c r="G286" i="1"/>
  <c r="D286" i="1"/>
  <c r="F286" i="1"/>
  <c r="E286" i="1"/>
  <c r="G283" i="1"/>
  <c r="F283" i="1"/>
  <c r="D283" i="1"/>
  <c r="E283" i="1"/>
  <c r="G28" i="1"/>
  <c r="E28" i="1"/>
  <c r="D28" i="1"/>
  <c r="F28" i="1"/>
  <c r="G144" i="1"/>
  <c r="E144" i="1"/>
  <c r="F144" i="1"/>
  <c r="D144" i="1"/>
  <c r="G292" i="1"/>
  <c r="E292" i="1"/>
  <c r="F292" i="1"/>
  <c r="D292" i="1"/>
  <c r="G151" i="1"/>
  <c r="D151" i="1"/>
  <c r="F151" i="1"/>
  <c r="E151" i="1"/>
  <c r="G140" i="1"/>
  <c r="D140" i="1"/>
  <c r="F140" i="1"/>
  <c r="E140" i="1"/>
  <c r="G152" i="1"/>
  <c r="F152" i="1"/>
  <c r="E152" i="1"/>
  <c r="D152" i="1"/>
  <c r="G153" i="1"/>
  <c r="E153" i="1"/>
  <c r="D153" i="1"/>
  <c r="F153" i="1"/>
  <c r="G281" i="1"/>
  <c r="E281" i="1"/>
  <c r="F281" i="1"/>
  <c r="D281" i="1"/>
  <c r="G289" i="1"/>
  <c r="D289" i="1"/>
  <c r="E289" i="1"/>
  <c r="F289" i="1"/>
  <c r="G287" i="1"/>
  <c r="D287" i="1"/>
  <c r="E287" i="1"/>
  <c r="F287" i="1"/>
  <c r="G282" i="1"/>
  <c r="D282" i="1"/>
  <c r="F282" i="1"/>
  <c r="E282" i="1"/>
  <c r="G298" i="1"/>
  <c r="D298" i="1"/>
  <c r="F298" i="1"/>
  <c r="E298" i="1"/>
  <c r="G290" i="1"/>
  <c r="F290" i="1"/>
  <c r="D290" i="1"/>
  <c r="E290" i="1"/>
  <c r="G279" i="1"/>
  <c r="F279" i="1"/>
  <c r="E279" i="1"/>
  <c r="D279" i="1"/>
  <c r="G143" i="1"/>
  <c r="D143" i="1"/>
  <c r="F143" i="1"/>
  <c r="E143" i="1"/>
  <c r="G142" i="1"/>
  <c r="D142" i="1"/>
  <c r="F142" i="1"/>
  <c r="E142" i="1"/>
  <c r="G24" i="1"/>
  <c r="D24" i="1"/>
  <c r="F24" i="1"/>
  <c r="E24" i="1"/>
  <c r="G20" i="1"/>
  <c r="E20" i="1"/>
  <c r="D20" i="1"/>
  <c r="F20" i="1"/>
  <c r="G139" i="1"/>
  <c r="E139" i="1"/>
  <c r="D139" i="1"/>
  <c r="F139" i="1"/>
  <c r="G155" i="1"/>
  <c r="E155" i="1"/>
  <c r="F155" i="1"/>
  <c r="D155" i="1"/>
  <c r="G275" i="1"/>
  <c r="F275" i="1"/>
  <c r="D275" i="1"/>
  <c r="E275" i="1"/>
  <c r="G141" i="1"/>
  <c r="D141" i="1"/>
  <c r="E141" i="1"/>
  <c r="F141" i="1"/>
  <c r="G157" i="1"/>
  <c r="D157" i="1"/>
  <c r="F157" i="1"/>
  <c r="E157" i="1"/>
  <c r="G150" i="1"/>
  <c r="D150" i="1"/>
  <c r="F150" i="1"/>
  <c r="E150" i="1"/>
  <c r="G280" i="1"/>
  <c r="F280" i="1"/>
  <c r="E280" i="1"/>
  <c r="D280" i="1"/>
  <c r="G294" i="1"/>
  <c r="F294" i="1"/>
  <c r="E294" i="1"/>
  <c r="D294" i="1"/>
  <c r="G288" i="1"/>
  <c r="E288" i="1"/>
  <c r="F288" i="1"/>
  <c r="D288" i="1"/>
  <c r="G274" i="1"/>
  <c r="E274" i="1"/>
  <c r="F274" i="1"/>
  <c r="D274" i="1"/>
  <c r="G16" i="1"/>
  <c r="E16" i="1"/>
  <c r="D16" i="1"/>
  <c r="F16" i="1"/>
  <c r="G138" i="1"/>
  <c r="D138" i="1"/>
  <c r="E138" i="1"/>
  <c r="F138" i="1"/>
  <c r="G159" i="1"/>
  <c r="F159" i="1"/>
  <c r="E159" i="1"/>
  <c r="D159" i="1"/>
  <c r="G284" i="1"/>
  <c r="D284" i="1"/>
  <c r="F284" i="1"/>
  <c r="E284" i="1"/>
  <c r="B13" i="1"/>
  <c r="C21" i="1"/>
  <c r="C37" i="1"/>
  <c r="C29" i="1"/>
  <c r="C31" i="1"/>
  <c r="C277" i="1"/>
  <c r="C33" i="1"/>
  <c r="C26" i="1"/>
  <c r="C27" i="1"/>
  <c r="C23" i="1"/>
  <c r="C32" i="1"/>
  <c r="C25" i="1"/>
  <c r="I145" i="1"/>
  <c r="I147" i="1"/>
  <c r="I146" i="1"/>
  <c r="I286" i="1"/>
  <c r="I292" i="1"/>
  <c r="I153" i="1"/>
  <c r="I282" i="1"/>
  <c r="I143" i="1"/>
  <c r="I139" i="1"/>
  <c r="I16" i="1"/>
  <c r="I141" i="1"/>
  <c r="I294" i="1"/>
  <c r="P145" i="1"/>
  <c r="J147" i="1"/>
  <c r="L146" i="1"/>
  <c r="L286" i="1"/>
  <c r="P292" i="1"/>
  <c r="L153" i="1"/>
  <c r="N282" i="1"/>
  <c r="J143" i="1"/>
  <c r="N139" i="1"/>
  <c r="J16" i="1"/>
  <c r="L141" i="1"/>
  <c r="L294" i="1"/>
  <c r="I149" i="1"/>
  <c r="N149" i="1" s="1"/>
  <c r="I152" i="1"/>
  <c r="N152" i="1" s="1"/>
  <c r="I20" i="1"/>
  <c r="P20" i="1" s="1"/>
  <c r="I284" i="1"/>
  <c r="L284" i="1" s="1"/>
  <c r="N145" i="1"/>
  <c r="P147" i="1"/>
  <c r="P146" i="1"/>
  <c r="J292" i="1"/>
  <c r="J153" i="1"/>
  <c r="L282" i="1"/>
  <c r="L143" i="1"/>
  <c r="N20" i="1"/>
  <c r="P284" i="1"/>
  <c r="I285" i="1"/>
  <c r="N285" i="1" s="1"/>
  <c r="I163" i="1"/>
  <c r="J163" i="1" s="1"/>
  <c r="I154" i="1"/>
  <c r="I283" i="1"/>
  <c r="I151" i="1"/>
  <c r="P151" i="1" s="1"/>
  <c r="I281" i="1"/>
  <c r="P281" i="1" s="1"/>
  <c r="I298" i="1"/>
  <c r="P298" i="1" s="1"/>
  <c r="I142" i="1"/>
  <c r="N142" i="1" s="1"/>
  <c r="I157" i="1"/>
  <c r="I275" i="1"/>
  <c r="I288" i="1"/>
  <c r="I138" i="1"/>
  <c r="L145" i="1"/>
  <c r="J285" i="1"/>
  <c r="L147" i="1"/>
  <c r="L163" i="1"/>
  <c r="J149" i="1"/>
  <c r="N146" i="1"/>
  <c r="L154" i="1"/>
  <c r="N286" i="1"/>
  <c r="P283" i="1"/>
  <c r="L292" i="1"/>
  <c r="L151" i="1"/>
  <c r="L152" i="1"/>
  <c r="N153" i="1"/>
  <c r="N281" i="1"/>
  <c r="J282" i="1"/>
  <c r="J298" i="1"/>
  <c r="N143" i="1"/>
  <c r="J142" i="1"/>
  <c r="J20" i="1"/>
  <c r="J139" i="1"/>
  <c r="P157" i="1"/>
  <c r="N16" i="1"/>
  <c r="P275" i="1"/>
  <c r="N284" i="1"/>
  <c r="P141" i="1"/>
  <c r="P288" i="1"/>
  <c r="J294" i="1"/>
  <c r="P138" i="1"/>
  <c r="I278" i="1"/>
  <c r="I148" i="1"/>
  <c r="I28" i="1"/>
  <c r="I140" i="1"/>
  <c r="I289" i="1"/>
  <c r="I290" i="1"/>
  <c r="I24" i="1"/>
  <c r="I150" i="1"/>
  <c r="I159" i="1"/>
  <c r="J145" i="1"/>
  <c r="P278" i="1"/>
  <c r="N147" i="1"/>
  <c r="N148" i="1"/>
  <c r="L149" i="1"/>
  <c r="J154" i="1"/>
  <c r="J286" i="1"/>
  <c r="J283" i="1"/>
  <c r="N292" i="1"/>
  <c r="N140" i="1"/>
  <c r="P153" i="1"/>
  <c r="J281" i="1"/>
  <c r="L298" i="1"/>
  <c r="P142" i="1"/>
  <c r="J24" i="1"/>
  <c r="L139" i="1"/>
  <c r="L150" i="1"/>
  <c r="J275" i="1"/>
  <c r="J284" i="1"/>
  <c r="N288" i="1"/>
  <c r="P294" i="1"/>
  <c r="I14" i="1"/>
  <c r="I144" i="1"/>
  <c r="I279" i="1"/>
  <c r="I273" i="1"/>
  <c r="I274" i="1"/>
  <c r="P285" i="1"/>
  <c r="P163" i="1"/>
  <c r="J146" i="1"/>
  <c r="L28" i="1"/>
  <c r="J151" i="1"/>
  <c r="J152" i="1"/>
  <c r="P289" i="1"/>
  <c r="P282" i="1"/>
  <c r="L290" i="1"/>
  <c r="P143" i="1"/>
  <c r="L20" i="1"/>
  <c r="J157" i="1"/>
  <c r="L16" i="1"/>
  <c r="L274" i="1"/>
  <c r="J141" i="1"/>
  <c r="N159" i="1"/>
  <c r="L138" i="1"/>
  <c r="I276" i="1"/>
  <c r="I287" i="1"/>
  <c r="I280" i="1"/>
  <c r="I155" i="1"/>
  <c r="L285" i="1"/>
  <c r="P14" i="1"/>
  <c r="N163" i="1"/>
  <c r="P149" i="1"/>
  <c r="L273" i="1"/>
  <c r="P286" i="1"/>
  <c r="J28" i="1"/>
  <c r="L144" i="1"/>
  <c r="N151" i="1"/>
  <c r="P152" i="1"/>
  <c r="L281" i="1"/>
  <c r="N287" i="1"/>
  <c r="N298" i="1"/>
  <c r="L279" i="1"/>
  <c r="L142" i="1"/>
  <c r="P139" i="1"/>
  <c r="N150" i="1"/>
  <c r="P16" i="1"/>
  <c r="J274" i="1"/>
  <c r="N141" i="1"/>
  <c r="P159" i="1"/>
  <c r="N294" i="1"/>
  <c r="P154" i="1"/>
  <c r="N154" i="1"/>
  <c r="N283" i="1"/>
  <c r="L283" i="1"/>
  <c r="N157" i="1"/>
  <c r="L157" i="1"/>
  <c r="N275" i="1"/>
  <c r="L275" i="1"/>
  <c r="L288" i="1"/>
  <c r="J288" i="1"/>
  <c r="J138" i="1"/>
  <c r="N138" i="1"/>
  <c r="N278" i="1"/>
  <c r="J278" i="1"/>
  <c r="L278" i="1"/>
  <c r="J148" i="1"/>
  <c r="L148" i="1"/>
  <c r="P148" i="1"/>
  <c r="P28" i="1"/>
  <c r="N28" i="1"/>
  <c r="J140" i="1"/>
  <c r="P140" i="1"/>
  <c r="L140" i="1"/>
  <c r="J289" i="1"/>
  <c r="N289" i="1"/>
  <c r="L289" i="1"/>
  <c r="J290" i="1"/>
  <c r="P290" i="1"/>
  <c r="N290" i="1"/>
  <c r="P24" i="1"/>
  <c r="N24" i="1"/>
  <c r="L24" i="1"/>
  <c r="J150" i="1"/>
  <c r="P150" i="1"/>
  <c r="L159" i="1"/>
  <c r="J159" i="1"/>
  <c r="L14" i="1"/>
  <c r="N14" i="1"/>
  <c r="J14" i="1"/>
  <c r="J144" i="1"/>
  <c r="N144" i="1"/>
  <c r="P144" i="1"/>
  <c r="J279" i="1"/>
  <c r="N279" i="1"/>
  <c r="P279" i="1"/>
  <c r="J273" i="1"/>
  <c r="P273" i="1"/>
  <c r="N273" i="1"/>
  <c r="N274" i="1"/>
  <c r="P274" i="1"/>
  <c r="N276" i="1"/>
  <c r="P276" i="1"/>
  <c r="J276" i="1"/>
  <c r="L276" i="1"/>
  <c r="J287" i="1"/>
  <c r="L287" i="1"/>
  <c r="P287" i="1"/>
  <c r="J280" i="1"/>
  <c r="L280" i="1"/>
  <c r="P280" i="1"/>
  <c r="N280" i="1"/>
  <c r="J155" i="1"/>
  <c r="L155" i="1"/>
  <c r="P155" i="1"/>
  <c r="N155" i="1"/>
  <c r="G277" i="1" l="1"/>
  <c r="E277" i="1"/>
  <c r="D277" i="1"/>
  <c r="F277" i="1"/>
  <c r="G27" i="1"/>
  <c r="E27" i="1"/>
  <c r="D27" i="1"/>
  <c r="F27" i="1"/>
  <c r="G31" i="1"/>
  <c r="D31" i="1"/>
  <c r="F31" i="1"/>
  <c r="E31" i="1"/>
  <c r="G23" i="1"/>
  <c r="F23" i="1"/>
  <c r="E23" i="1"/>
  <c r="D23" i="1"/>
  <c r="G25" i="1"/>
  <c r="D25" i="1"/>
  <c r="F25" i="1"/>
  <c r="E25" i="1"/>
  <c r="G26" i="1"/>
  <c r="D26" i="1"/>
  <c r="F26" i="1"/>
  <c r="E26" i="1"/>
  <c r="G29" i="1"/>
  <c r="F29" i="1"/>
  <c r="E29" i="1"/>
  <c r="D29" i="1"/>
  <c r="G32" i="1"/>
  <c r="D32" i="1"/>
  <c r="F32" i="1"/>
  <c r="E32" i="1"/>
  <c r="G33" i="1"/>
  <c r="D33" i="1"/>
  <c r="F33" i="1"/>
  <c r="E33" i="1"/>
  <c r="G37" i="1"/>
  <c r="F37" i="1"/>
  <c r="E37" i="1"/>
  <c r="D37" i="1"/>
  <c r="G21" i="1"/>
  <c r="D21" i="1"/>
  <c r="F21" i="1"/>
  <c r="E21" i="1"/>
  <c r="B14" i="1"/>
  <c r="C40" i="1"/>
  <c r="C34" i="1"/>
  <c r="C158" i="1"/>
  <c r="C36" i="1"/>
  <c r="C168" i="1"/>
  <c r="C166" i="1"/>
  <c r="C41" i="1"/>
  <c r="C30" i="1"/>
  <c r="C161" i="1"/>
  <c r="C38" i="1"/>
  <c r="C172" i="1"/>
  <c r="C160" i="1"/>
  <c r="C167" i="1"/>
  <c r="C162" i="1"/>
  <c r="C42" i="1"/>
  <c r="C156" i="1"/>
  <c r="C35" i="1"/>
  <c r="C164" i="1"/>
  <c r="C46" i="1"/>
  <c r="I29" i="1"/>
  <c r="I27" i="1"/>
  <c r="I33" i="1"/>
  <c r="I25" i="1"/>
  <c r="N27" i="1"/>
  <c r="L29" i="1"/>
  <c r="P33" i="1"/>
  <c r="N25" i="1"/>
  <c r="I23" i="1"/>
  <c r="L23" i="1" s="1"/>
  <c r="L27" i="1"/>
  <c r="J23" i="1"/>
  <c r="J33" i="1"/>
  <c r="P25" i="1"/>
  <c r="I277" i="1"/>
  <c r="N277" i="1"/>
  <c r="N29" i="1"/>
  <c r="I31" i="1"/>
  <c r="I21" i="1"/>
  <c r="I37" i="1"/>
  <c r="L277" i="1"/>
  <c r="J27" i="1"/>
  <c r="P31" i="1"/>
  <c r="P23" i="1"/>
  <c r="P29" i="1"/>
  <c r="L33" i="1"/>
  <c r="P21" i="1"/>
  <c r="L25" i="1"/>
  <c r="P37" i="1"/>
  <c r="I32" i="1"/>
  <c r="J31" i="1"/>
  <c r="J29" i="1"/>
  <c r="J21" i="1"/>
  <c r="N37" i="1"/>
  <c r="I26" i="1"/>
  <c r="P27" i="1"/>
  <c r="N23" i="1"/>
  <c r="N33" i="1"/>
  <c r="J32" i="1"/>
  <c r="J25" i="1"/>
  <c r="P277" i="1"/>
  <c r="J277" i="1"/>
  <c r="N31" i="1"/>
  <c r="L31" i="1"/>
  <c r="N21" i="1"/>
  <c r="L21" i="1"/>
  <c r="J37" i="1"/>
  <c r="L37" i="1"/>
  <c r="P32" i="1"/>
  <c r="L32" i="1"/>
  <c r="N32" i="1"/>
  <c r="N26" i="1"/>
  <c r="P26" i="1"/>
  <c r="L26" i="1"/>
  <c r="J26" i="1"/>
  <c r="G167" i="1" l="1"/>
  <c r="D167" i="1"/>
  <c r="F167" i="1"/>
  <c r="E167" i="1"/>
  <c r="G156" i="1"/>
  <c r="E156" i="1"/>
  <c r="D156" i="1"/>
  <c r="F156" i="1"/>
  <c r="G160" i="1"/>
  <c r="D160" i="1"/>
  <c r="F160" i="1"/>
  <c r="E160" i="1"/>
  <c r="G30" i="1"/>
  <c r="F30" i="1"/>
  <c r="E30" i="1"/>
  <c r="D30" i="1"/>
  <c r="G36" i="1"/>
  <c r="E36" i="1"/>
  <c r="D36" i="1"/>
  <c r="F36" i="1"/>
  <c r="G161" i="1"/>
  <c r="F161" i="1"/>
  <c r="E161" i="1"/>
  <c r="D161" i="1"/>
  <c r="G46" i="1"/>
  <c r="D46" i="1"/>
  <c r="F46" i="1"/>
  <c r="E46" i="1"/>
  <c r="G42" i="1"/>
  <c r="D42" i="1"/>
  <c r="F42" i="1"/>
  <c r="E42" i="1"/>
  <c r="G172" i="1"/>
  <c r="F172" i="1"/>
  <c r="E172" i="1"/>
  <c r="D172" i="1"/>
  <c r="G41" i="1"/>
  <c r="E41" i="1"/>
  <c r="D41" i="1"/>
  <c r="F41" i="1"/>
  <c r="G158" i="1"/>
  <c r="D158" i="1"/>
  <c r="F158" i="1"/>
  <c r="E158" i="1"/>
  <c r="G35" i="1"/>
  <c r="D35" i="1"/>
  <c r="F35" i="1"/>
  <c r="E35" i="1"/>
  <c r="G168" i="1"/>
  <c r="F168" i="1"/>
  <c r="E168" i="1"/>
  <c r="D168" i="1"/>
  <c r="G164" i="1"/>
  <c r="D164" i="1"/>
  <c r="F164" i="1"/>
  <c r="E164" i="1"/>
  <c r="G162" i="1"/>
  <c r="F162" i="1"/>
  <c r="E162" i="1"/>
  <c r="D162" i="1"/>
  <c r="G38" i="1"/>
  <c r="E38" i="1"/>
  <c r="D38" i="1"/>
  <c r="F38" i="1"/>
  <c r="G166" i="1"/>
  <c r="D166" i="1"/>
  <c r="F166" i="1"/>
  <c r="E166" i="1"/>
  <c r="G34" i="1"/>
  <c r="D34" i="1"/>
  <c r="F34" i="1"/>
  <c r="E34" i="1"/>
  <c r="G40" i="1"/>
  <c r="D40" i="1"/>
  <c r="F40" i="1"/>
  <c r="E40" i="1"/>
  <c r="B15" i="1"/>
  <c r="C39" i="1"/>
  <c r="C50" i="1"/>
  <c r="C181" i="1"/>
  <c r="C299" i="1"/>
  <c r="C51" i="1"/>
  <c r="C302" i="1"/>
  <c r="C307" i="1"/>
  <c r="C176" i="1"/>
  <c r="C49" i="1"/>
  <c r="C44" i="1"/>
  <c r="C291" i="1"/>
  <c r="C173" i="1"/>
  <c r="C296" i="1"/>
  <c r="C303" i="1"/>
  <c r="C43" i="1"/>
  <c r="C55" i="1"/>
  <c r="C170" i="1"/>
  <c r="C177" i="1"/>
  <c r="C297" i="1"/>
  <c r="C295" i="1"/>
  <c r="C165" i="1"/>
  <c r="C45" i="1"/>
  <c r="C293" i="1"/>
  <c r="C175" i="1"/>
  <c r="C47" i="1"/>
  <c r="C301" i="1"/>
  <c r="C171" i="1"/>
  <c r="C169" i="1"/>
  <c r="I158" i="1"/>
  <c r="I167" i="1"/>
  <c r="I36" i="1"/>
  <c r="I35" i="1"/>
  <c r="N35" i="1" s="1"/>
  <c r="I38" i="1"/>
  <c r="I42" i="1"/>
  <c r="P167" i="1"/>
  <c r="P36" i="1"/>
  <c r="J158" i="1"/>
  <c r="P35" i="1"/>
  <c r="P38" i="1"/>
  <c r="N42" i="1"/>
  <c r="I160" i="1"/>
  <c r="P160" i="1" s="1"/>
  <c r="I166" i="1"/>
  <c r="N166" i="1" s="1"/>
  <c r="I34" i="1"/>
  <c r="N160" i="1"/>
  <c r="J36" i="1"/>
  <c r="J35" i="1"/>
  <c r="L166" i="1"/>
  <c r="J38" i="1"/>
  <c r="I30" i="1"/>
  <c r="J30" i="1" s="1"/>
  <c r="I40" i="1"/>
  <c r="P30" i="1"/>
  <c r="P158" i="1"/>
  <c r="J166" i="1"/>
  <c r="N38" i="1"/>
  <c r="P40" i="1"/>
  <c r="I156" i="1"/>
  <c r="I161" i="1"/>
  <c r="I168" i="1"/>
  <c r="P168" i="1" s="1"/>
  <c r="I172" i="1"/>
  <c r="I164" i="1"/>
  <c r="J167" i="1"/>
  <c r="J156" i="1"/>
  <c r="L160" i="1"/>
  <c r="L30" i="1"/>
  <c r="N36" i="1"/>
  <c r="J161" i="1"/>
  <c r="L158" i="1"/>
  <c r="L35" i="1"/>
  <c r="J168" i="1"/>
  <c r="P166" i="1"/>
  <c r="L38" i="1"/>
  <c r="J172" i="1"/>
  <c r="N40" i="1"/>
  <c r="L42" i="1"/>
  <c r="N164" i="1"/>
  <c r="N34" i="1"/>
  <c r="I46" i="1"/>
  <c r="I162" i="1"/>
  <c r="L167" i="1"/>
  <c r="N30" i="1"/>
  <c r="L161" i="1"/>
  <c r="N158" i="1"/>
  <c r="L168" i="1"/>
  <c r="N162" i="1"/>
  <c r="J42" i="1"/>
  <c r="J34" i="1"/>
  <c r="I41" i="1"/>
  <c r="N167" i="1"/>
  <c r="J160" i="1"/>
  <c r="L36" i="1"/>
  <c r="P46" i="1"/>
  <c r="N168" i="1"/>
  <c r="P41" i="1"/>
  <c r="N172" i="1"/>
  <c r="P42" i="1"/>
  <c r="L34" i="1"/>
  <c r="P34" i="1"/>
  <c r="L40" i="1"/>
  <c r="J40" i="1"/>
  <c r="P156" i="1"/>
  <c r="N156" i="1"/>
  <c r="L156" i="1"/>
  <c r="P161" i="1"/>
  <c r="N161" i="1"/>
  <c r="L172" i="1"/>
  <c r="P172" i="1"/>
  <c r="P164" i="1"/>
  <c r="L164" i="1"/>
  <c r="J164" i="1"/>
  <c r="N46" i="1"/>
  <c r="J46" i="1"/>
  <c r="L46" i="1"/>
  <c r="J162" i="1"/>
  <c r="L162" i="1"/>
  <c r="P162" i="1"/>
  <c r="L41" i="1"/>
  <c r="N41" i="1"/>
  <c r="J41" i="1"/>
  <c r="G47" i="1" l="1"/>
  <c r="D47" i="1"/>
  <c r="F47" i="1"/>
  <c r="E47" i="1"/>
  <c r="G170" i="1"/>
  <c r="E170" i="1"/>
  <c r="D170" i="1"/>
  <c r="F170" i="1"/>
  <c r="G39" i="1"/>
  <c r="E39" i="1"/>
  <c r="D39" i="1"/>
  <c r="F39" i="1"/>
  <c r="G169" i="1"/>
  <c r="D169" i="1"/>
  <c r="F169" i="1"/>
  <c r="E169" i="1"/>
  <c r="G175" i="1"/>
  <c r="F175" i="1"/>
  <c r="E175" i="1"/>
  <c r="D175" i="1"/>
  <c r="G295" i="1"/>
  <c r="E295" i="1"/>
  <c r="D295" i="1"/>
  <c r="F295" i="1"/>
  <c r="G55" i="1"/>
  <c r="D55" i="1"/>
  <c r="F55" i="1"/>
  <c r="E55" i="1"/>
  <c r="G173" i="1"/>
  <c r="D173" i="1"/>
  <c r="F173" i="1"/>
  <c r="E173" i="1"/>
  <c r="G176" i="1"/>
  <c r="F176" i="1"/>
  <c r="E176" i="1"/>
  <c r="D176" i="1"/>
  <c r="G299" i="1"/>
  <c r="E299" i="1"/>
  <c r="D299" i="1"/>
  <c r="F299" i="1"/>
  <c r="G165" i="1"/>
  <c r="F165" i="1"/>
  <c r="E165" i="1"/>
  <c r="D165" i="1"/>
  <c r="G171" i="1"/>
  <c r="F171" i="1"/>
  <c r="E171" i="1"/>
  <c r="D171" i="1"/>
  <c r="G293" i="1"/>
  <c r="D293" i="1"/>
  <c r="F293" i="1"/>
  <c r="E293" i="1"/>
  <c r="G297" i="1"/>
  <c r="E297" i="1"/>
  <c r="D297" i="1"/>
  <c r="F297" i="1"/>
  <c r="G43" i="1"/>
  <c r="E43" i="1"/>
  <c r="D43" i="1"/>
  <c r="F43" i="1"/>
  <c r="G291" i="1"/>
  <c r="E291" i="1"/>
  <c r="D291" i="1"/>
  <c r="F291" i="1"/>
  <c r="G307" i="1"/>
  <c r="D307" i="1"/>
  <c r="F307" i="1"/>
  <c r="E307" i="1"/>
  <c r="G181" i="1"/>
  <c r="D181" i="1"/>
  <c r="F181" i="1"/>
  <c r="E181" i="1"/>
  <c r="G296" i="1"/>
  <c r="D296" i="1"/>
  <c r="F296" i="1"/>
  <c r="E296" i="1"/>
  <c r="G51" i="1"/>
  <c r="E51" i="1"/>
  <c r="D51" i="1"/>
  <c r="F51" i="1"/>
  <c r="G301" i="1"/>
  <c r="E301" i="1"/>
  <c r="D301" i="1"/>
  <c r="F301" i="1"/>
  <c r="G45" i="1"/>
  <c r="D45" i="1"/>
  <c r="F45" i="1"/>
  <c r="E45" i="1"/>
  <c r="G177" i="1"/>
  <c r="D177" i="1"/>
  <c r="F177" i="1"/>
  <c r="E177" i="1"/>
  <c r="G303" i="1"/>
  <c r="F303" i="1"/>
  <c r="E303" i="1"/>
  <c r="D303" i="1"/>
  <c r="G44" i="1"/>
  <c r="E44" i="1"/>
  <c r="D44" i="1"/>
  <c r="F44" i="1"/>
  <c r="G302" i="1"/>
  <c r="D302" i="1"/>
  <c r="F302" i="1"/>
  <c r="E302" i="1"/>
  <c r="G50" i="1"/>
  <c r="D50" i="1"/>
  <c r="F50" i="1"/>
  <c r="E50" i="1"/>
  <c r="G49" i="1"/>
  <c r="D49" i="1"/>
  <c r="F49" i="1"/>
  <c r="E49" i="1"/>
  <c r="B16" i="1"/>
  <c r="C59" i="1"/>
  <c r="C180" i="1"/>
  <c r="C64" i="1"/>
  <c r="C184" i="1"/>
  <c r="C60" i="1"/>
  <c r="C185" i="1"/>
  <c r="C58" i="1"/>
  <c r="C304" i="1"/>
  <c r="C182" i="1"/>
  <c r="C310" i="1"/>
  <c r="C305" i="1"/>
  <c r="C178" i="1"/>
  <c r="C53" i="1"/>
  <c r="C190" i="1"/>
  <c r="C179" i="1"/>
  <c r="C186" i="1"/>
  <c r="C174" i="1"/>
  <c r="C48" i="1"/>
  <c r="C306" i="1"/>
  <c r="C56" i="1"/>
  <c r="C54" i="1"/>
  <c r="C300" i="1"/>
  <c r="C312" i="1"/>
  <c r="C52" i="1"/>
  <c r="C308" i="1"/>
  <c r="C311" i="1"/>
  <c r="C316" i="1"/>
  <c r="I175" i="1"/>
  <c r="I170" i="1"/>
  <c r="I295" i="1"/>
  <c r="P295" i="1" s="1"/>
  <c r="I299" i="1"/>
  <c r="I307" i="1"/>
  <c r="I50" i="1"/>
  <c r="I43" i="1"/>
  <c r="I51" i="1"/>
  <c r="N170" i="1"/>
  <c r="N175" i="1"/>
  <c r="L295" i="1"/>
  <c r="N299" i="1"/>
  <c r="P307" i="1"/>
  <c r="L50" i="1"/>
  <c r="P43" i="1"/>
  <c r="L51" i="1"/>
  <c r="I169" i="1"/>
  <c r="L169" i="1" s="1"/>
  <c r="I171" i="1"/>
  <c r="P171" i="1" s="1"/>
  <c r="I301" i="1"/>
  <c r="I49" i="1"/>
  <c r="P170" i="1"/>
  <c r="J169" i="1"/>
  <c r="N295" i="1"/>
  <c r="I176" i="1"/>
  <c r="I177" i="1"/>
  <c r="I297" i="1"/>
  <c r="J170" i="1"/>
  <c r="P169" i="1"/>
  <c r="J176" i="1"/>
  <c r="N50" i="1"/>
  <c r="N51" i="1"/>
  <c r="I39" i="1"/>
  <c r="L39" i="1" s="1"/>
  <c r="I55" i="1"/>
  <c r="I165" i="1"/>
  <c r="I181" i="1"/>
  <c r="I291" i="1"/>
  <c r="I45" i="1"/>
  <c r="I303" i="1"/>
  <c r="L170" i="1"/>
  <c r="P39" i="1"/>
  <c r="N169" i="1"/>
  <c r="J175" i="1"/>
  <c r="J295" i="1"/>
  <c r="P55" i="1"/>
  <c r="N176" i="1"/>
  <c r="L299" i="1"/>
  <c r="J165" i="1"/>
  <c r="L171" i="1"/>
  <c r="J307" i="1"/>
  <c r="N181" i="1"/>
  <c r="P177" i="1"/>
  <c r="P50" i="1"/>
  <c r="J291" i="1"/>
  <c r="N301" i="1"/>
  <c r="L43" i="1"/>
  <c r="P45" i="1"/>
  <c r="L297" i="1"/>
  <c r="P51" i="1"/>
  <c r="N303" i="1"/>
  <c r="J49" i="1"/>
  <c r="I173" i="1"/>
  <c r="I296" i="1"/>
  <c r="I302" i="1"/>
  <c r="J39" i="1"/>
  <c r="P175" i="1"/>
  <c r="N55" i="1"/>
  <c r="P299" i="1"/>
  <c r="N171" i="1"/>
  <c r="N307" i="1"/>
  <c r="P296" i="1"/>
  <c r="J50" i="1"/>
  <c r="J301" i="1"/>
  <c r="N43" i="1"/>
  <c r="L302" i="1"/>
  <c r="J51" i="1"/>
  <c r="N49" i="1"/>
  <c r="I47" i="1"/>
  <c r="I293" i="1"/>
  <c r="I44" i="1"/>
  <c r="N47" i="1"/>
  <c r="N39" i="1"/>
  <c r="L175" i="1"/>
  <c r="L173" i="1"/>
  <c r="J299" i="1"/>
  <c r="J171" i="1"/>
  <c r="L307" i="1"/>
  <c r="N177" i="1"/>
  <c r="P291" i="1"/>
  <c r="J43" i="1"/>
  <c r="N297" i="1"/>
  <c r="L303" i="1"/>
  <c r="P301" i="1"/>
  <c r="L301" i="1"/>
  <c r="L49" i="1"/>
  <c r="P49" i="1"/>
  <c r="L176" i="1"/>
  <c r="P176" i="1"/>
  <c r="J177" i="1"/>
  <c r="L177" i="1"/>
  <c r="P297" i="1"/>
  <c r="J297" i="1"/>
  <c r="J55" i="1"/>
  <c r="L55" i="1"/>
  <c r="P165" i="1"/>
  <c r="N165" i="1"/>
  <c r="L165" i="1"/>
  <c r="P181" i="1"/>
  <c r="L181" i="1"/>
  <c r="J181" i="1"/>
  <c r="N291" i="1"/>
  <c r="L291" i="1"/>
  <c r="N45" i="1"/>
  <c r="L45" i="1"/>
  <c r="J45" i="1"/>
  <c r="J303" i="1"/>
  <c r="P303" i="1"/>
  <c r="N173" i="1"/>
  <c r="P173" i="1"/>
  <c r="J173" i="1"/>
  <c r="N296" i="1"/>
  <c r="L296" i="1"/>
  <c r="J296" i="1"/>
  <c r="P302" i="1"/>
  <c r="N302" i="1"/>
  <c r="J302" i="1"/>
  <c r="L47" i="1"/>
  <c r="P47" i="1"/>
  <c r="J47" i="1"/>
  <c r="P293" i="1"/>
  <c r="J293" i="1"/>
  <c r="L293" i="1"/>
  <c r="N293" i="1"/>
  <c r="P44" i="1"/>
  <c r="J44" i="1"/>
  <c r="L44" i="1"/>
  <c r="N44" i="1"/>
  <c r="G56" i="1" l="1"/>
  <c r="D56" i="1"/>
  <c r="F56" i="1"/>
  <c r="E56" i="1"/>
  <c r="G316" i="1"/>
  <c r="D316" i="1"/>
  <c r="F316" i="1"/>
  <c r="E316" i="1"/>
  <c r="G312" i="1"/>
  <c r="D312" i="1"/>
  <c r="F312" i="1"/>
  <c r="E312" i="1"/>
  <c r="G306" i="1"/>
  <c r="F306" i="1"/>
  <c r="E306" i="1"/>
  <c r="D306" i="1"/>
  <c r="G179" i="1"/>
  <c r="D179" i="1"/>
  <c r="F179" i="1"/>
  <c r="E179" i="1"/>
  <c r="G305" i="1"/>
  <c r="D305" i="1"/>
  <c r="F305" i="1"/>
  <c r="E305" i="1"/>
  <c r="G58" i="1"/>
  <c r="D58" i="1"/>
  <c r="F58" i="1"/>
  <c r="E58" i="1"/>
  <c r="G64" i="1"/>
  <c r="F64" i="1"/>
  <c r="E64" i="1"/>
  <c r="D64" i="1"/>
  <c r="G178" i="1"/>
  <c r="F178" i="1"/>
  <c r="E178" i="1"/>
  <c r="D178" i="1"/>
  <c r="G311" i="1"/>
  <c r="E311" i="1"/>
  <c r="D311" i="1"/>
  <c r="F311" i="1"/>
  <c r="G300" i="1"/>
  <c r="D300" i="1"/>
  <c r="F300" i="1"/>
  <c r="E300" i="1"/>
  <c r="G48" i="1"/>
  <c r="D48" i="1"/>
  <c r="F48" i="1"/>
  <c r="E48" i="1"/>
  <c r="G190" i="1"/>
  <c r="F190" i="1"/>
  <c r="E190" i="1"/>
  <c r="D190" i="1"/>
  <c r="G310" i="1"/>
  <c r="E310" i="1"/>
  <c r="D310" i="1"/>
  <c r="F310" i="1"/>
  <c r="G185" i="1"/>
  <c r="D185" i="1"/>
  <c r="F185" i="1"/>
  <c r="E185" i="1"/>
  <c r="G180" i="1"/>
  <c r="D180" i="1"/>
  <c r="F180" i="1"/>
  <c r="E180" i="1"/>
  <c r="G52" i="1"/>
  <c r="F52" i="1"/>
  <c r="E52" i="1"/>
  <c r="D52" i="1"/>
  <c r="G186" i="1"/>
  <c r="E186" i="1"/>
  <c r="D186" i="1"/>
  <c r="F186" i="1"/>
  <c r="G184" i="1"/>
  <c r="E184" i="1"/>
  <c r="D184" i="1"/>
  <c r="F184" i="1"/>
  <c r="G308" i="1"/>
  <c r="D308" i="1"/>
  <c r="F308" i="1"/>
  <c r="E308" i="1"/>
  <c r="G54" i="1"/>
  <c r="F54" i="1"/>
  <c r="E54" i="1"/>
  <c r="D54" i="1"/>
  <c r="G174" i="1"/>
  <c r="E174" i="1"/>
  <c r="D174" i="1"/>
  <c r="F174" i="1"/>
  <c r="G53" i="1"/>
  <c r="D53" i="1"/>
  <c r="F53" i="1"/>
  <c r="E53" i="1"/>
  <c r="G182" i="1"/>
  <c r="D182" i="1"/>
  <c r="F182" i="1"/>
  <c r="E182" i="1"/>
  <c r="G60" i="1"/>
  <c r="F60" i="1"/>
  <c r="E60" i="1"/>
  <c r="D60" i="1"/>
  <c r="G59" i="1"/>
  <c r="E59" i="1"/>
  <c r="D59" i="1"/>
  <c r="F59" i="1"/>
  <c r="G304" i="1"/>
  <c r="D304" i="1"/>
  <c r="F304" i="1"/>
  <c r="E304" i="1"/>
  <c r="B17" i="1"/>
  <c r="C68" i="1"/>
  <c r="C69" i="1"/>
  <c r="C57" i="1"/>
  <c r="C309" i="1"/>
  <c r="C73" i="1"/>
  <c r="C187" i="1"/>
  <c r="C191" i="1"/>
  <c r="C183" i="1"/>
  <c r="C193" i="1"/>
  <c r="C195" i="1"/>
  <c r="C319" i="1"/>
  <c r="C62" i="1"/>
  <c r="C317" i="1"/>
  <c r="C314" i="1"/>
  <c r="C320" i="1"/>
  <c r="C67" i="1"/>
  <c r="C63" i="1"/>
  <c r="C321" i="1"/>
  <c r="C325" i="1"/>
  <c r="C199" i="1"/>
  <c r="C315" i="1"/>
  <c r="C194" i="1"/>
  <c r="C61" i="1"/>
  <c r="C189" i="1"/>
  <c r="C65" i="1"/>
  <c r="C313" i="1"/>
  <c r="C188" i="1"/>
  <c r="I300" i="1"/>
  <c r="I316" i="1"/>
  <c r="I305" i="1"/>
  <c r="I190" i="1"/>
  <c r="I304" i="1"/>
  <c r="I186" i="1"/>
  <c r="I64" i="1"/>
  <c r="I174" i="1"/>
  <c r="L174" i="1" s="1"/>
  <c r="J316" i="1"/>
  <c r="L305" i="1"/>
  <c r="N300" i="1"/>
  <c r="J190" i="1"/>
  <c r="L304" i="1"/>
  <c r="L186" i="1"/>
  <c r="J64" i="1"/>
  <c r="N174" i="1"/>
  <c r="I311" i="1"/>
  <c r="J311" i="1" s="1"/>
  <c r="I182" i="1"/>
  <c r="P182" i="1" s="1"/>
  <c r="L311" i="1"/>
  <c r="L190" i="1"/>
  <c r="P304" i="1"/>
  <c r="J186" i="1"/>
  <c r="J182" i="1"/>
  <c r="L64" i="1"/>
  <c r="I56" i="1"/>
  <c r="I53" i="1"/>
  <c r="L53" i="1" s="1"/>
  <c r="I59" i="1"/>
  <c r="J56" i="1"/>
  <c r="N305" i="1"/>
  <c r="P300" i="1"/>
  <c r="N53" i="1"/>
  <c r="N186" i="1"/>
  <c r="N64" i="1"/>
  <c r="I312" i="1"/>
  <c r="I58" i="1"/>
  <c r="I180" i="1"/>
  <c r="I52" i="1"/>
  <c r="I54" i="1"/>
  <c r="I48" i="1"/>
  <c r="J48" i="1" s="1"/>
  <c r="I60" i="1"/>
  <c r="P56" i="1"/>
  <c r="L316" i="1"/>
  <c r="L312" i="1"/>
  <c r="P305" i="1"/>
  <c r="L58" i="1"/>
  <c r="N311" i="1"/>
  <c r="J300" i="1"/>
  <c r="P190" i="1"/>
  <c r="L180" i="1"/>
  <c r="P53" i="1"/>
  <c r="J304" i="1"/>
  <c r="L52" i="1"/>
  <c r="P186" i="1"/>
  <c r="L54" i="1"/>
  <c r="L182" i="1"/>
  <c r="N59" i="1"/>
  <c r="P64" i="1"/>
  <c r="N48" i="1"/>
  <c r="P174" i="1"/>
  <c r="N60" i="1"/>
  <c r="I306" i="1"/>
  <c r="I308" i="1"/>
  <c r="I178" i="1"/>
  <c r="I185" i="1"/>
  <c r="N316" i="1"/>
  <c r="J306" i="1"/>
  <c r="J305" i="1"/>
  <c r="L300" i="1"/>
  <c r="P180" i="1"/>
  <c r="J53" i="1"/>
  <c r="N52" i="1"/>
  <c r="N54" i="1"/>
  <c r="J59" i="1"/>
  <c r="L48" i="1"/>
  <c r="J174" i="1"/>
  <c r="I179" i="1"/>
  <c r="I310" i="1"/>
  <c r="I184" i="1"/>
  <c r="P316" i="1"/>
  <c r="P306" i="1"/>
  <c r="J179" i="1"/>
  <c r="P311" i="1"/>
  <c r="N190" i="1"/>
  <c r="L308" i="1"/>
  <c r="N304" i="1"/>
  <c r="L310" i="1"/>
  <c r="N182" i="1"/>
  <c r="P48" i="1"/>
  <c r="P184" i="1"/>
  <c r="N56" i="1"/>
  <c r="L56" i="1"/>
  <c r="L59" i="1"/>
  <c r="P59" i="1"/>
  <c r="P312" i="1"/>
  <c r="J312" i="1"/>
  <c r="N312" i="1"/>
  <c r="J58" i="1"/>
  <c r="N58" i="1"/>
  <c r="P58" i="1"/>
  <c r="N180" i="1"/>
  <c r="J180" i="1"/>
  <c r="J52" i="1"/>
  <c r="P52" i="1"/>
  <c r="P54" i="1"/>
  <c r="J54" i="1"/>
  <c r="L60" i="1"/>
  <c r="J60" i="1"/>
  <c r="P60" i="1"/>
  <c r="N306" i="1"/>
  <c r="L306" i="1"/>
  <c r="N308" i="1"/>
  <c r="J308" i="1"/>
  <c r="P308" i="1"/>
  <c r="L178" i="1"/>
  <c r="J178" i="1"/>
  <c r="N178" i="1"/>
  <c r="P178" i="1"/>
  <c r="N185" i="1"/>
  <c r="P185" i="1"/>
  <c r="J185" i="1"/>
  <c r="L185" i="1"/>
  <c r="L179" i="1"/>
  <c r="N179" i="1"/>
  <c r="P179" i="1"/>
  <c r="J310" i="1"/>
  <c r="N310" i="1"/>
  <c r="P310" i="1"/>
  <c r="L184" i="1"/>
  <c r="N184" i="1"/>
  <c r="J184" i="1"/>
  <c r="G63" i="1" l="1"/>
  <c r="F63" i="1"/>
  <c r="E63" i="1"/>
  <c r="D63" i="1"/>
  <c r="G73" i="1"/>
  <c r="D73" i="1"/>
  <c r="F73" i="1"/>
  <c r="E73" i="1"/>
  <c r="G189" i="1"/>
  <c r="D189" i="1"/>
  <c r="F189" i="1"/>
  <c r="E189" i="1"/>
  <c r="G199" i="1"/>
  <c r="F199" i="1"/>
  <c r="E199" i="1"/>
  <c r="D199" i="1"/>
  <c r="G67" i="1"/>
  <c r="D67" i="1"/>
  <c r="F67" i="1"/>
  <c r="E67" i="1"/>
  <c r="G62" i="1"/>
  <c r="D62" i="1"/>
  <c r="F62" i="1"/>
  <c r="E62" i="1"/>
  <c r="G183" i="1"/>
  <c r="D183" i="1"/>
  <c r="F183" i="1"/>
  <c r="E183" i="1"/>
  <c r="G309" i="1"/>
  <c r="F309" i="1"/>
  <c r="E309" i="1"/>
  <c r="D309" i="1"/>
  <c r="G317" i="1"/>
  <c r="E317" i="1"/>
  <c r="D317" i="1"/>
  <c r="F317" i="1"/>
  <c r="G188" i="1"/>
  <c r="F188" i="1"/>
  <c r="E188" i="1"/>
  <c r="D188" i="1"/>
  <c r="G61" i="1"/>
  <c r="D61" i="1"/>
  <c r="F61" i="1"/>
  <c r="E61" i="1"/>
  <c r="G325" i="1"/>
  <c r="D325" i="1"/>
  <c r="F325" i="1"/>
  <c r="E325" i="1"/>
  <c r="G320" i="1"/>
  <c r="F320" i="1"/>
  <c r="E320" i="1"/>
  <c r="D320" i="1"/>
  <c r="G319" i="1"/>
  <c r="E319" i="1"/>
  <c r="D319" i="1"/>
  <c r="F319" i="1"/>
  <c r="G191" i="1"/>
  <c r="D191" i="1"/>
  <c r="F191" i="1"/>
  <c r="E191" i="1"/>
  <c r="G57" i="1"/>
  <c r="E57" i="1"/>
  <c r="D57" i="1"/>
  <c r="F57" i="1"/>
  <c r="G65" i="1"/>
  <c r="D65" i="1"/>
  <c r="F65" i="1"/>
  <c r="E65" i="1"/>
  <c r="G193" i="1"/>
  <c r="D193" i="1"/>
  <c r="F193" i="1"/>
  <c r="E193" i="1"/>
  <c r="G68" i="1"/>
  <c r="F68" i="1"/>
  <c r="E68" i="1"/>
  <c r="D68" i="1"/>
  <c r="G313" i="1"/>
  <c r="F313" i="1"/>
  <c r="E313" i="1"/>
  <c r="D313" i="1"/>
  <c r="G194" i="1"/>
  <c r="E194" i="1"/>
  <c r="D194" i="1"/>
  <c r="F194" i="1"/>
  <c r="G321" i="1"/>
  <c r="D321" i="1"/>
  <c r="F321" i="1"/>
  <c r="E321" i="1"/>
  <c r="G314" i="1"/>
  <c r="D314" i="1"/>
  <c r="F314" i="1"/>
  <c r="E314" i="1"/>
  <c r="G195" i="1"/>
  <c r="E195" i="1"/>
  <c r="D195" i="1"/>
  <c r="F195" i="1"/>
  <c r="G187" i="1"/>
  <c r="E187" i="1"/>
  <c r="D187" i="1"/>
  <c r="F187" i="1"/>
  <c r="G69" i="1"/>
  <c r="D69" i="1"/>
  <c r="F69" i="1"/>
  <c r="E69" i="1"/>
  <c r="G315" i="1"/>
  <c r="D315" i="1"/>
  <c r="F315" i="1"/>
  <c r="E315" i="1"/>
  <c r="B18" i="1"/>
  <c r="C76" i="1"/>
  <c r="C200" i="1"/>
  <c r="C324" i="1"/>
  <c r="C198" i="1"/>
  <c r="C197" i="1"/>
  <c r="C330" i="1"/>
  <c r="C318" i="1"/>
  <c r="C322" i="1"/>
  <c r="C196" i="1"/>
  <c r="C329" i="1"/>
  <c r="C208" i="1"/>
  <c r="C192" i="1"/>
  <c r="C78" i="1"/>
  <c r="C77" i="1"/>
  <c r="C323" i="1"/>
  <c r="C74" i="1"/>
  <c r="C202" i="1"/>
  <c r="C328" i="1"/>
  <c r="C326" i="1"/>
  <c r="C203" i="1"/>
  <c r="C66" i="1"/>
  <c r="C70" i="1"/>
  <c r="C72" i="1"/>
  <c r="C71" i="1"/>
  <c r="C82" i="1"/>
  <c r="C204" i="1"/>
  <c r="I73" i="1"/>
  <c r="I189" i="1"/>
  <c r="I183" i="1"/>
  <c r="J183" i="1" s="1"/>
  <c r="I61" i="1"/>
  <c r="I191" i="1"/>
  <c r="I68" i="1"/>
  <c r="I69" i="1"/>
  <c r="P69" i="1" s="1"/>
  <c r="I314" i="1"/>
  <c r="P314" i="1" s="1"/>
  <c r="P73" i="1"/>
  <c r="L189" i="1"/>
  <c r="P183" i="1"/>
  <c r="N61" i="1"/>
  <c r="J191" i="1"/>
  <c r="P68" i="1"/>
  <c r="L69" i="1"/>
  <c r="J314" i="1"/>
  <c r="I67" i="1"/>
  <c r="P67" i="1" s="1"/>
  <c r="I320" i="1"/>
  <c r="I194" i="1"/>
  <c r="N194" i="1" s="1"/>
  <c r="J189" i="1"/>
  <c r="J68" i="1"/>
  <c r="P194" i="1"/>
  <c r="J69" i="1"/>
  <c r="I188" i="1"/>
  <c r="I193" i="1"/>
  <c r="I321" i="1"/>
  <c r="L321" i="1" s="1"/>
  <c r="N73" i="1"/>
  <c r="J61" i="1"/>
  <c r="L68" i="1"/>
  <c r="J194" i="1"/>
  <c r="P321" i="1"/>
  <c r="I199" i="1"/>
  <c r="I309" i="1"/>
  <c r="I325" i="1"/>
  <c r="I57" i="1"/>
  <c r="I313" i="1"/>
  <c r="P313" i="1" s="1"/>
  <c r="I315" i="1"/>
  <c r="J73" i="1"/>
  <c r="P189" i="1"/>
  <c r="L199" i="1"/>
  <c r="L67" i="1"/>
  <c r="L183" i="1"/>
  <c r="L309" i="1"/>
  <c r="L188" i="1"/>
  <c r="L61" i="1"/>
  <c r="N325" i="1"/>
  <c r="L320" i="1"/>
  <c r="L191" i="1"/>
  <c r="L57" i="1"/>
  <c r="L193" i="1"/>
  <c r="N68" i="1"/>
  <c r="N313" i="1"/>
  <c r="L194" i="1"/>
  <c r="N69" i="1"/>
  <c r="P315" i="1"/>
  <c r="N321" i="1"/>
  <c r="N314" i="1"/>
  <c r="I63" i="1"/>
  <c r="I317" i="1"/>
  <c r="I65" i="1"/>
  <c r="I195" i="1"/>
  <c r="L73" i="1"/>
  <c r="J199" i="1"/>
  <c r="J67" i="1"/>
  <c r="N183" i="1"/>
  <c r="P317" i="1"/>
  <c r="P61" i="1"/>
  <c r="N320" i="1"/>
  <c r="N191" i="1"/>
  <c r="N65" i="1"/>
  <c r="N193" i="1"/>
  <c r="J313" i="1"/>
  <c r="J315" i="1"/>
  <c r="J321" i="1"/>
  <c r="L314" i="1"/>
  <c r="I62" i="1"/>
  <c r="I319" i="1"/>
  <c r="I187" i="1"/>
  <c r="J63" i="1"/>
  <c r="N189" i="1"/>
  <c r="N67" i="1"/>
  <c r="J309" i="1"/>
  <c r="P188" i="1"/>
  <c r="L325" i="1"/>
  <c r="P191" i="1"/>
  <c r="L65" i="1"/>
  <c r="L313" i="1"/>
  <c r="J187" i="1"/>
  <c r="N195" i="1"/>
  <c r="J320" i="1"/>
  <c r="P320" i="1"/>
  <c r="J188" i="1"/>
  <c r="N188" i="1"/>
  <c r="J193" i="1"/>
  <c r="P193" i="1"/>
  <c r="P199" i="1"/>
  <c r="N199" i="1"/>
  <c r="N309" i="1"/>
  <c r="P309" i="1"/>
  <c r="P325" i="1"/>
  <c r="J325" i="1"/>
  <c r="P57" i="1"/>
  <c r="N57" i="1"/>
  <c r="J57" i="1"/>
  <c r="L315" i="1"/>
  <c r="N315" i="1"/>
  <c r="P63" i="1"/>
  <c r="N63" i="1"/>
  <c r="L63" i="1"/>
  <c r="L317" i="1"/>
  <c r="N317" i="1"/>
  <c r="J317" i="1"/>
  <c r="J65" i="1"/>
  <c r="P65" i="1"/>
  <c r="P195" i="1"/>
  <c r="J195" i="1"/>
  <c r="L195" i="1"/>
  <c r="N62" i="1"/>
  <c r="P62" i="1"/>
  <c r="J62" i="1"/>
  <c r="L62" i="1"/>
  <c r="L319" i="1"/>
  <c r="J319" i="1"/>
  <c r="P319" i="1"/>
  <c r="N319" i="1"/>
  <c r="N187" i="1"/>
  <c r="P187" i="1"/>
  <c r="L187" i="1"/>
  <c r="G78" i="1" l="1"/>
  <c r="E78" i="1"/>
  <c r="D78" i="1"/>
  <c r="F78" i="1"/>
  <c r="G71" i="1"/>
  <c r="D71" i="1"/>
  <c r="F71" i="1"/>
  <c r="E71" i="1"/>
  <c r="G203" i="1"/>
  <c r="D203" i="1"/>
  <c r="F203" i="1"/>
  <c r="E203" i="1"/>
  <c r="G74" i="1"/>
  <c r="F74" i="1"/>
  <c r="E74" i="1"/>
  <c r="D74" i="1"/>
  <c r="G192" i="1"/>
  <c r="E192" i="1"/>
  <c r="D192" i="1"/>
  <c r="F192" i="1"/>
  <c r="G322" i="1"/>
  <c r="D322" i="1"/>
  <c r="F322" i="1"/>
  <c r="E322" i="1"/>
  <c r="G198" i="1"/>
  <c r="D198" i="1"/>
  <c r="F198" i="1"/>
  <c r="E198" i="1"/>
  <c r="G82" i="1"/>
  <c r="D82" i="1"/>
  <c r="F82" i="1"/>
  <c r="E82" i="1"/>
  <c r="G72" i="1"/>
  <c r="D72" i="1"/>
  <c r="F72" i="1"/>
  <c r="E72" i="1"/>
  <c r="G326" i="1"/>
  <c r="F326" i="1"/>
  <c r="E326" i="1"/>
  <c r="D326" i="1"/>
  <c r="G323" i="1"/>
  <c r="E323" i="1"/>
  <c r="D323" i="1"/>
  <c r="F323" i="1"/>
  <c r="G208" i="1"/>
  <c r="E208" i="1"/>
  <c r="D208" i="1"/>
  <c r="F208" i="1"/>
  <c r="G318" i="1"/>
  <c r="D318" i="1"/>
  <c r="F318" i="1"/>
  <c r="E318" i="1"/>
  <c r="G324" i="1"/>
  <c r="D324" i="1"/>
  <c r="F324" i="1"/>
  <c r="E324" i="1"/>
  <c r="G202" i="1"/>
  <c r="F202" i="1"/>
  <c r="E202" i="1"/>
  <c r="D202" i="1"/>
  <c r="G196" i="1"/>
  <c r="D196" i="1"/>
  <c r="F196" i="1"/>
  <c r="E196" i="1"/>
  <c r="G76" i="1"/>
  <c r="F76" i="1"/>
  <c r="E76" i="1"/>
  <c r="D76" i="1"/>
  <c r="G204" i="1"/>
  <c r="D204" i="1"/>
  <c r="F204" i="1"/>
  <c r="E204" i="1"/>
  <c r="G70" i="1"/>
  <c r="D70" i="1"/>
  <c r="F70" i="1"/>
  <c r="E70" i="1"/>
  <c r="G328" i="1"/>
  <c r="F328" i="1"/>
  <c r="E328" i="1"/>
  <c r="D328" i="1"/>
  <c r="G77" i="1"/>
  <c r="F77" i="1"/>
  <c r="E77" i="1"/>
  <c r="D77" i="1"/>
  <c r="G329" i="1"/>
  <c r="E329" i="1"/>
  <c r="D329" i="1"/>
  <c r="F329" i="1"/>
  <c r="G330" i="1"/>
  <c r="E330" i="1"/>
  <c r="D330" i="1"/>
  <c r="F330" i="1"/>
  <c r="G200" i="1"/>
  <c r="D200" i="1"/>
  <c r="F200" i="1"/>
  <c r="E200" i="1"/>
  <c r="G66" i="1"/>
  <c r="D66" i="1"/>
  <c r="F66" i="1"/>
  <c r="E66" i="1"/>
  <c r="G197" i="1"/>
  <c r="D197" i="1"/>
  <c r="F197" i="1"/>
  <c r="E197" i="1"/>
  <c r="B19" i="1"/>
  <c r="C209" i="1"/>
  <c r="C212" i="1"/>
  <c r="C87" i="1"/>
  <c r="C85" i="1"/>
  <c r="C205" i="1"/>
  <c r="C86" i="1"/>
  <c r="C91" i="1"/>
  <c r="C81" i="1"/>
  <c r="C83" i="1"/>
  <c r="C213" i="1"/>
  <c r="C327" i="1"/>
  <c r="C75" i="1"/>
  <c r="C206" i="1"/>
  <c r="C80" i="1"/>
  <c r="C207" i="1"/>
  <c r="C79" i="1"/>
  <c r="C211" i="1"/>
  <c r="C217" i="1"/>
  <c r="C201" i="1"/>
  <c r="I72" i="1"/>
  <c r="I71" i="1"/>
  <c r="I322" i="1"/>
  <c r="I326" i="1"/>
  <c r="I324" i="1"/>
  <c r="L324" i="1" s="1"/>
  <c r="I204" i="1"/>
  <c r="I66" i="1"/>
  <c r="I197" i="1"/>
  <c r="N71" i="1"/>
  <c r="P322" i="1"/>
  <c r="N72" i="1"/>
  <c r="J326" i="1"/>
  <c r="J324" i="1"/>
  <c r="J204" i="1"/>
  <c r="P66" i="1"/>
  <c r="J197" i="1"/>
  <c r="I82" i="1"/>
  <c r="N82" i="1" s="1"/>
  <c r="I196" i="1"/>
  <c r="J196" i="1" s="1"/>
  <c r="L322" i="1"/>
  <c r="J82" i="1"/>
  <c r="N196" i="1"/>
  <c r="I192" i="1"/>
  <c r="P192" i="1" s="1"/>
  <c r="I76" i="1"/>
  <c r="L76" i="1" s="1"/>
  <c r="I328" i="1"/>
  <c r="N328" i="1" s="1"/>
  <c r="P71" i="1"/>
  <c r="N322" i="1"/>
  <c r="J72" i="1"/>
  <c r="P196" i="1"/>
  <c r="N204" i="1"/>
  <c r="I203" i="1"/>
  <c r="I198" i="1"/>
  <c r="I323" i="1"/>
  <c r="I202" i="1"/>
  <c r="J202" i="1" s="1"/>
  <c r="I70" i="1"/>
  <c r="I329" i="1"/>
  <c r="J71" i="1"/>
  <c r="P203" i="1"/>
  <c r="L192" i="1"/>
  <c r="J322" i="1"/>
  <c r="J198" i="1"/>
  <c r="L82" i="1"/>
  <c r="L72" i="1"/>
  <c r="L326" i="1"/>
  <c r="L323" i="1"/>
  <c r="P324" i="1"/>
  <c r="L202" i="1"/>
  <c r="L196" i="1"/>
  <c r="N76" i="1"/>
  <c r="L204" i="1"/>
  <c r="J70" i="1"/>
  <c r="N66" i="1"/>
  <c r="J329" i="1"/>
  <c r="P328" i="1"/>
  <c r="P197" i="1"/>
  <c r="I208" i="1"/>
  <c r="I330" i="1"/>
  <c r="I77" i="1"/>
  <c r="L71" i="1"/>
  <c r="J192" i="1"/>
  <c r="L198" i="1"/>
  <c r="P72" i="1"/>
  <c r="J208" i="1"/>
  <c r="P202" i="1"/>
  <c r="P76" i="1"/>
  <c r="J330" i="1"/>
  <c r="L329" i="1"/>
  <c r="J328" i="1"/>
  <c r="N197" i="1"/>
  <c r="I74" i="1"/>
  <c r="J74" i="1"/>
  <c r="P326" i="1"/>
  <c r="N324" i="1"/>
  <c r="P204" i="1"/>
  <c r="L66" i="1"/>
  <c r="L197" i="1"/>
  <c r="I78" i="1"/>
  <c r="I318" i="1"/>
  <c r="I200" i="1"/>
  <c r="P78" i="1"/>
  <c r="J203" i="1"/>
  <c r="N192" i="1"/>
  <c r="P82" i="1"/>
  <c r="N326" i="1"/>
  <c r="N208" i="1"/>
  <c r="N202" i="1"/>
  <c r="J76" i="1"/>
  <c r="L330" i="1"/>
  <c r="J66" i="1"/>
  <c r="L328" i="1"/>
  <c r="N203" i="1"/>
  <c r="L203" i="1"/>
  <c r="P198" i="1"/>
  <c r="N198" i="1"/>
  <c r="N323" i="1"/>
  <c r="J323" i="1"/>
  <c r="P323" i="1"/>
  <c r="P70" i="1"/>
  <c r="L70" i="1"/>
  <c r="N70" i="1"/>
  <c r="N329" i="1"/>
  <c r="P329" i="1"/>
  <c r="L208" i="1"/>
  <c r="P208" i="1"/>
  <c r="N330" i="1"/>
  <c r="P330" i="1"/>
  <c r="N77" i="1"/>
  <c r="J77" i="1"/>
  <c r="L77" i="1"/>
  <c r="P77" i="1"/>
  <c r="P74" i="1"/>
  <c r="N74" i="1"/>
  <c r="L74" i="1"/>
  <c r="L78" i="1"/>
  <c r="J78" i="1"/>
  <c r="N78" i="1"/>
  <c r="N318" i="1"/>
  <c r="L318" i="1"/>
  <c r="J318" i="1"/>
  <c r="P318" i="1"/>
  <c r="P200" i="1"/>
  <c r="L200" i="1"/>
  <c r="N200" i="1"/>
  <c r="J200" i="1"/>
  <c r="G213" i="1" l="1"/>
  <c r="D213" i="1"/>
  <c r="F213" i="1"/>
  <c r="E213" i="1"/>
  <c r="G211" i="1"/>
  <c r="F211" i="1"/>
  <c r="E211" i="1"/>
  <c r="D211" i="1"/>
  <c r="G206" i="1"/>
  <c r="F206" i="1"/>
  <c r="E206" i="1"/>
  <c r="D206" i="1"/>
  <c r="G83" i="1"/>
  <c r="D83" i="1"/>
  <c r="F83" i="1"/>
  <c r="E83" i="1"/>
  <c r="G205" i="1"/>
  <c r="D205" i="1"/>
  <c r="F205" i="1"/>
  <c r="E205" i="1"/>
  <c r="G209" i="1"/>
  <c r="D209" i="1"/>
  <c r="F209" i="1"/>
  <c r="E209" i="1"/>
  <c r="G80" i="1"/>
  <c r="E80" i="1"/>
  <c r="D80" i="1"/>
  <c r="F80" i="1"/>
  <c r="G212" i="1"/>
  <c r="F212" i="1"/>
  <c r="E212" i="1"/>
  <c r="D212" i="1"/>
  <c r="G79" i="1"/>
  <c r="D79" i="1"/>
  <c r="F79" i="1"/>
  <c r="E79" i="1"/>
  <c r="G75" i="1"/>
  <c r="D75" i="1"/>
  <c r="F75" i="1"/>
  <c r="E75" i="1"/>
  <c r="G81" i="1"/>
  <c r="F81" i="1"/>
  <c r="E81" i="1"/>
  <c r="D81" i="1"/>
  <c r="G85" i="1"/>
  <c r="E85" i="1"/>
  <c r="D85" i="1"/>
  <c r="F85" i="1"/>
  <c r="G217" i="1"/>
  <c r="F217" i="1"/>
  <c r="E217" i="1"/>
  <c r="D217" i="1"/>
  <c r="G201" i="1"/>
  <c r="D201" i="1"/>
  <c r="F201" i="1"/>
  <c r="E201" i="1"/>
  <c r="G207" i="1"/>
  <c r="E207" i="1"/>
  <c r="D207" i="1"/>
  <c r="F207" i="1"/>
  <c r="G327" i="1"/>
  <c r="F327" i="1"/>
  <c r="E327" i="1"/>
  <c r="D327" i="1"/>
  <c r="G91" i="1"/>
  <c r="D91" i="1"/>
  <c r="F91" i="1"/>
  <c r="E91" i="1"/>
  <c r="G87" i="1"/>
  <c r="E87" i="1"/>
  <c r="D87" i="1"/>
  <c r="F87" i="1"/>
  <c r="G86" i="1"/>
  <c r="D86" i="1"/>
  <c r="F86" i="1"/>
  <c r="E86" i="1"/>
  <c r="B20" i="1"/>
  <c r="C89" i="1"/>
  <c r="C90" i="1"/>
  <c r="C95" i="1"/>
  <c r="C94" i="1"/>
  <c r="C84" i="1"/>
  <c r="C88" i="1"/>
  <c r="C215" i="1"/>
  <c r="C218" i="1"/>
  <c r="C216" i="1"/>
  <c r="C100" i="1"/>
  <c r="C222" i="1"/>
  <c r="C210" i="1"/>
  <c r="C221" i="1"/>
  <c r="C220" i="1"/>
  <c r="C214" i="1"/>
  <c r="C92" i="1"/>
  <c r="C226" i="1"/>
  <c r="C96" i="1"/>
  <c r="I206" i="1"/>
  <c r="I80" i="1"/>
  <c r="I91" i="1"/>
  <c r="I207" i="1"/>
  <c r="I87" i="1"/>
  <c r="L206" i="1"/>
  <c r="P80" i="1"/>
  <c r="P91" i="1"/>
  <c r="P207" i="1"/>
  <c r="N87" i="1"/>
  <c r="I213" i="1"/>
  <c r="I85" i="1"/>
  <c r="L85" i="1" s="1"/>
  <c r="I79" i="1"/>
  <c r="J79" i="1" s="1"/>
  <c r="I217" i="1"/>
  <c r="I201" i="1"/>
  <c r="P206" i="1"/>
  <c r="N80" i="1"/>
  <c r="P85" i="1"/>
  <c r="J91" i="1"/>
  <c r="L201" i="1"/>
  <c r="I83" i="1"/>
  <c r="I212" i="1"/>
  <c r="I81" i="1"/>
  <c r="I86" i="1"/>
  <c r="P213" i="1"/>
  <c r="N206" i="1"/>
  <c r="P83" i="1"/>
  <c r="L80" i="1"/>
  <c r="L212" i="1"/>
  <c r="N85" i="1"/>
  <c r="N217" i="1"/>
  <c r="N91" i="1"/>
  <c r="L81" i="1"/>
  <c r="L207" i="1"/>
  <c r="L86" i="1"/>
  <c r="P79" i="1"/>
  <c r="N201" i="1"/>
  <c r="P87" i="1"/>
  <c r="I205" i="1"/>
  <c r="I327" i="1"/>
  <c r="J213" i="1"/>
  <c r="J206" i="1"/>
  <c r="L205" i="1"/>
  <c r="J80" i="1"/>
  <c r="J85" i="1"/>
  <c r="L91" i="1"/>
  <c r="J327" i="1"/>
  <c r="J207" i="1"/>
  <c r="N79" i="1"/>
  <c r="L87" i="1"/>
  <c r="I211" i="1"/>
  <c r="I209" i="1"/>
  <c r="I75" i="1"/>
  <c r="J211" i="1"/>
  <c r="J83" i="1"/>
  <c r="J209" i="1"/>
  <c r="N212" i="1"/>
  <c r="P217" i="1"/>
  <c r="J81" i="1"/>
  <c r="N207" i="1"/>
  <c r="L79" i="1"/>
  <c r="J87" i="1"/>
  <c r="L213" i="1"/>
  <c r="N213" i="1"/>
  <c r="J217" i="1"/>
  <c r="L217" i="1"/>
  <c r="P201" i="1"/>
  <c r="J201" i="1"/>
  <c r="N83" i="1"/>
  <c r="L83" i="1"/>
  <c r="P212" i="1"/>
  <c r="J212" i="1"/>
  <c r="N81" i="1"/>
  <c r="P81" i="1"/>
  <c r="P86" i="1"/>
  <c r="J86" i="1"/>
  <c r="N86" i="1"/>
  <c r="P205" i="1"/>
  <c r="N205" i="1"/>
  <c r="J205" i="1"/>
  <c r="P327" i="1"/>
  <c r="N327" i="1"/>
  <c r="L327" i="1"/>
  <c r="P211" i="1"/>
  <c r="N211" i="1"/>
  <c r="L211" i="1"/>
  <c r="P209" i="1"/>
  <c r="N209" i="1"/>
  <c r="L209" i="1"/>
  <c r="L75" i="1"/>
  <c r="P75" i="1"/>
  <c r="N75" i="1"/>
  <c r="J75" i="1"/>
  <c r="G216" i="1" l="1"/>
  <c r="E216" i="1"/>
  <c r="D216" i="1"/>
  <c r="F216" i="1"/>
  <c r="G92" i="1"/>
  <c r="F92" i="1"/>
  <c r="E92" i="1"/>
  <c r="D92" i="1"/>
  <c r="G210" i="1"/>
  <c r="E210" i="1"/>
  <c r="D210" i="1"/>
  <c r="F210" i="1"/>
  <c r="G218" i="1"/>
  <c r="D218" i="1"/>
  <c r="F218" i="1"/>
  <c r="E218" i="1"/>
  <c r="G94" i="1"/>
  <c r="D94" i="1"/>
  <c r="F94" i="1"/>
  <c r="E94" i="1"/>
  <c r="G221" i="1"/>
  <c r="F221" i="1"/>
  <c r="E221" i="1"/>
  <c r="D221" i="1"/>
  <c r="G214" i="1"/>
  <c r="D214" i="1"/>
  <c r="F214" i="1"/>
  <c r="E214" i="1"/>
  <c r="G222" i="1"/>
  <c r="F222" i="1"/>
  <c r="E222" i="1"/>
  <c r="D222" i="1"/>
  <c r="G215" i="1"/>
  <c r="D215" i="1"/>
  <c r="F215" i="1"/>
  <c r="E215" i="1"/>
  <c r="G95" i="1"/>
  <c r="E95" i="1"/>
  <c r="D95" i="1"/>
  <c r="F95" i="1"/>
  <c r="G226" i="1"/>
  <c r="D226" i="1"/>
  <c r="F226" i="1"/>
  <c r="E226" i="1"/>
  <c r="G84" i="1"/>
  <c r="D84" i="1"/>
  <c r="F84" i="1"/>
  <c r="E84" i="1"/>
  <c r="G96" i="1"/>
  <c r="D96" i="1"/>
  <c r="F96" i="1"/>
  <c r="E96" i="1"/>
  <c r="G220" i="1"/>
  <c r="D220" i="1"/>
  <c r="F220" i="1"/>
  <c r="E220" i="1"/>
  <c r="G100" i="1"/>
  <c r="F100" i="1"/>
  <c r="E100" i="1"/>
  <c r="D100" i="1"/>
  <c r="G88" i="1"/>
  <c r="E88" i="1"/>
  <c r="D88" i="1"/>
  <c r="F88" i="1"/>
  <c r="G90" i="1"/>
  <c r="D90" i="1"/>
  <c r="F90" i="1"/>
  <c r="E90" i="1"/>
  <c r="G89" i="1"/>
  <c r="D89" i="1"/>
  <c r="F89" i="1"/>
  <c r="E89" i="1"/>
  <c r="B21" i="1"/>
  <c r="C93" i="1"/>
  <c r="C231" i="1"/>
  <c r="C104" i="1"/>
  <c r="C227" i="1"/>
  <c r="C109" i="1"/>
  <c r="C223" i="1"/>
  <c r="C230" i="1"/>
  <c r="C103" i="1"/>
  <c r="C105" i="1"/>
  <c r="C235" i="1"/>
  <c r="C97" i="1"/>
  <c r="C229" i="1"/>
  <c r="C99" i="1"/>
  <c r="C98" i="1"/>
  <c r="C225" i="1"/>
  <c r="C224" i="1"/>
  <c r="C101" i="1"/>
  <c r="C219" i="1"/>
  <c r="I210" i="1"/>
  <c r="L210" i="1"/>
  <c r="I221" i="1"/>
  <c r="I92" i="1"/>
  <c r="I100" i="1"/>
  <c r="I215" i="1"/>
  <c r="N210" i="1"/>
  <c r="N221" i="1"/>
  <c r="J92" i="1"/>
  <c r="L100" i="1"/>
  <c r="J215" i="1"/>
  <c r="I216" i="1"/>
  <c r="J216" i="1" s="1"/>
  <c r="I222" i="1"/>
  <c r="L222" i="1" s="1"/>
  <c r="I220" i="1"/>
  <c r="P210" i="1"/>
  <c r="I88" i="1"/>
  <c r="I84" i="1"/>
  <c r="I214" i="1"/>
  <c r="I90" i="1"/>
  <c r="P216" i="1"/>
  <c r="J221" i="1"/>
  <c r="P88" i="1"/>
  <c r="L92" i="1"/>
  <c r="J222" i="1"/>
  <c r="J100" i="1"/>
  <c r="P215" i="1"/>
  <c r="P90" i="1"/>
  <c r="I95" i="1"/>
  <c r="I94" i="1"/>
  <c r="I89" i="1"/>
  <c r="I226" i="1"/>
  <c r="L216" i="1"/>
  <c r="J210" i="1"/>
  <c r="P221" i="1"/>
  <c r="J95" i="1"/>
  <c r="J88" i="1"/>
  <c r="N92" i="1"/>
  <c r="N94" i="1"/>
  <c r="P222" i="1"/>
  <c r="P84" i="1"/>
  <c r="P100" i="1"/>
  <c r="J89" i="1"/>
  <c r="J214" i="1"/>
  <c r="L215" i="1"/>
  <c r="N226" i="1"/>
  <c r="L220" i="1"/>
  <c r="N90" i="1"/>
  <c r="I96" i="1"/>
  <c r="I218" i="1"/>
  <c r="N216" i="1"/>
  <c r="L221" i="1"/>
  <c r="L96" i="1"/>
  <c r="P92" i="1"/>
  <c r="N222" i="1"/>
  <c r="N100" i="1"/>
  <c r="N218" i="1"/>
  <c r="N215" i="1"/>
  <c r="N220" i="1"/>
  <c r="J226" i="1"/>
  <c r="J220" i="1"/>
  <c r="P220" i="1"/>
  <c r="L88" i="1"/>
  <c r="N88" i="1"/>
  <c r="J84" i="1"/>
  <c r="L84" i="1"/>
  <c r="N84" i="1"/>
  <c r="N214" i="1"/>
  <c r="L214" i="1"/>
  <c r="P214" i="1"/>
  <c r="L90" i="1"/>
  <c r="J90" i="1"/>
  <c r="P95" i="1"/>
  <c r="N95" i="1"/>
  <c r="L95" i="1"/>
  <c r="P94" i="1"/>
  <c r="L94" i="1"/>
  <c r="J94" i="1"/>
  <c r="L89" i="1"/>
  <c r="P89" i="1"/>
  <c r="N89" i="1"/>
  <c r="L226" i="1"/>
  <c r="P226" i="1"/>
  <c r="N96" i="1"/>
  <c r="J96" i="1"/>
  <c r="P96" i="1"/>
  <c r="L218" i="1"/>
  <c r="J218" i="1"/>
  <c r="P218" i="1"/>
  <c r="G219" i="1" l="1"/>
  <c r="E219" i="1"/>
  <c r="D219" i="1"/>
  <c r="F219" i="1"/>
  <c r="G231" i="1"/>
  <c r="E231" i="1"/>
  <c r="D231" i="1"/>
  <c r="F231" i="1"/>
  <c r="G235" i="1"/>
  <c r="D235" i="1"/>
  <c r="F235" i="1"/>
  <c r="E235" i="1"/>
  <c r="G223" i="1"/>
  <c r="F223" i="1"/>
  <c r="E223" i="1"/>
  <c r="D223" i="1"/>
  <c r="G99" i="1"/>
  <c r="D99" i="1"/>
  <c r="F99" i="1"/>
  <c r="E99" i="1"/>
  <c r="G109" i="1"/>
  <c r="D109" i="1"/>
  <c r="F109" i="1"/>
  <c r="E109" i="1"/>
  <c r="G224" i="1"/>
  <c r="D224" i="1"/>
  <c r="F224" i="1"/>
  <c r="E224" i="1"/>
  <c r="G229" i="1"/>
  <c r="E229" i="1"/>
  <c r="D229" i="1"/>
  <c r="F229" i="1"/>
  <c r="G103" i="1"/>
  <c r="D103" i="1"/>
  <c r="F103" i="1"/>
  <c r="E103" i="1"/>
  <c r="G227" i="1"/>
  <c r="F227" i="1"/>
  <c r="E227" i="1"/>
  <c r="D227" i="1"/>
  <c r="G98" i="1"/>
  <c r="D98" i="1"/>
  <c r="F98" i="1"/>
  <c r="E98" i="1"/>
  <c r="G101" i="1"/>
  <c r="F101" i="1"/>
  <c r="E101" i="1"/>
  <c r="D101" i="1"/>
  <c r="G105" i="1"/>
  <c r="D105" i="1"/>
  <c r="F105" i="1"/>
  <c r="E105" i="1"/>
  <c r="G93" i="1"/>
  <c r="F93" i="1"/>
  <c r="E93" i="1"/>
  <c r="D93" i="1"/>
  <c r="G225" i="1"/>
  <c r="D225" i="1"/>
  <c r="F225" i="1"/>
  <c r="E225" i="1"/>
  <c r="G97" i="1"/>
  <c r="F97" i="1"/>
  <c r="E97" i="1"/>
  <c r="D97" i="1"/>
  <c r="G230" i="1"/>
  <c r="D230" i="1"/>
  <c r="F230" i="1"/>
  <c r="E230" i="1"/>
  <c r="G104" i="1"/>
  <c r="E104" i="1"/>
  <c r="D104" i="1"/>
  <c r="F104" i="1"/>
  <c r="B22" i="1"/>
  <c r="C110" i="1"/>
  <c r="C108" i="1"/>
  <c r="C114" i="1"/>
  <c r="C244" i="1"/>
  <c r="C107" i="1"/>
  <c r="C234" i="1"/>
  <c r="C232" i="1"/>
  <c r="C238" i="1"/>
  <c r="C228" i="1"/>
  <c r="C112" i="1"/>
  <c r="C236" i="1"/>
  <c r="C233" i="1"/>
  <c r="C240" i="1"/>
  <c r="C118" i="1"/>
  <c r="C239" i="1"/>
  <c r="C113" i="1"/>
  <c r="C106" i="1"/>
  <c r="I223" i="1"/>
  <c r="I229" i="1"/>
  <c r="I101" i="1"/>
  <c r="I97" i="1"/>
  <c r="J223" i="1"/>
  <c r="P229" i="1"/>
  <c r="P101" i="1"/>
  <c r="P97" i="1"/>
  <c r="I231" i="1"/>
  <c r="N231" i="1" s="1"/>
  <c r="I227" i="1"/>
  <c r="P227" i="1" s="1"/>
  <c r="I93" i="1"/>
  <c r="N93" i="1" s="1"/>
  <c r="P231" i="1"/>
  <c r="P223" i="1"/>
  <c r="J229" i="1"/>
  <c r="J227" i="1"/>
  <c r="J101" i="1"/>
  <c r="N97" i="1"/>
  <c r="P93" i="1"/>
  <c r="I98" i="1"/>
  <c r="P98" i="1" s="1"/>
  <c r="J98" i="1"/>
  <c r="L97" i="1"/>
  <c r="L93" i="1"/>
  <c r="I219" i="1"/>
  <c r="I99" i="1"/>
  <c r="I103" i="1"/>
  <c r="I105" i="1"/>
  <c r="I225" i="1"/>
  <c r="N225" i="1" s="1"/>
  <c r="J219" i="1"/>
  <c r="J231" i="1"/>
  <c r="N223" i="1"/>
  <c r="J99" i="1"/>
  <c r="L229" i="1"/>
  <c r="L103" i="1"/>
  <c r="N227" i="1"/>
  <c r="L98" i="1"/>
  <c r="L101" i="1"/>
  <c r="N105" i="1"/>
  <c r="J97" i="1"/>
  <c r="L225" i="1"/>
  <c r="J93" i="1"/>
  <c r="I109" i="1"/>
  <c r="I230" i="1"/>
  <c r="N219" i="1"/>
  <c r="L99" i="1"/>
  <c r="J103" i="1"/>
  <c r="N98" i="1"/>
  <c r="P105" i="1"/>
  <c r="P225" i="1"/>
  <c r="I235" i="1"/>
  <c r="I224" i="1"/>
  <c r="I104" i="1"/>
  <c r="L231" i="1"/>
  <c r="L223" i="1"/>
  <c r="L109" i="1"/>
  <c r="N229" i="1"/>
  <c r="L227" i="1"/>
  <c r="N101" i="1"/>
  <c r="J230" i="1"/>
  <c r="J225" i="1"/>
  <c r="L219" i="1"/>
  <c r="P219" i="1"/>
  <c r="P99" i="1"/>
  <c r="N99" i="1"/>
  <c r="N103" i="1"/>
  <c r="P103" i="1"/>
  <c r="L105" i="1"/>
  <c r="J105" i="1"/>
  <c r="N109" i="1"/>
  <c r="P109" i="1"/>
  <c r="J109" i="1"/>
  <c r="P230" i="1"/>
  <c r="N230" i="1"/>
  <c r="L230" i="1"/>
  <c r="J235" i="1"/>
  <c r="P235" i="1"/>
  <c r="L235" i="1"/>
  <c r="N235" i="1"/>
  <c r="N224" i="1"/>
  <c r="L224" i="1"/>
  <c r="J224" i="1"/>
  <c r="P224" i="1"/>
  <c r="L104" i="1"/>
  <c r="N104" i="1"/>
  <c r="J104" i="1"/>
  <c r="P104" i="1"/>
  <c r="G108" i="1" l="1"/>
  <c r="F108" i="1"/>
  <c r="E108" i="1"/>
  <c r="D108" i="1"/>
  <c r="G106" i="1"/>
  <c r="F106" i="1"/>
  <c r="E106" i="1"/>
  <c r="D106" i="1"/>
  <c r="G240" i="1"/>
  <c r="E240" i="1"/>
  <c r="D240" i="1"/>
  <c r="F240" i="1"/>
  <c r="G228" i="1"/>
  <c r="D228" i="1"/>
  <c r="F228" i="1"/>
  <c r="E228" i="1"/>
  <c r="G107" i="1"/>
  <c r="D107" i="1"/>
  <c r="F107" i="1"/>
  <c r="E107" i="1"/>
  <c r="G110" i="1"/>
  <c r="E110" i="1"/>
  <c r="D110" i="1"/>
  <c r="F110" i="1"/>
  <c r="G112" i="1"/>
  <c r="E112" i="1"/>
  <c r="D112" i="1"/>
  <c r="F112" i="1"/>
  <c r="G113" i="1"/>
  <c r="D113" i="1"/>
  <c r="F113" i="1"/>
  <c r="E113" i="1"/>
  <c r="G233" i="1"/>
  <c r="D233" i="1"/>
  <c r="F233" i="1"/>
  <c r="E233" i="1"/>
  <c r="G238" i="1"/>
  <c r="F238" i="1"/>
  <c r="E238" i="1"/>
  <c r="D238" i="1"/>
  <c r="G244" i="1"/>
  <c r="D244" i="1"/>
  <c r="F244" i="1"/>
  <c r="E244" i="1"/>
  <c r="G118" i="1"/>
  <c r="E118" i="1"/>
  <c r="D118" i="1"/>
  <c r="F118" i="1"/>
  <c r="G239" i="1"/>
  <c r="D239" i="1"/>
  <c r="F239" i="1"/>
  <c r="E239" i="1"/>
  <c r="G236" i="1"/>
  <c r="F236" i="1"/>
  <c r="E236" i="1"/>
  <c r="D236" i="1"/>
  <c r="G232" i="1"/>
  <c r="E232" i="1"/>
  <c r="D232" i="1"/>
  <c r="F232" i="1"/>
  <c r="G114" i="1"/>
  <c r="D114" i="1"/>
  <c r="F114" i="1"/>
  <c r="E114" i="1"/>
  <c r="G234" i="1"/>
  <c r="D234" i="1"/>
  <c r="F234" i="1"/>
  <c r="E234" i="1"/>
  <c r="B23" i="1"/>
  <c r="C127" i="1"/>
  <c r="C117" i="1"/>
  <c r="C116" i="1"/>
  <c r="C237" i="1"/>
  <c r="C249" i="1"/>
  <c r="C243" i="1"/>
  <c r="C119" i="1"/>
  <c r="C122" i="1"/>
  <c r="C121" i="1"/>
  <c r="C248" i="1"/>
  <c r="C253" i="1"/>
  <c r="C247" i="1"/>
  <c r="C242" i="1"/>
  <c r="C115" i="1"/>
  <c r="C111" i="1"/>
  <c r="C241" i="1"/>
  <c r="C123" i="1"/>
  <c r="C245" i="1"/>
  <c r="I118" i="1"/>
  <c r="L118" i="1"/>
  <c r="I240" i="1"/>
  <c r="I238" i="1"/>
  <c r="J238" i="1" s="1"/>
  <c r="I114" i="1"/>
  <c r="I107" i="1"/>
  <c r="P240" i="1"/>
  <c r="N238" i="1"/>
  <c r="N118" i="1"/>
  <c r="N114" i="1"/>
  <c r="P107" i="1"/>
  <c r="I113" i="1"/>
  <c r="P113" i="1" s="1"/>
  <c r="I239" i="1"/>
  <c r="J239" i="1" s="1"/>
  <c r="J118" i="1"/>
  <c r="N239" i="1"/>
  <c r="L107" i="1"/>
  <c r="I106" i="1"/>
  <c r="I233" i="1"/>
  <c r="I234" i="1"/>
  <c r="L106" i="1"/>
  <c r="L240" i="1"/>
  <c r="J113" i="1"/>
  <c r="J233" i="1"/>
  <c r="L114" i="1"/>
  <c r="L239" i="1"/>
  <c r="N107" i="1"/>
  <c r="I228" i="1"/>
  <c r="I236" i="1"/>
  <c r="I110" i="1"/>
  <c r="I244" i="1"/>
  <c r="J244" i="1" s="1"/>
  <c r="J106" i="1"/>
  <c r="N240" i="1"/>
  <c r="P228" i="1"/>
  <c r="L113" i="1"/>
  <c r="P233" i="1"/>
  <c r="P238" i="1"/>
  <c r="J236" i="1"/>
  <c r="P118" i="1"/>
  <c r="P114" i="1"/>
  <c r="N110" i="1"/>
  <c r="P239" i="1"/>
  <c r="P234" i="1"/>
  <c r="J107" i="1"/>
  <c r="N244" i="1"/>
  <c r="I108" i="1"/>
  <c r="I112" i="1"/>
  <c r="I232" i="1"/>
  <c r="J240" i="1"/>
  <c r="N113" i="1"/>
  <c r="L238" i="1"/>
  <c r="P112" i="1"/>
  <c r="J114" i="1"/>
  <c r="J110" i="1"/>
  <c r="L234" i="1"/>
  <c r="P244" i="1"/>
  <c r="L244" i="1"/>
  <c r="N106" i="1"/>
  <c r="P106" i="1"/>
  <c r="L233" i="1"/>
  <c r="N233" i="1"/>
  <c r="N234" i="1"/>
  <c r="J234" i="1"/>
  <c r="J228" i="1"/>
  <c r="L228" i="1"/>
  <c r="N228" i="1"/>
  <c r="N236" i="1"/>
  <c r="P236" i="1"/>
  <c r="L236" i="1"/>
  <c r="P110" i="1"/>
  <c r="L110" i="1"/>
  <c r="J108" i="1"/>
  <c r="N108" i="1"/>
  <c r="P108" i="1"/>
  <c r="L108" i="1"/>
  <c r="N112" i="1"/>
  <c r="J112" i="1"/>
  <c r="L112" i="1"/>
  <c r="J232" i="1"/>
  <c r="P232" i="1"/>
  <c r="L232" i="1"/>
  <c r="N232" i="1"/>
  <c r="G119" i="1" l="1"/>
  <c r="E119" i="1"/>
  <c r="D119" i="1"/>
  <c r="F119" i="1"/>
  <c r="G245" i="1"/>
  <c r="D245" i="1"/>
  <c r="F245" i="1"/>
  <c r="E245" i="1"/>
  <c r="G115" i="1"/>
  <c r="E115" i="1"/>
  <c r="D115" i="1"/>
  <c r="F115" i="1"/>
  <c r="G248" i="1"/>
  <c r="E248" i="1"/>
  <c r="D248" i="1"/>
  <c r="F248" i="1"/>
  <c r="G243" i="1"/>
  <c r="F243" i="1"/>
  <c r="E243" i="1"/>
  <c r="D243" i="1"/>
  <c r="G117" i="1"/>
  <c r="D117" i="1"/>
  <c r="F117" i="1"/>
  <c r="E117" i="1"/>
  <c r="G253" i="1"/>
  <c r="E253" i="1"/>
  <c r="D253" i="1"/>
  <c r="F253" i="1"/>
  <c r="G123" i="1"/>
  <c r="D123" i="1"/>
  <c r="F123" i="1"/>
  <c r="E123" i="1"/>
  <c r="G242" i="1"/>
  <c r="D242" i="1"/>
  <c r="F242" i="1"/>
  <c r="E242" i="1"/>
  <c r="G121" i="1"/>
  <c r="F121" i="1"/>
  <c r="E121" i="1"/>
  <c r="D121" i="1"/>
  <c r="G249" i="1"/>
  <c r="E249" i="1"/>
  <c r="D249" i="1"/>
  <c r="F249" i="1"/>
  <c r="G127" i="1"/>
  <c r="D127" i="1"/>
  <c r="F127" i="1"/>
  <c r="E127" i="1"/>
  <c r="G116" i="1"/>
  <c r="D116" i="1"/>
  <c r="F116" i="1"/>
  <c r="E116" i="1"/>
  <c r="G241" i="1"/>
  <c r="D241" i="1"/>
  <c r="F241" i="1"/>
  <c r="E241" i="1"/>
  <c r="G247" i="1"/>
  <c r="F247" i="1"/>
  <c r="E247" i="1"/>
  <c r="D247" i="1"/>
  <c r="G122" i="1"/>
  <c r="D122" i="1"/>
  <c r="F122" i="1"/>
  <c r="E122" i="1"/>
  <c r="G237" i="1"/>
  <c r="F237" i="1"/>
  <c r="E237" i="1"/>
  <c r="D237" i="1"/>
  <c r="G111" i="1"/>
  <c r="F111" i="1"/>
  <c r="E111" i="1"/>
  <c r="D111" i="1"/>
  <c r="B24" i="1"/>
  <c r="C120" i="1"/>
  <c r="C125" i="1"/>
  <c r="C250" i="1"/>
  <c r="C132" i="1"/>
  <c r="C246" i="1"/>
  <c r="C257" i="1"/>
  <c r="C128" i="1"/>
  <c r="C251" i="1"/>
  <c r="C126" i="1"/>
  <c r="C262" i="1"/>
  <c r="C124" i="1"/>
  <c r="C252" i="1"/>
  <c r="C130" i="1"/>
  <c r="C131" i="1"/>
  <c r="C258" i="1"/>
  <c r="C256" i="1"/>
  <c r="C254" i="1"/>
  <c r="C136" i="1"/>
  <c r="I245" i="1"/>
  <c r="I115" i="1"/>
  <c r="I121" i="1"/>
  <c r="I111" i="1"/>
  <c r="I249" i="1"/>
  <c r="N249" i="1" s="1"/>
  <c r="P245" i="1"/>
  <c r="P115" i="1"/>
  <c r="N121" i="1"/>
  <c r="L111" i="1"/>
  <c r="J249" i="1"/>
  <c r="I243" i="1"/>
  <c r="I247" i="1"/>
  <c r="L247" i="1" s="1"/>
  <c r="I122" i="1"/>
  <c r="I241" i="1"/>
  <c r="J245" i="1"/>
  <c r="J121" i="1"/>
  <c r="P111" i="1"/>
  <c r="N247" i="1"/>
  <c r="P241" i="1"/>
  <c r="I248" i="1"/>
  <c r="I127" i="1"/>
  <c r="I242" i="1"/>
  <c r="I237" i="1"/>
  <c r="N245" i="1"/>
  <c r="N115" i="1"/>
  <c r="P248" i="1"/>
  <c r="P243" i="1"/>
  <c r="P121" i="1"/>
  <c r="N127" i="1"/>
  <c r="N122" i="1"/>
  <c r="J111" i="1"/>
  <c r="J242" i="1"/>
  <c r="P247" i="1"/>
  <c r="L249" i="1"/>
  <c r="J237" i="1"/>
  <c r="J241" i="1"/>
  <c r="I119" i="1"/>
  <c r="I116" i="1"/>
  <c r="I253" i="1"/>
  <c r="L245" i="1"/>
  <c r="J115" i="1"/>
  <c r="L243" i="1"/>
  <c r="L121" i="1"/>
  <c r="P116" i="1"/>
  <c r="N111" i="1"/>
  <c r="J247" i="1"/>
  <c r="P249" i="1"/>
  <c r="P253" i="1"/>
  <c r="I117" i="1"/>
  <c r="I123" i="1"/>
  <c r="P119" i="1"/>
  <c r="L115" i="1"/>
  <c r="P117" i="1"/>
  <c r="P127" i="1"/>
  <c r="P242" i="1"/>
  <c r="N123" i="1"/>
  <c r="N253" i="1"/>
  <c r="N243" i="1"/>
  <c r="J243" i="1"/>
  <c r="J122" i="1"/>
  <c r="L122" i="1"/>
  <c r="P122" i="1"/>
  <c r="L241" i="1"/>
  <c r="N241" i="1"/>
  <c r="L248" i="1"/>
  <c r="N248" i="1"/>
  <c r="J248" i="1"/>
  <c r="J127" i="1"/>
  <c r="L127" i="1"/>
  <c r="N242" i="1"/>
  <c r="L242" i="1"/>
  <c r="N237" i="1"/>
  <c r="P237" i="1"/>
  <c r="L237" i="1"/>
  <c r="L119" i="1"/>
  <c r="J119" i="1"/>
  <c r="N119" i="1"/>
  <c r="L116" i="1"/>
  <c r="N116" i="1"/>
  <c r="J116" i="1"/>
  <c r="J253" i="1"/>
  <c r="L253" i="1"/>
  <c r="L117" i="1"/>
  <c r="J117" i="1"/>
  <c r="N117" i="1"/>
  <c r="J123" i="1"/>
  <c r="L123" i="1"/>
  <c r="P123" i="1"/>
  <c r="G136" i="1" l="1"/>
  <c r="E136" i="1"/>
  <c r="F136" i="1"/>
  <c r="D136" i="1"/>
  <c r="G257" i="1"/>
  <c r="F257" i="1"/>
  <c r="E257" i="1"/>
  <c r="D257" i="1"/>
  <c r="G254" i="1"/>
  <c r="D254" i="1"/>
  <c r="F254" i="1"/>
  <c r="E254" i="1"/>
  <c r="G130" i="1"/>
  <c r="F130" i="1"/>
  <c r="D130" i="1"/>
  <c r="E130" i="1"/>
  <c r="G126" i="1"/>
  <c r="E126" i="1"/>
  <c r="D126" i="1"/>
  <c r="F126" i="1"/>
  <c r="G246" i="1"/>
  <c r="D246" i="1"/>
  <c r="E246" i="1"/>
  <c r="F246" i="1"/>
  <c r="G120" i="1"/>
  <c r="D120" i="1"/>
  <c r="F120" i="1"/>
  <c r="E120" i="1"/>
  <c r="G262" i="1"/>
  <c r="D262" i="1"/>
  <c r="F262" i="1"/>
  <c r="E262" i="1"/>
  <c r="G256" i="1"/>
  <c r="E256" i="1"/>
  <c r="D256" i="1"/>
  <c r="F256" i="1"/>
  <c r="G252" i="1"/>
  <c r="D252" i="1"/>
  <c r="E252" i="1"/>
  <c r="F252" i="1"/>
  <c r="G251" i="1"/>
  <c r="D251" i="1"/>
  <c r="F251" i="1"/>
  <c r="E251" i="1"/>
  <c r="G132" i="1"/>
  <c r="F132" i="1"/>
  <c r="D132" i="1"/>
  <c r="E132" i="1"/>
  <c r="G131" i="1"/>
  <c r="F131" i="1"/>
  <c r="D131" i="1"/>
  <c r="E131" i="1"/>
  <c r="G125" i="1"/>
  <c r="E125" i="1"/>
  <c r="F125" i="1"/>
  <c r="D125" i="1"/>
  <c r="G258" i="1"/>
  <c r="F258" i="1"/>
  <c r="E258" i="1"/>
  <c r="D258" i="1"/>
  <c r="G124" i="1"/>
  <c r="E124" i="1"/>
  <c r="F124" i="1"/>
  <c r="D124" i="1"/>
  <c r="G128" i="1"/>
  <c r="F128" i="1"/>
  <c r="D128" i="1"/>
  <c r="E128" i="1"/>
  <c r="G250" i="1"/>
  <c r="D250" i="1"/>
  <c r="F250" i="1"/>
  <c r="E250" i="1"/>
  <c r="B25" i="1"/>
  <c r="C261" i="1"/>
  <c r="C266" i="1"/>
  <c r="C259" i="1"/>
  <c r="C263" i="1"/>
  <c r="C267" i="1"/>
  <c r="C134" i="1"/>
  <c r="C255" i="1"/>
  <c r="C129" i="1"/>
  <c r="C271" i="1"/>
  <c r="C265" i="1"/>
  <c r="C133" i="1"/>
  <c r="C135" i="1"/>
  <c r="C137" i="1"/>
  <c r="C260" i="1"/>
  <c r="I257" i="1"/>
  <c r="I246" i="1"/>
  <c r="I252" i="1"/>
  <c r="I125" i="1"/>
  <c r="I250" i="1"/>
  <c r="J257" i="1"/>
  <c r="J246" i="1"/>
  <c r="P252" i="1"/>
  <c r="P125" i="1"/>
  <c r="P250" i="1"/>
  <c r="I254" i="1"/>
  <c r="N254" i="1" s="1"/>
  <c r="I120" i="1"/>
  <c r="P120" i="1" s="1"/>
  <c r="I251" i="1"/>
  <c r="L251" i="1" s="1"/>
  <c r="I258" i="1"/>
  <c r="P258" i="1" s="1"/>
  <c r="N257" i="1"/>
  <c r="L254" i="1"/>
  <c r="L246" i="1"/>
  <c r="L120" i="1"/>
  <c r="N252" i="1"/>
  <c r="J251" i="1"/>
  <c r="J125" i="1"/>
  <c r="L258" i="1"/>
  <c r="L250" i="1"/>
  <c r="I126" i="1"/>
  <c r="I131" i="1"/>
  <c r="P254" i="1"/>
  <c r="P246" i="1"/>
  <c r="L252" i="1"/>
  <c r="L125" i="1"/>
  <c r="N250" i="1"/>
  <c r="I130" i="1"/>
  <c r="I262" i="1"/>
  <c r="I132" i="1"/>
  <c r="I124" i="1"/>
  <c r="L257" i="1"/>
  <c r="J254" i="1"/>
  <c r="L130" i="1"/>
  <c r="N126" i="1"/>
  <c r="N246" i="1"/>
  <c r="N120" i="1"/>
  <c r="N262" i="1"/>
  <c r="J252" i="1"/>
  <c r="N251" i="1"/>
  <c r="N132" i="1"/>
  <c r="P131" i="1"/>
  <c r="N125" i="1"/>
  <c r="J258" i="1"/>
  <c r="P124" i="1"/>
  <c r="J250" i="1"/>
  <c r="I136" i="1"/>
  <c r="I256" i="1"/>
  <c r="I128" i="1"/>
  <c r="P257" i="1"/>
  <c r="L126" i="1"/>
  <c r="J120" i="1"/>
  <c r="P256" i="1"/>
  <c r="P251" i="1"/>
  <c r="J131" i="1"/>
  <c r="N258" i="1"/>
  <c r="P128" i="1"/>
  <c r="P126" i="1"/>
  <c r="J126" i="1"/>
  <c r="L131" i="1"/>
  <c r="N131" i="1"/>
  <c r="P130" i="1"/>
  <c r="J130" i="1"/>
  <c r="N130" i="1"/>
  <c r="J262" i="1"/>
  <c r="L262" i="1"/>
  <c r="P262" i="1"/>
  <c r="L132" i="1"/>
  <c r="J132" i="1"/>
  <c r="P132" i="1"/>
  <c r="L124" i="1"/>
  <c r="J124" i="1"/>
  <c r="N124" i="1"/>
  <c r="J136" i="1"/>
  <c r="N136" i="1"/>
  <c r="L136" i="1"/>
  <c r="P136" i="1"/>
  <c r="N256" i="1"/>
  <c r="L256" i="1"/>
  <c r="J256" i="1"/>
  <c r="N128" i="1"/>
  <c r="L128" i="1"/>
  <c r="J128" i="1"/>
  <c r="G255" i="1" l="1"/>
  <c r="D255" i="1"/>
  <c r="F255" i="1"/>
  <c r="E255" i="1"/>
  <c r="G260" i="1"/>
  <c r="F260" i="1"/>
  <c r="E260" i="1"/>
  <c r="D260" i="1"/>
  <c r="G265" i="1"/>
  <c r="E265" i="1"/>
  <c r="D265" i="1"/>
  <c r="F265" i="1"/>
  <c r="G134" i="1"/>
  <c r="E134" i="1"/>
  <c r="D134" i="1"/>
  <c r="F134" i="1"/>
  <c r="G266" i="1"/>
  <c r="D266" i="1"/>
  <c r="F266" i="1"/>
  <c r="E266" i="1"/>
  <c r="G259" i="1"/>
  <c r="E259" i="1"/>
  <c r="D259" i="1"/>
  <c r="F259" i="1"/>
  <c r="G137" i="1"/>
  <c r="E137" i="1"/>
  <c r="F137" i="1"/>
  <c r="D137" i="1"/>
  <c r="G271" i="1"/>
  <c r="D271" i="1"/>
  <c r="F271" i="1"/>
  <c r="E271" i="1"/>
  <c r="G267" i="1"/>
  <c r="F267" i="1"/>
  <c r="E267" i="1"/>
  <c r="D267" i="1"/>
  <c r="G261" i="1"/>
  <c r="E261" i="1"/>
  <c r="D261" i="1"/>
  <c r="F261" i="1"/>
  <c r="G135" i="1"/>
  <c r="D135" i="1"/>
  <c r="F135" i="1"/>
  <c r="E135" i="1"/>
  <c r="G129" i="1"/>
  <c r="E129" i="1"/>
  <c r="F129" i="1"/>
  <c r="D129" i="1"/>
  <c r="G263" i="1"/>
  <c r="F263" i="1"/>
  <c r="E263" i="1"/>
  <c r="D263" i="1"/>
  <c r="G133" i="1"/>
  <c r="E133" i="1"/>
  <c r="D133" i="1"/>
  <c r="F133" i="1"/>
  <c r="B26" i="1"/>
  <c r="C270" i="1"/>
  <c r="C264" i="1"/>
  <c r="C269" i="1"/>
  <c r="C272" i="1"/>
  <c r="C268" i="1"/>
  <c r="I265" i="1"/>
  <c r="I137" i="1"/>
  <c r="I135" i="1"/>
  <c r="P137" i="1"/>
  <c r="I134" i="1"/>
  <c r="P134" i="1" s="1"/>
  <c r="I271" i="1"/>
  <c r="I133" i="1"/>
  <c r="L265" i="1"/>
  <c r="L134" i="1"/>
  <c r="J137" i="1"/>
  <c r="J271" i="1"/>
  <c r="J135" i="1"/>
  <c r="J133" i="1"/>
  <c r="I259" i="1"/>
  <c r="L259" i="1" s="1"/>
  <c r="I129" i="1"/>
  <c r="N134" i="1"/>
  <c r="P259" i="1"/>
  <c r="P271" i="1"/>
  <c r="L133" i="1"/>
  <c r="J265" i="1"/>
  <c r="J259" i="1"/>
  <c r="N133" i="1"/>
  <c r="I255" i="1"/>
  <c r="I266" i="1"/>
  <c r="P266" i="1" s="1"/>
  <c r="I267" i="1"/>
  <c r="I263" i="1"/>
  <c r="L263" i="1" s="1"/>
  <c r="L255" i="1"/>
  <c r="N265" i="1"/>
  <c r="J134" i="1"/>
  <c r="L266" i="1"/>
  <c r="N259" i="1"/>
  <c r="L137" i="1"/>
  <c r="L271" i="1"/>
  <c r="J267" i="1"/>
  <c r="N135" i="1"/>
  <c r="P133" i="1"/>
  <c r="N263" i="1"/>
  <c r="P129" i="1"/>
  <c r="I260" i="1"/>
  <c r="I261" i="1"/>
  <c r="J255" i="1"/>
  <c r="P265" i="1"/>
  <c r="N266" i="1"/>
  <c r="N137" i="1"/>
  <c r="L267" i="1"/>
  <c r="L135" i="1"/>
  <c r="P263" i="1"/>
  <c r="J129" i="1"/>
  <c r="J266" i="1"/>
  <c r="N271" i="1"/>
  <c r="P135" i="1"/>
  <c r="J263" i="1"/>
  <c r="L129" i="1"/>
  <c r="N129" i="1"/>
  <c r="P255" i="1"/>
  <c r="N255" i="1"/>
  <c r="N267" i="1"/>
  <c r="P267" i="1"/>
  <c r="N260" i="1"/>
  <c r="P260" i="1"/>
  <c r="L260" i="1"/>
  <c r="J260" i="1"/>
  <c r="L261" i="1"/>
  <c r="J261" i="1"/>
  <c r="P261" i="1"/>
  <c r="N261" i="1"/>
  <c r="G269" i="1" l="1"/>
  <c r="F269" i="1"/>
  <c r="D269" i="1"/>
  <c r="E269" i="1"/>
  <c r="G264" i="1"/>
  <c r="E264" i="1"/>
  <c r="F264" i="1"/>
  <c r="D264" i="1"/>
  <c r="G268" i="1"/>
  <c r="D268" i="1"/>
  <c r="F268" i="1"/>
  <c r="E268" i="1"/>
  <c r="G270" i="1"/>
  <c r="E270" i="1"/>
  <c r="D270" i="1"/>
  <c r="F270" i="1"/>
  <c r="G272" i="1"/>
  <c r="F272" i="1"/>
  <c r="E272" i="1"/>
  <c r="D272" i="1"/>
  <c r="B27" i="1"/>
  <c r="I270" i="1"/>
  <c r="J270" i="1"/>
  <c r="I269" i="1"/>
  <c r="J269" i="1" s="1"/>
  <c r="I272" i="1"/>
  <c r="P269" i="1"/>
  <c r="P270" i="1"/>
  <c r="N272" i="1"/>
  <c r="I268" i="1"/>
  <c r="J268" i="1" s="1"/>
  <c r="L269" i="1"/>
  <c r="P268" i="1"/>
  <c r="P272" i="1"/>
  <c r="N268" i="1"/>
  <c r="I264" i="1"/>
  <c r="L264" i="1" s="1"/>
  <c r="N269" i="1"/>
  <c r="P264" i="1"/>
  <c r="L268" i="1"/>
  <c r="L270" i="1"/>
  <c r="L272" i="1"/>
  <c r="J264" i="1"/>
  <c r="N270" i="1"/>
  <c r="N264" i="1"/>
  <c r="J272" i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C334" i="1"/>
  <c r="G334" i="1" l="1"/>
  <c r="D334" i="1"/>
  <c r="F334" i="1"/>
  <c r="E334" i="1"/>
  <c r="B44" i="1"/>
  <c r="C332" i="1"/>
  <c r="C333" i="1"/>
  <c r="C335" i="1"/>
  <c r="C339" i="1"/>
  <c r="C338" i="1"/>
  <c r="C337" i="1"/>
  <c r="C331" i="1"/>
  <c r="C343" i="1"/>
  <c r="I334" i="1"/>
  <c r="N334" i="1" s="1"/>
  <c r="J334" i="1"/>
  <c r="P334" i="1"/>
  <c r="L334" i="1"/>
  <c r="G339" i="1" l="1"/>
  <c r="D339" i="1"/>
  <c r="F339" i="1"/>
  <c r="E339" i="1"/>
  <c r="G338" i="1"/>
  <c r="E338" i="1"/>
  <c r="D338" i="1"/>
  <c r="F338" i="1"/>
  <c r="G343" i="1"/>
  <c r="D343" i="1"/>
  <c r="F343" i="1"/>
  <c r="E343" i="1"/>
  <c r="G331" i="1"/>
  <c r="D331" i="1"/>
  <c r="F331" i="1"/>
  <c r="E331" i="1"/>
  <c r="G335" i="1"/>
  <c r="F335" i="1"/>
  <c r="E335" i="1"/>
  <c r="D335" i="1"/>
  <c r="G332" i="1"/>
  <c r="D332" i="1"/>
  <c r="F332" i="1"/>
  <c r="E332" i="1"/>
  <c r="G337" i="1"/>
  <c r="F337" i="1"/>
  <c r="E337" i="1"/>
  <c r="D337" i="1"/>
  <c r="G333" i="1"/>
  <c r="E333" i="1"/>
  <c r="D333" i="1"/>
  <c r="F333" i="1"/>
  <c r="B45" i="1"/>
  <c r="C348" i="1"/>
  <c r="C352" i="1"/>
  <c r="C341" i="1"/>
  <c r="C340" i="1"/>
  <c r="C347" i="1"/>
  <c r="C336" i="1"/>
  <c r="C346" i="1"/>
  <c r="C342" i="1"/>
  <c r="C344" i="1"/>
  <c r="I343" i="1"/>
  <c r="I331" i="1"/>
  <c r="I332" i="1"/>
  <c r="N343" i="1"/>
  <c r="L331" i="1"/>
  <c r="L332" i="1"/>
  <c r="I333" i="1"/>
  <c r="J333" i="1" s="1"/>
  <c r="J331" i="1"/>
  <c r="L333" i="1"/>
  <c r="J332" i="1"/>
  <c r="P343" i="1"/>
  <c r="P333" i="1"/>
  <c r="I339" i="1"/>
  <c r="I335" i="1"/>
  <c r="J335" i="1" s="1"/>
  <c r="P339" i="1"/>
  <c r="J343" i="1"/>
  <c r="P331" i="1"/>
  <c r="L335" i="1"/>
  <c r="N333" i="1"/>
  <c r="N332" i="1"/>
  <c r="I338" i="1"/>
  <c r="J339" i="1"/>
  <c r="L343" i="1"/>
  <c r="P335" i="1"/>
  <c r="I337" i="1"/>
  <c r="L338" i="1"/>
  <c r="N331" i="1"/>
  <c r="N335" i="1"/>
  <c r="P332" i="1"/>
  <c r="L339" i="1"/>
  <c r="N339" i="1"/>
  <c r="J338" i="1"/>
  <c r="N338" i="1"/>
  <c r="P338" i="1"/>
  <c r="N337" i="1"/>
  <c r="J337" i="1"/>
  <c r="L337" i="1"/>
  <c r="P337" i="1"/>
  <c r="G336" i="1" l="1"/>
  <c r="E336" i="1"/>
  <c r="D336" i="1"/>
  <c r="F336" i="1"/>
  <c r="G344" i="1"/>
  <c r="F344" i="1"/>
  <c r="E344" i="1"/>
  <c r="D344" i="1"/>
  <c r="G347" i="1"/>
  <c r="E347" i="1"/>
  <c r="D347" i="1"/>
  <c r="F347" i="1"/>
  <c r="G348" i="1"/>
  <c r="D348" i="1"/>
  <c r="F348" i="1"/>
  <c r="E348" i="1"/>
  <c r="G342" i="1"/>
  <c r="D342" i="1"/>
  <c r="F342" i="1"/>
  <c r="E342" i="1"/>
  <c r="G340" i="1"/>
  <c r="F340" i="1"/>
  <c r="E340" i="1"/>
  <c r="D340" i="1"/>
  <c r="G346" i="1"/>
  <c r="F346" i="1"/>
  <c r="E346" i="1"/>
  <c r="D346" i="1"/>
  <c r="G341" i="1"/>
  <c r="D341" i="1"/>
  <c r="F341" i="1"/>
  <c r="E341" i="1"/>
  <c r="G352" i="1"/>
  <c r="D352" i="1"/>
  <c r="F352" i="1"/>
  <c r="E352" i="1"/>
  <c r="B46" i="1"/>
  <c r="C361" i="1"/>
  <c r="C356" i="1"/>
  <c r="C350" i="1"/>
  <c r="C357" i="1"/>
  <c r="C353" i="1"/>
  <c r="C349" i="1"/>
  <c r="C355" i="1"/>
  <c r="C345" i="1"/>
  <c r="C351" i="1"/>
  <c r="I348" i="1"/>
  <c r="I344" i="1"/>
  <c r="N348" i="1"/>
  <c r="J344" i="1"/>
  <c r="I347" i="1"/>
  <c r="L347" i="1" s="1"/>
  <c r="L348" i="1"/>
  <c r="P347" i="1"/>
  <c r="P344" i="1"/>
  <c r="I341" i="1"/>
  <c r="N341" i="1" s="1"/>
  <c r="J341" i="1"/>
  <c r="I336" i="1"/>
  <c r="N336" i="1" s="1"/>
  <c r="I346" i="1"/>
  <c r="I340" i="1"/>
  <c r="P340" i="1" s="1"/>
  <c r="L336" i="1"/>
  <c r="P348" i="1"/>
  <c r="J346" i="1"/>
  <c r="N347" i="1"/>
  <c r="L341" i="1"/>
  <c r="L344" i="1"/>
  <c r="L340" i="1"/>
  <c r="P336" i="1"/>
  <c r="P346" i="1"/>
  <c r="P341" i="1"/>
  <c r="N340" i="1"/>
  <c r="J336" i="1"/>
  <c r="J347" i="1"/>
  <c r="J340" i="1"/>
  <c r="I342" i="1"/>
  <c r="I352" i="1"/>
  <c r="J348" i="1"/>
  <c r="N344" i="1"/>
  <c r="L346" i="1"/>
  <c r="N346" i="1"/>
  <c r="L342" i="1"/>
  <c r="J342" i="1"/>
  <c r="P342" i="1"/>
  <c r="N342" i="1"/>
  <c r="L352" i="1"/>
  <c r="N352" i="1"/>
  <c r="J352" i="1"/>
  <c r="P352" i="1"/>
  <c r="G353" i="1" l="1"/>
  <c r="F353" i="1"/>
  <c r="E353" i="1"/>
  <c r="D353" i="1"/>
  <c r="G345" i="1"/>
  <c r="E345" i="1"/>
  <c r="D345" i="1"/>
  <c r="F345" i="1"/>
  <c r="G357" i="1"/>
  <c r="D357" i="1"/>
  <c r="F357" i="1"/>
  <c r="E357" i="1"/>
  <c r="G361" i="1"/>
  <c r="E361" i="1"/>
  <c r="D361" i="1"/>
  <c r="F361" i="1"/>
  <c r="G355" i="1"/>
  <c r="D355" i="1"/>
  <c r="F355" i="1"/>
  <c r="E355" i="1"/>
  <c r="G350" i="1"/>
  <c r="D350" i="1"/>
  <c r="F350" i="1"/>
  <c r="E350" i="1"/>
  <c r="G349" i="1"/>
  <c r="F349" i="1"/>
  <c r="E349" i="1"/>
  <c r="D349" i="1"/>
  <c r="G356" i="1"/>
  <c r="E356" i="1"/>
  <c r="D356" i="1"/>
  <c r="F356" i="1"/>
  <c r="G351" i="1"/>
  <c r="D351" i="1"/>
  <c r="F351" i="1"/>
  <c r="E351" i="1"/>
  <c r="B47" i="1"/>
  <c r="C354" i="1"/>
  <c r="C362" i="1"/>
  <c r="C359" i="1"/>
  <c r="C370" i="1"/>
  <c r="C358" i="1"/>
  <c r="C365" i="1"/>
  <c r="C366" i="1"/>
  <c r="C360" i="1"/>
  <c r="C364" i="1"/>
  <c r="I357" i="1"/>
  <c r="I345" i="1"/>
  <c r="L357" i="1"/>
  <c r="J345" i="1"/>
  <c r="I355" i="1"/>
  <c r="N355" i="1" s="1"/>
  <c r="I356" i="1"/>
  <c r="N345" i="1"/>
  <c r="I353" i="1"/>
  <c r="I349" i="1"/>
  <c r="I350" i="1"/>
  <c r="J353" i="1"/>
  <c r="P355" i="1"/>
  <c r="J357" i="1"/>
  <c r="J349" i="1"/>
  <c r="N356" i="1"/>
  <c r="P345" i="1"/>
  <c r="L350" i="1"/>
  <c r="I361" i="1"/>
  <c r="J355" i="1"/>
  <c r="N357" i="1"/>
  <c r="L361" i="1"/>
  <c r="L345" i="1"/>
  <c r="I351" i="1"/>
  <c r="N353" i="1"/>
  <c r="L355" i="1"/>
  <c r="P357" i="1"/>
  <c r="L356" i="1"/>
  <c r="P350" i="1"/>
  <c r="P356" i="1"/>
  <c r="J356" i="1"/>
  <c r="P353" i="1"/>
  <c r="L353" i="1"/>
  <c r="P349" i="1"/>
  <c r="N349" i="1"/>
  <c r="L349" i="1"/>
  <c r="J350" i="1"/>
  <c r="N350" i="1"/>
  <c r="J361" i="1"/>
  <c r="P361" i="1"/>
  <c r="N361" i="1"/>
  <c r="P351" i="1"/>
  <c r="J351" i="1"/>
  <c r="L351" i="1"/>
  <c r="N351" i="1"/>
  <c r="G364" i="1" l="1"/>
  <c r="F364" i="1"/>
  <c r="E364" i="1"/>
  <c r="D364" i="1"/>
  <c r="G360" i="1"/>
  <c r="E360" i="1"/>
  <c r="F360" i="1"/>
  <c r="D360" i="1"/>
  <c r="G370" i="1"/>
  <c r="D370" i="1"/>
  <c r="F370" i="1"/>
  <c r="E370" i="1"/>
  <c r="G354" i="1"/>
  <c r="D354" i="1"/>
  <c r="E354" i="1"/>
  <c r="F354" i="1"/>
  <c r="G366" i="1"/>
  <c r="D366" i="1"/>
  <c r="E366" i="1"/>
  <c r="F366" i="1"/>
  <c r="G359" i="1"/>
  <c r="D359" i="1"/>
  <c r="F359" i="1"/>
  <c r="E359" i="1"/>
  <c r="G365" i="1"/>
  <c r="F365" i="1"/>
  <c r="E365" i="1"/>
  <c r="D365" i="1"/>
  <c r="G362" i="1"/>
  <c r="E362" i="1"/>
  <c r="F362" i="1"/>
  <c r="D362" i="1"/>
  <c r="G358" i="1"/>
  <c r="D358" i="1"/>
  <c r="F358" i="1"/>
  <c r="E358" i="1"/>
  <c r="B48" i="1"/>
  <c r="C379" i="1"/>
  <c r="C371" i="1"/>
  <c r="C363" i="1"/>
  <c r="C368" i="1"/>
  <c r="C367" i="1"/>
  <c r="C373" i="1"/>
  <c r="C369" i="1"/>
  <c r="C374" i="1"/>
  <c r="C375" i="1"/>
  <c r="I365" i="1"/>
  <c r="I366" i="1"/>
  <c r="P365" i="1"/>
  <c r="N366" i="1"/>
  <c r="I362" i="1"/>
  <c r="J362" i="1" s="1"/>
  <c r="P366" i="1"/>
  <c r="I370" i="1"/>
  <c r="J370" i="1"/>
  <c r="J366" i="1"/>
  <c r="I364" i="1"/>
  <c r="I354" i="1"/>
  <c r="I358" i="1"/>
  <c r="N358" i="1" s="1"/>
  <c r="L364" i="1"/>
  <c r="N362" i="1"/>
  <c r="L370" i="1"/>
  <c r="L365" i="1"/>
  <c r="J354" i="1"/>
  <c r="L366" i="1"/>
  <c r="L358" i="1"/>
  <c r="I359" i="1"/>
  <c r="P362" i="1"/>
  <c r="J365" i="1"/>
  <c r="P358" i="1"/>
  <c r="I360" i="1"/>
  <c r="L362" i="1"/>
  <c r="N365" i="1"/>
  <c r="P359" i="1"/>
  <c r="J358" i="1"/>
  <c r="P370" i="1"/>
  <c r="N370" i="1"/>
  <c r="N364" i="1"/>
  <c r="P364" i="1"/>
  <c r="J364" i="1"/>
  <c r="P354" i="1"/>
  <c r="L354" i="1"/>
  <c r="N354" i="1"/>
  <c r="J359" i="1"/>
  <c r="N359" i="1"/>
  <c r="L359" i="1"/>
  <c r="L360" i="1"/>
  <c r="P360" i="1"/>
  <c r="N360" i="1"/>
  <c r="J360" i="1"/>
  <c r="G375" i="1" l="1"/>
  <c r="D375" i="1"/>
  <c r="F375" i="1"/>
  <c r="E375" i="1"/>
  <c r="G374" i="1"/>
  <c r="F374" i="1"/>
  <c r="E374" i="1"/>
  <c r="D374" i="1"/>
  <c r="G368" i="1"/>
  <c r="E368" i="1"/>
  <c r="D368" i="1"/>
  <c r="F368" i="1"/>
  <c r="G367" i="1"/>
  <c r="D367" i="1"/>
  <c r="F367" i="1"/>
  <c r="E367" i="1"/>
  <c r="G369" i="1"/>
  <c r="D369" i="1"/>
  <c r="F369" i="1"/>
  <c r="E369" i="1"/>
  <c r="G363" i="1"/>
  <c r="D363" i="1"/>
  <c r="F363" i="1"/>
  <c r="E363" i="1"/>
  <c r="G373" i="1"/>
  <c r="F373" i="1"/>
  <c r="E373" i="1"/>
  <c r="D373" i="1"/>
  <c r="G371" i="1"/>
  <c r="E371" i="1"/>
  <c r="D371" i="1"/>
  <c r="F371" i="1"/>
  <c r="G379" i="1"/>
  <c r="D379" i="1"/>
  <c r="F379" i="1"/>
  <c r="E379" i="1"/>
  <c r="B49" i="1"/>
  <c r="C388" i="1"/>
  <c r="C376" i="1"/>
  <c r="C382" i="1"/>
  <c r="C384" i="1"/>
  <c r="C380" i="1"/>
  <c r="C377" i="1"/>
  <c r="C383" i="1"/>
  <c r="C378" i="1"/>
  <c r="C372" i="1"/>
  <c r="I367" i="1"/>
  <c r="I374" i="1"/>
  <c r="N367" i="1"/>
  <c r="L374" i="1"/>
  <c r="I369" i="1"/>
  <c r="L369" i="1" s="1"/>
  <c r="N374" i="1"/>
  <c r="L367" i="1"/>
  <c r="I375" i="1"/>
  <c r="I373" i="1"/>
  <c r="I363" i="1"/>
  <c r="P375" i="1"/>
  <c r="J369" i="1"/>
  <c r="J367" i="1"/>
  <c r="J373" i="1"/>
  <c r="J374" i="1"/>
  <c r="P363" i="1"/>
  <c r="I368" i="1"/>
  <c r="P369" i="1"/>
  <c r="P367" i="1"/>
  <c r="N368" i="1"/>
  <c r="L363" i="1"/>
  <c r="I379" i="1"/>
  <c r="I371" i="1"/>
  <c r="N369" i="1"/>
  <c r="P368" i="1"/>
  <c r="P374" i="1"/>
  <c r="J375" i="1"/>
  <c r="L375" i="1"/>
  <c r="N375" i="1"/>
  <c r="P373" i="1"/>
  <c r="L373" i="1"/>
  <c r="N373" i="1"/>
  <c r="N363" i="1"/>
  <c r="J363" i="1"/>
  <c r="J368" i="1"/>
  <c r="L368" i="1"/>
  <c r="P379" i="1"/>
  <c r="J379" i="1"/>
  <c r="N379" i="1"/>
  <c r="L379" i="1"/>
  <c r="P371" i="1"/>
  <c r="N371" i="1"/>
  <c r="J371" i="1"/>
  <c r="L371" i="1"/>
  <c r="G372" i="1" l="1"/>
  <c r="F372" i="1"/>
  <c r="E372" i="1"/>
  <c r="D372" i="1"/>
  <c r="G378" i="1"/>
  <c r="D378" i="1"/>
  <c r="F378" i="1"/>
  <c r="E378" i="1"/>
  <c r="G384" i="1"/>
  <c r="D384" i="1"/>
  <c r="F384" i="1"/>
  <c r="E384" i="1"/>
  <c r="G380" i="1"/>
  <c r="E380" i="1"/>
  <c r="D380" i="1"/>
  <c r="F380" i="1"/>
  <c r="G388" i="1"/>
  <c r="D388" i="1"/>
  <c r="F388" i="1"/>
  <c r="E388" i="1"/>
  <c r="G383" i="1"/>
  <c r="F383" i="1"/>
  <c r="E383" i="1"/>
  <c r="D383" i="1"/>
  <c r="G382" i="1"/>
  <c r="D382" i="1"/>
  <c r="F382" i="1"/>
  <c r="E382" i="1"/>
  <c r="G377" i="1"/>
  <c r="E377" i="1"/>
  <c r="D377" i="1"/>
  <c r="F377" i="1"/>
  <c r="G376" i="1"/>
  <c r="D376" i="1"/>
  <c r="F376" i="1"/>
  <c r="E376" i="1"/>
  <c r="B50" i="1"/>
  <c r="C387" i="1"/>
  <c r="C397" i="1"/>
  <c r="C389" i="1"/>
  <c r="C393" i="1"/>
  <c r="C381" i="1"/>
  <c r="C385" i="1"/>
  <c r="C391" i="1"/>
  <c r="C392" i="1"/>
  <c r="C386" i="1"/>
  <c r="I380" i="1"/>
  <c r="I382" i="1"/>
  <c r="N380" i="1"/>
  <c r="P382" i="1"/>
  <c r="I378" i="1"/>
  <c r="J378" i="1" s="1"/>
  <c r="L378" i="1"/>
  <c r="L382" i="1"/>
  <c r="I372" i="1"/>
  <c r="I388" i="1"/>
  <c r="I383" i="1"/>
  <c r="L372" i="1"/>
  <c r="P378" i="1"/>
  <c r="P380" i="1"/>
  <c r="J388" i="1"/>
  <c r="J382" i="1"/>
  <c r="J383" i="1"/>
  <c r="I376" i="1"/>
  <c r="N378" i="1"/>
  <c r="J380" i="1"/>
  <c r="N376" i="1"/>
  <c r="N382" i="1"/>
  <c r="I384" i="1"/>
  <c r="I377" i="1"/>
  <c r="P372" i="1"/>
  <c r="L380" i="1"/>
  <c r="P376" i="1"/>
  <c r="J377" i="1"/>
  <c r="P383" i="1"/>
  <c r="N372" i="1"/>
  <c r="J372" i="1"/>
  <c r="N388" i="1"/>
  <c r="P388" i="1"/>
  <c r="L388" i="1"/>
  <c r="N383" i="1"/>
  <c r="L383" i="1"/>
  <c r="J376" i="1"/>
  <c r="L376" i="1"/>
  <c r="L384" i="1"/>
  <c r="N384" i="1"/>
  <c r="P384" i="1"/>
  <c r="J384" i="1"/>
  <c r="N377" i="1"/>
  <c r="L377" i="1"/>
  <c r="P377" i="1"/>
  <c r="G386" i="1" l="1"/>
  <c r="D386" i="1"/>
  <c r="F386" i="1"/>
  <c r="E386" i="1"/>
  <c r="G387" i="1"/>
  <c r="F387" i="1"/>
  <c r="E387" i="1"/>
  <c r="D387" i="1"/>
  <c r="G392" i="1"/>
  <c r="E392" i="1"/>
  <c r="D392" i="1"/>
  <c r="F392" i="1"/>
  <c r="G393" i="1"/>
  <c r="D393" i="1"/>
  <c r="F393" i="1"/>
  <c r="E393" i="1"/>
  <c r="G381" i="1"/>
  <c r="D381" i="1"/>
  <c r="F381" i="1"/>
  <c r="E381" i="1"/>
  <c r="G391" i="1"/>
  <c r="D391" i="1"/>
  <c r="F391" i="1"/>
  <c r="E391" i="1"/>
  <c r="G389" i="1"/>
  <c r="F389" i="1"/>
  <c r="E389" i="1"/>
  <c r="D389" i="1"/>
  <c r="G385" i="1"/>
  <c r="F385" i="1"/>
  <c r="E385" i="1"/>
  <c r="D385" i="1"/>
  <c r="G397" i="1"/>
  <c r="E397" i="1"/>
  <c r="D397" i="1"/>
  <c r="F397" i="1"/>
  <c r="B51" i="1"/>
  <c r="C395" i="1"/>
  <c r="C394" i="1"/>
  <c r="C400" i="1"/>
  <c r="C398" i="1"/>
  <c r="C401" i="1"/>
  <c r="C406" i="1"/>
  <c r="C390" i="1"/>
  <c r="C402" i="1"/>
  <c r="C396" i="1"/>
  <c r="I392" i="1"/>
  <c r="I397" i="1"/>
  <c r="N392" i="1"/>
  <c r="L397" i="1"/>
  <c r="I393" i="1"/>
  <c r="I385" i="1"/>
  <c r="P392" i="1"/>
  <c r="L393" i="1"/>
  <c r="P397" i="1"/>
  <c r="P385" i="1"/>
  <c r="I391" i="1"/>
  <c r="J391" i="1" s="1"/>
  <c r="N397" i="1"/>
  <c r="J385" i="1"/>
  <c r="I386" i="1"/>
  <c r="J386" i="1" s="1"/>
  <c r="I381" i="1"/>
  <c r="I389" i="1"/>
  <c r="L386" i="1"/>
  <c r="L392" i="1"/>
  <c r="J393" i="1"/>
  <c r="J381" i="1"/>
  <c r="L391" i="1"/>
  <c r="J397" i="1"/>
  <c r="L385" i="1"/>
  <c r="J389" i="1"/>
  <c r="I387" i="1"/>
  <c r="P386" i="1"/>
  <c r="J392" i="1"/>
  <c r="P393" i="1"/>
  <c r="P391" i="1"/>
  <c r="N385" i="1"/>
  <c r="N386" i="1"/>
  <c r="N393" i="1"/>
  <c r="N391" i="1"/>
  <c r="N389" i="1"/>
  <c r="L381" i="1"/>
  <c r="N381" i="1"/>
  <c r="P381" i="1"/>
  <c r="L389" i="1"/>
  <c r="P389" i="1"/>
  <c r="L387" i="1"/>
  <c r="N387" i="1"/>
  <c r="P387" i="1"/>
  <c r="J387" i="1"/>
  <c r="G402" i="1" l="1"/>
  <c r="E402" i="1"/>
  <c r="D402" i="1"/>
  <c r="F402" i="1"/>
  <c r="G398" i="1"/>
  <c r="D398" i="1"/>
  <c r="F398" i="1"/>
  <c r="E398" i="1"/>
  <c r="G390" i="1"/>
  <c r="D390" i="1"/>
  <c r="F390" i="1"/>
  <c r="E390" i="1"/>
  <c r="G400" i="1"/>
  <c r="F400" i="1"/>
  <c r="E400" i="1"/>
  <c r="D400" i="1"/>
  <c r="G401" i="1"/>
  <c r="D401" i="1"/>
  <c r="F401" i="1"/>
  <c r="E401" i="1"/>
  <c r="G395" i="1"/>
  <c r="F395" i="1"/>
  <c r="E395" i="1"/>
  <c r="D395" i="1"/>
  <c r="G406" i="1"/>
  <c r="E406" i="1"/>
  <c r="D406" i="1"/>
  <c r="F406" i="1"/>
  <c r="G394" i="1"/>
  <c r="D394" i="1"/>
  <c r="F394" i="1"/>
  <c r="E394" i="1"/>
  <c r="G396" i="1"/>
  <c r="D396" i="1"/>
  <c r="F396" i="1"/>
  <c r="E396" i="1"/>
  <c r="B52" i="1"/>
  <c r="C403" i="1"/>
  <c r="C399" i="1"/>
  <c r="C404" i="1"/>
  <c r="C405" i="1"/>
  <c r="C407" i="1"/>
  <c r="I390" i="1"/>
  <c r="I406" i="1"/>
  <c r="L390" i="1"/>
  <c r="L406" i="1"/>
  <c r="I400" i="1"/>
  <c r="I394" i="1"/>
  <c r="J390" i="1"/>
  <c r="L400" i="1"/>
  <c r="N406" i="1"/>
  <c r="P394" i="1"/>
  <c r="I398" i="1"/>
  <c r="L398" i="1"/>
  <c r="P406" i="1"/>
  <c r="I402" i="1"/>
  <c r="I401" i="1"/>
  <c r="I396" i="1"/>
  <c r="J402" i="1"/>
  <c r="N398" i="1"/>
  <c r="P390" i="1"/>
  <c r="P400" i="1"/>
  <c r="J401" i="1"/>
  <c r="J406" i="1"/>
  <c r="N394" i="1"/>
  <c r="L396" i="1"/>
  <c r="I395" i="1"/>
  <c r="N390" i="1"/>
  <c r="N395" i="1"/>
  <c r="P396" i="1"/>
  <c r="N400" i="1"/>
  <c r="J400" i="1"/>
  <c r="J394" i="1"/>
  <c r="L394" i="1"/>
  <c r="P398" i="1"/>
  <c r="J398" i="1"/>
  <c r="N402" i="1"/>
  <c r="P402" i="1"/>
  <c r="L402" i="1"/>
  <c r="N401" i="1"/>
  <c r="P401" i="1"/>
  <c r="L401" i="1"/>
  <c r="J396" i="1"/>
  <c r="N396" i="1"/>
  <c r="P395" i="1"/>
  <c r="L395" i="1"/>
  <c r="J395" i="1"/>
  <c r="G407" i="1" l="1"/>
  <c r="D407" i="1"/>
  <c r="F407" i="1"/>
  <c r="E407" i="1"/>
  <c r="G405" i="1"/>
  <c r="F405" i="1"/>
  <c r="E405" i="1"/>
  <c r="D405" i="1"/>
  <c r="G404" i="1"/>
  <c r="E404" i="1"/>
  <c r="D404" i="1"/>
  <c r="F404" i="1"/>
  <c r="G399" i="1"/>
  <c r="D399" i="1"/>
  <c r="F399" i="1"/>
  <c r="E399" i="1"/>
  <c r="G403" i="1"/>
  <c r="D403" i="1"/>
  <c r="F403" i="1"/>
  <c r="E403" i="1"/>
  <c r="B53" i="1"/>
  <c r="I399" i="1"/>
  <c r="I407" i="1"/>
  <c r="I403" i="1"/>
  <c r="N403" i="1" s="1"/>
  <c r="N407" i="1"/>
  <c r="L399" i="1"/>
  <c r="J403" i="1"/>
  <c r="J407" i="1"/>
  <c r="L403" i="1"/>
  <c r="P399" i="1"/>
  <c r="I405" i="1"/>
  <c r="L407" i="1"/>
  <c r="N405" i="1"/>
  <c r="N399" i="1"/>
  <c r="P403" i="1"/>
  <c r="I404" i="1"/>
  <c r="P405" i="1"/>
  <c r="J399" i="1"/>
  <c r="P407" i="1"/>
  <c r="J404" i="1"/>
  <c r="L405" i="1"/>
  <c r="J405" i="1"/>
  <c r="P404" i="1"/>
  <c r="L404" i="1"/>
  <c r="N404" i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l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1" i="1" l="1"/>
  <c r="B262" i="1" l="1"/>
  <c r="B263" i="1" l="1"/>
  <c r="B264" i="1" l="1"/>
  <c r="B265" i="1" l="1"/>
  <c r="B266" i="1" l="1"/>
  <c r="B267" i="1" l="1"/>
  <c r="B268" i="1" l="1"/>
  <c r="B269" i="1" l="1"/>
  <c r="B270" i="1" l="1"/>
  <c r="B271" i="1" l="1"/>
  <c r="B272" i="1" l="1"/>
  <c r="B273" i="1" l="1"/>
  <c r="B274" i="1" l="1"/>
  <c r="B275" i="1" l="1"/>
  <c r="B276" i="1" l="1"/>
  <c r="B277" i="1" l="1"/>
  <c r="B278" i="1" l="1"/>
  <c r="B279" i="1" l="1"/>
  <c r="B280" i="1" l="1"/>
  <c r="B281" i="1" l="1"/>
  <c r="B282" i="1" l="1"/>
  <c r="B283" i="1" l="1"/>
  <c r="B284" i="1" l="1"/>
  <c r="B285" i="1" l="1"/>
  <c r="B286" i="1" l="1"/>
  <c r="B287" i="1" l="1"/>
  <c r="B288" i="1" l="1"/>
  <c r="B289" i="1" l="1"/>
  <c r="B290" i="1" l="1"/>
  <c r="B291" i="1" l="1"/>
  <c r="B292" i="1" l="1"/>
  <c r="B293" i="1" l="1"/>
  <c r="B294" i="1" l="1"/>
  <c r="B295" i="1" l="1"/>
  <c r="B296" i="1" l="1"/>
  <c r="B297" i="1" l="1"/>
  <c r="B298" i="1" l="1"/>
  <c r="B299" i="1" l="1"/>
  <c r="B300" i="1" l="1"/>
  <c r="B301" i="1" l="1"/>
  <c r="B302" i="1" l="1"/>
  <c r="B303" i="1" l="1"/>
  <c r="B304" i="1" l="1"/>
  <c r="B305" i="1" l="1"/>
  <c r="B306" i="1" l="1"/>
  <c r="B307" i="1" l="1"/>
  <c r="B308" i="1" l="1"/>
  <c r="B309" i="1" l="1"/>
  <c r="B310" i="1" l="1"/>
  <c r="B311" i="1" l="1"/>
  <c r="B312" i="1" l="1"/>
  <c r="B313" i="1" l="1"/>
  <c r="B314" i="1" l="1"/>
  <c r="B315" i="1" l="1"/>
  <c r="B316" i="1" l="1"/>
  <c r="B317" i="1" l="1"/>
  <c r="B318" i="1" l="1"/>
  <c r="B319" i="1" l="1"/>
  <c r="B320" i="1" l="1"/>
  <c r="B321" i="1" l="1"/>
  <c r="B322" i="1" l="1"/>
  <c r="B323" i="1" l="1"/>
  <c r="B324" i="1" l="1"/>
  <c r="B325" i="1" l="1"/>
  <c r="B326" i="1" l="1"/>
  <c r="B327" i="1" l="1"/>
  <c r="B328" i="1" l="1"/>
  <c r="B329" i="1" l="1"/>
  <c r="B330" i="1" l="1"/>
  <c r="B331" i="1" l="1"/>
  <c r="B332" i="1" l="1"/>
  <c r="B333" i="1" l="1"/>
  <c r="B334" i="1" l="1"/>
  <c r="B335" i="1" l="1"/>
  <c r="B336" i="1" l="1"/>
  <c r="B337" i="1" l="1"/>
  <c r="B338" i="1" l="1"/>
  <c r="B339" i="1" l="1"/>
  <c r="B340" i="1" l="1"/>
  <c r="B341" i="1" l="1"/>
  <c r="B342" i="1" l="1"/>
  <c r="B343" i="1" l="1"/>
  <c r="B344" i="1" l="1"/>
  <c r="B345" i="1" l="1"/>
  <c r="B346" i="1" l="1"/>
  <c r="B347" i="1" l="1"/>
  <c r="B348" i="1" l="1"/>
  <c r="B349" i="1" l="1"/>
  <c r="B350" i="1" l="1"/>
  <c r="B351" i="1" l="1"/>
  <c r="B352" i="1" l="1"/>
  <c r="B353" i="1" l="1"/>
  <c r="B354" i="1" l="1"/>
  <c r="B355" i="1" l="1"/>
  <c r="B356" i="1" l="1"/>
  <c r="B357" i="1" l="1"/>
  <c r="B358" i="1" l="1"/>
  <c r="B359" i="1" l="1"/>
  <c r="B360" i="1" l="1"/>
  <c r="B361" i="1" l="1"/>
  <c r="B362" i="1" l="1"/>
  <c r="B363" i="1" l="1"/>
  <c r="B364" i="1" l="1"/>
  <c r="B365" i="1" l="1"/>
  <c r="B366" i="1" l="1"/>
  <c r="B367" i="1" l="1"/>
  <c r="B368" i="1" l="1"/>
  <c r="B369" i="1" l="1"/>
  <c r="B370" i="1" l="1"/>
  <c r="B371" i="1" l="1"/>
  <c r="B372" i="1" l="1"/>
  <c r="B373" i="1" l="1"/>
  <c r="B374" i="1" l="1"/>
  <c r="B375" i="1" l="1"/>
  <c r="B376" i="1" l="1"/>
  <c r="B377" i="1" l="1"/>
  <c r="B378" i="1" l="1"/>
  <c r="B379" i="1" l="1"/>
  <c r="B380" i="1" l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0" i="1" l="1"/>
  <c r="B401" i="1" l="1"/>
  <c r="B402" i="1" l="1"/>
  <c r="B403" i="1" l="1"/>
  <c r="B404" i="1" l="1"/>
  <c r="B405" i="1" l="1"/>
  <c r="B406" i="1" l="1"/>
  <c r="B407" i="1" l="1"/>
  <c r="B408" i="1" l="1"/>
  <c r="B409" i="1" l="1"/>
  <c r="B410" i="1" l="1"/>
  <c r="B411" i="1" l="1"/>
  <c r="B412" i="1" l="1"/>
  <c r="B413" i="1" l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  <c r="B434" i="1" l="1"/>
  <c r="B435" i="1" l="1"/>
  <c r="B436" i="1" l="1"/>
  <c r="B437" i="1" l="1"/>
  <c r="B438" i="1" l="1"/>
  <c r="B439" i="1" l="1"/>
  <c r="B440" i="1" l="1"/>
  <c r="B441" i="1" l="1"/>
  <c r="B442" i="1" l="1"/>
  <c r="B443" i="1" l="1"/>
  <c r="B444" i="1" l="1"/>
  <c r="B445" i="1" l="1"/>
  <c r="B446" i="1" l="1"/>
  <c r="C408" i="1" l="1"/>
  <c r="E408" i="1" l="1"/>
  <c r="G408" i="1"/>
  <c r="D408" i="1"/>
  <c r="F408" i="1"/>
  <c r="C102" i="1"/>
  <c r="I408" i="1"/>
  <c r="L408" i="1" s="1"/>
  <c r="P408" i="1"/>
  <c r="N408" i="1"/>
  <c r="J408" i="1"/>
  <c r="G102" i="1" l="1"/>
  <c r="E102" i="1"/>
  <c r="D102" i="1"/>
  <c r="F102" i="1"/>
  <c r="I102" i="1"/>
  <c r="L102" i="1" s="1"/>
  <c r="P102" i="1"/>
  <c r="J102" i="1"/>
  <c r="N102" i="1"/>
  <c r="C409" i="1" l="1"/>
  <c r="C443" i="1"/>
  <c r="C439" i="1"/>
  <c r="C435" i="1"/>
  <c r="C431" i="1"/>
  <c r="C427" i="1"/>
  <c r="C423" i="1"/>
  <c r="C419" i="1"/>
  <c r="C415" i="1"/>
  <c r="C411" i="1"/>
  <c r="C446" i="1"/>
  <c r="C442" i="1"/>
  <c r="C438" i="1"/>
  <c r="C434" i="1"/>
  <c r="C430" i="1"/>
  <c r="C426" i="1"/>
  <c r="C422" i="1"/>
  <c r="C418" i="1"/>
  <c r="C414" i="1"/>
  <c r="C410" i="1"/>
  <c r="C445" i="1"/>
  <c r="C441" i="1"/>
  <c r="C437" i="1"/>
  <c r="C433" i="1"/>
  <c r="C429" i="1"/>
  <c r="C425" i="1"/>
  <c r="C421" i="1"/>
  <c r="C417" i="1"/>
  <c r="C413" i="1"/>
  <c r="C444" i="1"/>
  <c r="C440" i="1"/>
  <c r="C436" i="1"/>
  <c r="C432" i="1"/>
  <c r="C428" i="1"/>
  <c r="C424" i="1"/>
  <c r="C420" i="1"/>
  <c r="C416" i="1"/>
  <c r="C412" i="1"/>
  <c r="F420" i="1" l="1"/>
  <c r="D420" i="1"/>
  <c r="E420" i="1"/>
  <c r="G420" i="1"/>
  <c r="E436" i="1"/>
  <c r="D436" i="1"/>
  <c r="F436" i="1"/>
  <c r="F417" i="1"/>
  <c r="E417" i="1"/>
  <c r="D417" i="1"/>
  <c r="G417" i="1"/>
  <c r="E433" i="1"/>
  <c r="D433" i="1"/>
  <c r="F433" i="1"/>
  <c r="F410" i="1"/>
  <c r="E410" i="1"/>
  <c r="D410" i="1"/>
  <c r="F426" i="1"/>
  <c r="E426" i="1"/>
  <c r="D426" i="1"/>
  <c r="G426" i="1"/>
  <c r="D442" i="1"/>
  <c r="F442" i="1"/>
  <c r="E442" i="1"/>
  <c r="F419" i="1"/>
  <c r="D419" i="1"/>
  <c r="E419" i="1"/>
  <c r="G435" i="1"/>
  <c r="E435" i="1"/>
  <c r="D435" i="1"/>
  <c r="F435" i="1"/>
  <c r="F424" i="1"/>
  <c r="E424" i="1"/>
  <c r="D424" i="1"/>
  <c r="D440" i="1"/>
  <c r="F440" i="1"/>
  <c r="E440" i="1"/>
  <c r="E421" i="1"/>
  <c r="F421" i="1"/>
  <c r="D421" i="1"/>
  <c r="E437" i="1"/>
  <c r="D437" i="1"/>
  <c r="F437" i="1"/>
  <c r="F414" i="1"/>
  <c r="G414" i="1"/>
  <c r="E414" i="1"/>
  <c r="D414" i="1"/>
  <c r="F430" i="1"/>
  <c r="D430" i="1"/>
  <c r="E430" i="1"/>
  <c r="F446" i="1"/>
  <c r="D446" i="1"/>
  <c r="E446" i="1"/>
  <c r="D423" i="1"/>
  <c r="E423" i="1"/>
  <c r="F423" i="1"/>
  <c r="G423" i="1"/>
  <c r="D439" i="1"/>
  <c r="F439" i="1"/>
  <c r="E439" i="1"/>
  <c r="E412" i="1"/>
  <c r="D412" i="1"/>
  <c r="F412" i="1"/>
  <c r="E428" i="1"/>
  <c r="D428" i="1"/>
  <c r="F428" i="1"/>
  <c r="G444" i="1"/>
  <c r="E444" i="1"/>
  <c r="D444" i="1"/>
  <c r="F444" i="1"/>
  <c r="F425" i="1"/>
  <c r="D425" i="1"/>
  <c r="E425" i="1"/>
  <c r="G441" i="1"/>
  <c r="D441" i="1"/>
  <c r="F441" i="1"/>
  <c r="E441" i="1"/>
  <c r="D418" i="1"/>
  <c r="E418" i="1"/>
  <c r="F418" i="1"/>
  <c r="F434" i="1"/>
  <c r="D434" i="1"/>
  <c r="E434" i="1"/>
  <c r="E411" i="1"/>
  <c r="D411" i="1"/>
  <c r="G411" i="1"/>
  <c r="F411" i="1"/>
  <c r="D427" i="1"/>
  <c r="F427" i="1"/>
  <c r="E427" i="1"/>
  <c r="E443" i="1"/>
  <c r="D443" i="1"/>
  <c r="F443" i="1"/>
  <c r="D416" i="1"/>
  <c r="F416" i="1"/>
  <c r="E416" i="1"/>
  <c r="E432" i="1"/>
  <c r="F432" i="1"/>
  <c r="D432" i="1"/>
  <c r="G432" i="1"/>
  <c r="D413" i="1"/>
  <c r="F413" i="1"/>
  <c r="E413" i="1"/>
  <c r="F429" i="1"/>
  <c r="E429" i="1"/>
  <c r="D429" i="1"/>
  <c r="G429" i="1"/>
  <c r="D445" i="1"/>
  <c r="F445" i="1"/>
  <c r="E445" i="1"/>
  <c r="E422" i="1"/>
  <c r="D422" i="1"/>
  <c r="F422" i="1"/>
  <c r="F438" i="1"/>
  <c r="E438" i="1"/>
  <c r="G438" i="1"/>
  <c r="D438" i="1"/>
  <c r="E415" i="1"/>
  <c r="D415" i="1"/>
  <c r="F415" i="1"/>
  <c r="D431" i="1"/>
  <c r="F431" i="1"/>
  <c r="E431" i="1"/>
  <c r="E409" i="1"/>
  <c r="D409" i="1"/>
  <c r="F409" i="1"/>
  <c r="I414" i="1"/>
  <c r="I443" i="1"/>
  <c r="I440" i="1"/>
  <c r="I433" i="1"/>
  <c r="I413" i="1"/>
  <c r="I415" i="1"/>
  <c r="I442" i="1"/>
  <c r="I439" i="1"/>
  <c r="I416" i="1"/>
  <c r="N414" i="1"/>
  <c r="L443" i="1"/>
  <c r="L440" i="1"/>
  <c r="P433" i="1"/>
  <c r="L413" i="1"/>
  <c r="N415" i="1"/>
  <c r="P442" i="1"/>
  <c r="J439" i="1"/>
  <c r="L416" i="1"/>
  <c r="I423" i="1"/>
  <c r="N423" i="1" s="1"/>
  <c r="I445" i="1"/>
  <c r="P445" i="1" s="1"/>
  <c r="I430" i="1"/>
  <c r="P430" i="1" s="1"/>
  <c r="I428" i="1"/>
  <c r="L428" i="1" s="1"/>
  <c r="I431" i="1"/>
  <c r="L431" i="1" s="1"/>
  <c r="I436" i="1"/>
  <c r="J436" i="1" s="1"/>
  <c r="I421" i="1"/>
  <c r="J421" i="1" s="1"/>
  <c r="I412" i="1"/>
  <c r="L412" i="1" s="1"/>
  <c r="I429" i="1"/>
  <c r="P429" i="1" s="1"/>
  <c r="L414" i="1"/>
  <c r="P423" i="1"/>
  <c r="P443" i="1"/>
  <c r="J445" i="1"/>
  <c r="N440" i="1"/>
  <c r="J430" i="1"/>
  <c r="J433" i="1"/>
  <c r="J428" i="1"/>
  <c r="J413" i="1"/>
  <c r="J431" i="1"/>
  <c r="J415" i="1"/>
  <c r="N436" i="1"/>
  <c r="N442" i="1"/>
  <c r="N421" i="1"/>
  <c r="L439" i="1"/>
  <c r="P412" i="1"/>
  <c r="N416" i="1"/>
  <c r="J429" i="1"/>
  <c r="I426" i="1"/>
  <c r="I434" i="1"/>
  <c r="I422" i="1"/>
  <c r="I418" i="1"/>
  <c r="I441" i="1"/>
  <c r="I409" i="1"/>
  <c r="I417" i="1"/>
  <c r="I437" i="1"/>
  <c r="I444" i="1"/>
  <c r="I424" i="1"/>
  <c r="P426" i="1"/>
  <c r="P414" i="1"/>
  <c r="L423" i="1"/>
  <c r="P434" i="1"/>
  <c r="J443" i="1"/>
  <c r="N445" i="1"/>
  <c r="N422" i="1"/>
  <c r="P440" i="1"/>
  <c r="L430" i="1"/>
  <c r="L418" i="1"/>
  <c r="N433" i="1"/>
  <c r="N428" i="1"/>
  <c r="J441" i="1"/>
  <c r="N413" i="1"/>
  <c r="P431" i="1"/>
  <c r="J409" i="1"/>
  <c r="L415" i="1"/>
  <c r="P436" i="1"/>
  <c r="J417" i="1"/>
  <c r="L442" i="1"/>
  <c r="L421" i="1"/>
  <c r="J437" i="1"/>
  <c r="N439" i="1"/>
  <c r="N412" i="1"/>
  <c r="L444" i="1"/>
  <c r="P416" i="1"/>
  <c r="N429" i="1"/>
  <c r="P424" i="1"/>
  <c r="I419" i="1"/>
  <c r="I427" i="1"/>
  <c r="I420" i="1"/>
  <c r="I438" i="1"/>
  <c r="I411" i="1"/>
  <c r="I435" i="1"/>
  <c r="I410" i="1"/>
  <c r="I446" i="1"/>
  <c r="I425" i="1"/>
  <c r="I432" i="1"/>
  <c r="N426" i="1"/>
  <c r="N419" i="1"/>
  <c r="J414" i="1"/>
  <c r="J423" i="1"/>
  <c r="J434" i="1"/>
  <c r="P427" i="1"/>
  <c r="N443" i="1"/>
  <c r="L445" i="1"/>
  <c r="P422" i="1"/>
  <c r="N420" i="1"/>
  <c r="J440" i="1"/>
  <c r="N430" i="1"/>
  <c r="P418" i="1"/>
  <c r="L438" i="1"/>
  <c r="L433" i="1"/>
  <c r="P428" i="1"/>
  <c r="P441" i="1"/>
  <c r="P411" i="1"/>
  <c r="P413" i="1"/>
  <c r="N431" i="1"/>
  <c r="N409" i="1"/>
  <c r="J435" i="1"/>
  <c r="P415" i="1"/>
  <c r="L436" i="1"/>
  <c r="N417" i="1"/>
  <c r="L410" i="1"/>
  <c r="J442" i="1"/>
  <c r="P421" i="1"/>
  <c r="N437" i="1"/>
  <c r="L446" i="1"/>
  <c r="P439" i="1"/>
  <c r="J412" i="1"/>
  <c r="J444" i="1"/>
  <c r="P425" i="1"/>
  <c r="J416" i="1"/>
  <c r="L429" i="1"/>
  <c r="L424" i="1"/>
  <c r="L432" i="1"/>
  <c r="L426" i="1"/>
  <c r="J426" i="1"/>
  <c r="L434" i="1"/>
  <c r="N434" i="1"/>
  <c r="J422" i="1"/>
  <c r="L422" i="1"/>
  <c r="N418" i="1"/>
  <c r="J418" i="1"/>
  <c r="N441" i="1"/>
  <c r="L441" i="1"/>
  <c r="P409" i="1"/>
  <c r="L409" i="1"/>
  <c r="L417" i="1"/>
  <c r="P417" i="1"/>
  <c r="P437" i="1"/>
  <c r="L437" i="1"/>
  <c r="N444" i="1"/>
  <c r="P444" i="1"/>
  <c r="J424" i="1"/>
  <c r="N424" i="1"/>
  <c r="P419" i="1"/>
  <c r="L419" i="1"/>
  <c r="J419" i="1"/>
  <c r="N427" i="1"/>
  <c r="J427" i="1"/>
  <c r="L427" i="1"/>
  <c r="L420" i="1"/>
  <c r="J420" i="1"/>
  <c r="P420" i="1"/>
  <c r="P438" i="1"/>
  <c r="N438" i="1"/>
  <c r="J438" i="1"/>
  <c r="L411" i="1"/>
  <c r="N411" i="1"/>
  <c r="J411" i="1"/>
  <c r="N435" i="1"/>
  <c r="P435" i="1"/>
  <c r="L435" i="1"/>
  <c r="N410" i="1"/>
  <c r="J410" i="1"/>
  <c r="P410" i="1"/>
  <c r="P446" i="1"/>
  <c r="N446" i="1"/>
  <c r="J446" i="1"/>
  <c r="J425" i="1"/>
  <c r="L425" i="1"/>
  <c r="N425" i="1"/>
  <c r="J432" i="1"/>
  <c r="N432" i="1"/>
  <c r="P432" i="1"/>
</calcChain>
</file>

<file path=xl/sharedStrings.xml><?xml version="1.0" encoding="utf-8"?>
<sst xmlns="http://schemas.openxmlformats.org/spreadsheetml/2006/main" count="1033" uniqueCount="621">
  <si>
    <t>proLevel</t>
    <phoneticPr fontId="1" type="noConversion"/>
  </si>
  <si>
    <t>quality</t>
    <phoneticPr fontId="1" type="noConversion"/>
  </si>
  <si>
    <t>mainNature</t>
    <phoneticPr fontId="1" type="noConversion"/>
  </si>
  <si>
    <t>longID</t>
    <phoneticPr fontId="1" type="noConversion"/>
  </si>
  <si>
    <t>ID</t>
    <phoneticPr fontId="1" type="noConversion"/>
  </si>
  <si>
    <t>marking1</t>
    <phoneticPr fontId="1" type="noConversion"/>
  </si>
  <si>
    <t>num1</t>
    <phoneticPr fontId="1" type="noConversion"/>
  </si>
  <si>
    <t>marking2</t>
    <phoneticPr fontId="1" type="noConversion"/>
  </si>
  <si>
    <t>num2</t>
    <phoneticPr fontId="1" type="noConversion"/>
  </si>
  <si>
    <t>marking3</t>
    <phoneticPr fontId="1" type="noConversion"/>
  </si>
  <si>
    <t>num3</t>
    <phoneticPr fontId="1" type="noConversion"/>
  </si>
  <si>
    <t>marking4</t>
    <phoneticPr fontId="1" type="noConversion"/>
  </si>
  <si>
    <t>num4</t>
    <phoneticPr fontId="1" type="noConversion"/>
  </si>
  <si>
    <t>position</t>
    <phoneticPr fontId="1" type="noConversion"/>
  </si>
  <si>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1" type="noConversion"/>
  </si>
  <si>
    <t>材料名字</t>
    <phoneticPr fontId="1" type="noConversion"/>
  </si>
  <si>
    <t>des</t>
    <phoneticPr fontId="1" type="noConversion"/>
  </si>
  <si>
    <t>image</t>
    <phoneticPr fontId="1" type="noConversion"/>
  </si>
  <si>
    <t>用途</t>
    <phoneticPr fontId="1" type="noConversion"/>
  </si>
  <si>
    <t>材料等级</t>
    <phoneticPr fontId="1" type="noConversion"/>
  </si>
  <si>
    <t>合成等级</t>
    <phoneticPr fontId="1" type="noConversion"/>
  </si>
  <si>
    <t>材料种类</t>
    <phoneticPr fontId="1" type="noConversion"/>
  </si>
  <si>
    <t>type2</t>
    <phoneticPr fontId="1" type="noConversion"/>
  </si>
  <si>
    <t>石材</t>
    <phoneticPr fontId="1" type="noConversion"/>
  </si>
  <si>
    <t>店铺升级用的石材</t>
    <phoneticPr fontId="1" type="noConversion"/>
  </si>
  <si>
    <t>IC0911</t>
    <phoneticPr fontId="1" type="noConversion"/>
  </si>
  <si>
    <t>店铺升级</t>
    <phoneticPr fontId="1" type="noConversion"/>
  </si>
  <si>
    <t>矿物</t>
    <phoneticPr fontId="1" type="noConversion"/>
  </si>
  <si>
    <t>优良石材</t>
    <phoneticPr fontId="1" type="noConversion"/>
  </si>
  <si>
    <t>品质高的店铺用的升级石材</t>
    <phoneticPr fontId="1" type="noConversion"/>
  </si>
  <si>
    <t>IC0911</t>
    <phoneticPr fontId="1" type="noConversion"/>
  </si>
  <si>
    <t>高级石材</t>
    <phoneticPr fontId="1" type="noConversion"/>
  </si>
  <si>
    <t>高品质的店铺升级用的石材</t>
    <phoneticPr fontId="1" type="noConversion"/>
  </si>
  <si>
    <t>IC0911</t>
  </si>
  <si>
    <t>店铺升级</t>
    <phoneticPr fontId="1" type="noConversion"/>
  </si>
  <si>
    <t>顶级石材</t>
    <phoneticPr fontId="1" type="noConversion"/>
  </si>
  <si>
    <t>最高品质店铺用的升级石材</t>
    <phoneticPr fontId="1" type="noConversion"/>
  </si>
  <si>
    <t>粘土</t>
    <phoneticPr fontId="1" type="noConversion"/>
  </si>
  <si>
    <t>工房升级用的粘土</t>
    <phoneticPr fontId="1" type="noConversion"/>
  </si>
  <si>
    <t>IC0614</t>
  </si>
  <si>
    <t>工房升级</t>
    <phoneticPr fontId="1" type="noConversion"/>
  </si>
  <si>
    <t>优良粘土</t>
    <phoneticPr fontId="1" type="noConversion"/>
  </si>
  <si>
    <t>品质高的工房升级用的粘土</t>
    <phoneticPr fontId="1" type="noConversion"/>
  </si>
  <si>
    <t>高级粘土</t>
    <phoneticPr fontId="1" type="noConversion"/>
  </si>
  <si>
    <t>高品质的工房升级用的粘土</t>
    <phoneticPr fontId="1" type="noConversion"/>
  </si>
  <si>
    <t>顶级粘土</t>
    <phoneticPr fontId="1" type="noConversion"/>
  </si>
  <si>
    <t>最高品质工房用的升级粘土</t>
    <phoneticPr fontId="1" type="noConversion"/>
  </si>
  <si>
    <t>土</t>
    <phoneticPr fontId="1" type="noConversion"/>
  </si>
  <si>
    <t>庭院升级用的土</t>
    <phoneticPr fontId="1" type="noConversion"/>
  </si>
  <si>
    <t>庭院升级</t>
    <phoneticPr fontId="1" type="noConversion"/>
  </si>
  <si>
    <t>矿物</t>
    <phoneticPr fontId="1" type="noConversion"/>
  </si>
  <si>
    <t>优良土</t>
    <phoneticPr fontId="1" type="noConversion"/>
  </si>
  <si>
    <t>品质高的庭院升级用的土</t>
    <phoneticPr fontId="1" type="noConversion"/>
  </si>
  <si>
    <t>庭院升级</t>
    <phoneticPr fontId="1" type="noConversion"/>
  </si>
  <si>
    <t>矿物</t>
    <phoneticPr fontId="1" type="noConversion"/>
  </si>
  <si>
    <t>高级土</t>
    <phoneticPr fontId="1" type="noConversion"/>
  </si>
  <si>
    <t>高品质的庭院升级用的土</t>
    <phoneticPr fontId="1" type="noConversion"/>
  </si>
  <si>
    <t>顶级土</t>
    <phoneticPr fontId="1" type="noConversion"/>
  </si>
  <si>
    <t>最高品质的庭院升级用的土</t>
    <phoneticPr fontId="1" type="noConversion"/>
  </si>
  <si>
    <t>新鲜的泥巴</t>
    <phoneticPr fontId="1" type="noConversion"/>
  </si>
  <si>
    <t>新鲜挖掘出来的优良泥巴</t>
    <phoneticPr fontId="1" type="noConversion"/>
  </si>
  <si>
    <t>IC0627</t>
  </si>
  <si>
    <t>通用</t>
    <phoneticPr fontId="1" type="noConversion"/>
  </si>
  <si>
    <t>矿物</t>
    <phoneticPr fontId="1" type="noConversion"/>
  </si>
  <si>
    <t>研磨土块</t>
    <phoneticPr fontId="1" type="noConversion"/>
  </si>
  <si>
    <t>绮丽的碾磨土块</t>
    <phoneticPr fontId="1" type="noConversion"/>
  </si>
  <si>
    <t>通用</t>
    <phoneticPr fontId="1" type="noConversion"/>
  </si>
  <si>
    <t>矿石</t>
    <phoneticPr fontId="1" type="noConversion"/>
  </si>
  <si>
    <t>矿场深处挖掘出来的矿物</t>
    <phoneticPr fontId="1" type="noConversion"/>
  </si>
  <si>
    <t>通用</t>
    <phoneticPr fontId="1" type="noConversion"/>
  </si>
  <si>
    <t>炎石</t>
    <phoneticPr fontId="1" type="noConversion"/>
  </si>
  <si>
    <t>发出赤色火炎的矿物</t>
    <phoneticPr fontId="1" type="noConversion"/>
  </si>
  <si>
    <t>IC0920</t>
  </si>
  <si>
    <t>通用</t>
    <phoneticPr fontId="1" type="noConversion"/>
  </si>
  <si>
    <t>苍石</t>
    <phoneticPr fontId="1" type="noConversion"/>
  </si>
  <si>
    <t>发出苍色辉光的矿物</t>
    <phoneticPr fontId="1" type="noConversion"/>
  </si>
  <si>
    <t>IC0921</t>
  </si>
  <si>
    <t>魔法石</t>
    <phoneticPr fontId="1" type="noConversion"/>
  </si>
  <si>
    <t>带有魔力的矿物</t>
    <phoneticPr fontId="1" type="noConversion"/>
  </si>
  <si>
    <t>IC0912</t>
  </si>
  <si>
    <t>物理</t>
    <phoneticPr fontId="1" type="noConversion"/>
  </si>
  <si>
    <t>赤魔法石</t>
    <phoneticPr fontId="1" type="noConversion"/>
  </si>
  <si>
    <t>赤色的高品质魔法石</t>
    <phoneticPr fontId="1" type="noConversion"/>
  </si>
  <si>
    <t>IC0915</t>
  </si>
  <si>
    <t>火炎</t>
    <phoneticPr fontId="1" type="noConversion"/>
  </si>
  <si>
    <t>青魔法石</t>
    <phoneticPr fontId="1" type="noConversion"/>
  </si>
  <si>
    <t>青色的高品质魔法石</t>
    <phoneticPr fontId="1" type="noConversion"/>
  </si>
  <si>
    <t>IC0914</t>
  </si>
  <si>
    <t>冷却</t>
    <phoneticPr fontId="1" type="noConversion"/>
  </si>
  <si>
    <t>矿物</t>
    <phoneticPr fontId="1" type="noConversion"/>
  </si>
  <si>
    <t>绿魔法石</t>
    <phoneticPr fontId="1" type="noConversion"/>
  </si>
  <si>
    <t>绿色的高品质魔法石</t>
    <phoneticPr fontId="1" type="noConversion"/>
  </si>
  <si>
    <t>IC0916</t>
  </si>
  <si>
    <t>电击</t>
    <phoneticPr fontId="1" type="noConversion"/>
  </si>
  <si>
    <t>紫魔法石</t>
    <phoneticPr fontId="1" type="noConversion"/>
  </si>
  <si>
    <t>紫色的高品质魔法石</t>
    <phoneticPr fontId="1" type="noConversion"/>
  </si>
  <si>
    <t>IC0913</t>
  </si>
  <si>
    <t>地脉</t>
    <phoneticPr fontId="1" type="noConversion"/>
  </si>
  <si>
    <t>白魔法石</t>
    <phoneticPr fontId="1" type="noConversion"/>
  </si>
  <si>
    <t>白色的高品质魔法石</t>
    <phoneticPr fontId="1" type="noConversion"/>
  </si>
  <si>
    <t>IC0917</t>
  </si>
  <si>
    <t>神圣</t>
    <phoneticPr fontId="1" type="noConversion"/>
  </si>
  <si>
    <t>黑魔法石</t>
    <phoneticPr fontId="1" type="noConversion"/>
  </si>
  <si>
    <t>黑色的高品质魔法石</t>
    <phoneticPr fontId="1" type="noConversion"/>
  </si>
  <si>
    <t>IC0918</t>
  </si>
  <si>
    <t>黑暗</t>
    <phoneticPr fontId="1" type="noConversion"/>
  </si>
  <si>
    <t>浮游石</t>
    <phoneticPr fontId="1" type="noConversion"/>
  </si>
  <si>
    <t>不可思议具有浮游能力的石头</t>
    <phoneticPr fontId="1" type="noConversion"/>
  </si>
  <si>
    <t>IC0919</t>
  </si>
  <si>
    <t>珍珠石</t>
    <phoneticPr fontId="1" type="noConversion"/>
  </si>
  <si>
    <t>绮丽的球体纯白色的石头</t>
    <phoneticPr fontId="1" type="noConversion"/>
  </si>
  <si>
    <t>IC0923</t>
  </si>
  <si>
    <t>黑晶石</t>
    <phoneticPr fontId="1" type="noConversion"/>
  </si>
  <si>
    <t>神兽骨常年累月变化而成</t>
    <phoneticPr fontId="1" type="noConversion"/>
  </si>
  <si>
    <t>IC0924</t>
  </si>
  <si>
    <t>绿晶石</t>
    <phoneticPr fontId="1" type="noConversion"/>
  </si>
  <si>
    <t>稀少的铜矿结晶析出而成</t>
    <phoneticPr fontId="1" type="noConversion"/>
  </si>
  <si>
    <t>IC0925</t>
  </si>
  <si>
    <t>金刚石</t>
    <phoneticPr fontId="1" type="noConversion"/>
  </si>
  <si>
    <t>天然形成最坚硬的石头</t>
    <phoneticPr fontId="1" type="noConversion"/>
  </si>
  <si>
    <t>IC0926</t>
    <phoneticPr fontId="1" type="noConversion"/>
  </si>
  <si>
    <t>水结晶石</t>
    <phoneticPr fontId="1" type="noConversion"/>
  </si>
  <si>
    <t>水结晶形成的石头</t>
    <phoneticPr fontId="1" type="noConversion"/>
  </si>
  <si>
    <t>IC0922</t>
  </si>
  <si>
    <t>黑铜矿</t>
    <phoneticPr fontId="1" type="noConversion"/>
  </si>
  <si>
    <t>轻量坚硬的魔法铜</t>
    <phoneticPr fontId="1" type="noConversion"/>
  </si>
  <si>
    <t>IC0931</t>
  </si>
  <si>
    <t>优良黑铜矿</t>
    <phoneticPr fontId="1" type="noConversion"/>
  </si>
  <si>
    <t>南方特产的魔法铜</t>
    <phoneticPr fontId="1" type="noConversion"/>
  </si>
  <si>
    <t>高级黑铜矿</t>
    <phoneticPr fontId="1" type="noConversion"/>
  </si>
  <si>
    <t>矿石融合树液凝结而成</t>
    <phoneticPr fontId="1" type="noConversion"/>
  </si>
  <si>
    <t>顶级黑铜矿</t>
    <phoneticPr fontId="1" type="noConversion"/>
  </si>
  <si>
    <t>白金色的魔法铜</t>
    <phoneticPr fontId="1" type="noConversion"/>
  </si>
  <si>
    <t>粉铜矿</t>
    <phoneticPr fontId="1" type="noConversion"/>
  </si>
  <si>
    <t>粉色带有魔法的金属</t>
    <phoneticPr fontId="1" type="noConversion"/>
  </si>
  <si>
    <t>IC0936</t>
  </si>
  <si>
    <t>优良粉铜矿</t>
    <phoneticPr fontId="1" type="noConversion"/>
  </si>
  <si>
    <t>纯度很高的稀有金属</t>
    <phoneticPr fontId="1" type="noConversion"/>
  </si>
  <si>
    <t>桃色粉铜矿</t>
    <phoneticPr fontId="1" type="noConversion"/>
  </si>
  <si>
    <t>纯度很高的稀有金属</t>
    <phoneticPr fontId="1" type="noConversion"/>
  </si>
  <si>
    <t>IC0937</t>
  </si>
  <si>
    <t>黑色粉铜矿</t>
    <phoneticPr fontId="1" type="noConversion"/>
  </si>
  <si>
    <t>IC0938</t>
  </si>
  <si>
    <t>紫色粉铜矿</t>
    <phoneticPr fontId="1" type="noConversion"/>
  </si>
  <si>
    <t>IC0939</t>
  </si>
  <si>
    <t>黄色粉铜矿</t>
    <phoneticPr fontId="1" type="noConversion"/>
  </si>
  <si>
    <t>IC0940</t>
  </si>
  <si>
    <t>木材</t>
    <phoneticPr fontId="1" type="noConversion"/>
  </si>
  <si>
    <t>房屋升级所需的木材</t>
    <phoneticPr fontId="1" type="noConversion"/>
  </si>
  <si>
    <t>IC0601</t>
  </si>
  <si>
    <t>房屋升级</t>
    <phoneticPr fontId="1" type="noConversion"/>
  </si>
  <si>
    <t>植物</t>
    <phoneticPr fontId="1" type="noConversion"/>
  </si>
  <si>
    <t>优良木材</t>
    <phoneticPr fontId="1" type="noConversion"/>
  </si>
  <si>
    <t>品质高的房屋升级所需的木材</t>
    <phoneticPr fontId="1" type="noConversion"/>
  </si>
  <si>
    <t>植物</t>
    <phoneticPr fontId="1" type="noConversion"/>
  </si>
  <si>
    <t>高级木材</t>
    <phoneticPr fontId="1" type="noConversion"/>
  </si>
  <si>
    <t>高品质的房屋升级所需的木材</t>
    <phoneticPr fontId="1" type="noConversion"/>
  </si>
  <si>
    <t>植物</t>
    <phoneticPr fontId="1" type="noConversion"/>
  </si>
  <si>
    <t>顶级木材</t>
    <phoneticPr fontId="1" type="noConversion"/>
  </si>
  <si>
    <t>顶级品质房屋升级所需的木材</t>
    <phoneticPr fontId="1" type="noConversion"/>
  </si>
  <si>
    <t>房屋升级</t>
    <phoneticPr fontId="1" type="noConversion"/>
  </si>
  <si>
    <t>植物</t>
    <phoneticPr fontId="1" type="noConversion"/>
  </si>
  <si>
    <t>树枝</t>
    <phoneticPr fontId="1" type="noConversion"/>
  </si>
  <si>
    <t>高级树枝</t>
    <phoneticPr fontId="1" type="noConversion"/>
  </si>
  <si>
    <t>高级植物的树枝</t>
    <phoneticPr fontId="1" type="noConversion"/>
  </si>
  <si>
    <t>家具用木材</t>
    <phoneticPr fontId="1" type="noConversion"/>
  </si>
  <si>
    <t>家具制作需要的木材</t>
    <phoneticPr fontId="1" type="noConversion"/>
  </si>
  <si>
    <t>家具制作</t>
    <phoneticPr fontId="1" type="noConversion"/>
  </si>
  <si>
    <t>植物</t>
    <phoneticPr fontId="1" type="noConversion"/>
  </si>
  <si>
    <t>家具用良木材</t>
    <phoneticPr fontId="1" type="noConversion"/>
  </si>
  <si>
    <t>家具制作需要的优质木材</t>
    <phoneticPr fontId="1" type="noConversion"/>
  </si>
  <si>
    <t>家具用高级木材</t>
    <phoneticPr fontId="1" type="noConversion"/>
  </si>
  <si>
    <t>家具制作需要的高级木材</t>
    <phoneticPr fontId="1" type="noConversion"/>
  </si>
  <si>
    <t>家具用最高级木材</t>
    <phoneticPr fontId="1" type="noConversion"/>
  </si>
  <si>
    <t>家具制作需要的顶级木材</t>
    <phoneticPr fontId="1" type="noConversion"/>
  </si>
  <si>
    <t>家具制作</t>
    <phoneticPr fontId="1" type="noConversion"/>
  </si>
  <si>
    <t>香叶</t>
    <phoneticPr fontId="1" type="noConversion"/>
  </si>
  <si>
    <t>香气迷人的植物采集的叶子</t>
    <phoneticPr fontId="1" type="noConversion"/>
  </si>
  <si>
    <t>IC0950</t>
  </si>
  <si>
    <t>植物制作</t>
    <phoneticPr fontId="1" type="noConversion"/>
  </si>
  <si>
    <t>绿草</t>
    <phoneticPr fontId="1" type="noConversion"/>
  </si>
  <si>
    <t>轻盈植物采集的叶子</t>
    <phoneticPr fontId="1" type="noConversion"/>
  </si>
  <si>
    <t>植物制作</t>
    <phoneticPr fontId="1" type="noConversion"/>
  </si>
  <si>
    <t>水草</t>
    <phoneticPr fontId="1" type="noConversion"/>
  </si>
  <si>
    <t>水边生长植物采集的叶子</t>
    <phoneticPr fontId="1" type="noConversion"/>
  </si>
  <si>
    <t>白草</t>
    <phoneticPr fontId="1" type="noConversion"/>
  </si>
  <si>
    <t>白色珍惜植物采集的叶子</t>
    <phoneticPr fontId="1" type="noConversion"/>
  </si>
  <si>
    <t>IC0953</t>
  </si>
  <si>
    <t>植物制作</t>
    <phoneticPr fontId="1" type="noConversion"/>
  </si>
  <si>
    <t>枯草</t>
    <phoneticPr fontId="1" type="noConversion"/>
  </si>
  <si>
    <t>完全枯萎的植物</t>
    <phoneticPr fontId="1" type="noConversion"/>
  </si>
  <si>
    <t>IC0952</t>
    <phoneticPr fontId="1" type="noConversion"/>
  </si>
  <si>
    <t>干草</t>
    <phoneticPr fontId="1" type="noConversion"/>
  </si>
  <si>
    <t>杂草晒干后收集而成</t>
    <phoneticPr fontId="1" type="noConversion"/>
  </si>
  <si>
    <t>IC0602</t>
  </si>
  <si>
    <t>弹力草</t>
    <phoneticPr fontId="1" type="noConversion"/>
  </si>
  <si>
    <t>树海里特殊植物生长的具有弹力的茎</t>
    <phoneticPr fontId="1" type="noConversion"/>
  </si>
  <si>
    <t>IC0988</t>
  </si>
  <si>
    <t>月间草</t>
    <phoneticPr fontId="1" type="noConversion"/>
  </si>
  <si>
    <t>随着时间而改变颜色的草</t>
    <phoneticPr fontId="1" type="noConversion"/>
  </si>
  <si>
    <t>彩虹草</t>
    <phoneticPr fontId="1" type="noConversion"/>
  </si>
  <si>
    <t>突变而生的具有七彩颜色的草</t>
    <phoneticPr fontId="1" type="noConversion"/>
  </si>
  <si>
    <t>IC0956</t>
  </si>
  <si>
    <t>黑暗花</t>
    <phoneticPr fontId="1" type="noConversion"/>
  </si>
  <si>
    <t>黑色的花朵生长在阴暗处</t>
    <phoneticPr fontId="1" type="noConversion"/>
  </si>
  <si>
    <t>IC0968</t>
  </si>
  <si>
    <t>闪光花</t>
    <phoneticPr fontId="1" type="noConversion"/>
  </si>
  <si>
    <t>会闪光突然吓你一跳</t>
    <phoneticPr fontId="1" type="noConversion"/>
  </si>
  <si>
    <t>IC0959</t>
  </si>
  <si>
    <t>太阳花</t>
    <phoneticPr fontId="1" type="noConversion"/>
  </si>
  <si>
    <t>向着太阳生长的花朵</t>
    <phoneticPr fontId="1" type="noConversion"/>
  </si>
  <si>
    <t>IC0960</t>
  </si>
  <si>
    <t>灵木的根</t>
    <phoneticPr fontId="1" type="noConversion"/>
  </si>
  <si>
    <t>灵木的根生长到地表采集到的根</t>
    <phoneticPr fontId="1" type="noConversion"/>
  </si>
  <si>
    <t>IC0957</t>
  </si>
  <si>
    <t>灵木的枝</t>
    <phoneticPr fontId="1" type="noConversion"/>
  </si>
  <si>
    <t>爬到灵木的枝干上采集的树枝</t>
    <phoneticPr fontId="1" type="noConversion"/>
  </si>
  <si>
    <t>IC0958</t>
  </si>
  <si>
    <t>奇特树的茎</t>
    <phoneticPr fontId="1" type="noConversion"/>
  </si>
  <si>
    <t>奇怪的树奇怪的茎</t>
    <phoneticPr fontId="1" type="noConversion"/>
  </si>
  <si>
    <t>赤色蘑菇</t>
    <phoneticPr fontId="1" type="noConversion"/>
  </si>
  <si>
    <t>森林内生长的赤色蘑菇</t>
    <phoneticPr fontId="1" type="noConversion"/>
  </si>
  <si>
    <t>IC0942</t>
  </si>
  <si>
    <t>青色蘑菇</t>
    <phoneticPr fontId="1" type="noConversion"/>
  </si>
  <si>
    <t>森林内生长的青色蘑菇</t>
    <phoneticPr fontId="1" type="noConversion"/>
  </si>
  <si>
    <t>IC0943</t>
  </si>
  <si>
    <t>七色蘑菇</t>
    <phoneticPr fontId="1" type="noConversion"/>
  </si>
  <si>
    <t>特别稀有的七彩蘑菇</t>
    <phoneticPr fontId="1" type="noConversion"/>
  </si>
  <si>
    <t>IC0945</t>
  </si>
  <si>
    <t>成熟的果实</t>
    <phoneticPr fontId="1" type="noConversion"/>
  </si>
  <si>
    <t>熟透的果子掉在地上收集而来</t>
    <phoneticPr fontId="1" type="noConversion"/>
  </si>
  <si>
    <t>IC0946</t>
  </si>
  <si>
    <t>南瓜</t>
    <phoneticPr fontId="1" type="noConversion"/>
  </si>
  <si>
    <t>味道鲜美长相良好的南瓜</t>
    <phoneticPr fontId="1" type="noConversion"/>
  </si>
  <si>
    <t>IC0941</t>
  </si>
  <si>
    <t>赤色的魔术丝</t>
    <phoneticPr fontId="1" type="noConversion"/>
  </si>
  <si>
    <t>具有特殊魔力的赤色丝带</t>
    <phoneticPr fontId="1" type="noConversion"/>
  </si>
  <si>
    <t>IC0963</t>
  </si>
  <si>
    <t>火炎</t>
    <phoneticPr fontId="1" type="noConversion"/>
  </si>
  <si>
    <t>青色的魔术丝</t>
    <phoneticPr fontId="1" type="noConversion"/>
  </si>
  <si>
    <t>具有特殊魔力的青色丝带</t>
    <phoneticPr fontId="1" type="noConversion"/>
  </si>
  <si>
    <t>IC0962</t>
  </si>
  <si>
    <t>冷却</t>
    <phoneticPr fontId="1" type="noConversion"/>
  </si>
  <si>
    <t>绿色的魔术丝</t>
    <phoneticPr fontId="1" type="noConversion"/>
  </si>
  <si>
    <t>具有特殊魔力的绿色丝带</t>
    <phoneticPr fontId="1" type="noConversion"/>
  </si>
  <si>
    <t>IC0964</t>
  </si>
  <si>
    <t>电击</t>
    <phoneticPr fontId="1" type="noConversion"/>
  </si>
  <si>
    <t>茶色的魔术丝</t>
    <phoneticPr fontId="1" type="noConversion"/>
  </si>
  <si>
    <t>具有特殊魔力的茶色丝带</t>
    <phoneticPr fontId="1" type="noConversion"/>
  </si>
  <si>
    <t>IC0961</t>
  </si>
  <si>
    <t>地脉</t>
    <phoneticPr fontId="1" type="noConversion"/>
  </si>
  <si>
    <t>白色的魔术丝</t>
    <phoneticPr fontId="1" type="noConversion"/>
  </si>
  <si>
    <t>具有特殊魔力的白色丝带</t>
    <phoneticPr fontId="1" type="noConversion"/>
  </si>
  <si>
    <t>IC0965</t>
  </si>
  <si>
    <t>神圣</t>
    <phoneticPr fontId="1" type="noConversion"/>
  </si>
  <si>
    <t>黑色的魔术丝</t>
    <phoneticPr fontId="1" type="noConversion"/>
  </si>
  <si>
    <t>具有特殊魔力的黑色丝带</t>
    <phoneticPr fontId="1" type="noConversion"/>
  </si>
  <si>
    <t>IC0966</t>
  </si>
  <si>
    <t>黑暗</t>
    <phoneticPr fontId="1" type="noConversion"/>
  </si>
  <si>
    <t>七彩的魔术丝</t>
    <phoneticPr fontId="1" type="noConversion"/>
  </si>
  <si>
    <t>具有特殊魔力的七彩丝带</t>
    <phoneticPr fontId="1" type="noConversion"/>
  </si>
  <si>
    <t>IC0967</t>
  </si>
  <si>
    <t>物理</t>
    <phoneticPr fontId="1" type="noConversion"/>
  </si>
  <si>
    <t>兽骨</t>
    <phoneticPr fontId="1" type="noConversion"/>
  </si>
  <si>
    <t>泥土中腐败的野兽骨头</t>
    <phoneticPr fontId="1" type="noConversion"/>
  </si>
  <si>
    <t>IC0971</t>
  </si>
  <si>
    <t>器官</t>
    <phoneticPr fontId="1" type="noConversion"/>
  </si>
  <si>
    <t>骷髅骨</t>
    <phoneticPr fontId="1" type="noConversion"/>
  </si>
  <si>
    <t>绮丽外形的骨头残骸</t>
    <phoneticPr fontId="1" type="noConversion"/>
  </si>
  <si>
    <t>IC0972</t>
  </si>
  <si>
    <t>地系魔物骨头</t>
    <phoneticPr fontId="1" type="noConversion"/>
  </si>
  <si>
    <t>埋于地下的地兽骨头</t>
    <phoneticPr fontId="1" type="noConversion"/>
  </si>
  <si>
    <t>IC0973</t>
  </si>
  <si>
    <t>地脉</t>
    <phoneticPr fontId="1" type="noConversion"/>
  </si>
  <si>
    <t>水系魔物骨头</t>
    <phoneticPr fontId="1" type="noConversion"/>
  </si>
  <si>
    <t>埋于地下的水兽骨头</t>
    <phoneticPr fontId="1" type="noConversion"/>
  </si>
  <si>
    <t>IC0974</t>
  </si>
  <si>
    <t>冷却</t>
    <phoneticPr fontId="1" type="noConversion"/>
  </si>
  <si>
    <t>火系魔物骨头</t>
    <phoneticPr fontId="1" type="noConversion"/>
  </si>
  <si>
    <t>埋于地下的火兽骨头</t>
    <phoneticPr fontId="1" type="noConversion"/>
  </si>
  <si>
    <t>IC0975</t>
  </si>
  <si>
    <t>电系魔物骨头</t>
    <phoneticPr fontId="1" type="noConversion"/>
  </si>
  <si>
    <t>埋于地下的雷兽骨头</t>
    <phoneticPr fontId="1" type="noConversion"/>
  </si>
  <si>
    <t>IC0976</t>
  </si>
  <si>
    <t>圣系魔物骨头</t>
    <phoneticPr fontId="1" type="noConversion"/>
  </si>
  <si>
    <t>埋于地下的圣兽骨头</t>
    <phoneticPr fontId="1" type="noConversion"/>
  </si>
  <si>
    <t>IC0977</t>
  </si>
  <si>
    <t>器官</t>
    <phoneticPr fontId="1" type="noConversion"/>
  </si>
  <si>
    <t>暗系魔物骨头</t>
    <phoneticPr fontId="1" type="noConversion"/>
  </si>
  <si>
    <t>埋于地下的暗兽骨头</t>
    <phoneticPr fontId="1" type="noConversion"/>
  </si>
  <si>
    <t>IC0978</t>
  </si>
  <si>
    <t>魔物骨头</t>
    <phoneticPr fontId="1" type="noConversion"/>
  </si>
  <si>
    <t>埋于地下的魔物骨头</t>
    <phoneticPr fontId="1" type="noConversion"/>
  </si>
  <si>
    <t>胆石</t>
    <phoneticPr fontId="1" type="noConversion"/>
  </si>
  <si>
    <t>外形奇特的石头</t>
    <phoneticPr fontId="1" type="noConversion"/>
  </si>
  <si>
    <t>IC0611</t>
  </si>
  <si>
    <t>灵石</t>
    <phoneticPr fontId="1" type="noConversion"/>
  </si>
  <si>
    <t>注入灵力的石头</t>
    <phoneticPr fontId="1" type="noConversion"/>
  </si>
  <si>
    <t>IC0612</t>
  </si>
  <si>
    <t>魅灵石</t>
    <phoneticPr fontId="1" type="noConversion"/>
  </si>
  <si>
    <t>注入魅灵力的石头</t>
    <phoneticPr fontId="1" type="noConversion"/>
  </si>
  <si>
    <t>IC0613</t>
  </si>
  <si>
    <t>水块</t>
    <phoneticPr fontId="1" type="noConversion"/>
  </si>
  <si>
    <t>水和空气凝结而成</t>
    <phoneticPr fontId="1" type="noConversion"/>
  </si>
  <si>
    <t>IC0620</t>
    <phoneticPr fontId="1" type="noConversion"/>
  </si>
  <si>
    <t>赤之液</t>
    <phoneticPr fontId="1" type="noConversion"/>
  </si>
  <si>
    <t>魔神留下的赤色液体</t>
    <phoneticPr fontId="1" type="noConversion"/>
  </si>
  <si>
    <t>IC0625</t>
  </si>
  <si>
    <t>青之液</t>
    <phoneticPr fontId="1" type="noConversion"/>
  </si>
  <si>
    <t>魔神留下的青色液体</t>
    <phoneticPr fontId="1" type="noConversion"/>
  </si>
  <si>
    <t>IC0621</t>
  </si>
  <si>
    <t>黄之液</t>
    <phoneticPr fontId="1" type="noConversion"/>
  </si>
  <si>
    <t>魔神留下的黄色液体</t>
    <phoneticPr fontId="1" type="noConversion"/>
  </si>
  <si>
    <t>IC0622</t>
  </si>
  <si>
    <t>绿之液</t>
    <phoneticPr fontId="1" type="noConversion"/>
  </si>
  <si>
    <t>魔神留下的绿色液体</t>
    <phoneticPr fontId="1" type="noConversion"/>
  </si>
  <si>
    <t>IC0624</t>
  </si>
  <si>
    <t>紫之液</t>
    <phoneticPr fontId="1" type="noConversion"/>
  </si>
  <si>
    <t>魔神留下的紫色液体</t>
    <phoneticPr fontId="1" type="noConversion"/>
  </si>
  <si>
    <t>IC0623</t>
  </si>
  <si>
    <t>器官</t>
    <phoneticPr fontId="1" type="noConversion"/>
  </si>
  <si>
    <t>酸之液</t>
    <phoneticPr fontId="1" type="noConversion"/>
  </si>
  <si>
    <t>魔神留下的带有腐蚀性的液体</t>
    <phoneticPr fontId="1" type="noConversion"/>
  </si>
  <si>
    <t>IC0626</t>
  </si>
  <si>
    <t>地系魔物血液</t>
    <phoneticPr fontId="1" type="noConversion"/>
  </si>
  <si>
    <t>地兽身上采集的血液</t>
    <phoneticPr fontId="1" type="noConversion"/>
  </si>
  <si>
    <t>水系魔物血液</t>
    <phoneticPr fontId="1" type="noConversion"/>
  </si>
  <si>
    <t>水兽身上采集的血液</t>
    <phoneticPr fontId="1" type="noConversion"/>
  </si>
  <si>
    <t>火系魔物血液</t>
    <phoneticPr fontId="1" type="noConversion"/>
  </si>
  <si>
    <t>火兽身上采集的血液</t>
    <phoneticPr fontId="1" type="noConversion"/>
  </si>
  <si>
    <t>电系魔物血液</t>
    <phoneticPr fontId="1" type="noConversion"/>
  </si>
  <si>
    <t>雷兽身上采集的血液</t>
    <phoneticPr fontId="1" type="noConversion"/>
  </si>
  <si>
    <t>圣系魔物血液</t>
    <phoneticPr fontId="1" type="noConversion"/>
  </si>
  <si>
    <t>圣兽身上采集的血液</t>
    <phoneticPr fontId="1" type="noConversion"/>
  </si>
  <si>
    <t>神圣</t>
    <phoneticPr fontId="1" type="noConversion"/>
  </si>
  <si>
    <t>暗系魔物血液</t>
    <phoneticPr fontId="1" type="noConversion"/>
  </si>
  <si>
    <t>暗兽身上采集的血液</t>
    <phoneticPr fontId="1" type="noConversion"/>
  </si>
  <si>
    <t>魔物血液</t>
    <phoneticPr fontId="1" type="noConversion"/>
  </si>
  <si>
    <t>魔物身上采集的血液</t>
    <phoneticPr fontId="1" type="noConversion"/>
  </si>
  <si>
    <t>IC0671</t>
  </si>
  <si>
    <t>蜥蜴皮革</t>
    <phoneticPr fontId="1" type="noConversion"/>
  </si>
  <si>
    <t>从蜥蜴身上剥下来的皮革</t>
    <phoneticPr fontId="1" type="noConversion"/>
  </si>
  <si>
    <t>IC0661</t>
  </si>
  <si>
    <t>水兽皮革</t>
    <phoneticPr fontId="1" type="noConversion"/>
  </si>
  <si>
    <t>从水兽身上剥下来的皮革</t>
    <phoneticPr fontId="1" type="noConversion"/>
  </si>
  <si>
    <t>IC0670</t>
    <phoneticPr fontId="1" type="noConversion"/>
  </si>
  <si>
    <t>火兽皮革</t>
    <phoneticPr fontId="1" type="noConversion"/>
  </si>
  <si>
    <t>从火兽身上剥下来的皮革</t>
    <phoneticPr fontId="1" type="noConversion"/>
  </si>
  <si>
    <t>IC0669</t>
    <phoneticPr fontId="1" type="noConversion"/>
  </si>
  <si>
    <t>通用</t>
    <phoneticPr fontId="1" type="noConversion"/>
  </si>
  <si>
    <t>雷兽皮革</t>
    <phoneticPr fontId="1" type="noConversion"/>
  </si>
  <si>
    <t>从雷兽身上剥下来的皮革</t>
    <phoneticPr fontId="1" type="noConversion"/>
  </si>
  <si>
    <t>IC0662</t>
    <phoneticPr fontId="1" type="noConversion"/>
  </si>
  <si>
    <t>水鸟的白皮</t>
    <phoneticPr fontId="1" type="noConversion"/>
  </si>
  <si>
    <t>从珍惜的水鸟上剥下来的白色皮革</t>
    <phoneticPr fontId="1" type="noConversion"/>
  </si>
  <si>
    <t>水兽的鳞片</t>
    <phoneticPr fontId="1" type="noConversion"/>
  </si>
  <si>
    <t>水兽逃跑时留下的鳞片</t>
    <phoneticPr fontId="1" type="noConversion"/>
  </si>
  <si>
    <t>IC0666</t>
  </si>
  <si>
    <t>人狼毛皮</t>
    <phoneticPr fontId="1" type="noConversion"/>
  </si>
  <si>
    <t>从人狼身上剥下来的毛皮</t>
    <phoneticPr fontId="1" type="noConversion"/>
  </si>
  <si>
    <t>巨人之皮</t>
    <phoneticPr fontId="1" type="noConversion"/>
  </si>
  <si>
    <t>巨人身上剥下的毛皮</t>
    <phoneticPr fontId="1" type="noConversion"/>
  </si>
  <si>
    <t>IC0662</t>
  </si>
  <si>
    <t>巨人赤皮</t>
    <phoneticPr fontId="1" type="noConversion"/>
  </si>
  <si>
    <t>赤色巨人身上剥下的毛皮</t>
    <phoneticPr fontId="1" type="noConversion"/>
  </si>
  <si>
    <t>IC0669</t>
  </si>
  <si>
    <t>巨人青皮</t>
    <phoneticPr fontId="1" type="noConversion"/>
  </si>
  <si>
    <t>青色巨人身上剥下的毛皮</t>
    <phoneticPr fontId="1" type="noConversion"/>
  </si>
  <si>
    <t>柔软的毛皮</t>
    <phoneticPr fontId="1" type="noConversion"/>
  </si>
  <si>
    <t>手感优良的毛皮</t>
    <phoneticPr fontId="1" type="noConversion"/>
  </si>
  <si>
    <t>狐炎兽毛皮</t>
    <phoneticPr fontId="1" type="noConversion"/>
  </si>
  <si>
    <t>强力狐炎兽的毛皮</t>
    <phoneticPr fontId="1" type="noConversion"/>
  </si>
  <si>
    <t>龙之皮革</t>
    <phoneticPr fontId="1" type="noConversion"/>
  </si>
  <si>
    <t>巨龙身上剥下的皮革</t>
    <phoneticPr fontId="1" type="noConversion"/>
  </si>
  <si>
    <t>腐败的皮革</t>
    <phoneticPr fontId="1" type="noConversion"/>
  </si>
  <si>
    <t>在石壁下腐烂的皮革</t>
    <phoneticPr fontId="1" type="noConversion"/>
  </si>
  <si>
    <t>恶魔毛皮</t>
    <phoneticPr fontId="1" type="noConversion"/>
  </si>
  <si>
    <t>恶魔的毛皮</t>
    <phoneticPr fontId="1" type="noConversion"/>
  </si>
  <si>
    <t>腐败的毛皮</t>
    <phoneticPr fontId="1" type="noConversion"/>
  </si>
  <si>
    <t>在石壁下腐烂的毛皮</t>
    <phoneticPr fontId="1" type="noConversion"/>
  </si>
  <si>
    <t>IC0678</t>
  </si>
  <si>
    <t>水鸟的羽毛</t>
    <phoneticPr fontId="1" type="noConversion"/>
  </si>
  <si>
    <t>在水边活动的水鸟羽毛</t>
    <phoneticPr fontId="1" type="noConversion"/>
  </si>
  <si>
    <t>IC0702</t>
    <phoneticPr fontId="1" type="noConversion"/>
  </si>
  <si>
    <t>冰鸟的羽毛</t>
    <phoneticPr fontId="1" type="noConversion"/>
  </si>
  <si>
    <t>具有超强冰冻能力的冰鸟的羽毛</t>
    <phoneticPr fontId="1" type="noConversion"/>
  </si>
  <si>
    <t>IC0701</t>
    <phoneticPr fontId="1" type="noConversion"/>
  </si>
  <si>
    <t>震动羽翼</t>
    <phoneticPr fontId="1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</si>
  <si>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1" type="noConversion"/>
  </si>
  <si>
    <t>IC0703</t>
  </si>
  <si>
    <t>大天使羽翼</t>
    <phoneticPr fontId="1" type="noConversion"/>
  </si>
  <si>
    <t>八位天使蜕下来的羽毛</t>
    <phoneticPr fontId="1" type="noConversion"/>
  </si>
  <si>
    <t>IC0717</t>
    <phoneticPr fontId="1" type="noConversion"/>
  </si>
  <si>
    <t>蝙蝠羽翼</t>
    <phoneticPr fontId="1" type="noConversion"/>
  </si>
  <si>
    <t>羽翼的边缘具有锐利的爪尖</t>
    <phoneticPr fontId="1" type="noConversion"/>
  </si>
  <si>
    <t>IC0707</t>
  </si>
  <si>
    <t>黑蝙蝠羽翼</t>
    <phoneticPr fontId="1" type="noConversion"/>
  </si>
  <si>
    <t>具有很多锐利爪尖的黑蝙蝠羽翼</t>
    <phoneticPr fontId="1" type="noConversion"/>
  </si>
  <si>
    <t>睡魔羽翼</t>
    <phoneticPr fontId="1" type="noConversion"/>
  </si>
  <si>
    <t>黑暗睡魔的羽翼</t>
    <phoneticPr fontId="1" type="noConversion"/>
  </si>
  <si>
    <t>IC0716</t>
  </si>
  <si>
    <t>精灵女王羽翼</t>
    <phoneticPr fontId="1" type="noConversion"/>
  </si>
  <si>
    <t>细长的精灵女王羽翼</t>
    <phoneticPr fontId="1" type="noConversion"/>
  </si>
  <si>
    <t>石像鬼羽翼</t>
    <phoneticPr fontId="1" type="noConversion"/>
  </si>
  <si>
    <t>顽强的石像兵的羽翼</t>
    <phoneticPr fontId="1" type="noConversion"/>
  </si>
  <si>
    <t>昆虫躯壳</t>
    <phoneticPr fontId="1" type="noConversion"/>
  </si>
  <si>
    <t>从死去的昆虫尸体上剥下的躯壳</t>
    <phoneticPr fontId="1" type="noConversion"/>
  </si>
  <si>
    <t>IC0691</t>
  </si>
  <si>
    <t>大型昆虫躯壳</t>
    <phoneticPr fontId="1" type="noConversion"/>
  </si>
  <si>
    <t>从巨大昆虫尸体上剥下的躯壳</t>
    <phoneticPr fontId="1" type="noConversion"/>
  </si>
  <si>
    <t>天使的桃羽</t>
    <phoneticPr fontId="1" type="noConversion"/>
  </si>
  <si>
    <t>非常绚烂的天使羽毛</t>
    <phoneticPr fontId="1" type="noConversion"/>
  </si>
  <si>
    <t>IC0714</t>
  </si>
  <si>
    <t>天使的黑羽</t>
    <phoneticPr fontId="1" type="noConversion"/>
  </si>
  <si>
    <t>IC0715</t>
  </si>
  <si>
    <t>天使的紫羽</t>
    <phoneticPr fontId="1" type="noConversion"/>
  </si>
  <si>
    <t>天使的黄羽</t>
    <phoneticPr fontId="1" type="noConversion"/>
  </si>
  <si>
    <t>非常绚烂的天使羽毛</t>
    <phoneticPr fontId="1" type="noConversion"/>
  </si>
  <si>
    <t>IC0717</t>
  </si>
  <si>
    <t>鬼爪</t>
    <phoneticPr fontId="1" type="noConversion"/>
  </si>
  <si>
    <t>狩猎获得的恶鬼的爪子</t>
    <phoneticPr fontId="1" type="noConversion"/>
  </si>
  <si>
    <t>IC0731</t>
    <phoneticPr fontId="1" type="noConversion"/>
  </si>
  <si>
    <t>人狼爪</t>
    <phoneticPr fontId="1" type="noConversion"/>
  </si>
  <si>
    <t>狩猎获得的人狼的爪子</t>
    <phoneticPr fontId="1" type="noConversion"/>
  </si>
  <si>
    <t>IC0732</t>
  </si>
  <si>
    <t>蜥蜴爪</t>
    <phoneticPr fontId="1" type="noConversion"/>
  </si>
  <si>
    <t>狩猎获得的蜥蜴的爪子</t>
    <phoneticPr fontId="1" type="noConversion"/>
  </si>
  <si>
    <t>火兽爪</t>
    <phoneticPr fontId="1" type="noConversion"/>
  </si>
  <si>
    <t>狩猎获得的火兽的爪子</t>
    <phoneticPr fontId="1" type="noConversion"/>
  </si>
  <si>
    <t>IC0734</t>
  </si>
  <si>
    <t>雷兽爪</t>
    <phoneticPr fontId="1" type="noConversion"/>
  </si>
  <si>
    <t>狩猎获得的雷兽的爪子</t>
    <phoneticPr fontId="1" type="noConversion"/>
  </si>
  <si>
    <t>IC0735</t>
    <phoneticPr fontId="1" type="noConversion"/>
  </si>
  <si>
    <t>大型昆虫爪</t>
    <phoneticPr fontId="1" type="noConversion"/>
  </si>
  <si>
    <t>狩猎获得的大型昆虫的爪子</t>
    <phoneticPr fontId="1" type="noConversion"/>
  </si>
  <si>
    <t>IC0737</t>
  </si>
  <si>
    <t>恶魔爪</t>
    <phoneticPr fontId="1" type="noConversion"/>
  </si>
  <si>
    <t>狩猎获得的恶魔的爪子</t>
    <phoneticPr fontId="1" type="noConversion"/>
  </si>
  <si>
    <t>IC0738</t>
  </si>
  <si>
    <t>狐炎兽爪</t>
    <phoneticPr fontId="1" type="noConversion"/>
  </si>
  <si>
    <t>狩猎获得的狐炎兽的爪子</t>
    <phoneticPr fontId="1" type="noConversion"/>
  </si>
  <si>
    <t>蛇龟爪</t>
    <phoneticPr fontId="1" type="noConversion"/>
  </si>
  <si>
    <t>狩猎获得的蛇龟的爪子</t>
    <phoneticPr fontId="1" type="noConversion"/>
  </si>
  <si>
    <t>IC0732</t>
    <phoneticPr fontId="1" type="noConversion"/>
  </si>
  <si>
    <t>器官</t>
    <phoneticPr fontId="1" type="noConversion"/>
  </si>
  <si>
    <t>龙爪</t>
    <phoneticPr fontId="1" type="noConversion"/>
  </si>
  <si>
    <t>狩猎获得的龙爪</t>
    <phoneticPr fontId="1" type="noConversion"/>
  </si>
  <si>
    <t>IC0737</t>
    <phoneticPr fontId="1" type="noConversion"/>
  </si>
  <si>
    <t>腐败爪</t>
    <phoneticPr fontId="1" type="noConversion"/>
  </si>
  <si>
    <t>从泥土里挖掘出来的腐败的爪子</t>
    <phoneticPr fontId="1" type="noConversion"/>
  </si>
  <si>
    <t>鬼牙</t>
    <phoneticPr fontId="1" type="noConversion"/>
  </si>
  <si>
    <t>恶鬼的牙齿</t>
    <phoneticPr fontId="1" type="noConversion"/>
  </si>
  <si>
    <t>IC0738</t>
    <phoneticPr fontId="1" type="noConversion"/>
  </si>
  <si>
    <t>蜥蜴牙</t>
    <phoneticPr fontId="1" type="noConversion"/>
  </si>
  <si>
    <t>蜥蜴的牙齿</t>
    <phoneticPr fontId="1" type="noConversion"/>
  </si>
  <si>
    <t>IC0761</t>
    <phoneticPr fontId="1" type="noConversion"/>
  </si>
  <si>
    <t>火兽牙</t>
    <phoneticPr fontId="1" type="noConversion"/>
  </si>
  <si>
    <t>火兽的牙齿</t>
    <phoneticPr fontId="1" type="noConversion"/>
  </si>
  <si>
    <t>IC0763</t>
  </si>
  <si>
    <t>雷兽牙</t>
    <phoneticPr fontId="1" type="noConversion"/>
  </si>
  <si>
    <t>雷兽的牙齿</t>
    <phoneticPr fontId="1" type="noConversion"/>
  </si>
  <si>
    <t>IC0765</t>
    <phoneticPr fontId="1" type="noConversion"/>
  </si>
  <si>
    <t>通用</t>
    <phoneticPr fontId="1" type="noConversion"/>
  </si>
  <si>
    <t>水兽牙</t>
    <phoneticPr fontId="1" type="noConversion"/>
  </si>
  <si>
    <t>水兽的牙齿</t>
    <phoneticPr fontId="1" type="noConversion"/>
  </si>
  <si>
    <t>IC0764</t>
    <phoneticPr fontId="1" type="noConversion"/>
  </si>
  <si>
    <t>巨大鱼牙</t>
    <phoneticPr fontId="1" type="noConversion"/>
  </si>
  <si>
    <t>深海巨鱼的牙齿</t>
    <phoneticPr fontId="1" type="noConversion"/>
  </si>
  <si>
    <t>IC0768</t>
    <phoneticPr fontId="1" type="noConversion"/>
  </si>
  <si>
    <t>蝙蝠牙</t>
    <phoneticPr fontId="1" type="noConversion"/>
  </si>
  <si>
    <t>蝙蝠的牙齿</t>
    <phoneticPr fontId="1" type="noConversion"/>
  </si>
  <si>
    <t>IC0775</t>
    <phoneticPr fontId="1" type="noConversion"/>
  </si>
  <si>
    <t>黑蝙蝠牙</t>
    <phoneticPr fontId="1" type="noConversion"/>
  </si>
  <si>
    <t>黑蝙蝠的牙齿</t>
    <phoneticPr fontId="1" type="noConversion"/>
  </si>
  <si>
    <t>狐炎兽牙</t>
    <phoneticPr fontId="1" type="noConversion"/>
  </si>
  <si>
    <t>狐炎兽的牙齿</t>
    <phoneticPr fontId="1" type="noConversion"/>
  </si>
  <si>
    <t>IC0763</t>
    <phoneticPr fontId="1" type="noConversion"/>
  </si>
  <si>
    <t>蛇龟牙</t>
    <phoneticPr fontId="1" type="noConversion"/>
  </si>
  <si>
    <t>蛇龟的牙齿</t>
    <phoneticPr fontId="1" type="noConversion"/>
  </si>
  <si>
    <t>IC0762</t>
    <phoneticPr fontId="1" type="noConversion"/>
  </si>
  <si>
    <t>龙牙</t>
    <phoneticPr fontId="1" type="noConversion"/>
  </si>
  <si>
    <t>腐败牙</t>
    <phoneticPr fontId="1" type="noConversion"/>
  </si>
  <si>
    <t>泥土里挖掘出来的腐败的牙齿</t>
    <phoneticPr fontId="1" type="noConversion"/>
  </si>
  <si>
    <t>IC0761</t>
    <phoneticPr fontId="1" type="noConversion"/>
  </si>
  <si>
    <t>地精魂片</t>
    <phoneticPr fontId="1" type="noConversion"/>
  </si>
  <si>
    <t>寄宿地精能力的魂片</t>
    <phoneticPr fontId="1" type="noConversion"/>
  </si>
  <si>
    <t>IC0841</t>
  </si>
  <si>
    <t>宝石</t>
    <phoneticPr fontId="1" type="noConversion"/>
  </si>
  <si>
    <t>水精魂片</t>
    <phoneticPr fontId="1" type="noConversion"/>
  </si>
  <si>
    <t>寄宿水精能力的魂片</t>
    <phoneticPr fontId="1" type="noConversion"/>
  </si>
  <si>
    <t>IC0842</t>
  </si>
  <si>
    <t>火精魂片</t>
    <phoneticPr fontId="1" type="noConversion"/>
  </si>
  <si>
    <t>寄宿火精能力的魂片</t>
    <phoneticPr fontId="1" type="noConversion"/>
  </si>
  <si>
    <t>IC0843</t>
  </si>
  <si>
    <t>雷精魂片</t>
    <phoneticPr fontId="1" type="noConversion"/>
  </si>
  <si>
    <t>寄宿雷精能力的魂片</t>
    <phoneticPr fontId="1" type="noConversion"/>
  </si>
  <si>
    <t>IC0844</t>
    <phoneticPr fontId="1" type="noConversion"/>
  </si>
  <si>
    <t>灵魂片</t>
    <phoneticPr fontId="1" type="noConversion"/>
  </si>
  <si>
    <t>注入灵力的魂片</t>
    <phoneticPr fontId="1" type="noConversion"/>
  </si>
  <si>
    <t>IC0845</t>
    <phoneticPr fontId="1" type="noConversion"/>
  </si>
  <si>
    <t>魅灵魂片</t>
    <phoneticPr fontId="1" type="noConversion"/>
  </si>
  <si>
    <t>注入魅灵力的魂片</t>
    <phoneticPr fontId="1" type="noConversion"/>
  </si>
  <si>
    <t>IC0847</t>
    <phoneticPr fontId="1" type="noConversion"/>
  </si>
  <si>
    <t>天使魂片</t>
    <phoneticPr fontId="1" type="noConversion"/>
  </si>
  <si>
    <t>寄宿天使能力的魂片</t>
    <phoneticPr fontId="1" type="noConversion"/>
  </si>
  <si>
    <t>IC0850</t>
    <phoneticPr fontId="1" type="noConversion"/>
  </si>
  <si>
    <t>睡魔魂片</t>
    <phoneticPr fontId="1" type="noConversion"/>
  </si>
  <si>
    <t>寄宿睡魔能力的魂片</t>
    <phoneticPr fontId="1" type="noConversion"/>
  </si>
  <si>
    <t>IC0845</t>
  </si>
  <si>
    <t>恶魔魂片</t>
    <phoneticPr fontId="1" type="noConversion"/>
  </si>
  <si>
    <t>寄宿恶魔能力的魂片</t>
    <phoneticPr fontId="1" type="noConversion"/>
  </si>
  <si>
    <t>万能魂片</t>
    <phoneticPr fontId="1" type="noConversion"/>
  </si>
  <si>
    <t>四重属性混合而成的魂片</t>
    <phoneticPr fontId="1" type="noConversion"/>
  </si>
  <si>
    <t>女战士的秘药</t>
    <phoneticPr fontId="1" type="noConversion"/>
  </si>
  <si>
    <t>体力提高的秘药</t>
    <phoneticPr fontId="1" type="noConversion"/>
  </si>
  <si>
    <t>IC0871</t>
  </si>
  <si>
    <t>强力的秘药</t>
    <phoneticPr fontId="1" type="noConversion"/>
  </si>
  <si>
    <t>IC0872</t>
  </si>
  <si>
    <t>终极秘药</t>
    <phoneticPr fontId="1" type="noConversion"/>
  </si>
  <si>
    <t>IC0873</t>
  </si>
  <si>
    <t>女战士的甘蜜</t>
    <phoneticPr fontId="1" type="noConversion"/>
  </si>
  <si>
    <t>女性战士分泌的甘蜜</t>
    <phoneticPr fontId="1" type="noConversion"/>
  </si>
  <si>
    <t>IC0875</t>
  </si>
  <si>
    <t>水晶眼泪</t>
    <phoneticPr fontId="1" type="noConversion"/>
  </si>
  <si>
    <t>水精灵泪珠凝结成的眼泪</t>
    <phoneticPr fontId="1" type="noConversion"/>
  </si>
  <si>
    <t>IC0877</t>
    <phoneticPr fontId="1" type="noConversion"/>
  </si>
  <si>
    <t>宝石</t>
    <phoneticPr fontId="1" type="noConversion"/>
  </si>
  <si>
    <t>蓝缌片</t>
    <phoneticPr fontId="1" type="noConversion"/>
  </si>
  <si>
    <t>蓝色的缌矿</t>
    <phoneticPr fontId="1" type="noConversion"/>
  </si>
  <si>
    <t>IC0887</t>
    <phoneticPr fontId="1" type="noConversion"/>
  </si>
  <si>
    <t>沙盘缌片</t>
    <phoneticPr fontId="1" type="noConversion"/>
  </si>
  <si>
    <t>沙盘缌矿</t>
    <phoneticPr fontId="1" type="noConversion"/>
  </si>
  <si>
    <t>IC0888</t>
  </si>
  <si>
    <t>火之缌片</t>
    <phoneticPr fontId="1" type="noConversion"/>
  </si>
  <si>
    <t>火之缌矿</t>
    <phoneticPr fontId="1" type="noConversion"/>
  </si>
  <si>
    <t>IC0890</t>
    <phoneticPr fontId="1" type="noConversion"/>
  </si>
  <si>
    <t>风之缌片</t>
    <phoneticPr fontId="1" type="noConversion"/>
  </si>
  <si>
    <t>风之缌矿</t>
    <phoneticPr fontId="1" type="noConversion"/>
  </si>
  <si>
    <t>IC0889</t>
    <phoneticPr fontId="1" type="noConversion"/>
  </si>
  <si>
    <t>赤色的水晶</t>
    <phoneticPr fontId="1" type="noConversion"/>
  </si>
  <si>
    <t>发出赤色火焰的水晶</t>
    <phoneticPr fontId="1" type="noConversion"/>
  </si>
  <si>
    <t>IC0892</t>
    <phoneticPr fontId="1" type="noConversion"/>
  </si>
  <si>
    <t>青色的水晶</t>
    <phoneticPr fontId="1" type="noConversion"/>
  </si>
  <si>
    <t>闪耀青色光芒的水晶</t>
    <phoneticPr fontId="1" type="noConversion"/>
  </si>
  <si>
    <t>IC0893</t>
    <phoneticPr fontId="1" type="noConversion"/>
  </si>
  <si>
    <t>黄色的水晶</t>
    <phoneticPr fontId="1" type="noConversion"/>
  </si>
  <si>
    <t>闪耀黄色光芒的水晶</t>
    <phoneticPr fontId="1" type="noConversion"/>
  </si>
  <si>
    <t>IC0894</t>
    <phoneticPr fontId="1" type="noConversion"/>
  </si>
  <si>
    <t>紫色的水晶</t>
    <phoneticPr fontId="1" type="noConversion"/>
  </si>
  <si>
    <t>闪耀紫色光芒的水晶</t>
    <phoneticPr fontId="1" type="noConversion"/>
  </si>
  <si>
    <t>IC0895</t>
    <phoneticPr fontId="1" type="noConversion"/>
  </si>
  <si>
    <t>精灵女王的神珠</t>
    <phoneticPr fontId="1" type="noConversion"/>
  </si>
  <si>
    <t>精灵女王身上取得的神奇魔力的珠子</t>
    <phoneticPr fontId="1" type="noConversion"/>
  </si>
  <si>
    <t>IC0901</t>
    <phoneticPr fontId="1" type="noConversion"/>
  </si>
  <si>
    <t>天使的神珠</t>
    <phoneticPr fontId="1" type="noConversion"/>
  </si>
  <si>
    <t>天使的身上取得的神奇魔力的珠子</t>
    <phoneticPr fontId="1" type="noConversion"/>
  </si>
  <si>
    <t>IC0902</t>
    <phoneticPr fontId="1" type="noConversion"/>
  </si>
  <si>
    <t>宝石</t>
    <phoneticPr fontId="1" type="noConversion"/>
  </si>
  <si>
    <t>歪魔的神珠</t>
    <phoneticPr fontId="1" type="noConversion"/>
  </si>
  <si>
    <t>歪魔神圣取得的神奇魔力的珠子</t>
    <phoneticPr fontId="1" type="noConversion"/>
  </si>
  <si>
    <t>IC0905</t>
    <phoneticPr fontId="1" type="noConversion"/>
  </si>
  <si>
    <t>魔神的神珠</t>
    <phoneticPr fontId="1" type="noConversion"/>
  </si>
  <si>
    <t>魔神身上取得的神奇魔力的珠子</t>
    <phoneticPr fontId="1" type="noConversion"/>
  </si>
  <si>
    <t>IC0906</t>
    <phoneticPr fontId="1" type="noConversion"/>
  </si>
  <si>
    <t>龙魂的神珠</t>
    <phoneticPr fontId="1" type="noConversion"/>
  </si>
  <si>
    <t>龙的魂魄凝聚而成的神珠</t>
    <phoneticPr fontId="1" type="noConversion"/>
  </si>
  <si>
    <t>IC0907</t>
    <phoneticPr fontId="1" type="noConversion"/>
  </si>
  <si>
    <t>西方神殿的法印</t>
    <phoneticPr fontId="1" type="noConversion"/>
  </si>
  <si>
    <t>西方光之神殿的封印法印</t>
    <phoneticPr fontId="1" type="noConversion"/>
  </si>
  <si>
    <t>IC0981</t>
    <phoneticPr fontId="1" type="noConversion"/>
  </si>
  <si>
    <t>白石粉</t>
    <phoneticPr fontId="1" type="noConversion"/>
  </si>
  <si>
    <t>质地纯白的宝石研磨成的粉末</t>
    <phoneticPr fontId="1" type="noConversion"/>
  </si>
  <si>
    <t>IC0750</t>
    <phoneticPr fontId="1" type="noConversion"/>
  </si>
  <si>
    <t>超级方便面</t>
    <phoneticPr fontId="1" type="noConversion"/>
  </si>
  <si>
    <t>超级没有营养的方便面</t>
    <phoneticPr fontId="1" type="noConversion"/>
  </si>
  <si>
    <t>IC0751</t>
    <phoneticPr fontId="1" type="noConversion"/>
  </si>
  <si>
    <t>干燥的草药</t>
    <phoneticPr fontId="1" type="noConversion"/>
  </si>
  <si>
    <t>草药晒干捆绑而成</t>
    <phoneticPr fontId="1" type="noConversion"/>
  </si>
  <si>
    <t>IC0953</t>
    <phoneticPr fontId="1" type="noConversion"/>
  </si>
  <si>
    <t>金色的棒子</t>
    <phoneticPr fontId="1" type="noConversion"/>
  </si>
  <si>
    <t>棒子？？？</t>
    <phoneticPr fontId="1" type="noConversion"/>
  </si>
  <si>
    <t>IC0753</t>
    <phoneticPr fontId="1" type="noConversion"/>
  </si>
  <si>
    <t>烈焰硫磺</t>
    <phoneticPr fontId="1" type="noConversion"/>
  </si>
  <si>
    <t>IC0632</t>
    <phoneticPr fontId="1" type="noConversion"/>
  </si>
  <si>
    <t>炼金师必备的高级炼金材料，可合成传奇装备。</t>
    <phoneticPr fontId="1" type="noConversion"/>
  </si>
  <si>
    <t>锤子</t>
  </si>
  <si>
    <t>神圣</t>
  </si>
  <si>
    <t>刀</t>
  </si>
  <si>
    <t>地脉</t>
  </si>
  <si>
    <t>拳套</t>
  </si>
  <si>
    <t>枪</t>
  </si>
  <si>
    <t>电击</t>
  </si>
  <si>
    <t>镰刀</t>
  </si>
  <si>
    <t>黑暗</t>
  </si>
  <si>
    <t>法杖</t>
  </si>
  <si>
    <t>弓</t>
  </si>
  <si>
    <t>烟斗</t>
  </si>
  <si>
    <t>物理</t>
  </si>
  <si>
    <t>扇子</t>
  </si>
  <si>
    <t>火炎</t>
  </si>
  <si>
    <t>牙齿</t>
  </si>
  <si>
    <t>球</t>
  </si>
  <si>
    <t>爪</t>
  </si>
  <si>
    <t>冷却</t>
  </si>
  <si>
    <t>剑</t>
  </si>
  <si>
    <t>markings</t>
    <phoneticPr fontId="1" type="noConversion"/>
  </si>
  <si>
    <t>神圣</t>
    <phoneticPr fontId="1" type="noConversion"/>
  </si>
  <si>
    <t>地脉</t>
    <phoneticPr fontId="1" type="noConversion"/>
  </si>
  <si>
    <t>地脉</t>
    <phoneticPr fontId="1" type="noConversion"/>
  </si>
  <si>
    <t>神圣</t>
    <phoneticPr fontId="1" type="noConversion"/>
  </si>
  <si>
    <t>电击</t>
    <phoneticPr fontId="1" type="noConversion"/>
  </si>
  <si>
    <t>电击</t>
    <phoneticPr fontId="1" type="noConversion"/>
  </si>
  <si>
    <t>黑暗</t>
    <phoneticPr fontId="1" type="noConversion"/>
  </si>
  <si>
    <t>黑暗</t>
    <phoneticPr fontId="1" type="noConversion"/>
  </si>
  <si>
    <t>电击</t>
    <phoneticPr fontId="1" type="noConversion"/>
  </si>
  <si>
    <t>物理</t>
    <phoneticPr fontId="1" type="noConversion"/>
  </si>
  <si>
    <t>火炎</t>
    <phoneticPr fontId="1" type="noConversion"/>
  </si>
  <si>
    <t>黑暗</t>
    <phoneticPr fontId="1" type="noConversion"/>
  </si>
  <si>
    <t>电击</t>
    <phoneticPr fontId="1" type="noConversion"/>
  </si>
  <si>
    <t>冷却</t>
    <phoneticPr fontId="1" type="noConversion"/>
  </si>
  <si>
    <t>材料数量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</si>
</sst>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b/>
      <i/>
      <sz val="10"/>
      <color theme="0"/>
      <name val="宋体"/>
      <family val="3"/>
      <charset val="134"/>
    </font>
    <font>
      <b/>
      <i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35013;&#22791;&#26126;&#32454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"/>
      <sheetName val="element"/>
    </sheetNames>
    <sheetDataSet>
      <sheetData sheetId="0">
        <row r="2">
          <cell r="C2">
            <v>101010100</v>
          </cell>
          <cell r="D2">
            <v>100001</v>
          </cell>
        </row>
        <row r="3">
          <cell r="C3">
            <v>101020100</v>
          </cell>
          <cell r="D3">
            <v>100002</v>
          </cell>
        </row>
        <row r="4">
          <cell r="C4">
            <v>101030100</v>
          </cell>
          <cell r="D4">
            <v>100003</v>
          </cell>
        </row>
        <row r="5">
          <cell r="C5">
            <v>101040100</v>
          </cell>
          <cell r="D5">
            <v>100004</v>
          </cell>
        </row>
        <row r="6">
          <cell r="C6">
            <v>101050100</v>
          </cell>
          <cell r="D6">
            <v>100005</v>
          </cell>
        </row>
        <row r="7">
          <cell r="C7">
            <v>101060100</v>
          </cell>
          <cell r="D7">
            <v>100006</v>
          </cell>
        </row>
        <row r="8">
          <cell r="C8">
            <v>101070100</v>
          </cell>
          <cell r="D8">
            <v>100007</v>
          </cell>
        </row>
        <row r="9">
          <cell r="C9">
            <v>101080100</v>
          </cell>
          <cell r="D9">
            <v>100008</v>
          </cell>
        </row>
        <row r="10">
          <cell r="C10">
            <v>101090100</v>
          </cell>
          <cell r="D10">
            <v>100009</v>
          </cell>
        </row>
        <row r="11">
          <cell r="C11">
            <v>101010200</v>
          </cell>
          <cell r="D11">
            <v>100010</v>
          </cell>
        </row>
        <row r="12">
          <cell r="C12">
            <v>101020200</v>
          </cell>
          <cell r="D12">
            <v>100011</v>
          </cell>
        </row>
        <row r="13">
          <cell r="C13">
            <v>101030200</v>
          </cell>
          <cell r="D13">
            <v>100012</v>
          </cell>
        </row>
        <row r="14">
          <cell r="C14">
            <v>101040200</v>
          </cell>
          <cell r="D14">
            <v>100013</v>
          </cell>
        </row>
        <row r="15">
          <cell r="C15">
            <v>101050200</v>
          </cell>
          <cell r="D15">
            <v>100014</v>
          </cell>
        </row>
        <row r="16">
          <cell r="C16">
            <v>101060200</v>
          </cell>
          <cell r="D16">
            <v>100015</v>
          </cell>
        </row>
        <row r="17">
          <cell r="C17">
            <v>101070200</v>
          </cell>
          <cell r="D17">
            <v>100016</v>
          </cell>
        </row>
        <row r="18">
          <cell r="C18">
            <v>101080200</v>
          </cell>
          <cell r="D18">
            <v>100017</v>
          </cell>
        </row>
        <row r="19">
          <cell r="C19">
            <v>101090200</v>
          </cell>
          <cell r="D19">
            <v>100018</v>
          </cell>
        </row>
        <row r="20">
          <cell r="C20">
            <v>101010300</v>
          </cell>
          <cell r="D20">
            <v>100019</v>
          </cell>
        </row>
        <row r="21">
          <cell r="C21">
            <v>101020300</v>
          </cell>
          <cell r="D21">
            <v>100020</v>
          </cell>
        </row>
        <row r="22">
          <cell r="C22">
            <v>101030300</v>
          </cell>
          <cell r="D22">
            <v>100021</v>
          </cell>
        </row>
        <row r="23">
          <cell r="C23">
            <v>101040300</v>
          </cell>
          <cell r="D23">
            <v>100022</v>
          </cell>
        </row>
        <row r="24">
          <cell r="C24">
            <v>101050300</v>
          </cell>
          <cell r="D24">
            <v>100023</v>
          </cell>
        </row>
        <row r="25">
          <cell r="C25">
            <v>101060300</v>
          </cell>
          <cell r="D25">
            <v>100024</v>
          </cell>
        </row>
        <row r="26">
          <cell r="C26">
            <v>101070300</v>
          </cell>
          <cell r="D26">
            <v>100025</v>
          </cell>
        </row>
        <row r="27">
          <cell r="C27">
            <v>101080300</v>
          </cell>
          <cell r="D27">
            <v>100026</v>
          </cell>
        </row>
        <row r="28">
          <cell r="C28">
            <v>101090300</v>
          </cell>
          <cell r="D28">
            <v>100027</v>
          </cell>
        </row>
        <row r="29">
          <cell r="C29">
            <v>101010400</v>
          </cell>
          <cell r="D29">
            <v>100028</v>
          </cell>
        </row>
        <row r="30">
          <cell r="C30">
            <v>101020400</v>
          </cell>
          <cell r="D30">
            <v>100029</v>
          </cell>
        </row>
        <row r="31">
          <cell r="C31">
            <v>101030400</v>
          </cell>
          <cell r="D31">
            <v>100030</v>
          </cell>
        </row>
        <row r="32">
          <cell r="C32">
            <v>101040400</v>
          </cell>
          <cell r="D32">
            <v>100031</v>
          </cell>
        </row>
        <row r="33">
          <cell r="C33">
            <v>101050400</v>
          </cell>
          <cell r="D33">
            <v>100032</v>
          </cell>
        </row>
        <row r="34">
          <cell r="C34">
            <v>101060400</v>
          </cell>
          <cell r="D34">
            <v>100033</v>
          </cell>
        </row>
        <row r="35">
          <cell r="C35">
            <v>101070400</v>
          </cell>
          <cell r="D35">
            <v>100034</v>
          </cell>
        </row>
        <row r="36">
          <cell r="C36">
            <v>101080400</v>
          </cell>
          <cell r="D36">
            <v>100035</v>
          </cell>
        </row>
        <row r="37">
          <cell r="C37">
            <v>101090400</v>
          </cell>
          <cell r="D37">
            <v>100036</v>
          </cell>
        </row>
        <row r="38">
          <cell r="C38">
            <v>101010500</v>
          </cell>
          <cell r="D38">
            <v>100037</v>
          </cell>
        </row>
        <row r="39">
          <cell r="C39">
            <v>101020500</v>
          </cell>
          <cell r="D39">
            <v>100038</v>
          </cell>
        </row>
        <row r="40">
          <cell r="C40">
            <v>101030500</v>
          </cell>
          <cell r="D40">
            <v>100039</v>
          </cell>
        </row>
        <row r="41">
          <cell r="C41">
            <v>101040500</v>
          </cell>
          <cell r="D41">
            <v>100040</v>
          </cell>
        </row>
        <row r="42">
          <cell r="C42">
            <v>101050500</v>
          </cell>
          <cell r="D42">
            <v>100041</v>
          </cell>
        </row>
        <row r="43">
          <cell r="C43">
            <v>101060500</v>
          </cell>
          <cell r="D43">
            <v>100042</v>
          </cell>
        </row>
        <row r="44">
          <cell r="C44">
            <v>101070500</v>
          </cell>
          <cell r="D44">
            <v>100043</v>
          </cell>
        </row>
        <row r="45">
          <cell r="C45">
            <v>101080500</v>
          </cell>
          <cell r="D45">
            <v>100044</v>
          </cell>
        </row>
        <row r="46">
          <cell r="C46">
            <v>101090500</v>
          </cell>
          <cell r="D46">
            <v>100045</v>
          </cell>
        </row>
        <row r="47">
          <cell r="C47">
            <v>101010600</v>
          </cell>
          <cell r="D47">
            <v>100046</v>
          </cell>
        </row>
        <row r="48">
          <cell r="C48">
            <v>101020600</v>
          </cell>
          <cell r="D48">
            <v>100047</v>
          </cell>
        </row>
        <row r="49">
          <cell r="C49">
            <v>101030600</v>
          </cell>
          <cell r="D49">
            <v>100048</v>
          </cell>
        </row>
        <row r="50">
          <cell r="C50">
            <v>101040600</v>
          </cell>
          <cell r="D50">
            <v>100049</v>
          </cell>
        </row>
        <row r="51">
          <cell r="C51">
            <v>101050600</v>
          </cell>
          <cell r="D51">
            <v>100050</v>
          </cell>
        </row>
        <row r="52">
          <cell r="C52">
            <v>101060600</v>
          </cell>
          <cell r="D52">
            <v>100051</v>
          </cell>
        </row>
        <row r="53">
          <cell r="C53">
            <v>101070600</v>
          </cell>
          <cell r="D53">
            <v>100052</v>
          </cell>
        </row>
        <row r="54">
          <cell r="C54">
            <v>101080600</v>
          </cell>
          <cell r="D54">
            <v>100053</v>
          </cell>
        </row>
        <row r="55">
          <cell r="C55">
            <v>101090600</v>
          </cell>
          <cell r="D55">
            <v>100054</v>
          </cell>
        </row>
        <row r="56">
          <cell r="C56">
            <v>101010700</v>
          </cell>
          <cell r="D56">
            <v>100055</v>
          </cell>
        </row>
        <row r="57">
          <cell r="C57">
            <v>101020700</v>
          </cell>
          <cell r="D57">
            <v>100056</v>
          </cell>
        </row>
        <row r="58">
          <cell r="C58">
            <v>101030700</v>
          </cell>
          <cell r="D58">
            <v>100057</v>
          </cell>
        </row>
        <row r="59">
          <cell r="C59">
            <v>101040700</v>
          </cell>
          <cell r="D59">
            <v>100058</v>
          </cell>
        </row>
        <row r="60">
          <cell r="C60">
            <v>101050700</v>
          </cell>
          <cell r="D60">
            <v>100059</v>
          </cell>
        </row>
        <row r="61">
          <cell r="C61">
            <v>101060700</v>
          </cell>
          <cell r="D61">
            <v>100060</v>
          </cell>
        </row>
        <row r="62">
          <cell r="C62">
            <v>101070700</v>
          </cell>
          <cell r="D62">
            <v>100061</v>
          </cell>
        </row>
        <row r="63">
          <cell r="C63">
            <v>101080700</v>
          </cell>
          <cell r="D63">
            <v>100062</v>
          </cell>
        </row>
        <row r="64">
          <cell r="C64">
            <v>101090700</v>
          </cell>
          <cell r="D64">
            <v>100063</v>
          </cell>
        </row>
        <row r="65">
          <cell r="C65">
            <v>101010800</v>
          </cell>
          <cell r="D65">
            <v>100064</v>
          </cell>
        </row>
        <row r="66">
          <cell r="C66">
            <v>101020800</v>
          </cell>
          <cell r="D66">
            <v>100065</v>
          </cell>
        </row>
        <row r="67">
          <cell r="C67">
            <v>101030800</v>
          </cell>
          <cell r="D67">
            <v>100066</v>
          </cell>
        </row>
        <row r="68">
          <cell r="C68">
            <v>101040800</v>
          </cell>
          <cell r="D68">
            <v>100067</v>
          </cell>
        </row>
        <row r="69">
          <cell r="C69">
            <v>101050800</v>
          </cell>
          <cell r="D69">
            <v>100068</v>
          </cell>
        </row>
        <row r="70">
          <cell r="C70">
            <v>101060800</v>
          </cell>
          <cell r="D70">
            <v>100069</v>
          </cell>
        </row>
        <row r="71">
          <cell r="C71">
            <v>101070800</v>
          </cell>
          <cell r="D71">
            <v>100070</v>
          </cell>
        </row>
        <row r="72">
          <cell r="C72">
            <v>101080800</v>
          </cell>
          <cell r="D72">
            <v>100071</v>
          </cell>
        </row>
        <row r="73">
          <cell r="C73">
            <v>101090800</v>
          </cell>
          <cell r="D73">
            <v>100072</v>
          </cell>
        </row>
        <row r="74">
          <cell r="C74">
            <v>101010900</v>
          </cell>
          <cell r="D74">
            <v>100073</v>
          </cell>
        </row>
        <row r="75">
          <cell r="C75">
            <v>101020900</v>
          </cell>
          <cell r="D75">
            <v>100074</v>
          </cell>
        </row>
        <row r="76">
          <cell r="C76">
            <v>101030900</v>
          </cell>
          <cell r="D76">
            <v>100075</v>
          </cell>
        </row>
        <row r="77">
          <cell r="C77">
            <v>101040900</v>
          </cell>
          <cell r="D77">
            <v>100076</v>
          </cell>
        </row>
        <row r="78">
          <cell r="C78">
            <v>101050900</v>
          </cell>
          <cell r="D78">
            <v>100077</v>
          </cell>
        </row>
        <row r="79">
          <cell r="C79">
            <v>101060900</v>
          </cell>
          <cell r="D79">
            <v>100078</v>
          </cell>
        </row>
        <row r="80">
          <cell r="C80">
            <v>101070900</v>
          </cell>
          <cell r="D80">
            <v>100079</v>
          </cell>
        </row>
        <row r="81">
          <cell r="C81">
            <v>101080900</v>
          </cell>
          <cell r="D81">
            <v>100080</v>
          </cell>
        </row>
        <row r="82">
          <cell r="C82">
            <v>101090900</v>
          </cell>
          <cell r="D82">
            <v>100081</v>
          </cell>
        </row>
        <row r="83">
          <cell r="C83">
            <v>101011000</v>
          </cell>
          <cell r="D83">
            <v>100082</v>
          </cell>
        </row>
        <row r="84">
          <cell r="C84">
            <v>101021000</v>
          </cell>
          <cell r="D84">
            <v>100083</v>
          </cell>
        </row>
        <row r="85">
          <cell r="C85">
            <v>101031000</v>
          </cell>
          <cell r="D85">
            <v>100084</v>
          </cell>
        </row>
        <row r="86">
          <cell r="C86">
            <v>101041000</v>
          </cell>
          <cell r="D86">
            <v>100085</v>
          </cell>
        </row>
        <row r="87">
          <cell r="C87">
            <v>101051000</v>
          </cell>
          <cell r="D87">
            <v>100086</v>
          </cell>
        </row>
        <row r="88">
          <cell r="C88">
            <v>101061000</v>
          </cell>
          <cell r="D88">
            <v>100087</v>
          </cell>
        </row>
        <row r="89">
          <cell r="C89">
            <v>101071000</v>
          </cell>
          <cell r="D89">
            <v>100088</v>
          </cell>
        </row>
        <row r="90">
          <cell r="C90">
            <v>101081000</v>
          </cell>
          <cell r="D90">
            <v>100089</v>
          </cell>
        </row>
        <row r="91">
          <cell r="C91">
            <v>101091000</v>
          </cell>
          <cell r="D91">
            <v>100090</v>
          </cell>
        </row>
        <row r="92">
          <cell r="C92">
            <v>101011100</v>
          </cell>
          <cell r="D92">
            <v>100091</v>
          </cell>
        </row>
        <row r="93">
          <cell r="C93">
            <v>101021100</v>
          </cell>
          <cell r="D93">
            <v>100092</v>
          </cell>
        </row>
        <row r="94">
          <cell r="C94">
            <v>101031100</v>
          </cell>
          <cell r="D94">
            <v>100093</v>
          </cell>
        </row>
        <row r="95">
          <cell r="C95">
            <v>101041100</v>
          </cell>
          <cell r="D95">
            <v>100094</v>
          </cell>
        </row>
        <row r="96">
          <cell r="C96">
            <v>101051100</v>
          </cell>
          <cell r="D96">
            <v>100095</v>
          </cell>
        </row>
        <row r="97">
          <cell r="C97">
            <v>101061100</v>
          </cell>
          <cell r="D97">
            <v>100096</v>
          </cell>
        </row>
        <row r="98">
          <cell r="C98">
            <v>101071100</v>
          </cell>
          <cell r="D98">
            <v>100097</v>
          </cell>
        </row>
        <row r="99">
          <cell r="C99">
            <v>101081100</v>
          </cell>
          <cell r="D99">
            <v>100098</v>
          </cell>
        </row>
        <row r="100">
          <cell r="C100">
            <v>101091100</v>
          </cell>
          <cell r="D100">
            <v>100099</v>
          </cell>
        </row>
        <row r="101">
          <cell r="C101">
            <v>101011200</v>
          </cell>
          <cell r="D101">
            <v>100100</v>
          </cell>
        </row>
        <row r="102">
          <cell r="C102">
            <v>101021200</v>
          </cell>
          <cell r="D102">
            <v>100101</v>
          </cell>
        </row>
        <row r="103">
          <cell r="C103">
            <v>101031200</v>
          </cell>
          <cell r="D103">
            <v>100102</v>
          </cell>
        </row>
        <row r="104">
          <cell r="C104">
            <v>101041200</v>
          </cell>
          <cell r="D104">
            <v>100103</v>
          </cell>
        </row>
        <row r="105">
          <cell r="C105">
            <v>101051200</v>
          </cell>
          <cell r="D105">
            <v>100104</v>
          </cell>
        </row>
        <row r="106">
          <cell r="C106">
            <v>101061200</v>
          </cell>
          <cell r="D106">
            <v>100105</v>
          </cell>
        </row>
        <row r="107">
          <cell r="C107">
            <v>101071200</v>
          </cell>
          <cell r="D107">
            <v>100106</v>
          </cell>
        </row>
        <row r="108">
          <cell r="C108">
            <v>101081200</v>
          </cell>
          <cell r="D108">
            <v>100107</v>
          </cell>
        </row>
        <row r="109">
          <cell r="C109">
            <v>101091200</v>
          </cell>
          <cell r="D109">
            <v>100108</v>
          </cell>
        </row>
        <row r="110">
          <cell r="C110">
            <v>101011300</v>
          </cell>
          <cell r="D110">
            <v>100109</v>
          </cell>
        </row>
        <row r="111">
          <cell r="C111">
            <v>101021300</v>
          </cell>
          <cell r="D111">
            <v>100110</v>
          </cell>
        </row>
        <row r="112">
          <cell r="C112">
            <v>101031300</v>
          </cell>
          <cell r="D112">
            <v>100111</v>
          </cell>
        </row>
        <row r="113">
          <cell r="C113">
            <v>101041300</v>
          </cell>
          <cell r="D113">
            <v>100112</v>
          </cell>
        </row>
        <row r="114">
          <cell r="C114">
            <v>101051300</v>
          </cell>
          <cell r="D114">
            <v>100113</v>
          </cell>
        </row>
        <row r="115">
          <cell r="C115">
            <v>101061300</v>
          </cell>
          <cell r="D115">
            <v>100114</v>
          </cell>
        </row>
        <row r="116">
          <cell r="C116">
            <v>101071300</v>
          </cell>
          <cell r="D116">
            <v>100115</v>
          </cell>
        </row>
        <row r="117">
          <cell r="C117">
            <v>101081300</v>
          </cell>
          <cell r="D117">
            <v>100116</v>
          </cell>
        </row>
        <row r="118">
          <cell r="C118">
            <v>101091300</v>
          </cell>
          <cell r="D118">
            <v>100117</v>
          </cell>
        </row>
        <row r="119">
          <cell r="C119">
            <v>201011400</v>
          </cell>
          <cell r="D119">
            <v>100118</v>
          </cell>
        </row>
        <row r="120">
          <cell r="C120">
            <v>201021400</v>
          </cell>
          <cell r="D120">
            <v>100119</v>
          </cell>
        </row>
        <row r="121">
          <cell r="C121">
            <v>201031400</v>
          </cell>
          <cell r="D121">
            <v>100120</v>
          </cell>
        </row>
        <row r="122">
          <cell r="C122">
            <v>201041400</v>
          </cell>
          <cell r="D122">
            <v>100121</v>
          </cell>
        </row>
        <row r="123">
          <cell r="C123">
            <v>201051400</v>
          </cell>
          <cell r="D123">
            <v>100122</v>
          </cell>
        </row>
        <row r="124">
          <cell r="C124">
            <v>201061400</v>
          </cell>
          <cell r="D124">
            <v>100123</v>
          </cell>
        </row>
        <row r="125">
          <cell r="C125">
            <v>201071400</v>
          </cell>
          <cell r="D125">
            <v>100124</v>
          </cell>
        </row>
        <row r="126">
          <cell r="C126">
            <v>201081400</v>
          </cell>
          <cell r="D126">
            <v>100125</v>
          </cell>
        </row>
        <row r="127">
          <cell r="C127">
            <v>201091400</v>
          </cell>
          <cell r="D127">
            <v>100126</v>
          </cell>
        </row>
        <row r="128">
          <cell r="C128">
            <v>301011500</v>
          </cell>
          <cell r="D128">
            <v>100127</v>
          </cell>
        </row>
        <row r="129">
          <cell r="C129">
            <v>301021500</v>
          </cell>
          <cell r="D129">
            <v>100128</v>
          </cell>
        </row>
        <row r="130">
          <cell r="C130">
            <v>301031500</v>
          </cell>
          <cell r="D130">
            <v>100129</v>
          </cell>
        </row>
        <row r="131">
          <cell r="C131">
            <v>301041500</v>
          </cell>
          <cell r="D131">
            <v>100130</v>
          </cell>
        </row>
        <row r="132">
          <cell r="C132">
            <v>301051500</v>
          </cell>
          <cell r="D132">
            <v>100131</v>
          </cell>
        </row>
        <row r="133">
          <cell r="C133">
            <v>301061500</v>
          </cell>
          <cell r="D133">
            <v>100132</v>
          </cell>
        </row>
        <row r="134">
          <cell r="C134">
            <v>301071500</v>
          </cell>
          <cell r="D134">
            <v>100133</v>
          </cell>
        </row>
        <row r="135">
          <cell r="C135">
            <v>301081500</v>
          </cell>
          <cell r="D135">
            <v>100134</v>
          </cell>
        </row>
        <row r="136">
          <cell r="C136">
            <v>301091500</v>
          </cell>
          <cell r="D136">
            <v>100135</v>
          </cell>
        </row>
        <row r="137">
          <cell r="C137">
            <v>102010100</v>
          </cell>
          <cell r="D137">
            <v>100136</v>
          </cell>
        </row>
        <row r="138">
          <cell r="C138">
            <v>102020100</v>
          </cell>
          <cell r="D138">
            <v>100137</v>
          </cell>
        </row>
        <row r="139">
          <cell r="C139">
            <v>102030100</v>
          </cell>
          <cell r="D139">
            <v>100138</v>
          </cell>
        </row>
        <row r="140">
          <cell r="C140">
            <v>102040100</v>
          </cell>
          <cell r="D140">
            <v>100139</v>
          </cell>
        </row>
        <row r="141">
          <cell r="C141">
            <v>102050100</v>
          </cell>
          <cell r="D141">
            <v>100140</v>
          </cell>
        </row>
        <row r="142">
          <cell r="C142">
            <v>102060100</v>
          </cell>
          <cell r="D142">
            <v>100141</v>
          </cell>
        </row>
        <row r="143">
          <cell r="C143">
            <v>102070100</v>
          </cell>
          <cell r="D143">
            <v>100142</v>
          </cell>
        </row>
        <row r="144">
          <cell r="C144">
            <v>102080100</v>
          </cell>
          <cell r="D144">
            <v>100143</v>
          </cell>
        </row>
        <row r="145">
          <cell r="C145">
            <v>102090100</v>
          </cell>
          <cell r="D145">
            <v>100144</v>
          </cell>
        </row>
        <row r="146">
          <cell r="C146">
            <v>102010200</v>
          </cell>
          <cell r="D146">
            <v>100145</v>
          </cell>
        </row>
        <row r="147">
          <cell r="C147">
            <v>102020200</v>
          </cell>
          <cell r="D147">
            <v>100146</v>
          </cell>
        </row>
        <row r="148">
          <cell r="C148">
            <v>102030200</v>
          </cell>
          <cell r="D148">
            <v>100147</v>
          </cell>
        </row>
        <row r="149">
          <cell r="C149">
            <v>102040200</v>
          </cell>
          <cell r="D149">
            <v>100148</v>
          </cell>
        </row>
        <row r="150">
          <cell r="C150">
            <v>102050200</v>
          </cell>
          <cell r="D150">
            <v>100149</v>
          </cell>
        </row>
        <row r="151">
          <cell r="C151">
            <v>102060200</v>
          </cell>
          <cell r="D151">
            <v>100150</v>
          </cell>
        </row>
        <row r="152">
          <cell r="C152">
            <v>102070200</v>
          </cell>
          <cell r="D152">
            <v>100151</v>
          </cell>
        </row>
        <row r="153">
          <cell r="C153">
            <v>102080200</v>
          </cell>
          <cell r="D153">
            <v>100152</v>
          </cell>
        </row>
        <row r="154">
          <cell r="C154">
            <v>102090200</v>
          </cell>
          <cell r="D154">
            <v>100153</v>
          </cell>
        </row>
        <row r="155">
          <cell r="C155">
            <v>102010300</v>
          </cell>
          <cell r="D155">
            <v>100154</v>
          </cell>
        </row>
        <row r="156">
          <cell r="C156">
            <v>102020300</v>
          </cell>
          <cell r="D156">
            <v>100155</v>
          </cell>
        </row>
        <row r="157">
          <cell r="C157">
            <v>102030300</v>
          </cell>
          <cell r="D157">
            <v>100156</v>
          </cell>
        </row>
        <row r="158">
          <cell r="C158">
            <v>102040300</v>
          </cell>
          <cell r="D158">
            <v>100157</v>
          </cell>
        </row>
        <row r="159">
          <cell r="C159">
            <v>102050300</v>
          </cell>
          <cell r="D159">
            <v>100158</v>
          </cell>
        </row>
        <row r="160">
          <cell r="C160">
            <v>102060300</v>
          </cell>
          <cell r="D160">
            <v>100159</v>
          </cell>
        </row>
        <row r="161">
          <cell r="C161">
            <v>102070300</v>
          </cell>
          <cell r="D161">
            <v>100160</v>
          </cell>
        </row>
        <row r="162">
          <cell r="C162">
            <v>102080300</v>
          </cell>
          <cell r="D162">
            <v>100161</v>
          </cell>
        </row>
        <row r="163">
          <cell r="C163">
            <v>102090300</v>
          </cell>
          <cell r="D163">
            <v>100162</v>
          </cell>
        </row>
        <row r="164">
          <cell r="C164">
            <v>102010400</v>
          </cell>
          <cell r="D164">
            <v>100163</v>
          </cell>
        </row>
        <row r="165">
          <cell r="C165">
            <v>102020400</v>
          </cell>
          <cell r="D165">
            <v>100164</v>
          </cell>
        </row>
        <row r="166">
          <cell r="C166">
            <v>102030400</v>
          </cell>
          <cell r="D166">
            <v>100165</v>
          </cell>
        </row>
        <row r="167">
          <cell r="C167">
            <v>102040400</v>
          </cell>
          <cell r="D167">
            <v>100166</v>
          </cell>
        </row>
        <row r="168">
          <cell r="C168">
            <v>102050400</v>
          </cell>
          <cell r="D168">
            <v>100167</v>
          </cell>
        </row>
        <row r="169">
          <cell r="C169">
            <v>102060400</v>
          </cell>
          <cell r="D169">
            <v>100168</v>
          </cell>
        </row>
        <row r="170">
          <cell r="C170">
            <v>102070400</v>
          </cell>
          <cell r="D170">
            <v>100169</v>
          </cell>
        </row>
        <row r="171">
          <cell r="C171">
            <v>102080400</v>
          </cell>
          <cell r="D171">
            <v>100170</v>
          </cell>
        </row>
        <row r="172">
          <cell r="C172">
            <v>102090400</v>
          </cell>
          <cell r="D172">
            <v>100171</v>
          </cell>
        </row>
        <row r="173">
          <cell r="C173">
            <v>102010500</v>
          </cell>
          <cell r="D173">
            <v>100172</v>
          </cell>
        </row>
        <row r="174">
          <cell r="C174">
            <v>102020500</v>
          </cell>
          <cell r="D174">
            <v>100173</v>
          </cell>
        </row>
        <row r="175">
          <cell r="C175">
            <v>102030500</v>
          </cell>
          <cell r="D175">
            <v>100174</v>
          </cell>
        </row>
        <row r="176">
          <cell r="C176">
            <v>102040500</v>
          </cell>
          <cell r="D176">
            <v>100175</v>
          </cell>
        </row>
        <row r="177">
          <cell r="C177">
            <v>102050500</v>
          </cell>
          <cell r="D177">
            <v>100176</v>
          </cell>
        </row>
        <row r="178">
          <cell r="C178">
            <v>102060500</v>
          </cell>
          <cell r="D178">
            <v>100177</v>
          </cell>
        </row>
        <row r="179">
          <cell r="C179">
            <v>102070500</v>
          </cell>
          <cell r="D179">
            <v>100178</v>
          </cell>
        </row>
        <row r="180">
          <cell r="C180">
            <v>102080500</v>
          </cell>
          <cell r="D180">
            <v>100179</v>
          </cell>
        </row>
        <row r="181">
          <cell r="C181">
            <v>102090500</v>
          </cell>
          <cell r="D181">
            <v>100180</v>
          </cell>
        </row>
        <row r="182">
          <cell r="C182">
            <v>102010600</v>
          </cell>
          <cell r="D182">
            <v>100181</v>
          </cell>
        </row>
        <row r="183">
          <cell r="C183">
            <v>102020600</v>
          </cell>
          <cell r="D183">
            <v>100182</v>
          </cell>
        </row>
        <row r="184">
          <cell r="C184">
            <v>102030600</v>
          </cell>
          <cell r="D184">
            <v>100183</v>
          </cell>
        </row>
        <row r="185">
          <cell r="C185">
            <v>102040600</v>
          </cell>
          <cell r="D185">
            <v>100184</v>
          </cell>
        </row>
        <row r="186">
          <cell r="C186">
            <v>102050600</v>
          </cell>
          <cell r="D186">
            <v>100185</v>
          </cell>
        </row>
        <row r="187">
          <cell r="C187">
            <v>102060600</v>
          </cell>
          <cell r="D187">
            <v>100186</v>
          </cell>
        </row>
        <row r="188">
          <cell r="C188">
            <v>102070600</v>
          </cell>
          <cell r="D188">
            <v>100187</v>
          </cell>
        </row>
        <row r="189">
          <cell r="C189">
            <v>102080600</v>
          </cell>
          <cell r="D189">
            <v>100188</v>
          </cell>
        </row>
        <row r="190">
          <cell r="C190">
            <v>102090600</v>
          </cell>
          <cell r="D190">
            <v>100189</v>
          </cell>
        </row>
        <row r="191">
          <cell r="C191">
            <v>102010700</v>
          </cell>
          <cell r="D191">
            <v>100190</v>
          </cell>
        </row>
        <row r="192">
          <cell r="C192">
            <v>102020700</v>
          </cell>
          <cell r="D192">
            <v>100191</v>
          </cell>
        </row>
        <row r="193">
          <cell r="C193">
            <v>102030700</v>
          </cell>
          <cell r="D193">
            <v>100192</v>
          </cell>
        </row>
        <row r="194">
          <cell r="C194">
            <v>102040700</v>
          </cell>
          <cell r="D194">
            <v>100193</v>
          </cell>
        </row>
        <row r="195">
          <cell r="C195">
            <v>102050700</v>
          </cell>
          <cell r="D195">
            <v>100194</v>
          </cell>
        </row>
        <row r="196">
          <cell r="C196">
            <v>102060700</v>
          </cell>
          <cell r="D196">
            <v>100195</v>
          </cell>
        </row>
        <row r="197">
          <cell r="C197">
            <v>102070700</v>
          </cell>
          <cell r="D197">
            <v>100196</v>
          </cell>
        </row>
        <row r="198">
          <cell r="C198">
            <v>102080700</v>
          </cell>
          <cell r="D198">
            <v>100197</v>
          </cell>
        </row>
        <row r="199">
          <cell r="C199">
            <v>102090700</v>
          </cell>
          <cell r="D199">
            <v>100198</v>
          </cell>
        </row>
        <row r="200">
          <cell r="C200">
            <v>102010800</v>
          </cell>
          <cell r="D200">
            <v>100199</v>
          </cell>
        </row>
        <row r="201">
          <cell r="C201">
            <v>102020800</v>
          </cell>
          <cell r="D201">
            <v>100200</v>
          </cell>
        </row>
        <row r="202">
          <cell r="C202">
            <v>102030800</v>
          </cell>
          <cell r="D202">
            <v>100201</v>
          </cell>
        </row>
        <row r="203">
          <cell r="C203">
            <v>102040800</v>
          </cell>
          <cell r="D203">
            <v>100202</v>
          </cell>
        </row>
        <row r="204">
          <cell r="C204">
            <v>102050800</v>
          </cell>
          <cell r="D204">
            <v>100203</v>
          </cell>
        </row>
        <row r="205">
          <cell r="C205">
            <v>102060800</v>
          </cell>
          <cell r="D205">
            <v>100204</v>
          </cell>
        </row>
        <row r="206">
          <cell r="C206">
            <v>102070800</v>
          </cell>
          <cell r="D206">
            <v>100205</v>
          </cell>
        </row>
        <row r="207">
          <cell r="C207">
            <v>102080800</v>
          </cell>
          <cell r="D207">
            <v>100206</v>
          </cell>
        </row>
        <row r="208">
          <cell r="C208">
            <v>102090800</v>
          </cell>
          <cell r="D208">
            <v>100207</v>
          </cell>
        </row>
        <row r="209">
          <cell r="C209">
            <v>102010900</v>
          </cell>
          <cell r="D209">
            <v>100208</v>
          </cell>
        </row>
        <row r="210">
          <cell r="C210">
            <v>102020900</v>
          </cell>
          <cell r="D210">
            <v>100209</v>
          </cell>
        </row>
        <row r="211">
          <cell r="C211">
            <v>102030900</v>
          </cell>
          <cell r="D211">
            <v>100210</v>
          </cell>
        </row>
        <row r="212">
          <cell r="C212">
            <v>102040900</v>
          </cell>
          <cell r="D212">
            <v>100211</v>
          </cell>
        </row>
        <row r="213">
          <cell r="C213">
            <v>102050900</v>
          </cell>
          <cell r="D213">
            <v>100212</v>
          </cell>
        </row>
        <row r="214">
          <cell r="C214">
            <v>102060900</v>
          </cell>
          <cell r="D214">
            <v>100213</v>
          </cell>
        </row>
        <row r="215">
          <cell r="C215">
            <v>102070900</v>
          </cell>
          <cell r="D215">
            <v>100214</v>
          </cell>
        </row>
        <row r="216">
          <cell r="C216">
            <v>102080900</v>
          </cell>
          <cell r="D216">
            <v>100215</v>
          </cell>
        </row>
        <row r="217">
          <cell r="C217">
            <v>102090900</v>
          </cell>
          <cell r="D217">
            <v>100216</v>
          </cell>
        </row>
        <row r="218">
          <cell r="C218">
            <v>102011000</v>
          </cell>
          <cell r="D218">
            <v>100217</v>
          </cell>
        </row>
        <row r="219">
          <cell r="C219">
            <v>102021000</v>
          </cell>
          <cell r="D219">
            <v>100218</v>
          </cell>
        </row>
        <row r="220">
          <cell r="C220">
            <v>102031000</v>
          </cell>
          <cell r="D220">
            <v>100219</v>
          </cell>
        </row>
        <row r="221">
          <cell r="C221">
            <v>102041000</v>
          </cell>
          <cell r="D221">
            <v>100220</v>
          </cell>
        </row>
        <row r="222">
          <cell r="C222">
            <v>102051000</v>
          </cell>
          <cell r="D222">
            <v>100221</v>
          </cell>
        </row>
        <row r="223">
          <cell r="C223">
            <v>102061000</v>
          </cell>
          <cell r="D223">
            <v>100222</v>
          </cell>
        </row>
        <row r="224">
          <cell r="C224">
            <v>102071000</v>
          </cell>
          <cell r="D224">
            <v>100223</v>
          </cell>
        </row>
        <row r="225">
          <cell r="C225">
            <v>102081000</v>
          </cell>
          <cell r="D225">
            <v>100224</v>
          </cell>
        </row>
        <row r="226">
          <cell r="C226">
            <v>102091000</v>
          </cell>
          <cell r="D226">
            <v>100225</v>
          </cell>
        </row>
        <row r="227">
          <cell r="C227">
            <v>102011100</v>
          </cell>
          <cell r="D227">
            <v>100226</v>
          </cell>
        </row>
        <row r="228">
          <cell r="C228">
            <v>102021100</v>
          </cell>
          <cell r="D228">
            <v>100227</v>
          </cell>
        </row>
        <row r="229">
          <cell r="C229">
            <v>102031100</v>
          </cell>
          <cell r="D229">
            <v>100228</v>
          </cell>
        </row>
        <row r="230">
          <cell r="C230">
            <v>102041100</v>
          </cell>
          <cell r="D230">
            <v>100229</v>
          </cell>
        </row>
        <row r="231">
          <cell r="C231">
            <v>102051100</v>
          </cell>
          <cell r="D231">
            <v>100230</v>
          </cell>
        </row>
        <row r="232">
          <cell r="C232">
            <v>102061100</v>
          </cell>
          <cell r="D232">
            <v>100231</v>
          </cell>
        </row>
        <row r="233">
          <cell r="C233">
            <v>102071100</v>
          </cell>
          <cell r="D233">
            <v>100232</v>
          </cell>
        </row>
        <row r="234">
          <cell r="C234">
            <v>102081100</v>
          </cell>
          <cell r="D234">
            <v>100233</v>
          </cell>
        </row>
        <row r="235">
          <cell r="C235">
            <v>102091100</v>
          </cell>
          <cell r="D235">
            <v>100234</v>
          </cell>
        </row>
        <row r="236">
          <cell r="C236">
            <v>102011200</v>
          </cell>
          <cell r="D236">
            <v>100235</v>
          </cell>
        </row>
        <row r="237">
          <cell r="C237">
            <v>102021200</v>
          </cell>
          <cell r="D237">
            <v>100236</v>
          </cell>
        </row>
        <row r="238">
          <cell r="C238">
            <v>102031200</v>
          </cell>
          <cell r="D238">
            <v>100237</v>
          </cell>
        </row>
        <row r="239">
          <cell r="C239">
            <v>102041200</v>
          </cell>
          <cell r="D239">
            <v>100238</v>
          </cell>
        </row>
        <row r="240">
          <cell r="C240">
            <v>102051200</v>
          </cell>
          <cell r="D240">
            <v>100239</v>
          </cell>
        </row>
        <row r="241">
          <cell r="C241">
            <v>102061200</v>
          </cell>
          <cell r="D241">
            <v>100240</v>
          </cell>
        </row>
        <row r="242">
          <cell r="C242">
            <v>102071200</v>
          </cell>
          <cell r="D242">
            <v>100241</v>
          </cell>
        </row>
        <row r="243">
          <cell r="C243">
            <v>102081200</v>
          </cell>
          <cell r="D243">
            <v>100242</v>
          </cell>
        </row>
        <row r="244">
          <cell r="C244">
            <v>102091200</v>
          </cell>
          <cell r="D244">
            <v>100243</v>
          </cell>
        </row>
        <row r="245">
          <cell r="C245">
            <v>102011300</v>
          </cell>
          <cell r="D245">
            <v>100244</v>
          </cell>
        </row>
        <row r="246">
          <cell r="C246">
            <v>102021300</v>
          </cell>
          <cell r="D246">
            <v>100245</v>
          </cell>
        </row>
        <row r="247">
          <cell r="C247">
            <v>102031300</v>
          </cell>
          <cell r="D247">
            <v>100246</v>
          </cell>
        </row>
        <row r="248">
          <cell r="C248">
            <v>102041300</v>
          </cell>
          <cell r="D248">
            <v>100247</v>
          </cell>
        </row>
        <row r="249">
          <cell r="C249">
            <v>102051300</v>
          </cell>
          <cell r="D249">
            <v>100248</v>
          </cell>
        </row>
        <row r="250">
          <cell r="C250">
            <v>102061300</v>
          </cell>
          <cell r="D250">
            <v>100249</v>
          </cell>
        </row>
        <row r="251">
          <cell r="C251">
            <v>102071300</v>
          </cell>
          <cell r="D251">
            <v>100250</v>
          </cell>
        </row>
        <row r="252">
          <cell r="C252">
            <v>102081300</v>
          </cell>
          <cell r="D252">
            <v>100251</v>
          </cell>
        </row>
        <row r="253">
          <cell r="C253">
            <v>102091300</v>
          </cell>
          <cell r="D253">
            <v>100252</v>
          </cell>
        </row>
        <row r="254">
          <cell r="C254">
            <v>202011400</v>
          </cell>
          <cell r="D254">
            <v>100253</v>
          </cell>
        </row>
        <row r="255">
          <cell r="C255">
            <v>202021400</v>
          </cell>
          <cell r="D255">
            <v>100254</v>
          </cell>
        </row>
        <row r="256">
          <cell r="C256">
            <v>202031400</v>
          </cell>
          <cell r="D256">
            <v>100255</v>
          </cell>
        </row>
        <row r="257">
          <cell r="C257">
            <v>202041400</v>
          </cell>
          <cell r="D257">
            <v>100256</v>
          </cell>
        </row>
        <row r="258">
          <cell r="C258">
            <v>202051400</v>
          </cell>
          <cell r="D258">
            <v>100257</v>
          </cell>
        </row>
        <row r="259">
          <cell r="C259">
            <v>202061400</v>
          </cell>
          <cell r="D259">
            <v>100258</v>
          </cell>
        </row>
        <row r="260">
          <cell r="C260">
            <v>202071400</v>
          </cell>
          <cell r="D260">
            <v>100259</v>
          </cell>
        </row>
        <row r="261">
          <cell r="C261">
            <v>202081400</v>
          </cell>
          <cell r="D261">
            <v>100260</v>
          </cell>
        </row>
        <row r="262">
          <cell r="C262">
            <v>202091400</v>
          </cell>
          <cell r="D262">
            <v>100261</v>
          </cell>
        </row>
        <row r="263">
          <cell r="C263">
            <v>302011500</v>
          </cell>
          <cell r="D263">
            <v>100262</v>
          </cell>
        </row>
        <row r="264">
          <cell r="C264">
            <v>302021500</v>
          </cell>
          <cell r="D264">
            <v>100263</v>
          </cell>
        </row>
        <row r="265">
          <cell r="C265">
            <v>302031500</v>
          </cell>
          <cell r="D265">
            <v>100264</v>
          </cell>
        </row>
        <row r="266">
          <cell r="C266">
            <v>302041500</v>
          </cell>
          <cell r="D266">
            <v>100265</v>
          </cell>
        </row>
        <row r="267">
          <cell r="C267">
            <v>302051500</v>
          </cell>
          <cell r="D267">
            <v>100266</v>
          </cell>
        </row>
        <row r="268">
          <cell r="C268">
            <v>302061500</v>
          </cell>
          <cell r="D268">
            <v>100267</v>
          </cell>
        </row>
        <row r="269">
          <cell r="C269">
            <v>302071500</v>
          </cell>
          <cell r="D269">
            <v>100268</v>
          </cell>
        </row>
        <row r="270">
          <cell r="C270">
            <v>302081500</v>
          </cell>
          <cell r="D270">
            <v>100269</v>
          </cell>
        </row>
        <row r="271">
          <cell r="C271">
            <v>302091500</v>
          </cell>
          <cell r="D271">
            <v>100270</v>
          </cell>
        </row>
        <row r="272">
          <cell r="C272">
            <v>103010100</v>
          </cell>
          <cell r="D272">
            <v>100271</v>
          </cell>
        </row>
        <row r="273">
          <cell r="C273">
            <v>103020100</v>
          </cell>
          <cell r="D273">
            <v>100272</v>
          </cell>
        </row>
        <row r="274">
          <cell r="C274">
            <v>103030100</v>
          </cell>
          <cell r="D274">
            <v>100273</v>
          </cell>
        </row>
        <row r="275">
          <cell r="C275">
            <v>103040100</v>
          </cell>
          <cell r="D275">
            <v>100274</v>
          </cell>
        </row>
        <row r="276">
          <cell r="C276">
            <v>103050100</v>
          </cell>
          <cell r="D276">
            <v>100275</v>
          </cell>
        </row>
        <row r="277">
          <cell r="C277">
            <v>103060100</v>
          </cell>
          <cell r="D277">
            <v>100276</v>
          </cell>
        </row>
        <row r="278">
          <cell r="C278">
            <v>103070100</v>
          </cell>
          <cell r="D278">
            <v>100277</v>
          </cell>
        </row>
        <row r="279">
          <cell r="C279">
            <v>103080100</v>
          </cell>
          <cell r="D279">
            <v>100278</v>
          </cell>
        </row>
        <row r="280">
          <cell r="C280">
            <v>103090100</v>
          </cell>
          <cell r="D280">
            <v>100279</v>
          </cell>
        </row>
        <row r="281">
          <cell r="C281">
            <v>103010200</v>
          </cell>
          <cell r="D281">
            <v>100280</v>
          </cell>
        </row>
        <row r="282">
          <cell r="C282">
            <v>103020200</v>
          </cell>
          <cell r="D282">
            <v>100281</v>
          </cell>
        </row>
        <row r="283">
          <cell r="C283">
            <v>103030200</v>
          </cell>
          <cell r="D283">
            <v>100282</v>
          </cell>
        </row>
        <row r="284">
          <cell r="C284">
            <v>103040200</v>
          </cell>
          <cell r="D284">
            <v>100283</v>
          </cell>
        </row>
        <row r="285">
          <cell r="C285">
            <v>103050200</v>
          </cell>
          <cell r="D285">
            <v>100284</v>
          </cell>
        </row>
        <row r="286">
          <cell r="C286">
            <v>103060200</v>
          </cell>
          <cell r="D286">
            <v>100285</v>
          </cell>
        </row>
        <row r="287">
          <cell r="C287">
            <v>103070200</v>
          </cell>
          <cell r="D287">
            <v>100286</v>
          </cell>
        </row>
        <row r="288">
          <cell r="C288">
            <v>103080200</v>
          </cell>
          <cell r="D288">
            <v>100287</v>
          </cell>
        </row>
        <row r="289">
          <cell r="C289">
            <v>103090200</v>
          </cell>
          <cell r="D289">
            <v>100288</v>
          </cell>
        </row>
        <row r="290">
          <cell r="C290">
            <v>103010300</v>
          </cell>
          <cell r="D290">
            <v>100289</v>
          </cell>
        </row>
        <row r="291">
          <cell r="C291">
            <v>103020300</v>
          </cell>
          <cell r="D291">
            <v>100290</v>
          </cell>
        </row>
        <row r="292">
          <cell r="C292">
            <v>103030300</v>
          </cell>
          <cell r="D292">
            <v>100291</v>
          </cell>
        </row>
        <row r="293">
          <cell r="C293">
            <v>103040300</v>
          </cell>
          <cell r="D293">
            <v>100292</v>
          </cell>
        </row>
        <row r="294">
          <cell r="C294">
            <v>103050300</v>
          </cell>
          <cell r="D294">
            <v>100293</v>
          </cell>
        </row>
        <row r="295">
          <cell r="C295">
            <v>103060300</v>
          </cell>
          <cell r="D295">
            <v>100294</v>
          </cell>
        </row>
        <row r="296">
          <cell r="C296">
            <v>103070300</v>
          </cell>
          <cell r="D296">
            <v>100295</v>
          </cell>
        </row>
        <row r="297">
          <cell r="C297">
            <v>103080300</v>
          </cell>
          <cell r="D297">
            <v>100296</v>
          </cell>
        </row>
        <row r="298">
          <cell r="C298">
            <v>103090300</v>
          </cell>
          <cell r="D298">
            <v>100297</v>
          </cell>
        </row>
        <row r="299">
          <cell r="C299">
            <v>103010400</v>
          </cell>
          <cell r="D299">
            <v>100298</v>
          </cell>
        </row>
        <row r="300">
          <cell r="C300">
            <v>103020400</v>
          </cell>
          <cell r="D300">
            <v>100299</v>
          </cell>
        </row>
        <row r="301">
          <cell r="C301">
            <v>103030400</v>
          </cell>
          <cell r="D301">
            <v>100300</v>
          </cell>
        </row>
        <row r="302">
          <cell r="C302">
            <v>103040400</v>
          </cell>
          <cell r="D302">
            <v>100301</v>
          </cell>
        </row>
        <row r="303">
          <cell r="C303">
            <v>103050400</v>
          </cell>
          <cell r="D303">
            <v>100302</v>
          </cell>
        </row>
        <row r="304">
          <cell r="C304">
            <v>103060400</v>
          </cell>
          <cell r="D304">
            <v>100303</v>
          </cell>
        </row>
        <row r="305">
          <cell r="C305">
            <v>103070400</v>
          </cell>
          <cell r="D305">
            <v>100304</v>
          </cell>
        </row>
        <row r="306">
          <cell r="C306">
            <v>103080400</v>
          </cell>
          <cell r="D306">
            <v>100305</v>
          </cell>
        </row>
        <row r="307">
          <cell r="C307">
            <v>103090400</v>
          </cell>
          <cell r="D307">
            <v>100306</v>
          </cell>
        </row>
        <row r="308">
          <cell r="C308">
            <v>103010500</v>
          </cell>
          <cell r="D308">
            <v>100307</v>
          </cell>
        </row>
        <row r="309">
          <cell r="C309">
            <v>103020500</v>
          </cell>
          <cell r="D309">
            <v>100308</v>
          </cell>
        </row>
        <row r="310">
          <cell r="C310">
            <v>103030500</v>
          </cell>
          <cell r="D310">
            <v>100309</v>
          </cell>
        </row>
        <row r="311">
          <cell r="C311">
            <v>103040500</v>
          </cell>
          <cell r="D311">
            <v>100310</v>
          </cell>
        </row>
        <row r="312">
          <cell r="C312">
            <v>103050500</v>
          </cell>
          <cell r="D312">
            <v>100311</v>
          </cell>
        </row>
        <row r="313">
          <cell r="C313">
            <v>103060500</v>
          </cell>
          <cell r="D313">
            <v>100312</v>
          </cell>
        </row>
        <row r="314">
          <cell r="C314">
            <v>103070500</v>
          </cell>
          <cell r="D314">
            <v>100313</v>
          </cell>
        </row>
        <row r="315">
          <cell r="C315">
            <v>103080500</v>
          </cell>
          <cell r="D315">
            <v>100314</v>
          </cell>
        </row>
        <row r="316">
          <cell r="C316">
            <v>103090500</v>
          </cell>
          <cell r="D316">
            <v>100315</v>
          </cell>
        </row>
        <row r="317">
          <cell r="C317">
            <v>103010600</v>
          </cell>
          <cell r="D317">
            <v>100316</v>
          </cell>
        </row>
        <row r="318">
          <cell r="C318">
            <v>103020600</v>
          </cell>
          <cell r="D318">
            <v>100317</v>
          </cell>
        </row>
        <row r="319">
          <cell r="C319">
            <v>103030600</v>
          </cell>
          <cell r="D319">
            <v>100318</v>
          </cell>
        </row>
        <row r="320">
          <cell r="C320">
            <v>103040600</v>
          </cell>
          <cell r="D320">
            <v>100319</v>
          </cell>
        </row>
        <row r="321">
          <cell r="C321">
            <v>103050600</v>
          </cell>
          <cell r="D321">
            <v>100320</v>
          </cell>
        </row>
        <row r="322">
          <cell r="C322">
            <v>103060600</v>
          </cell>
          <cell r="D322">
            <v>100321</v>
          </cell>
        </row>
        <row r="323">
          <cell r="C323">
            <v>103070600</v>
          </cell>
          <cell r="D323">
            <v>100322</v>
          </cell>
        </row>
        <row r="324">
          <cell r="C324">
            <v>103080600</v>
          </cell>
          <cell r="D324">
            <v>100323</v>
          </cell>
        </row>
        <row r="325">
          <cell r="C325">
            <v>103090600</v>
          </cell>
          <cell r="D325">
            <v>100324</v>
          </cell>
        </row>
        <row r="326">
          <cell r="C326">
            <v>103010700</v>
          </cell>
          <cell r="D326">
            <v>100325</v>
          </cell>
        </row>
        <row r="327">
          <cell r="C327">
            <v>103020700</v>
          </cell>
          <cell r="D327">
            <v>100326</v>
          </cell>
        </row>
        <row r="328">
          <cell r="C328">
            <v>103030700</v>
          </cell>
          <cell r="D328">
            <v>100327</v>
          </cell>
        </row>
        <row r="329">
          <cell r="C329">
            <v>103040700</v>
          </cell>
          <cell r="D329">
            <v>100328</v>
          </cell>
        </row>
        <row r="330">
          <cell r="C330">
            <v>103050700</v>
          </cell>
          <cell r="D330">
            <v>100329</v>
          </cell>
        </row>
        <row r="331">
          <cell r="C331">
            <v>103060700</v>
          </cell>
          <cell r="D331">
            <v>100330</v>
          </cell>
        </row>
        <row r="332">
          <cell r="C332">
            <v>103070700</v>
          </cell>
          <cell r="D332">
            <v>100331</v>
          </cell>
        </row>
        <row r="333">
          <cell r="C333">
            <v>103080700</v>
          </cell>
          <cell r="D333">
            <v>100332</v>
          </cell>
        </row>
        <row r="334">
          <cell r="C334">
            <v>103090700</v>
          </cell>
          <cell r="D334">
            <v>100333</v>
          </cell>
        </row>
        <row r="335">
          <cell r="C335">
            <v>103010800</v>
          </cell>
          <cell r="D335">
            <v>100334</v>
          </cell>
        </row>
        <row r="336">
          <cell r="C336">
            <v>103020800</v>
          </cell>
          <cell r="D336">
            <v>100335</v>
          </cell>
        </row>
        <row r="337">
          <cell r="C337">
            <v>103030800</v>
          </cell>
          <cell r="D337">
            <v>100336</v>
          </cell>
        </row>
        <row r="338">
          <cell r="C338">
            <v>103040800</v>
          </cell>
          <cell r="D338">
            <v>100337</v>
          </cell>
        </row>
        <row r="339">
          <cell r="C339">
            <v>103050800</v>
          </cell>
          <cell r="D339">
            <v>100338</v>
          </cell>
        </row>
        <row r="340">
          <cell r="C340">
            <v>103060800</v>
          </cell>
          <cell r="D340">
            <v>100339</v>
          </cell>
        </row>
        <row r="341">
          <cell r="C341">
            <v>103070800</v>
          </cell>
          <cell r="D341">
            <v>100340</v>
          </cell>
        </row>
        <row r="342">
          <cell r="C342">
            <v>103080800</v>
          </cell>
          <cell r="D342">
            <v>100341</v>
          </cell>
        </row>
        <row r="343">
          <cell r="C343">
            <v>103090800</v>
          </cell>
          <cell r="D343">
            <v>100342</v>
          </cell>
        </row>
        <row r="344">
          <cell r="C344">
            <v>103010900</v>
          </cell>
          <cell r="D344">
            <v>100343</v>
          </cell>
        </row>
        <row r="345">
          <cell r="C345">
            <v>103020900</v>
          </cell>
          <cell r="D345">
            <v>100344</v>
          </cell>
        </row>
        <row r="346">
          <cell r="C346">
            <v>103030900</v>
          </cell>
          <cell r="D346">
            <v>100345</v>
          </cell>
        </row>
        <row r="347">
          <cell r="C347">
            <v>103040900</v>
          </cell>
          <cell r="D347">
            <v>100346</v>
          </cell>
        </row>
        <row r="348">
          <cell r="C348">
            <v>103050900</v>
          </cell>
          <cell r="D348">
            <v>100347</v>
          </cell>
        </row>
        <row r="349">
          <cell r="C349">
            <v>103060900</v>
          </cell>
          <cell r="D349">
            <v>100348</v>
          </cell>
        </row>
        <row r="350">
          <cell r="C350">
            <v>103070900</v>
          </cell>
          <cell r="D350">
            <v>100349</v>
          </cell>
        </row>
        <row r="351">
          <cell r="C351">
            <v>103080900</v>
          </cell>
          <cell r="D351">
            <v>100350</v>
          </cell>
        </row>
        <row r="352">
          <cell r="C352">
            <v>103090900</v>
          </cell>
          <cell r="D352">
            <v>100351</v>
          </cell>
        </row>
        <row r="353">
          <cell r="C353">
            <v>103011000</v>
          </cell>
          <cell r="D353">
            <v>100352</v>
          </cell>
        </row>
        <row r="354">
          <cell r="C354">
            <v>103021000</v>
          </cell>
          <cell r="D354">
            <v>100353</v>
          </cell>
        </row>
        <row r="355">
          <cell r="C355">
            <v>103031000</v>
          </cell>
          <cell r="D355">
            <v>100354</v>
          </cell>
        </row>
        <row r="356">
          <cell r="C356">
            <v>103041000</v>
          </cell>
          <cell r="D356">
            <v>100355</v>
          </cell>
        </row>
        <row r="357">
          <cell r="C357">
            <v>103051000</v>
          </cell>
          <cell r="D357">
            <v>100356</v>
          </cell>
        </row>
        <row r="358">
          <cell r="C358">
            <v>103061000</v>
          </cell>
          <cell r="D358">
            <v>100357</v>
          </cell>
        </row>
        <row r="359">
          <cell r="C359">
            <v>103071000</v>
          </cell>
          <cell r="D359">
            <v>100358</v>
          </cell>
        </row>
        <row r="360">
          <cell r="C360">
            <v>103081000</v>
          </cell>
          <cell r="D360">
            <v>100359</v>
          </cell>
        </row>
        <row r="361">
          <cell r="C361">
            <v>103091000</v>
          </cell>
          <cell r="D361">
            <v>100360</v>
          </cell>
        </row>
        <row r="362">
          <cell r="C362">
            <v>103011100</v>
          </cell>
          <cell r="D362">
            <v>100361</v>
          </cell>
        </row>
        <row r="363">
          <cell r="C363">
            <v>103021100</v>
          </cell>
          <cell r="D363">
            <v>100362</v>
          </cell>
        </row>
        <row r="364">
          <cell r="C364">
            <v>103031100</v>
          </cell>
          <cell r="D364">
            <v>100363</v>
          </cell>
        </row>
        <row r="365">
          <cell r="C365">
            <v>103041100</v>
          </cell>
          <cell r="D365">
            <v>100364</v>
          </cell>
        </row>
        <row r="366">
          <cell r="C366">
            <v>103051100</v>
          </cell>
          <cell r="D366">
            <v>100365</v>
          </cell>
        </row>
        <row r="367">
          <cell r="C367">
            <v>103061100</v>
          </cell>
          <cell r="D367">
            <v>100366</v>
          </cell>
        </row>
        <row r="368">
          <cell r="C368">
            <v>103071100</v>
          </cell>
          <cell r="D368">
            <v>100367</v>
          </cell>
        </row>
        <row r="369">
          <cell r="C369">
            <v>103081100</v>
          </cell>
          <cell r="D369">
            <v>100368</v>
          </cell>
        </row>
        <row r="370">
          <cell r="C370">
            <v>103091100</v>
          </cell>
          <cell r="D370">
            <v>100369</v>
          </cell>
        </row>
        <row r="371">
          <cell r="C371">
            <v>103011200</v>
          </cell>
          <cell r="D371">
            <v>100370</v>
          </cell>
        </row>
        <row r="372">
          <cell r="C372">
            <v>103021200</v>
          </cell>
          <cell r="D372">
            <v>100371</v>
          </cell>
        </row>
        <row r="373">
          <cell r="C373">
            <v>103031200</v>
          </cell>
          <cell r="D373">
            <v>100372</v>
          </cell>
        </row>
        <row r="374">
          <cell r="C374">
            <v>103041200</v>
          </cell>
          <cell r="D374">
            <v>100373</v>
          </cell>
        </row>
        <row r="375">
          <cell r="C375">
            <v>103051200</v>
          </cell>
          <cell r="D375">
            <v>100374</v>
          </cell>
        </row>
        <row r="376">
          <cell r="C376">
            <v>103061200</v>
          </cell>
          <cell r="D376">
            <v>100375</v>
          </cell>
        </row>
        <row r="377">
          <cell r="C377">
            <v>103071200</v>
          </cell>
          <cell r="D377">
            <v>100376</v>
          </cell>
        </row>
        <row r="378">
          <cell r="C378">
            <v>103081200</v>
          </cell>
          <cell r="D378">
            <v>100377</v>
          </cell>
        </row>
        <row r="379">
          <cell r="C379">
            <v>103091200</v>
          </cell>
          <cell r="D379">
            <v>100378</v>
          </cell>
        </row>
        <row r="380">
          <cell r="C380">
            <v>103011300</v>
          </cell>
          <cell r="D380">
            <v>100379</v>
          </cell>
        </row>
        <row r="381">
          <cell r="C381">
            <v>103021300</v>
          </cell>
          <cell r="D381">
            <v>100380</v>
          </cell>
        </row>
        <row r="382">
          <cell r="C382">
            <v>103031300</v>
          </cell>
          <cell r="D382">
            <v>100381</v>
          </cell>
        </row>
        <row r="383">
          <cell r="C383">
            <v>103041300</v>
          </cell>
          <cell r="D383">
            <v>100382</v>
          </cell>
        </row>
        <row r="384">
          <cell r="C384">
            <v>103051300</v>
          </cell>
          <cell r="D384">
            <v>100383</v>
          </cell>
        </row>
        <row r="385">
          <cell r="C385">
            <v>103061300</v>
          </cell>
          <cell r="D385">
            <v>100384</v>
          </cell>
        </row>
        <row r="386">
          <cell r="C386">
            <v>103071300</v>
          </cell>
          <cell r="D386">
            <v>100385</v>
          </cell>
        </row>
        <row r="387">
          <cell r="C387">
            <v>103081300</v>
          </cell>
          <cell r="D387">
            <v>100386</v>
          </cell>
        </row>
        <row r="388">
          <cell r="C388">
            <v>103091300</v>
          </cell>
          <cell r="D388">
            <v>100387</v>
          </cell>
        </row>
        <row r="389">
          <cell r="C389">
            <v>203011400</v>
          </cell>
          <cell r="D389">
            <v>100388</v>
          </cell>
        </row>
        <row r="390">
          <cell r="C390">
            <v>203021400</v>
          </cell>
          <cell r="D390">
            <v>100389</v>
          </cell>
        </row>
        <row r="391">
          <cell r="C391">
            <v>203031400</v>
          </cell>
          <cell r="D391">
            <v>100390</v>
          </cell>
        </row>
        <row r="392">
          <cell r="C392">
            <v>203041400</v>
          </cell>
          <cell r="D392">
            <v>100391</v>
          </cell>
        </row>
        <row r="393">
          <cell r="C393">
            <v>203051400</v>
          </cell>
          <cell r="D393">
            <v>100392</v>
          </cell>
        </row>
        <row r="394">
          <cell r="C394">
            <v>203061400</v>
          </cell>
          <cell r="D394">
            <v>100393</v>
          </cell>
        </row>
        <row r="395">
          <cell r="C395">
            <v>203071400</v>
          </cell>
          <cell r="D395">
            <v>100394</v>
          </cell>
        </row>
        <row r="396">
          <cell r="C396">
            <v>203081400</v>
          </cell>
          <cell r="D396">
            <v>100395</v>
          </cell>
        </row>
        <row r="397">
          <cell r="C397">
            <v>203091400</v>
          </cell>
          <cell r="D397">
            <v>100396</v>
          </cell>
        </row>
        <row r="398">
          <cell r="C398">
            <v>303011500</v>
          </cell>
          <cell r="D398">
            <v>100397</v>
          </cell>
        </row>
        <row r="399">
          <cell r="C399">
            <v>303021500</v>
          </cell>
          <cell r="D399">
            <v>100398</v>
          </cell>
        </row>
        <row r="400">
          <cell r="C400">
            <v>303031500</v>
          </cell>
          <cell r="D400">
            <v>100399</v>
          </cell>
        </row>
        <row r="401">
          <cell r="C401">
            <v>303041500</v>
          </cell>
          <cell r="D401">
            <v>100400</v>
          </cell>
        </row>
        <row r="402">
          <cell r="C402">
            <v>303051500</v>
          </cell>
          <cell r="D402">
            <v>100401</v>
          </cell>
        </row>
        <row r="403">
          <cell r="C403">
            <v>303061500</v>
          </cell>
          <cell r="D403">
            <v>100402</v>
          </cell>
        </row>
        <row r="404">
          <cell r="C404">
            <v>303071500</v>
          </cell>
          <cell r="D404">
            <v>100403</v>
          </cell>
        </row>
        <row r="405">
          <cell r="C405">
            <v>303081500</v>
          </cell>
          <cell r="D405">
            <v>100404</v>
          </cell>
        </row>
        <row r="406">
          <cell r="C406">
            <v>303091500</v>
          </cell>
          <cell r="D406">
            <v>100405</v>
          </cell>
        </row>
        <row r="407">
          <cell r="C407">
            <v>104090101</v>
          </cell>
          <cell r="D407">
            <v>100406</v>
          </cell>
        </row>
        <row r="408">
          <cell r="C408">
            <v>204091401</v>
          </cell>
          <cell r="D408">
            <v>100407</v>
          </cell>
        </row>
        <row r="409">
          <cell r="C409">
            <v>304091501</v>
          </cell>
          <cell r="D409">
            <v>100408</v>
          </cell>
        </row>
        <row r="410">
          <cell r="C410">
            <v>104090202</v>
          </cell>
          <cell r="D410">
            <v>100409</v>
          </cell>
        </row>
        <row r="411">
          <cell r="C411">
            <v>204091402</v>
          </cell>
          <cell r="D411">
            <v>100410</v>
          </cell>
        </row>
        <row r="412">
          <cell r="C412">
            <v>304091502</v>
          </cell>
          <cell r="D412">
            <v>100411</v>
          </cell>
        </row>
        <row r="413">
          <cell r="C413">
            <v>104090303</v>
          </cell>
          <cell r="D413">
            <v>100412</v>
          </cell>
        </row>
        <row r="414">
          <cell r="C414">
            <v>204091403</v>
          </cell>
          <cell r="D414">
            <v>100413</v>
          </cell>
        </row>
        <row r="415">
          <cell r="C415">
            <v>304091503</v>
          </cell>
          <cell r="D415">
            <v>100414</v>
          </cell>
        </row>
        <row r="416">
          <cell r="C416">
            <v>104090404</v>
          </cell>
          <cell r="D416">
            <v>100415</v>
          </cell>
        </row>
        <row r="417">
          <cell r="C417">
            <v>204091404</v>
          </cell>
          <cell r="D417">
            <v>100416</v>
          </cell>
        </row>
        <row r="418">
          <cell r="C418">
            <v>304091504</v>
          </cell>
          <cell r="D418">
            <v>100417</v>
          </cell>
        </row>
        <row r="419">
          <cell r="C419">
            <v>104090505</v>
          </cell>
          <cell r="D419">
            <v>100418</v>
          </cell>
        </row>
        <row r="420">
          <cell r="C420">
            <v>204091405</v>
          </cell>
          <cell r="D420">
            <v>100419</v>
          </cell>
        </row>
        <row r="421">
          <cell r="C421">
            <v>304091505</v>
          </cell>
          <cell r="D421">
            <v>100420</v>
          </cell>
        </row>
        <row r="422">
          <cell r="C422">
            <v>104090606</v>
          </cell>
          <cell r="D422">
            <v>100421</v>
          </cell>
        </row>
        <row r="423">
          <cell r="C423">
            <v>204091406</v>
          </cell>
          <cell r="D423">
            <v>100422</v>
          </cell>
        </row>
        <row r="424">
          <cell r="C424">
            <v>304091506</v>
          </cell>
          <cell r="D424">
            <v>100423</v>
          </cell>
        </row>
        <row r="425">
          <cell r="C425">
            <v>104090707</v>
          </cell>
          <cell r="D425">
            <v>100424</v>
          </cell>
        </row>
        <row r="426">
          <cell r="C426">
            <v>204091407</v>
          </cell>
          <cell r="D426">
            <v>100425</v>
          </cell>
        </row>
        <row r="427">
          <cell r="C427">
            <v>304091507</v>
          </cell>
          <cell r="D427">
            <v>100426</v>
          </cell>
        </row>
        <row r="428">
          <cell r="C428">
            <v>104090808</v>
          </cell>
          <cell r="D428">
            <v>100427</v>
          </cell>
        </row>
        <row r="429">
          <cell r="C429">
            <v>204091408</v>
          </cell>
          <cell r="D429">
            <v>100428</v>
          </cell>
        </row>
        <row r="430">
          <cell r="C430">
            <v>304091508</v>
          </cell>
          <cell r="D430">
            <v>100429</v>
          </cell>
        </row>
        <row r="431">
          <cell r="C431">
            <v>104090909</v>
          </cell>
          <cell r="D431">
            <v>100430</v>
          </cell>
        </row>
        <row r="432">
          <cell r="C432">
            <v>204091409</v>
          </cell>
          <cell r="D432">
            <v>100431</v>
          </cell>
        </row>
        <row r="433">
          <cell r="C433">
            <v>304091509</v>
          </cell>
          <cell r="D433">
            <v>100432</v>
          </cell>
        </row>
        <row r="434">
          <cell r="C434">
            <v>104091010</v>
          </cell>
          <cell r="D434">
            <v>100433</v>
          </cell>
        </row>
        <row r="435">
          <cell r="C435">
            <v>204091410</v>
          </cell>
          <cell r="D435">
            <v>100434</v>
          </cell>
        </row>
        <row r="436">
          <cell r="C436">
            <v>304091510</v>
          </cell>
          <cell r="D436">
            <v>100435</v>
          </cell>
        </row>
        <row r="437">
          <cell r="C437">
            <v>104091111</v>
          </cell>
          <cell r="D437">
            <v>100436</v>
          </cell>
        </row>
        <row r="438">
          <cell r="C438">
            <v>204091411</v>
          </cell>
          <cell r="D438">
            <v>100437</v>
          </cell>
        </row>
        <row r="439">
          <cell r="C439">
            <v>304091511</v>
          </cell>
          <cell r="D439">
            <v>100438</v>
          </cell>
        </row>
        <row r="440">
          <cell r="C440">
            <v>104091212</v>
          </cell>
          <cell r="D440">
            <v>100439</v>
          </cell>
        </row>
        <row r="441">
          <cell r="C441">
            <v>204091412</v>
          </cell>
          <cell r="D441">
            <v>100440</v>
          </cell>
        </row>
        <row r="442">
          <cell r="C442">
            <v>304091512</v>
          </cell>
          <cell r="D442">
            <v>100441</v>
          </cell>
        </row>
        <row r="443">
          <cell r="C443">
            <v>104091313</v>
          </cell>
          <cell r="D443">
            <v>100442</v>
          </cell>
        </row>
        <row r="444">
          <cell r="C444">
            <v>204091413</v>
          </cell>
          <cell r="D444">
            <v>100443</v>
          </cell>
        </row>
        <row r="445">
          <cell r="C445">
            <v>304091513</v>
          </cell>
          <cell r="D445">
            <v>100444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R446"/>
  <sheetViews>
    <sheetView tabSelected="1" topLeftCell="F1" workbookViewId="0">
      <selection activeCell="N10" sqref="N10"/>
    </sheetView>
  </sheetViews>
  <sheetFormatPr defaultRowHeight="12.75" x14ac:dyDescent="0.15"/>
  <cols>
    <col min="1" max="1" width="2.625" style="1" customWidth="1"/>
    <col min="2" max="2" width="9" style="1"/>
    <col min="3" max="3" width="9.375" style="1" bestFit="1" customWidth="1"/>
    <col min="4" max="6" width="9" style="1"/>
    <col min="7" max="8" width="16.875" style="1" customWidth="1"/>
    <col min="9" max="9" width="29" style="1" customWidth="1"/>
    <col min="10" max="16384" width="9" style="1"/>
  </cols>
  <sheetData>
    <row r="2" spans="2:18" x14ac:dyDescent="0.15">
      <c r="B2" s="2" t="s">
        <v>4</v>
      </c>
      <c r="C2" s="2" t="s">
        <v>3</v>
      </c>
      <c r="D2" s="2" t="s">
        <v>0</v>
      </c>
      <c r="E2" s="3" t="s">
        <v>1</v>
      </c>
      <c r="F2" s="3" t="s">
        <v>13</v>
      </c>
      <c r="G2" s="3" t="s">
        <v>2</v>
      </c>
      <c r="H2" s="2" t="s">
        <v>620</v>
      </c>
      <c r="I2" s="3" t="s">
        <v>605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P2" s="3" t="s">
        <v>11</v>
      </c>
      <c r="Q2" s="3" t="s">
        <v>12</v>
      </c>
    </row>
    <row r="3" spans="2:18" x14ac:dyDescent="0.15">
      <c r="B3" s="1">
        <f>[1]item!$D2</f>
        <v>100001</v>
      </c>
      <c r="C3" s="1">
        <f>[1]item!$C2</f>
        <v>101010100</v>
      </c>
      <c r="D3" s="1">
        <f>--MID(C3,4,2)</f>
        <v>1</v>
      </c>
      <c r="E3" s="1">
        <f>--MID(C3,2,2)</f>
        <v>1</v>
      </c>
      <c r="F3" s="1">
        <f>--MID(C3,1,1)</f>
        <v>1</v>
      </c>
      <c r="G3" s="1" t="str">
        <f t="shared" ref="G3:G66" si="0">IF(--MID(C3,6,2)&lt;14,VLOOKUP(--MID(C3,6,2),test2,3,FALSE),"")</f>
        <v>神圣</v>
      </c>
      <c r="H3" s="1">
        <v>2</v>
      </c>
      <c r="I3" s="1" t="str">
        <f>getMarking(D3,E3,F3,G3)</f>
        <v>,50168,50157</v>
      </c>
      <c r="J3" s="1" t="str">
        <f>getString(I3,1,H3)</f>
        <v>50168</v>
      </c>
      <c r="K3" s="1">
        <v>4</v>
      </c>
      <c r="L3" s="1" t="str">
        <f>getString(I3,2,H3)</f>
        <v>50157</v>
      </c>
      <c r="M3" s="1">
        <v>2</v>
      </c>
      <c r="N3" s="1" t="str">
        <f>getString(I3,3,H3)</f>
        <v/>
      </c>
      <c r="P3" s="1" t="str">
        <f>getString(I3,4,H3)</f>
        <v/>
      </c>
      <c r="R3" s="1">
        <f>VLOOKUP(--J3,test3,11,FALSE)*K3+VLOOKUP(--L3,test3,11,FALSE)*M3+IF(N3="",0,VLOOKUP(--N3,test3,11,FALSE)*O3)+IF(P3="",0,VLOOKUP(--P3,test3,11,FALSE)*Q3)</f>
        <v>9</v>
      </c>
    </row>
    <row r="4" spans="2:18" x14ac:dyDescent="0.15">
      <c r="B4" s="1">
        <f>[1]item!$D3</f>
        <v>100002</v>
      </c>
      <c r="C4" s="1">
        <f>[1]item!$C3</f>
        <v>101020100</v>
      </c>
      <c r="D4" s="1">
        <f t="shared" ref="D4:D67" si="1">--MID(C4,4,2)</f>
        <v>2</v>
      </c>
      <c r="E4" s="1">
        <f t="shared" ref="E4:E67" si="2">--MID(C4,2,2)</f>
        <v>1</v>
      </c>
      <c r="F4" s="1">
        <f t="shared" ref="F4:F67" si="3">--MID(C4,1,1)</f>
        <v>1</v>
      </c>
      <c r="G4" s="1" t="str">
        <f t="shared" si="0"/>
        <v>神圣</v>
      </c>
      <c r="H4" s="1">
        <v>2</v>
      </c>
      <c r="I4" s="1" t="str">
        <f t="shared" ref="I4:I67" si="4">getMarking(D4,E4,F4,G4)</f>
        <v>,50145,50119</v>
      </c>
      <c r="J4" s="1" t="str">
        <f t="shared" ref="J4:J67" si="5">getString(I4,1,H4)</f>
        <v>50145</v>
      </c>
      <c r="K4" s="1">
        <v>4</v>
      </c>
      <c r="L4" s="1" t="str">
        <f t="shared" ref="L4:L67" si="6">getString(I4,2,H4)</f>
        <v>50119</v>
      </c>
      <c r="M4" s="1">
        <v>2</v>
      </c>
      <c r="N4" s="1" t="str">
        <f t="shared" ref="N4:N67" si="7">getString(I4,3,H4)</f>
        <v/>
      </c>
      <c r="P4" s="1" t="str">
        <f t="shared" ref="P4:P67" si="8">getString(I4,4,H4)</f>
        <v/>
      </c>
      <c r="R4" s="1">
        <f>VLOOKUP(--J4,test3,11,FALSE)*K4+VLOOKUP(--L4,test3,11,FALSE)*M4+IF(N4="",0,VLOOKUP(--N4,test3,11,FALSE)*O4)+IF(P4="",0,VLOOKUP(--P4,test3,11,FALSE)*Q4)</f>
        <v>9</v>
      </c>
    </row>
    <row r="5" spans="2:18" x14ac:dyDescent="0.15">
      <c r="B5" s="1">
        <f>[1]item!$D4</f>
        <v>100003</v>
      </c>
      <c r="C5" s="1">
        <f>[1]item!$C4</f>
        <v>101030100</v>
      </c>
      <c r="D5" s="1">
        <f t="shared" si="1"/>
        <v>3</v>
      </c>
      <c r="E5" s="1">
        <f t="shared" si="2"/>
        <v>1</v>
      </c>
      <c r="F5" s="1">
        <f t="shared" si="3"/>
        <v>1</v>
      </c>
      <c r="G5" s="1" t="str">
        <f t="shared" si="0"/>
        <v>神圣</v>
      </c>
      <c r="H5" s="1">
        <v>2</v>
      </c>
      <c r="I5" s="1" t="str">
        <f t="shared" si="4"/>
        <v>,50157,50015</v>
      </c>
      <c r="J5" s="1" t="str">
        <f t="shared" si="5"/>
        <v>50157</v>
      </c>
      <c r="K5" s="1">
        <v>4</v>
      </c>
      <c r="L5" s="1" t="str">
        <f t="shared" si="6"/>
        <v>50015</v>
      </c>
      <c r="M5" s="1">
        <v>2</v>
      </c>
      <c r="N5" s="1" t="str">
        <f t="shared" si="7"/>
        <v/>
      </c>
      <c r="P5" s="1" t="str">
        <f t="shared" si="8"/>
        <v/>
      </c>
      <c r="R5" s="1">
        <f>VLOOKUP(--J5,test3,11,FALSE)*K5+VLOOKUP(--L5,test3,11,FALSE)*M5+IF(N5="",0,VLOOKUP(--N5,test3,11,FALSE)*O5)+IF(P5="",0,VLOOKUP(--P5,test3,11,FALSE)*Q5)</f>
        <v>9</v>
      </c>
    </row>
    <row r="6" spans="2:18" x14ac:dyDescent="0.15">
      <c r="B6" s="1">
        <f>[1]item!$D5</f>
        <v>100004</v>
      </c>
      <c r="C6" s="1">
        <f>[1]item!$C5</f>
        <v>101040100</v>
      </c>
      <c r="D6" s="1">
        <f t="shared" si="1"/>
        <v>4</v>
      </c>
      <c r="E6" s="1">
        <f t="shared" si="2"/>
        <v>1</v>
      </c>
      <c r="F6" s="1">
        <f t="shared" si="3"/>
        <v>1</v>
      </c>
      <c r="G6" s="1" t="str">
        <f t="shared" si="0"/>
        <v>神圣</v>
      </c>
      <c r="H6" s="1">
        <v>2</v>
      </c>
      <c r="I6" s="1" t="str">
        <f t="shared" si="4"/>
        <v>,50035,50001</v>
      </c>
      <c r="J6" s="1" t="str">
        <f t="shared" si="5"/>
        <v>50035</v>
      </c>
      <c r="K6" s="1">
        <v>4</v>
      </c>
      <c r="L6" s="1" t="str">
        <f t="shared" si="6"/>
        <v>50001</v>
      </c>
      <c r="M6" s="1">
        <v>2</v>
      </c>
      <c r="N6" s="1" t="str">
        <f t="shared" si="7"/>
        <v/>
      </c>
      <c r="P6" s="1" t="str">
        <f t="shared" si="8"/>
        <v/>
      </c>
      <c r="R6" s="1">
        <f>VLOOKUP(--J6,test3,11,FALSE)*K6+VLOOKUP(--L6,test3,11,FALSE)*M6+IF(N6="",0,VLOOKUP(--N6,test3,11,FALSE)*O6)+IF(P6="",0,VLOOKUP(--P6,test3,11,FALSE)*Q6)</f>
        <v>9</v>
      </c>
    </row>
    <row r="7" spans="2:18" x14ac:dyDescent="0.15">
      <c r="B7" s="1">
        <f>[1]item!$D6</f>
        <v>100005</v>
      </c>
      <c r="C7" s="1">
        <f>[1]item!$C6</f>
        <v>101050100</v>
      </c>
      <c r="D7" s="1">
        <f t="shared" si="1"/>
        <v>5</v>
      </c>
      <c r="E7" s="1">
        <f t="shared" si="2"/>
        <v>1</v>
      </c>
      <c r="F7" s="1">
        <f t="shared" si="3"/>
        <v>1</v>
      </c>
      <c r="G7" s="1" t="str">
        <f t="shared" si="0"/>
        <v>神圣</v>
      </c>
      <c r="H7" s="1">
        <v>2</v>
      </c>
      <c r="I7" s="1" t="str">
        <f t="shared" si="4"/>
        <v>,50041,50069</v>
      </c>
      <c r="J7" s="1" t="str">
        <f t="shared" si="5"/>
        <v>50041</v>
      </c>
      <c r="K7" s="1">
        <v>4</v>
      </c>
      <c r="L7" s="1" t="str">
        <f t="shared" si="6"/>
        <v>50069</v>
      </c>
      <c r="M7" s="1">
        <v>2</v>
      </c>
      <c r="N7" s="1" t="str">
        <f t="shared" si="7"/>
        <v/>
      </c>
      <c r="P7" s="1" t="str">
        <f t="shared" si="8"/>
        <v/>
      </c>
      <c r="R7" s="1">
        <f>VLOOKUP(--J7,test3,11,FALSE)*K7+VLOOKUP(--L7,test3,11,FALSE)*M7+IF(N7="",0,VLOOKUP(--N7,test3,11,FALSE)*O7)+IF(P7="",0,VLOOKUP(--P7,test3,11,FALSE)*Q7)</f>
        <v>9</v>
      </c>
    </row>
    <row r="8" spans="2:18" x14ac:dyDescent="0.15">
      <c r="B8" s="1">
        <f>[1]item!$D7</f>
        <v>100006</v>
      </c>
      <c r="C8" s="1">
        <f>[1]item!$C7</f>
        <v>101060100</v>
      </c>
      <c r="D8" s="1">
        <f t="shared" si="1"/>
        <v>6</v>
      </c>
      <c r="E8" s="1">
        <f t="shared" si="2"/>
        <v>1</v>
      </c>
      <c r="F8" s="1">
        <f t="shared" si="3"/>
        <v>1</v>
      </c>
      <c r="G8" s="1" t="str">
        <f t="shared" si="0"/>
        <v>神圣</v>
      </c>
      <c r="H8" s="1">
        <v>2</v>
      </c>
      <c r="I8" s="1" t="str">
        <f t="shared" si="4"/>
        <v>,50045,50051</v>
      </c>
      <c r="J8" s="1" t="str">
        <f t="shared" si="5"/>
        <v>50045</v>
      </c>
      <c r="K8" s="1">
        <v>4</v>
      </c>
      <c r="L8" s="1" t="str">
        <f t="shared" si="6"/>
        <v>50051</v>
      </c>
      <c r="M8" s="1">
        <v>2</v>
      </c>
      <c r="N8" s="1" t="str">
        <f t="shared" si="7"/>
        <v/>
      </c>
      <c r="P8" s="1" t="str">
        <f t="shared" si="8"/>
        <v/>
      </c>
      <c r="R8" s="1">
        <f>VLOOKUP(--J8,test3,11,FALSE)*K8+VLOOKUP(--L8,test3,11,FALSE)*M8+IF(N8="",0,VLOOKUP(--N8,test3,11,FALSE)*O8)+IF(P8="",0,VLOOKUP(--P8,test3,11,FALSE)*Q8)</f>
        <v>9</v>
      </c>
    </row>
    <row r="9" spans="2:18" x14ac:dyDescent="0.15">
      <c r="B9" s="1">
        <f>[1]item!$D8</f>
        <v>100007</v>
      </c>
      <c r="C9" s="1">
        <f>[1]item!$C8</f>
        <v>101070100</v>
      </c>
      <c r="D9" s="1">
        <f t="shared" si="1"/>
        <v>7</v>
      </c>
      <c r="E9" s="1">
        <f t="shared" si="2"/>
        <v>1</v>
      </c>
      <c r="F9" s="1">
        <f t="shared" si="3"/>
        <v>1</v>
      </c>
      <c r="G9" s="1" t="str">
        <f t="shared" si="0"/>
        <v>神圣</v>
      </c>
      <c r="H9" s="1">
        <v>2</v>
      </c>
      <c r="I9" s="1" t="str">
        <f t="shared" si="4"/>
        <v>,50047,50009</v>
      </c>
      <c r="J9" s="1" t="str">
        <f t="shared" si="5"/>
        <v>50047</v>
      </c>
      <c r="K9" s="1">
        <v>4</v>
      </c>
      <c r="L9" s="1" t="str">
        <f t="shared" si="6"/>
        <v>50009</v>
      </c>
      <c r="M9" s="1">
        <v>2</v>
      </c>
      <c r="N9" s="1" t="str">
        <f t="shared" si="7"/>
        <v/>
      </c>
      <c r="P9" s="1" t="str">
        <f t="shared" si="8"/>
        <v/>
      </c>
      <c r="R9" s="1">
        <f>VLOOKUP(--J9,test3,11,FALSE)*K9+VLOOKUP(--L9,test3,11,FALSE)*M9+IF(N9="",0,VLOOKUP(--N9,test3,11,FALSE)*O9)+IF(P9="",0,VLOOKUP(--P9,test3,11,FALSE)*Q9)</f>
        <v>9</v>
      </c>
    </row>
    <row r="10" spans="2:18" x14ac:dyDescent="0.15">
      <c r="B10" s="1">
        <f>[1]item!$D9</f>
        <v>100008</v>
      </c>
      <c r="C10" s="1">
        <f>[1]item!$C9</f>
        <v>101080100</v>
      </c>
      <c r="D10" s="1">
        <f t="shared" si="1"/>
        <v>8</v>
      </c>
      <c r="E10" s="1">
        <f t="shared" si="2"/>
        <v>1</v>
      </c>
      <c r="F10" s="1">
        <f t="shared" si="3"/>
        <v>1</v>
      </c>
      <c r="G10" s="1" t="str">
        <f t="shared" si="0"/>
        <v>神圣</v>
      </c>
      <c r="H10" s="1">
        <v>2</v>
      </c>
      <c r="I10" s="1" t="str">
        <f t="shared" si="4"/>
        <v>,50031,50119</v>
      </c>
      <c r="J10" s="1" t="str">
        <f t="shared" si="5"/>
        <v>50031</v>
      </c>
      <c r="K10" s="1">
        <v>4</v>
      </c>
      <c r="L10" s="1" t="str">
        <f t="shared" si="6"/>
        <v>50119</v>
      </c>
      <c r="M10" s="1">
        <v>2</v>
      </c>
      <c r="N10" s="1" t="str">
        <f t="shared" si="7"/>
        <v/>
      </c>
      <c r="P10" s="1" t="str">
        <f t="shared" si="8"/>
        <v/>
      </c>
      <c r="R10" s="1">
        <f>VLOOKUP(--J10,test3,11,FALSE)*K10+VLOOKUP(--L10,test3,11,FALSE)*M10+IF(N10="",0,VLOOKUP(--N10,test3,11,FALSE)*O10)+IF(P10="",0,VLOOKUP(--P10,test3,11,FALSE)*Q10)</f>
        <v>9</v>
      </c>
    </row>
    <row r="11" spans="2:18" x14ac:dyDescent="0.15">
      <c r="B11" s="1">
        <f>[1]item!$D10</f>
        <v>100009</v>
      </c>
      <c r="C11" s="1">
        <f>[1]item!$C10</f>
        <v>101090100</v>
      </c>
      <c r="D11" s="1">
        <f t="shared" si="1"/>
        <v>9</v>
      </c>
      <c r="E11" s="1">
        <f t="shared" si="2"/>
        <v>1</v>
      </c>
      <c r="F11" s="1">
        <f t="shared" si="3"/>
        <v>1</v>
      </c>
      <c r="G11" s="1" t="str">
        <f t="shared" si="0"/>
        <v>神圣</v>
      </c>
      <c r="H11" s="1">
        <v>2</v>
      </c>
      <c r="I11" s="1" t="str">
        <f t="shared" si="4"/>
        <v>,50013,50052</v>
      </c>
      <c r="J11" s="1" t="str">
        <f t="shared" si="5"/>
        <v>50013</v>
      </c>
      <c r="K11" s="1">
        <v>4</v>
      </c>
      <c r="L11" s="1" t="str">
        <f t="shared" si="6"/>
        <v>50052</v>
      </c>
      <c r="M11" s="1">
        <v>2</v>
      </c>
      <c r="N11" s="1" t="str">
        <f t="shared" si="7"/>
        <v/>
      </c>
      <c r="P11" s="1" t="str">
        <f t="shared" si="8"/>
        <v/>
      </c>
      <c r="R11" s="1">
        <f>VLOOKUP(--J11,test3,11,FALSE)*K11+VLOOKUP(--L11,test3,11,FALSE)*M11+IF(N11="",0,VLOOKUP(--N11,test3,11,FALSE)*O11)+IF(P11="",0,VLOOKUP(--P11,test3,11,FALSE)*Q11)</f>
        <v>9</v>
      </c>
    </row>
    <row r="12" spans="2:18" x14ac:dyDescent="0.15">
      <c r="B12" s="1">
        <f>[1]item!$D11</f>
        <v>100010</v>
      </c>
      <c r="C12" s="1">
        <f>[1]item!$C11</f>
        <v>101010200</v>
      </c>
      <c r="D12" s="1">
        <f t="shared" si="1"/>
        <v>1</v>
      </c>
      <c r="E12" s="1">
        <f t="shared" si="2"/>
        <v>1</v>
      </c>
      <c r="F12" s="1">
        <f t="shared" si="3"/>
        <v>1</v>
      </c>
      <c r="G12" s="1" t="str">
        <f t="shared" si="0"/>
        <v>地脉</v>
      </c>
      <c r="H12" s="1">
        <v>2</v>
      </c>
      <c r="I12" s="1" t="str">
        <f t="shared" si="4"/>
        <v>,50119,50145</v>
      </c>
      <c r="J12" s="1" t="str">
        <f t="shared" si="5"/>
        <v>50119</v>
      </c>
      <c r="K12" s="1">
        <v>4</v>
      </c>
      <c r="L12" s="1" t="str">
        <f t="shared" si="6"/>
        <v>50145</v>
      </c>
      <c r="M12" s="1">
        <v>2</v>
      </c>
      <c r="N12" s="1" t="str">
        <f t="shared" si="7"/>
        <v/>
      </c>
      <c r="P12" s="1" t="str">
        <f t="shared" si="8"/>
        <v/>
      </c>
      <c r="R12" s="1">
        <f>VLOOKUP(--J12,test3,11,FALSE)*K12+VLOOKUP(--L12,test3,11,FALSE)*M12+IF(N12="",0,VLOOKUP(--N12,test3,11,FALSE)*O12)+IF(P12="",0,VLOOKUP(--P12,test3,11,FALSE)*Q12)</f>
        <v>9</v>
      </c>
    </row>
    <row r="13" spans="2:18" x14ac:dyDescent="0.15">
      <c r="B13" s="1">
        <f>[1]item!$D12</f>
        <v>100011</v>
      </c>
      <c r="C13" s="1">
        <f>[1]item!$C12</f>
        <v>101020200</v>
      </c>
      <c r="D13" s="1">
        <f t="shared" si="1"/>
        <v>2</v>
      </c>
      <c r="E13" s="1">
        <f t="shared" si="2"/>
        <v>1</v>
      </c>
      <c r="F13" s="1">
        <f t="shared" si="3"/>
        <v>1</v>
      </c>
      <c r="G13" s="1" t="str">
        <f t="shared" si="0"/>
        <v>地脉</v>
      </c>
      <c r="H13" s="1">
        <v>2</v>
      </c>
      <c r="I13" s="1" t="str">
        <f t="shared" si="4"/>
        <v>,50069,50031</v>
      </c>
      <c r="J13" s="1" t="str">
        <f t="shared" si="5"/>
        <v>50069</v>
      </c>
      <c r="K13" s="1">
        <v>4</v>
      </c>
      <c r="L13" s="1" t="str">
        <f t="shared" si="6"/>
        <v>50031</v>
      </c>
      <c r="M13" s="1">
        <v>2</v>
      </c>
      <c r="N13" s="1" t="str">
        <f t="shared" si="7"/>
        <v/>
      </c>
      <c r="P13" s="1" t="str">
        <f t="shared" si="8"/>
        <v/>
      </c>
      <c r="R13" s="1">
        <f>VLOOKUP(--J13,test3,11,FALSE)*K13+VLOOKUP(--L13,test3,11,FALSE)*M13+IF(N13="",0,VLOOKUP(--N13,test3,11,FALSE)*O13)+IF(P13="",0,VLOOKUP(--P13,test3,11,FALSE)*Q13)</f>
        <v>9</v>
      </c>
    </row>
    <row r="14" spans="2:18" x14ac:dyDescent="0.15">
      <c r="B14" s="1">
        <f>[1]item!$D13</f>
        <v>100012</v>
      </c>
      <c r="C14" s="1">
        <f>[1]item!$C13</f>
        <v>101030200</v>
      </c>
      <c r="D14" s="1">
        <f t="shared" si="1"/>
        <v>3</v>
      </c>
      <c r="E14" s="1">
        <f t="shared" si="2"/>
        <v>1</v>
      </c>
      <c r="F14" s="1">
        <f t="shared" si="3"/>
        <v>1</v>
      </c>
      <c r="G14" s="1" t="str">
        <f t="shared" si="0"/>
        <v>地脉</v>
      </c>
      <c r="H14" s="1">
        <v>2</v>
      </c>
      <c r="I14" s="1" t="str">
        <f t="shared" si="4"/>
        <v>,50045,50189</v>
      </c>
      <c r="J14" s="1" t="str">
        <f t="shared" si="5"/>
        <v>50045</v>
      </c>
      <c r="K14" s="1">
        <v>4</v>
      </c>
      <c r="L14" s="1" t="str">
        <f t="shared" si="6"/>
        <v>50189</v>
      </c>
      <c r="M14" s="1">
        <v>2</v>
      </c>
      <c r="N14" s="1" t="str">
        <f t="shared" si="7"/>
        <v/>
      </c>
      <c r="P14" s="1" t="str">
        <f t="shared" si="8"/>
        <v/>
      </c>
      <c r="R14" s="1">
        <f>VLOOKUP(--J14,test3,11,FALSE)*K14+VLOOKUP(--L14,test3,11,FALSE)*M14+IF(N14="",0,VLOOKUP(--N14,test3,11,FALSE)*O14)+IF(P14="",0,VLOOKUP(--P14,test3,11,FALSE)*Q14)</f>
        <v>9</v>
      </c>
    </row>
    <row r="15" spans="2:18" x14ac:dyDescent="0.15">
      <c r="B15" s="1">
        <f>[1]item!$D14</f>
        <v>100013</v>
      </c>
      <c r="C15" s="1">
        <f>[1]item!$C14</f>
        <v>101040200</v>
      </c>
      <c r="D15" s="1">
        <f t="shared" si="1"/>
        <v>4</v>
      </c>
      <c r="E15" s="1">
        <f t="shared" si="2"/>
        <v>1</v>
      </c>
      <c r="F15" s="1">
        <f t="shared" si="3"/>
        <v>1</v>
      </c>
      <c r="G15" s="1" t="str">
        <f t="shared" si="0"/>
        <v>地脉</v>
      </c>
      <c r="H15" s="1">
        <v>2</v>
      </c>
      <c r="I15" s="1" t="str">
        <f t="shared" si="4"/>
        <v>,50001,50047</v>
      </c>
      <c r="J15" s="1" t="str">
        <f t="shared" si="5"/>
        <v>50001</v>
      </c>
      <c r="K15" s="1">
        <v>4</v>
      </c>
      <c r="L15" s="1" t="str">
        <f t="shared" si="6"/>
        <v>50047</v>
      </c>
      <c r="M15" s="1">
        <v>2</v>
      </c>
      <c r="N15" s="1" t="str">
        <f t="shared" si="7"/>
        <v/>
      </c>
      <c r="P15" s="1" t="str">
        <f t="shared" si="8"/>
        <v/>
      </c>
      <c r="R15" s="1">
        <f>VLOOKUP(--J15,test3,11,FALSE)*K15+VLOOKUP(--L15,test3,11,FALSE)*M15+IF(N15="",0,VLOOKUP(--N15,test3,11,FALSE)*O15)+IF(P15="",0,VLOOKUP(--P15,test3,11,FALSE)*Q15)</f>
        <v>9</v>
      </c>
    </row>
    <row r="16" spans="2:18" x14ac:dyDescent="0.15">
      <c r="B16" s="1">
        <f>[1]item!$D15</f>
        <v>100014</v>
      </c>
      <c r="C16" s="1">
        <f>[1]item!$C15</f>
        <v>101050200</v>
      </c>
      <c r="D16" s="1">
        <f t="shared" si="1"/>
        <v>5</v>
      </c>
      <c r="E16" s="1">
        <f t="shared" si="2"/>
        <v>1</v>
      </c>
      <c r="F16" s="1">
        <f t="shared" si="3"/>
        <v>1</v>
      </c>
      <c r="G16" s="1" t="str">
        <f t="shared" si="0"/>
        <v>地脉</v>
      </c>
      <c r="H16" s="1">
        <v>2</v>
      </c>
      <c r="I16" s="1" t="str">
        <f t="shared" si="4"/>
        <v>,50052,50015</v>
      </c>
      <c r="J16" s="1" t="str">
        <f t="shared" si="5"/>
        <v>50052</v>
      </c>
      <c r="K16" s="1">
        <v>4</v>
      </c>
      <c r="L16" s="1" t="str">
        <f t="shared" si="6"/>
        <v>50015</v>
      </c>
      <c r="M16" s="1">
        <v>2</v>
      </c>
      <c r="N16" s="1" t="str">
        <f t="shared" si="7"/>
        <v/>
      </c>
      <c r="P16" s="1" t="str">
        <f t="shared" si="8"/>
        <v/>
      </c>
      <c r="R16" s="1">
        <f>VLOOKUP(--J16,test3,11,FALSE)*K16+VLOOKUP(--L16,test3,11,FALSE)*M16+IF(N16="",0,VLOOKUP(--N16,test3,11,FALSE)*O16)+IF(P16="",0,VLOOKUP(--P16,test3,11,FALSE)*Q16)</f>
        <v>9</v>
      </c>
    </row>
    <row r="17" spans="2:18" x14ac:dyDescent="0.15">
      <c r="B17" s="1">
        <f>[1]item!$D16</f>
        <v>100015</v>
      </c>
      <c r="C17" s="1">
        <f>[1]item!$C16</f>
        <v>101060200</v>
      </c>
      <c r="D17" s="1">
        <f t="shared" si="1"/>
        <v>6</v>
      </c>
      <c r="E17" s="1">
        <f t="shared" si="2"/>
        <v>1</v>
      </c>
      <c r="F17" s="1">
        <f t="shared" si="3"/>
        <v>1</v>
      </c>
      <c r="G17" s="1" t="str">
        <f t="shared" si="0"/>
        <v>地脉</v>
      </c>
      <c r="H17" s="1">
        <v>2</v>
      </c>
      <c r="I17" s="1" t="str">
        <f t="shared" si="4"/>
        <v>,50005,50001</v>
      </c>
      <c r="J17" s="1" t="str">
        <f t="shared" si="5"/>
        <v>50005</v>
      </c>
      <c r="K17" s="1">
        <v>4</v>
      </c>
      <c r="L17" s="1" t="str">
        <f t="shared" si="6"/>
        <v>50001</v>
      </c>
      <c r="M17" s="1">
        <v>2</v>
      </c>
      <c r="N17" s="1" t="str">
        <f t="shared" si="7"/>
        <v/>
      </c>
      <c r="P17" s="1" t="str">
        <f t="shared" si="8"/>
        <v/>
      </c>
      <c r="R17" s="1">
        <f>VLOOKUP(--J17,test3,11,FALSE)*K17+VLOOKUP(--L17,test3,11,FALSE)*M17+IF(N17="",0,VLOOKUP(--N17,test3,11,FALSE)*O17)+IF(P17="",0,VLOOKUP(--P17,test3,11,FALSE)*Q17)</f>
        <v>9</v>
      </c>
    </row>
    <row r="18" spans="2:18" x14ac:dyDescent="0.15">
      <c r="B18" s="1">
        <f>[1]item!$D17</f>
        <v>100016</v>
      </c>
      <c r="C18" s="1">
        <f>[1]item!$C17</f>
        <v>101070200</v>
      </c>
      <c r="D18" s="1">
        <f t="shared" si="1"/>
        <v>7</v>
      </c>
      <c r="E18" s="1">
        <f t="shared" si="2"/>
        <v>1</v>
      </c>
      <c r="F18" s="1">
        <f t="shared" si="3"/>
        <v>1</v>
      </c>
      <c r="G18" s="1" t="str">
        <f t="shared" si="0"/>
        <v>地脉</v>
      </c>
      <c r="H18" s="1">
        <v>2</v>
      </c>
      <c r="I18" s="1" t="str">
        <f t="shared" si="4"/>
        <v>,50189,50035</v>
      </c>
      <c r="J18" s="1" t="str">
        <f t="shared" si="5"/>
        <v>50189</v>
      </c>
      <c r="K18" s="1">
        <v>4</v>
      </c>
      <c r="L18" s="1" t="str">
        <f t="shared" si="6"/>
        <v>50035</v>
      </c>
      <c r="M18" s="1">
        <v>2</v>
      </c>
      <c r="N18" s="1" t="str">
        <f t="shared" si="7"/>
        <v/>
      </c>
      <c r="P18" s="1" t="str">
        <f t="shared" si="8"/>
        <v/>
      </c>
      <c r="R18" s="1">
        <f>VLOOKUP(--J18,test3,11,FALSE)*K18+VLOOKUP(--L18,test3,11,FALSE)*M18+IF(N18="",0,VLOOKUP(--N18,test3,11,FALSE)*O18)+IF(P18="",0,VLOOKUP(--P18,test3,11,FALSE)*Q18)</f>
        <v>9</v>
      </c>
    </row>
    <row r="19" spans="2:18" x14ac:dyDescent="0.15">
      <c r="B19" s="1">
        <f>[1]item!$D18</f>
        <v>100017</v>
      </c>
      <c r="C19" s="1">
        <f>[1]item!$C18</f>
        <v>101080200</v>
      </c>
      <c r="D19" s="1">
        <f t="shared" si="1"/>
        <v>8</v>
      </c>
      <c r="E19" s="1">
        <f t="shared" si="2"/>
        <v>1</v>
      </c>
      <c r="F19" s="1">
        <f t="shared" si="3"/>
        <v>1</v>
      </c>
      <c r="G19" s="1" t="str">
        <f t="shared" si="0"/>
        <v>地脉</v>
      </c>
      <c r="H19" s="1">
        <v>2</v>
      </c>
      <c r="I19" s="1" t="str">
        <f t="shared" si="4"/>
        <v>,50009,50013</v>
      </c>
      <c r="J19" s="1" t="str">
        <f t="shared" si="5"/>
        <v>50009</v>
      </c>
      <c r="K19" s="1">
        <v>4</v>
      </c>
      <c r="L19" s="1" t="str">
        <f t="shared" si="6"/>
        <v>50013</v>
      </c>
      <c r="M19" s="1">
        <v>2</v>
      </c>
      <c r="N19" s="1" t="str">
        <f t="shared" si="7"/>
        <v/>
      </c>
      <c r="P19" s="1" t="str">
        <f t="shared" si="8"/>
        <v/>
      </c>
      <c r="R19" s="1">
        <f>VLOOKUP(--J19,test3,11,FALSE)*K19+VLOOKUP(--L19,test3,11,FALSE)*M19+IF(N19="",0,VLOOKUP(--N19,test3,11,FALSE)*O19)+IF(P19="",0,VLOOKUP(--P19,test3,11,FALSE)*Q19)</f>
        <v>9</v>
      </c>
    </row>
    <row r="20" spans="2:18" x14ac:dyDescent="0.15">
      <c r="B20" s="1">
        <f>[1]item!$D19</f>
        <v>100018</v>
      </c>
      <c r="C20" s="1">
        <f>[1]item!$C19</f>
        <v>101090200</v>
      </c>
      <c r="D20" s="1">
        <f t="shared" si="1"/>
        <v>9</v>
      </c>
      <c r="E20" s="1">
        <f t="shared" si="2"/>
        <v>1</v>
      </c>
      <c r="F20" s="1">
        <f t="shared" si="3"/>
        <v>1</v>
      </c>
      <c r="G20" s="1" t="str">
        <f t="shared" si="0"/>
        <v>地脉</v>
      </c>
      <c r="H20" s="1">
        <v>2</v>
      </c>
      <c r="I20" s="1" t="str">
        <f t="shared" si="4"/>
        <v>,50119,50005</v>
      </c>
      <c r="J20" s="1" t="str">
        <f t="shared" si="5"/>
        <v>50119</v>
      </c>
      <c r="K20" s="1">
        <v>4</v>
      </c>
      <c r="L20" s="1" t="str">
        <f t="shared" si="6"/>
        <v>50005</v>
      </c>
      <c r="M20" s="1">
        <v>2</v>
      </c>
      <c r="N20" s="1" t="str">
        <f t="shared" si="7"/>
        <v/>
      </c>
      <c r="P20" s="1" t="str">
        <f t="shared" si="8"/>
        <v/>
      </c>
      <c r="R20" s="1">
        <f>VLOOKUP(--J20,test3,11,FALSE)*K20+VLOOKUP(--L20,test3,11,FALSE)*M20+IF(N20="",0,VLOOKUP(--N20,test3,11,FALSE)*O20)+IF(P20="",0,VLOOKUP(--P20,test3,11,FALSE)*Q20)</f>
        <v>9</v>
      </c>
    </row>
    <row r="21" spans="2:18" x14ac:dyDescent="0.15">
      <c r="B21" s="1">
        <f>[1]item!$D20</f>
        <v>100019</v>
      </c>
      <c r="C21" s="1">
        <f>[1]item!$C20</f>
        <v>101010300</v>
      </c>
      <c r="D21" s="1">
        <f t="shared" si="1"/>
        <v>1</v>
      </c>
      <c r="E21" s="1">
        <f t="shared" si="2"/>
        <v>1</v>
      </c>
      <c r="F21" s="1">
        <f t="shared" si="3"/>
        <v>1</v>
      </c>
      <c r="G21" s="1" t="str">
        <f t="shared" si="0"/>
        <v>神圣</v>
      </c>
      <c r="H21" s="1">
        <v>2</v>
      </c>
      <c r="I21" s="1" t="str">
        <f t="shared" si="4"/>
        <v>,50009,50051</v>
      </c>
      <c r="J21" s="1" t="str">
        <f t="shared" si="5"/>
        <v>50009</v>
      </c>
      <c r="K21" s="1">
        <v>4</v>
      </c>
      <c r="L21" s="1" t="str">
        <f t="shared" si="6"/>
        <v>50051</v>
      </c>
      <c r="M21" s="1">
        <v>2</v>
      </c>
      <c r="N21" s="1" t="str">
        <f t="shared" si="7"/>
        <v/>
      </c>
      <c r="P21" s="1" t="str">
        <f t="shared" si="8"/>
        <v/>
      </c>
      <c r="R21" s="1">
        <f>VLOOKUP(--J21,test3,11,FALSE)*K21+VLOOKUP(--L21,test3,11,FALSE)*M21+IF(N21="",0,VLOOKUP(--N21,test3,11,FALSE)*O21)+IF(P21="",0,VLOOKUP(--P21,test3,11,FALSE)*Q21)</f>
        <v>9</v>
      </c>
    </row>
    <row r="22" spans="2:18" x14ac:dyDescent="0.15">
      <c r="B22" s="1">
        <f>[1]item!$D21</f>
        <v>100020</v>
      </c>
      <c r="C22" s="1">
        <f>[1]item!$C21</f>
        <v>101020300</v>
      </c>
      <c r="D22" s="1">
        <f t="shared" si="1"/>
        <v>2</v>
      </c>
      <c r="E22" s="1">
        <f t="shared" si="2"/>
        <v>1</v>
      </c>
      <c r="F22" s="1">
        <f t="shared" si="3"/>
        <v>1</v>
      </c>
      <c r="G22" s="1" t="str">
        <f t="shared" si="0"/>
        <v>神圣</v>
      </c>
      <c r="H22" s="1">
        <v>2</v>
      </c>
      <c r="I22" s="1" t="str">
        <f t="shared" si="4"/>
        <v>,50052,50041</v>
      </c>
      <c r="J22" s="1" t="str">
        <f t="shared" si="5"/>
        <v>50052</v>
      </c>
      <c r="K22" s="1">
        <v>4</v>
      </c>
      <c r="L22" s="1" t="str">
        <f t="shared" si="6"/>
        <v>50041</v>
      </c>
      <c r="M22" s="1">
        <v>2</v>
      </c>
      <c r="N22" s="1" t="str">
        <f t="shared" si="7"/>
        <v/>
      </c>
      <c r="P22" s="1" t="str">
        <f t="shared" si="8"/>
        <v/>
      </c>
      <c r="R22" s="1">
        <f>VLOOKUP(--J22,test3,11,FALSE)*K22+VLOOKUP(--L22,test3,11,FALSE)*M22+IF(N22="",0,VLOOKUP(--N22,test3,11,FALSE)*O22)+IF(P22="",0,VLOOKUP(--P22,test3,11,FALSE)*Q22)</f>
        <v>9</v>
      </c>
    </row>
    <row r="23" spans="2:18" x14ac:dyDescent="0.15">
      <c r="B23" s="1">
        <f>[1]item!$D22</f>
        <v>100021</v>
      </c>
      <c r="C23" s="1">
        <f>[1]item!$C22</f>
        <v>101030300</v>
      </c>
      <c r="D23" s="1">
        <f t="shared" si="1"/>
        <v>3</v>
      </c>
      <c r="E23" s="1">
        <f t="shared" si="2"/>
        <v>1</v>
      </c>
      <c r="F23" s="1">
        <f t="shared" si="3"/>
        <v>1</v>
      </c>
      <c r="G23" s="1" t="str">
        <f t="shared" si="0"/>
        <v>神圣</v>
      </c>
      <c r="H23" s="1">
        <v>2</v>
      </c>
      <c r="I23" s="1" t="str">
        <f t="shared" si="4"/>
        <v>,50005,50015</v>
      </c>
      <c r="J23" s="1" t="str">
        <f t="shared" si="5"/>
        <v>50005</v>
      </c>
      <c r="K23" s="1">
        <v>4</v>
      </c>
      <c r="L23" s="1" t="str">
        <f t="shared" si="6"/>
        <v>50015</v>
      </c>
      <c r="M23" s="1">
        <v>2</v>
      </c>
      <c r="N23" s="1" t="str">
        <f t="shared" si="7"/>
        <v/>
      </c>
      <c r="P23" s="1" t="str">
        <f t="shared" si="8"/>
        <v/>
      </c>
      <c r="R23" s="1">
        <f>VLOOKUP(--J23,test3,11,FALSE)*K23+VLOOKUP(--L23,test3,11,FALSE)*M23+IF(N23="",0,VLOOKUP(--N23,test3,11,FALSE)*O23)+IF(P23="",0,VLOOKUP(--P23,test3,11,FALSE)*Q23)</f>
        <v>9</v>
      </c>
    </row>
    <row r="24" spans="2:18" x14ac:dyDescent="0.15">
      <c r="B24" s="1">
        <f>[1]item!$D23</f>
        <v>100022</v>
      </c>
      <c r="C24" s="1">
        <f>[1]item!$C23</f>
        <v>101040300</v>
      </c>
      <c r="D24" s="1">
        <f t="shared" si="1"/>
        <v>4</v>
      </c>
      <c r="E24" s="1">
        <f t="shared" si="2"/>
        <v>1</v>
      </c>
      <c r="F24" s="1">
        <f t="shared" si="3"/>
        <v>1</v>
      </c>
      <c r="G24" s="1" t="str">
        <f t="shared" si="0"/>
        <v>神圣</v>
      </c>
      <c r="H24" s="1">
        <v>2</v>
      </c>
      <c r="I24" s="1" t="str">
        <f t="shared" si="4"/>
        <v>,50035,50047</v>
      </c>
      <c r="J24" s="1" t="str">
        <f t="shared" si="5"/>
        <v>50035</v>
      </c>
      <c r="K24" s="1">
        <v>4</v>
      </c>
      <c r="L24" s="1" t="str">
        <f t="shared" si="6"/>
        <v>50047</v>
      </c>
      <c r="M24" s="1">
        <v>2</v>
      </c>
      <c r="N24" s="1" t="str">
        <f t="shared" si="7"/>
        <v/>
      </c>
      <c r="P24" s="1" t="str">
        <f t="shared" si="8"/>
        <v/>
      </c>
      <c r="R24" s="1">
        <f>VLOOKUP(--J24,test3,11,FALSE)*K24+VLOOKUP(--L24,test3,11,FALSE)*M24+IF(N24="",0,VLOOKUP(--N24,test3,11,FALSE)*O24)+IF(P24="",0,VLOOKUP(--P24,test3,11,FALSE)*Q24)</f>
        <v>9</v>
      </c>
    </row>
    <row r="25" spans="2:18" x14ac:dyDescent="0.15">
      <c r="B25" s="1">
        <f>[1]item!$D24</f>
        <v>100023</v>
      </c>
      <c r="C25" s="1">
        <f>[1]item!$C24</f>
        <v>101050300</v>
      </c>
      <c r="D25" s="1">
        <f t="shared" si="1"/>
        <v>5</v>
      </c>
      <c r="E25" s="1">
        <f t="shared" si="2"/>
        <v>1</v>
      </c>
      <c r="F25" s="1">
        <f t="shared" si="3"/>
        <v>1</v>
      </c>
      <c r="G25" s="1" t="str">
        <f t="shared" si="0"/>
        <v>神圣</v>
      </c>
      <c r="H25" s="1">
        <v>2</v>
      </c>
      <c r="I25" s="1" t="str">
        <f t="shared" si="4"/>
        <v>,50047,50031</v>
      </c>
      <c r="J25" s="1" t="str">
        <f t="shared" si="5"/>
        <v>50047</v>
      </c>
      <c r="K25" s="1">
        <v>4</v>
      </c>
      <c r="L25" s="1" t="str">
        <f t="shared" si="6"/>
        <v>50031</v>
      </c>
      <c r="M25" s="1">
        <v>2</v>
      </c>
      <c r="N25" s="1" t="str">
        <f t="shared" si="7"/>
        <v/>
      </c>
      <c r="P25" s="1" t="str">
        <f t="shared" si="8"/>
        <v/>
      </c>
      <c r="R25" s="1">
        <f>VLOOKUP(--J25,test3,11,FALSE)*K25+VLOOKUP(--L25,test3,11,FALSE)*M25+IF(N25="",0,VLOOKUP(--N25,test3,11,FALSE)*O25)+IF(P25="",0,VLOOKUP(--P25,test3,11,FALSE)*Q25)</f>
        <v>9</v>
      </c>
    </row>
    <row r="26" spans="2:18" x14ac:dyDescent="0.15">
      <c r="B26" s="1">
        <f>[1]item!$D25</f>
        <v>100024</v>
      </c>
      <c r="C26" s="1">
        <f>[1]item!$C25</f>
        <v>101060300</v>
      </c>
      <c r="D26" s="1">
        <f t="shared" si="1"/>
        <v>6</v>
      </c>
      <c r="E26" s="1">
        <f t="shared" si="2"/>
        <v>1</v>
      </c>
      <c r="F26" s="1">
        <f t="shared" si="3"/>
        <v>1</v>
      </c>
      <c r="G26" s="1" t="str">
        <f t="shared" si="0"/>
        <v>神圣</v>
      </c>
      <c r="H26" s="1">
        <v>2</v>
      </c>
      <c r="I26" s="1" t="str">
        <f t="shared" si="4"/>
        <v>,50069,50145</v>
      </c>
      <c r="J26" s="1" t="str">
        <f t="shared" si="5"/>
        <v>50069</v>
      </c>
      <c r="K26" s="1">
        <v>4</v>
      </c>
      <c r="L26" s="1" t="str">
        <f t="shared" si="6"/>
        <v>50145</v>
      </c>
      <c r="M26" s="1">
        <v>2</v>
      </c>
      <c r="N26" s="1" t="str">
        <f t="shared" si="7"/>
        <v/>
      </c>
      <c r="P26" s="1" t="str">
        <f t="shared" si="8"/>
        <v/>
      </c>
      <c r="R26" s="1">
        <f>VLOOKUP(--J26,test3,11,FALSE)*K26+VLOOKUP(--L26,test3,11,FALSE)*M26+IF(N26="",0,VLOOKUP(--N26,test3,11,FALSE)*O26)+IF(P26="",0,VLOOKUP(--P26,test3,11,FALSE)*Q26)</f>
        <v>9</v>
      </c>
    </row>
    <row r="27" spans="2:18" x14ac:dyDescent="0.15">
      <c r="B27" s="1">
        <f>[1]item!$D26</f>
        <v>100025</v>
      </c>
      <c r="C27" s="1">
        <f>[1]item!$C26</f>
        <v>101070300</v>
      </c>
      <c r="D27" s="1">
        <f t="shared" si="1"/>
        <v>7</v>
      </c>
      <c r="E27" s="1">
        <f t="shared" si="2"/>
        <v>1</v>
      </c>
      <c r="F27" s="1">
        <f t="shared" si="3"/>
        <v>1</v>
      </c>
      <c r="G27" s="1" t="str">
        <f t="shared" si="0"/>
        <v>神圣</v>
      </c>
      <c r="H27" s="1">
        <v>2</v>
      </c>
      <c r="I27" s="1" t="str">
        <f t="shared" si="4"/>
        <v>,50069,50145</v>
      </c>
      <c r="J27" s="1" t="str">
        <f t="shared" si="5"/>
        <v>50069</v>
      </c>
      <c r="K27" s="1">
        <v>4</v>
      </c>
      <c r="L27" s="1" t="str">
        <f t="shared" si="6"/>
        <v>50145</v>
      </c>
      <c r="M27" s="1">
        <v>2</v>
      </c>
      <c r="N27" s="1" t="str">
        <f t="shared" si="7"/>
        <v/>
      </c>
      <c r="P27" s="1" t="str">
        <f t="shared" si="8"/>
        <v/>
      </c>
      <c r="R27" s="1">
        <f>VLOOKUP(--J27,test3,11,FALSE)*K27+VLOOKUP(--L27,test3,11,FALSE)*M27+IF(N27="",0,VLOOKUP(--N27,test3,11,FALSE)*O27)+IF(P27="",0,VLOOKUP(--P27,test3,11,FALSE)*Q27)</f>
        <v>9</v>
      </c>
    </row>
    <row r="28" spans="2:18" x14ac:dyDescent="0.15">
      <c r="B28" s="1">
        <f>[1]item!$D27</f>
        <v>100026</v>
      </c>
      <c r="C28" s="1">
        <f>[1]item!$C27</f>
        <v>101080300</v>
      </c>
      <c r="D28" s="1">
        <f t="shared" si="1"/>
        <v>8</v>
      </c>
      <c r="E28" s="1">
        <f t="shared" si="2"/>
        <v>1</v>
      </c>
      <c r="F28" s="1">
        <f t="shared" si="3"/>
        <v>1</v>
      </c>
      <c r="G28" s="1" t="str">
        <f t="shared" si="0"/>
        <v>神圣</v>
      </c>
      <c r="H28" s="1">
        <v>2</v>
      </c>
      <c r="I28" s="1" t="str">
        <f t="shared" si="4"/>
        <v>,50119,50005</v>
      </c>
      <c r="J28" s="1" t="str">
        <f t="shared" si="5"/>
        <v>50119</v>
      </c>
      <c r="K28" s="1">
        <v>4</v>
      </c>
      <c r="L28" s="1" t="str">
        <f t="shared" si="6"/>
        <v>50005</v>
      </c>
      <c r="M28" s="1">
        <v>2</v>
      </c>
      <c r="N28" s="1" t="str">
        <f t="shared" si="7"/>
        <v/>
      </c>
      <c r="P28" s="1" t="str">
        <f t="shared" si="8"/>
        <v/>
      </c>
      <c r="R28" s="1">
        <f>VLOOKUP(--J28,test3,11,FALSE)*K28+VLOOKUP(--L28,test3,11,FALSE)*M28+IF(N28="",0,VLOOKUP(--N28,test3,11,FALSE)*O28)+IF(P28="",0,VLOOKUP(--P28,test3,11,FALSE)*Q28)</f>
        <v>9</v>
      </c>
    </row>
    <row r="29" spans="2:18" x14ac:dyDescent="0.15">
      <c r="B29" s="1">
        <f>[1]item!$D28</f>
        <v>100027</v>
      </c>
      <c r="C29" s="1">
        <f>[1]item!$C28</f>
        <v>101090300</v>
      </c>
      <c r="D29" s="1">
        <f t="shared" si="1"/>
        <v>9</v>
      </c>
      <c r="E29" s="1">
        <f t="shared" si="2"/>
        <v>1</v>
      </c>
      <c r="F29" s="1">
        <f t="shared" si="3"/>
        <v>1</v>
      </c>
      <c r="G29" s="1" t="str">
        <f t="shared" si="0"/>
        <v>神圣</v>
      </c>
      <c r="H29" s="1">
        <v>2</v>
      </c>
      <c r="I29" s="1" t="str">
        <f t="shared" si="4"/>
        <v>,50119,50145</v>
      </c>
      <c r="J29" s="1" t="str">
        <f t="shared" si="5"/>
        <v>50119</v>
      </c>
      <c r="K29" s="1">
        <v>4</v>
      </c>
      <c r="L29" s="1" t="str">
        <f t="shared" si="6"/>
        <v>50145</v>
      </c>
      <c r="M29" s="1">
        <v>2</v>
      </c>
      <c r="N29" s="1" t="str">
        <f t="shared" si="7"/>
        <v/>
      </c>
      <c r="P29" s="1" t="str">
        <f t="shared" si="8"/>
        <v/>
      </c>
      <c r="R29" s="1">
        <f>VLOOKUP(--J29,test3,11,FALSE)*K29+VLOOKUP(--L29,test3,11,FALSE)*M29+IF(N29="",0,VLOOKUP(--N29,test3,11,FALSE)*O29)+IF(P29="",0,VLOOKUP(--P29,test3,11,FALSE)*Q29)</f>
        <v>9</v>
      </c>
    </row>
    <row r="30" spans="2:18" x14ac:dyDescent="0.15">
      <c r="B30" s="1">
        <f>[1]item!$D29</f>
        <v>100028</v>
      </c>
      <c r="C30" s="1">
        <f>[1]item!$C29</f>
        <v>101010400</v>
      </c>
      <c r="D30" s="1">
        <f t="shared" si="1"/>
        <v>1</v>
      </c>
      <c r="E30" s="1">
        <f t="shared" si="2"/>
        <v>1</v>
      </c>
      <c r="F30" s="1">
        <f t="shared" si="3"/>
        <v>1</v>
      </c>
      <c r="G30" s="1" t="str">
        <f t="shared" si="0"/>
        <v>电击</v>
      </c>
      <c r="H30" s="1">
        <v>2</v>
      </c>
      <c r="I30" s="1" t="str">
        <f t="shared" si="4"/>
        <v>,50168,50001</v>
      </c>
      <c r="J30" s="1" t="str">
        <f t="shared" si="5"/>
        <v>50168</v>
      </c>
      <c r="K30" s="1">
        <v>4</v>
      </c>
      <c r="L30" s="1" t="str">
        <f t="shared" si="6"/>
        <v>50001</v>
      </c>
      <c r="M30" s="1">
        <v>2</v>
      </c>
      <c r="N30" s="1" t="str">
        <f t="shared" si="7"/>
        <v/>
      </c>
      <c r="P30" s="1" t="str">
        <f t="shared" si="8"/>
        <v/>
      </c>
      <c r="R30" s="1">
        <f>VLOOKUP(--J30,test3,11,FALSE)*K30+VLOOKUP(--L30,test3,11,FALSE)*M30+IF(N30="",0,VLOOKUP(--N30,test3,11,FALSE)*O30)+IF(P30="",0,VLOOKUP(--P30,test3,11,FALSE)*Q30)</f>
        <v>9</v>
      </c>
    </row>
    <row r="31" spans="2:18" x14ac:dyDescent="0.15">
      <c r="B31" s="1">
        <f>[1]item!$D30</f>
        <v>100029</v>
      </c>
      <c r="C31" s="1">
        <f>[1]item!$C30</f>
        <v>101020400</v>
      </c>
      <c r="D31" s="1">
        <f t="shared" si="1"/>
        <v>2</v>
      </c>
      <c r="E31" s="1">
        <f t="shared" si="2"/>
        <v>1</v>
      </c>
      <c r="F31" s="1">
        <f t="shared" si="3"/>
        <v>1</v>
      </c>
      <c r="G31" s="1" t="str">
        <f t="shared" si="0"/>
        <v>电击</v>
      </c>
      <c r="H31" s="1">
        <v>2</v>
      </c>
      <c r="I31" s="1" t="str">
        <f t="shared" si="4"/>
        <v>,50045,50009</v>
      </c>
      <c r="J31" s="1" t="str">
        <f t="shared" si="5"/>
        <v>50045</v>
      </c>
      <c r="K31" s="1">
        <v>4</v>
      </c>
      <c r="L31" s="1" t="str">
        <f t="shared" si="6"/>
        <v>50009</v>
      </c>
      <c r="M31" s="1">
        <v>2</v>
      </c>
      <c r="N31" s="1" t="str">
        <f t="shared" si="7"/>
        <v/>
      </c>
      <c r="P31" s="1" t="str">
        <f t="shared" si="8"/>
        <v/>
      </c>
      <c r="R31" s="1">
        <f>VLOOKUP(--J31,test3,11,FALSE)*K31+VLOOKUP(--L31,test3,11,FALSE)*M31+IF(N31="",0,VLOOKUP(--N31,test3,11,FALSE)*O31)+IF(P31="",0,VLOOKUP(--P31,test3,11,FALSE)*Q31)</f>
        <v>9</v>
      </c>
    </row>
    <row r="32" spans="2:18" x14ac:dyDescent="0.15">
      <c r="B32" s="1">
        <f>[1]item!$D31</f>
        <v>100030</v>
      </c>
      <c r="C32" s="1">
        <f>[1]item!$C31</f>
        <v>101030400</v>
      </c>
      <c r="D32" s="1">
        <f t="shared" si="1"/>
        <v>3</v>
      </c>
      <c r="E32" s="1">
        <f t="shared" si="2"/>
        <v>1</v>
      </c>
      <c r="F32" s="1">
        <f t="shared" si="3"/>
        <v>1</v>
      </c>
      <c r="G32" s="1" t="str">
        <f t="shared" si="0"/>
        <v>电击</v>
      </c>
      <c r="H32" s="1">
        <v>2</v>
      </c>
      <c r="I32" s="1" t="str">
        <f t="shared" si="4"/>
        <v>,50119,50145</v>
      </c>
      <c r="J32" s="1" t="str">
        <f t="shared" si="5"/>
        <v>50119</v>
      </c>
      <c r="K32" s="1">
        <v>4</v>
      </c>
      <c r="L32" s="1" t="str">
        <f t="shared" si="6"/>
        <v>50145</v>
      </c>
      <c r="M32" s="1">
        <v>2</v>
      </c>
      <c r="N32" s="1" t="str">
        <f t="shared" si="7"/>
        <v/>
      </c>
      <c r="P32" s="1" t="str">
        <f t="shared" si="8"/>
        <v/>
      </c>
      <c r="R32" s="1">
        <f>VLOOKUP(--J32,test3,11,FALSE)*K32+VLOOKUP(--L32,test3,11,FALSE)*M32+IF(N32="",0,VLOOKUP(--N32,test3,11,FALSE)*O32)+IF(P32="",0,VLOOKUP(--P32,test3,11,FALSE)*Q32)</f>
        <v>9</v>
      </c>
    </row>
    <row r="33" spans="2:18" x14ac:dyDescent="0.15">
      <c r="B33" s="1">
        <f>[1]item!$D32</f>
        <v>100031</v>
      </c>
      <c r="C33" s="1">
        <f>[1]item!$C32</f>
        <v>101040400</v>
      </c>
      <c r="D33" s="1">
        <f t="shared" si="1"/>
        <v>4</v>
      </c>
      <c r="E33" s="1">
        <f t="shared" si="2"/>
        <v>1</v>
      </c>
      <c r="F33" s="1">
        <f t="shared" si="3"/>
        <v>1</v>
      </c>
      <c r="G33" s="1" t="str">
        <f t="shared" si="0"/>
        <v>电击</v>
      </c>
      <c r="H33" s="1">
        <v>2</v>
      </c>
      <c r="I33" s="1" t="str">
        <f t="shared" si="4"/>
        <v>,50001,50052</v>
      </c>
      <c r="J33" s="1" t="str">
        <f t="shared" si="5"/>
        <v>50001</v>
      </c>
      <c r="K33" s="1">
        <v>4</v>
      </c>
      <c r="L33" s="1" t="str">
        <f t="shared" si="6"/>
        <v>50052</v>
      </c>
      <c r="M33" s="1">
        <v>2</v>
      </c>
      <c r="N33" s="1" t="str">
        <f t="shared" si="7"/>
        <v/>
      </c>
      <c r="P33" s="1" t="str">
        <f t="shared" si="8"/>
        <v/>
      </c>
      <c r="R33" s="1">
        <f>VLOOKUP(--J33,test3,11,FALSE)*K33+VLOOKUP(--L33,test3,11,FALSE)*M33+IF(N33="",0,VLOOKUP(--N33,test3,11,FALSE)*O33)+IF(P33="",0,VLOOKUP(--P33,test3,11,FALSE)*Q33)</f>
        <v>9</v>
      </c>
    </row>
    <row r="34" spans="2:18" x14ac:dyDescent="0.15">
      <c r="B34" s="1">
        <f>[1]item!$D33</f>
        <v>100032</v>
      </c>
      <c r="C34" s="1">
        <f>[1]item!$C33</f>
        <v>101050400</v>
      </c>
      <c r="D34" s="1">
        <f t="shared" si="1"/>
        <v>5</v>
      </c>
      <c r="E34" s="1">
        <f t="shared" si="2"/>
        <v>1</v>
      </c>
      <c r="F34" s="1">
        <f t="shared" si="3"/>
        <v>1</v>
      </c>
      <c r="G34" s="1" t="str">
        <f t="shared" si="0"/>
        <v>电击</v>
      </c>
      <c r="H34" s="1">
        <v>2</v>
      </c>
      <c r="I34" s="1" t="str">
        <f t="shared" si="4"/>
        <v>,50035,50013</v>
      </c>
      <c r="J34" s="1" t="str">
        <f t="shared" si="5"/>
        <v>50035</v>
      </c>
      <c r="K34" s="1">
        <v>4</v>
      </c>
      <c r="L34" s="1" t="str">
        <f t="shared" si="6"/>
        <v>50013</v>
      </c>
      <c r="M34" s="1">
        <v>2</v>
      </c>
      <c r="N34" s="1" t="str">
        <f t="shared" si="7"/>
        <v/>
      </c>
      <c r="P34" s="1" t="str">
        <f t="shared" si="8"/>
        <v/>
      </c>
      <c r="R34" s="1">
        <f>VLOOKUP(--J34,test3,11,FALSE)*K34+VLOOKUP(--L34,test3,11,FALSE)*M34+IF(N34="",0,VLOOKUP(--N34,test3,11,FALSE)*O34)+IF(P34="",0,VLOOKUP(--P34,test3,11,FALSE)*Q34)</f>
        <v>9</v>
      </c>
    </row>
    <row r="35" spans="2:18" x14ac:dyDescent="0.15">
      <c r="B35" s="1">
        <f>[1]item!$D34</f>
        <v>100033</v>
      </c>
      <c r="C35" s="1">
        <f>[1]item!$C34</f>
        <v>101060400</v>
      </c>
      <c r="D35" s="1">
        <f t="shared" si="1"/>
        <v>6</v>
      </c>
      <c r="E35" s="1">
        <f t="shared" si="2"/>
        <v>1</v>
      </c>
      <c r="F35" s="1">
        <f t="shared" si="3"/>
        <v>1</v>
      </c>
      <c r="G35" s="1" t="str">
        <f t="shared" si="0"/>
        <v>电击</v>
      </c>
      <c r="H35" s="1">
        <v>2</v>
      </c>
      <c r="I35" s="1" t="str">
        <f t="shared" si="4"/>
        <v>,50047,50031</v>
      </c>
      <c r="J35" s="1" t="str">
        <f t="shared" si="5"/>
        <v>50047</v>
      </c>
      <c r="K35" s="1">
        <v>4</v>
      </c>
      <c r="L35" s="1" t="str">
        <f t="shared" si="6"/>
        <v>50031</v>
      </c>
      <c r="M35" s="1">
        <v>2</v>
      </c>
      <c r="N35" s="1" t="str">
        <f t="shared" si="7"/>
        <v/>
      </c>
      <c r="P35" s="1" t="str">
        <f t="shared" si="8"/>
        <v/>
      </c>
      <c r="R35" s="1">
        <f>VLOOKUP(--J35,test3,11,FALSE)*K35+VLOOKUP(--L35,test3,11,FALSE)*M35+IF(N35="",0,VLOOKUP(--N35,test3,11,FALSE)*O35)+IF(P35="",0,VLOOKUP(--P35,test3,11,FALSE)*Q35)</f>
        <v>9</v>
      </c>
    </row>
    <row r="36" spans="2:18" x14ac:dyDescent="0.15">
      <c r="B36" s="1">
        <f>[1]item!$D35</f>
        <v>100034</v>
      </c>
      <c r="C36" s="1">
        <f>[1]item!$C35</f>
        <v>101070400</v>
      </c>
      <c r="D36" s="1">
        <f t="shared" si="1"/>
        <v>7</v>
      </c>
      <c r="E36" s="1">
        <f t="shared" si="2"/>
        <v>1</v>
      </c>
      <c r="F36" s="1">
        <f t="shared" si="3"/>
        <v>1</v>
      </c>
      <c r="G36" s="1" t="str">
        <f t="shared" si="0"/>
        <v>电击</v>
      </c>
      <c r="H36" s="1">
        <v>2</v>
      </c>
      <c r="I36" s="1" t="str">
        <f t="shared" si="4"/>
        <v>,50001,50052</v>
      </c>
      <c r="J36" s="1" t="str">
        <f t="shared" si="5"/>
        <v>50001</v>
      </c>
      <c r="K36" s="1">
        <v>4</v>
      </c>
      <c r="L36" s="1" t="str">
        <f t="shared" si="6"/>
        <v>50052</v>
      </c>
      <c r="M36" s="1">
        <v>2</v>
      </c>
      <c r="N36" s="1" t="str">
        <f t="shared" si="7"/>
        <v/>
      </c>
      <c r="P36" s="1" t="str">
        <f t="shared" si="8"/>
        <v/>
      </c>
      <c r="R36" s="1">
        <f>VLOOKUP(--J36,test3,11,FALSE)*K36+VLOOKUP(--L36,test3,11,FALSE)*M36+IF(N36="",0,VLOOKUP(--N36,test3,11,FALSE)*O36)+IF(P36="",0,VLOOKUP(--P36,test3,11,FALSE)*Q36)</f>
        <v>9</v>
      </c>
    </row>
    <row r="37" spans="2:18" x14ac:dyDescent="0.15">
      <c r="B37" s="1">
        <f>[1]item!$D36</f>
        <v>100035</v>
      </c>
      <c r="C37" s="1">
        <f>[1]item!$C36</f>
        <v>101080400</v>
      </c>
      <c r="D37" s="1">
        <f t="shared" si="1"/>
        <v>8</v>
      </c>
      <c r="E37" s="1">
        <f t="shared" si="2"/>
        <v>1</v>
      </c>
      <c r="F37" s="1">
        <f t="shared" si="3"/>
        <v>1</v>
      </c>
      <c r="G37" s="1" t="str">
        <f t="shared" si="0"/>
        <v>电击</v>
      </c>
      <c r="H37" s="1">
        <v>2</v>
      </c>
      <c r="I37" s="1" t="str">
        <f t="shared" si="4"/>
        <v>,50168,50119</v>
      </c>
      <c r="J37" s="1" t="str">
        <f t="shared" si="5"/>
        <v>50168</v>
      </c>
      <c r="K37" s="1">
        <v>4</v>
      </c>
      <c r="L37" s="1" t="str">
        <f t="shared" si="6"/>
        <v>50119</v>
      </c>
      <c r="M37" s="1">
        <v>2</v>
      </c>
      <c r="N37" s="1" t="str">
        <f t="shared" si="7"/>
        <v/>
      </c>
      <c r="P37" s="1" t="str">
        <f t="shared" si="8"/>
        <v/>
      </c>
      <c r="R37" s="1">
        <f>VLOOKUP(--J37,test3,11,FALSE)*K37+VLOOKUP(--L37,test3,11,FALSE)*M37+IF(N37="",0,VLOOKUP(--N37,test3,11,FALSE)*O37)+IF(P37="",0,VLOOKUP(--P37,test3,11,FALSE)*Q37)</f>
        <v>9</v>
      </c>
    </row>
    <row r="38" spans="2:18" x14ac:dyDescent="0.15">
      <c r="B38" s="1">
        <f>[1]item!$D37</f>
        <v>100036</v>
      </c>
      <c r="C38" s="1">
        <f>[1]item!$C37</f>
        <v>101090400</v>
      </c>
      <c r="D38" s="1">
        <f t="shared" si="1"/>
        <v>9</v>
      </c>
      <c r="E38" s="1">
        <f t="shared" si="2"/>
        <v>1</v>
      </c>
      <c r="F38" s="1">
        <f t="shared" si="3"/>
        <v>1</v>
      </c>
      <c r="G38" s="1" t="str">
        <f t="shared" si="0"/>
        <v>电击</v>
      </c>
      <c r="H38" s="1">
        <v>2</v>
      </c>
      <c r="I38" s="1" t="str">
        <f t="shared" si="4"/>
        <v>,50005,50015</v>
      </c>
      <c r="J38" s="1" t="str">
        <f t="shared" si="5"/>
        <v>50005</v>
      </c>
      <c r="K38" s="1">
        <v>4</v>
      </c>
      <c r="L38" s="1" t="str">
        <f t="shared" si="6"/>
        <v>50015</v>
      </c>
      <c r="M38" s="1">
        <v>2</v>
      </c>
      <c r="N38" s="1" t="str">
        <f t="shared" si="7"/>
        <v/>
      </c>
      <c r="P38" s="1" t="str">
        <f t="shared" si="8"/>
        <v/>
      </c>
      <c r="R38" s="1">
        <f>VLOOKUP(--J38,test3,11,FALSE)*K38+VLOOKUP(--L38,test3,11,FALSE)*M38+IF(N38="",0,VLOOKUP(--N38,test3,11,FALSE)*O38)+IF(P38="",0,VLOOKUP(--P38,test3,11,FALSE)*Q38)</f>
        <v>9</v>
      </c>
    </row>
    <row r="39" spans="2:18" x14ac:dyDescent="0.15">
      <c r="B39" s="1">
        <f>[1]item!$D38</f>
        <v>100037</v>
      </c>
      <c r="C39" s="1">
        <f>[1]item!$C38</f>
        <v>101010500</v>
      </c>
      <c r="D39" s="1">
        <f t="shared" si="1"/>
        <v>1</v>
      </c>
      <c r="E39" s="1">
        <f t="shared" si="2"/>
        <v>1</v>
      </c>
      <c r="F39" s="1">
        <f t="shared" si="3"/>
        <v>1</v>
      </c>
      <c r="G39" s="1" t="str">
        <f t="shared" si="0"/>
        <v>黑暗</v>
      </c>
      <c r="H39" s="1">
        <v>2</v>
      </c>
      <c r="I39" s="1" t="str">
        <f t="shared" si="4"/>
        <v>,50069,50119</v>
      </c>
      <c r="J39" s="1" t="str">
        <f t="shared" si="5"/>
        <v>50069</v>
      </c>
      <c r="K39" s="1">
        <v>4</v>
      </c>
      <c r="L39" s="1" t="str">
        <f t="shared" si="6"/>
        <v>50119</v>
      </c>
      <c r="M39" s="1">
        <v>2</v>
      </c>
      <c r="N39" s="1" t="str">
        <f t="shared" si="7"/>
        <v/>
      </c>
      <c r="P39" s="1" t="str">
        <f t="shared" si="8"/>
        <v/>
      </c>
      <c r="R39" s="1">
        <f>VLOOKUP(--J39,test3,11,FALSE)*K39+VLOOKUP(--L39,test3,11,FALSE)*M39+IF(N39="",0,VLOOKUP(--N39,test3,11,FALSE)*O39)+IF(P39="",0,VLOOKUP(--P39,test3,11,FALSE)*Q39)</f>
        <v>9</v>
      </c>
    </row>
    <row r="40" spans="2:18" x14ac:dyDescent="0.15">
      <c r="B40" s="1">
        <f>[1]item!$D39</f>
        <v>100038</v>
      </c>
      <c r="C40" s="1">
        <f>[1]item!$C39</f>
        <v>101020500</v>
      </c>
      <c r="D40" s="1">
        <f t="shared" si="1"/>
        <v>2</v>
      </c>
      <c r="E40" s="1">
        <f t="shared" si="2"/>
        <v>1</v>
      </c>
      <c r="F40" s="1">
        <f t="shared" si="3"/>
        <v>1</v>
      </c>
      <c r="G40" s="1" t="str">
        <f t="shared" si="0"/>
        <v>黑暗</v>
      </c>
      <c r="H40" s="1">
        <v>2</v>
      </c>
      <c r="I40" s="1" t="str">
        <f t="shared" si="4"/>
        <v>,50045,50047</v>
      </c>
      <c r="J40" s="1" t="str">
        <f t="shared" si="5"/>
        <v>50045</v>
      </c>
      <c r="K40" s="1">
        <v>4</v>
      </c>
      <c r="L40" s="1" t="str">
        <f t="shared" si="6"/>
        <v>50047</v>
      </c>
      <c r="M40" s="1">
        <v>2</v>
      </c>
      <c r="N40" s="1" t="str">
        <f t="shared" si="7"/>
        <v/>
      </c>
      <c r="P40" s="1" t="str">
        <f t="shared" si="8"/>
        <v/>
      </c>
      <c r="R40" s="1">
        <f>VLOOKUP(--J40,test3,11,FALSE)*K40+VLOOKUP(--L40,test3,11,FALSE)*M40+IF(N40="",0,VLOOKUP(--N40,test3,11,FALSE)*O40)+IF(P40="",0,VLOOKUP(--P40,test3,11,FALSE)*Q40)</f>
        <v>9</v>
      </c>
    </row>
    <row r="41" spans="2:18" x14ac:dyDescent="0.15">
      <c r="B41" s="1">
        <f>[1]item!$D40</f>
        <v>100039</v>
      </c>
      <c r="C41" s="1">
        <f>[1]item!$C40</f>
        <v>101030500</v>
      </c>
      <c r="D41" s="1">
        <f t="shared" si="1"/>
        <v>3</v>
      </c>
      <c r="E41" s="1">
        <f t="shared" si="2"/>
        <v>1</v>
      </c>
      <c r="F41" s="1">
        <f t="shared" si="3"/>
        <v>1</v>
      </c>
      <c r="G41" s="1" t="str">
        <f t="shared" si="0"/>
        <v>黑暗</v>
      </c>
      <c r="H41" s="1">
        <v>2</v>
      </c>
      <c r="I41" s="1" t="str">
        <f t="shared" si="4"/>
        <v>,50119,50119</v>
      </c>
      <c r="J41" s="1" t="str">
        <f t="shared" si="5"/>
        <v>50119</v>
      </c>
      <c r="K41" s="1">
        <v>4</v>
      </c>
      <c r="L41" s="1" t="str">
        <f t="shared" si="6"/>
        <v>50119</v>
      </c>
      <c r="M41" s="1">
        <v>2</v>
      </c>
      <c r="N41" s="1" t="str">
        <f t="shared" si="7"/>
        <v/>
      </c>
      <c r="P41" s="1" t="str">
        <f t="shared" si="8"/>
        <v/>
      </c>
      <c r="R41" s="1">
        <f>VLOOKUP(--J41,test3,11,FALSE)*K41+VLOOKUP(--L41,test3,11,FALSE)*M41+IF(N41="",0,VLOOKUP(--N41,test3,11,FALSE)*O41)+IF(P41="",0,VLOOKUP(--P41,test3,11,FALSE)*Q41)</f>
        <v>9</v>
      </c>
    </row>
    <row r="42" spans="2:18" x14ac:dyDescent="0.15">
      <c r="B42" s="1">
        <f>[1]item!$D41</f>
        <v>100040</v>
      </c>
      <c r="C42" s="1">
        <f>[1]item!$C41</f>
        <v>101040500</v>
      </c>
      <c r="D42" s="1">
        <f t="shared" si="1"/>
        <v>4</v>
      </c>
      <c r="E42" s="1">
        <f t="shared" si="2"/>
        <v>1</v>
      </c>
      <c r="F42" s="1">
        <f t="shared" si="3"/>
        <v>1</v>
      </c>
      <c r="G42" s="1" t="str">
        <f t="shared" si="0"/>
        <v>黑暗</v>
      </c>
      <c r="H42" s="1">
        <v>2</v>
      </c>
      <c r="I42" s="1" t="str">
        <f t="shared" si="4"/>
        <v>,50189,50157</v>
      </c>
      <c r="J42" s="1" t="str">
        <f t="shared" si="5"/>
        <v>50189</v>
      </c>
      <c r="K42" s="1">
        <v>4</v>
      </c>
      <c r="L42" s="1" t="str">
        <f t="shared" si="6"/>
        <v>50157</v>
      </c>
      <c r="M42" s="1">
        <v>2</v>
      </c>
      <c r="N42" s="1" t="str">
        <f t="shared" si="7"/>
        <v/>
      </c>
      <c r="P42" s="1" t="str">
        <f t="shared" si="8"/>
        <v/>
      </c>
      <c r="R42" s="1">
        <f>VLOOKUP(--J42,test3,11,FALSE)*K42+VLOOKUP(--L42,test3,11,FALSE)*M42+IF(N42="",0,VLOOKUP(--N42,test3,11,FALSE)*O42)+IF(P42="",0,VLOOKUP(--P42,test3,11,FALSE)*Q42)</f>
        <v>9</v>
      </c>
    </row>
    <row r="43" spans="2:18" x14ac:dyDescent="0.15">
      <c r="B43" s="1">
        <f>[1]item!$D42</f>
        <v>100041</v>
      </c>
      <c r="C43" s="1">
        <f>[1]item!$C42</f>
        <v>101050500</v>
      </c>
      <c r="D43" s="1">
        <f t="shared" si="1"/>
        <v>5</v>
      </c>
      <c r="E43" s="1">
        <f t="shared" si="2"/>
        <v>1</v>
      </c>
      <c r="F43" s="1">
        <f t="shared" si="3"/>
        <v>1</v>
      </c>
      <c r="G43" s="1" t="str">
        <f t="shared" si="0"/>
        <v>黑暗</v>
      </c>
      <c r="H43" s="1">
        <v>2</v>
      </c>
      <c r="I43" s="1" t="str">
        <f t="shared" si="4"/>
        <v>,50145,50001</v>
      </c>
      <c r="J43" s="1" t="str">
        <f t="shared" si="5"/>
        <v>50145</v>
      </c>
      <c r="K43" s="1">
        <v>4</v>
      </c>
      <c r="L43" s="1" t="str">
        <f t="shared" si="6"/>
        <v>50001</v>
      </c>
      <c r="M43" s="1">
        <v>2</v>
      </c>
      <c r="N43" s="1" t="str">
        <f t="shared" si="7"/>
        <v/>
      </c>
      <c r="P43" s="1" t="str">
        <f t="shared" si="8"/>
        <v/>
      </c>
      <c r="R43" s="1">
        <f>VLOOKUP(--J43,test3,11,FALSE)*K43+VLOOKUP(--L43,test3,11,FALSE)*M43+IF(N43="",0,VLOOKUP(--N43,test3,11,FALSE)*O43)+IF(P43="",0,VLOOKUP(--P43,test3,11,FALSE)*Q43)</f>
        <v>9</v>
      </c>
    </row>
    <row r="44" spans="2:18" x14ac:dyDescent="0.15">
      <c r="B44" s="1">
        <f>[1]item!$D43</f>
        <v>100042</v>
      </c>
      <c r="C44" s="1">
        <f>[1]item!$C43</f>
        <v>101060500</v>
      </c>
      <c r="D44" s="1">
        <f t="shared" si="1"/>
        <v>6</v>
      </c>
      <c r="E44" s="1">
        <f t="shared" si="2"/>
        <v>1</v>
      </c>
      <c r="F44" s="1">
        <f t="shared" si="3"/>
        <v>1</v>
      </c>
      <c r="G44" s="1" t="str">
        <f t="shared" si="0"/>
        <v>黑暗</v>
      </c>
      <c r="H44" s="1">
        <v>2</v>
      </c>
      <c r="I44" s="1" t="str">
        <f t="shared" si="4"/>
        <v>,50069,50119</v>
      </c>
      <c r="J44" s="1" t="str">
        <f t="shared" si="5"/>
        <v>50069</v>
      </c>
      <c r="K44" s="1">
        <v>4</v>
      </c>
      <c r="L44" s="1" t="str">
        <f t="shared" si="6"/>
        <v>50119</v>
      </c>
      <c r="M44" s="1">
        <v>2</v>
      </c>
      <c r="N44" s="1" t="str">
        <f t="shared" si="7"/>
        <v/>
      </c>
      <c r="P44" s="1" t="str">
        <f t="shared" si="8"/>
        <v/>
      </c>
      <c r="R44" s="1">
        <f>VLOOKUP(--J44,test3,11,FALSE)*K44+VLOOKUP(--L44,test3,11,FALSE)*M44+IF(N44="",0,VLOOKUP(--N44,test3,11,FALSE)*O44)+IF(P44="",0,VLOOKUP(--P44,test3,11,FALSE)*Q44)</f>
        <v>9</v>
      </c>
    </row>
    <row r="45" spans="2:18" x14ac:dyDescent="0.15">
      <c r="B45" s="1">
        <f>[1]item!$D44</f>
        <v>100043</v>
      </c>
      <c r="C45" s="1">
        <f>[1]item!$C44</f>
        <v>101070500</v>
      </c>
      <c r="D45" s="1">
        <f t="shared" si="1"/>
        <v>7</v>
      </c>
      <c r="E45" s="1">
        <f t="shared" si="2"/>
        <v>1</v>
      </c>
      <c r="F45" s="1">
        <f t="shared" si="3"/>
        <v>1</v>
      </c>
      <c r="G45" s="1" t="str">
        <f t="shared" si="0"/>
        <v>黑暗</v>
      </c>
      <c r="H45" s="1">
        <v>2</v>
      </c>
      <c r="I45" s="1" t="str">
        <f t="shared" si="4"/>
        <v>,50069,50119</v>
      </c>
      <c r="J45" s="1" t="str">
        <f t="shared" si="5"/>
        <v>50069</v>
      </c>
      <c r="K45" s="1">
        <v>4</v>
      </c>
      <c r="L45" s="1" t="str">
        <f t="shared" si="6"/>
        <v>50119</v>
      </c>
      <c r="M45" s="1">
        <v>2</v>
      </c>
      <c r="N45" s="1" t="str">
        <f t="shared" si="7"/>
        <v/>
      </c>
      <c r="P45" s="1" t="str">
        <f t="shared" si="8"/>
        <v/>
      </c>
      <c r="R45" s="1">
        <f>VLOOKUP(--J45,test3,11,FALSE)*K45+VLOOKUP(--L45,test3,11,FALSE)*M45+IF(N45="",0,VLOOKUP(--N45,test3,11,FALSE)*O45)+IF(P45="",0,VLOOKUP(--P45,test3,11,FALSE)*Q45)</f>
        <v>9</v>
      </c>
    </row>
    <row r="46" spans="2:18" x14ac:dyDescent="0.15">
      <c r="B46" s="1">
        <f>[1]item!$D45</f>
        <v>100044</v>
      </c>
      <c r="C46" s="1">
        <f>[1]item!$C45</f>
        <v>101080500</v>
      </c>
      <c r="D46" s="1">
        <f t="shared" si="1"/>
        <v>8</v>
      </c>
      <c r="E46" s="1">
        <f t="shared" si="2"/>
        <v>1</v>
      </c>
      <c r="F46" s="1">
        <f t="shared" si="3"/>
        <v>1</v>
      </c>
      <c r="G46" s="1" t="str">
        <f t="shared" si="0"/>
        <v>黑暗</v>
      </c>
      <c r="H46" s="1">
        <v>2</v>
      </c>
      <c r="I46" s="1" t="str">
        <f t="shared" si="4"/>
        <v>,50045,50009</v>
      </c>
      <c r="J46" s="1" t="str">
        <f t="shared" si="5"/>
        <v>50045</v>
      </c>
      <c r="K46" s="1">
        <v>4</v>
      </c>
      <c r="L46" s="1" t="str">
        <f t="shared" si="6"/>
        <v>50009</v>
      </c>
      <c r="M46" s="1">
        <v>2</v>
      </c>
      <c r="N46" s="1" t="str">
        <f t="shared" si="7"/>
        <v/>
      </c>
      <c r="P46" s="1" t="str">
        <f t="shared" si="8"/>
        <v/>
      </c>
      <c r="R46" s="1">
        <f>VLOOKUP(--J46,test3,11,FALSE)*K46+VLOOKUP(--L46,test3,11,FALSE)*M46+IF(N46="",0,VLOOKUP(--N46,test3,11,FALSE)*O46)+IF(P46="",0,VLOOKUP(--P46,test3,11,FALSE)*Q46)</f>
        <v>9</v>
      </c>
    </row>
    <row r="47" spans="2:18" x14ac:dyDescent="0.15">
      <c r="B47" s="1">
        <f>[1]item!$D46</f>
        <v>100045</v>
      </c>
      <c r="C47" s="1">
        <f>[1]item!$C46</f>
        <v>101090500</v>
      </c>
      <c r="D47" s="1">
        <f t="shared" si="1"/>
        <v>9</v>
      </c>
      <c r="E47" s="1">
        <f t="shared" si="2"/>
        <v>1</v>
      </c>
      <c r="F47" s="1">
        <f t="shared" si="3"/>
        <v>1</v>
      </c>
      <c r="G47" s="1" t="str">
        <f t="shared" si="0"/>
        <v>黑暗</v>
      </c>
      <c r="H47" s="1">
        <v>2</v>
      </c>
      <c r="I47" s="1" t="str">
        <f t="shared" si="4"/>
        <v>,50045,50069</v>
      </c>
      <c r="J47" s="1" t="str">
        <f t="shared" si="5"/>
        <v>50045</v>
      </c>
      <c r="K47" s="1">
        <v>4</v>
      </c>
      <c r="L47" s="1" t="str">
        <f t="shared" si="6"/>
        <v>50069</v>
      </c>
      <c r="M47" s="1">
        <v>2</v>
      </c>
      <c r="N47" s="1" t="str">
        <f t="shared" si="7"/>
        <v/>
      </c>
      <c r="P47" s="1" t="str">
        <f t="shared" si="8"/>
        <v/>
      </c>
      <c r="R47" s="1">
        <f>VLOOKUP(--J47,test3,11,FALSE)*K47+VLOOKUP(--L47,test3,11,FALSE)*M47+IF(N47="",0,VLOOKUP(--N47,test3,11,FALSE)*O47)+IF(P47="",0,VLOOKUP(--P47,test3,11,FALSE)*Q47)</f>
        <v>9</v>
      </c>
    </row>
    <row r="48" spans="2:18" x14ac:dyDescent="0.15">
      <c r="B48" s="1">
        <f>[1]item!$D47</f>
        <v>100046</v>
      </c>
      <c r="C48" s="1">
        <f>[1]item!$C47</f>
        <v>101010600</v>
      </c>
      <c r="D48" s="1">
        <f t="shared" si="1"/>
        <v>1</v>
      </c>
      <c r="E48" s="1">
        <f t="shared" si="2"/>
        <v>1</v>
      </c>
      <c r="F48" s="1">
        <f t="shared" si="3"/>
        <v>1</v>
      </c>
      <c r="G48" s="1" t="str">
        <f t="shared" si="0"/>
        <v>电击</v>
      </c>
      <c r="H48" s="1">
        <v>2</v>
      </c>
      <c r="I48" s="1" t="str">
        <f t="shared" si="4"/>
        <v>,50031,50009</v>
      </c>
      <c r="J48" s="1" t="str">
        <f t="shared" si="5"/>
        <v>50031</v>
      </c>
      <c r="K48" s="1">
        <v>4</v>
      </c>
      <c r="L48" s="1" t="str">
        <f t="shared" si="6"/>
        <v>50009</v>
      </c>
      <c r="M48" s="1">
        <v>2</v>
      </c>
      <c r="N48" s="1" t="str">
        <f t="shared" si="7"/>
        <v/>
      </c>
      <c r="P48" s="1" t="str">
        <f t="shared" si="8"/>
        <v/>
      </c>
      <c r="R48" s="1">
        <f>VLOOKUP(--J48,test3,11,FALSE)*K48+VLOOKUP(--L48,test3,11,FALSE)*M48+IF(N48="",0,VLOOKUP(--N48,test3,11,FALSE)*O48)+IF(P48="",0,VLOOKUP(--P48,test3,11,FALSE)*Q48)</f>
        <v>9</v>
      </c>
    </row>
    <row r="49" spans="2:18" x14ac:dyDescent="0.15">
      <c r="B49" s="1">
        <f>[1]item!$D48</f>
        <v>100047</v>
      </c>
      <c r="C49" s="1">
        <f>[1]item!$C48</f>
        <v>101020600</v>
      </c>
      <c r="D49" s="1">
        <f t="shared" si="1"/>
        <v>2</v>
      </c>
      <c r="E49" s="1">
        <f t="shared" si="2"/>
        <v>1</v>
      </c>
      <c r="F49" s="1">
        <f t="shared" si="3"/>
        <v>1</v>
      </c>
      <c r="G49" s="1" t="str">
        <f t="shared" si="0"/>
        <v>电击</v>
      </c>
      <c r="H49" s="1">
        <v>2</v>
      </c>
      <c r="I49" s="1" t="str">
        <f t="shared" si="4"/>
        <v>,50045,50069</v>
      </c>
      <c r="J49" s="1" t="str">
        <f t="shared" si="5"/>
        <v>50045</v>
      </c>
      <c r="K49" s="1">
        <v>4</v>
      </c>
      <c r="L49" s="1" t="str">
        <f t="shared" si="6"/>
        <v>50069</v>
      </c>
      <c r="M49" s="1">
        <v>2</v>
      </c>
      <c r="N49" s="1" t="str">
        <f t="shared" si="7"/>
        <v/>
      </c>
      <c r="P49" s="1" t="str">
        <f t="shared" si="8"/>
        <v/>
      </c>
      <c r="R49" s="1">
        <f>VLOOKUP(--J49,test3,11,FALSE)*K49+VLOOKUP(--L49,test3,11,FALSE)*M49+IF(N49="",0,VLOOKUP(--N49,test3,11,FALSE)*O49)+IF(P49="",0,VLOOKUP(--P49,test3,11,FALSE)*Q49)</f>
        <v>9</v>
      </c>
    </row>
    <row r="50" spans="2:18" x14ac:dyDescent="0.15">
      <c r="B50" s="1">
        <f>[1]item!$D49</f>
        <v>100048</v>
      </c>
      <c r="C50" s="1">
        <f>[1]item!$C49</f>
        <v>101030600</v>
      </c>
      <c r="D50" s="1">
        <f t="shared" si="1"/>
        <v>3</v>
      </c>
      <c r="E50" s="1">
        <f t="shared" si="2"/>
        <v>1</v>
      </c>
      <c r="F50" s="1">
        <f t="shared" si="3"/>
        <v>1</v>
      </c>
      <c r="G50" s="1" t="str">
        <f t="shared" si="0"/>
        <v>电击</v>
      </c>
      <c r="H50" s="1">
        <v>2</v>
      </c>
      <c r="I50" s="1" t="str">
        <f t="shared" si="4"/>
        <v>,50145,50069</v>
      </c>
      <c r="J50" s="1" t="str">
        <f t="shared" si="5"/>
        <v>50145</v>
      </c>
      <c r="K50" s="1">
        <v>4</v>
      </c>
      <c r="L50" s="1" t="str">
        <f t="shared" si="6"/>
        <v>50069</v>
      </c>
      <c r="M50" s="1">
        <v>2</v>
      </c>
      <c r="N50" s="1" t="str">
        <f t="shared" si="7"/>
        <v/>
      </c>
      <c r="P50" s="1" t="str">
        <f t="shared" si="8"/>
        <v/>
      </c>
      <c r="R50" s="1">
        <f>VLOOKUP(--J50,test3,11,FALSE)*K50+VLOOKUP(--L50,test3,11,FALSE)*M50+IF(N50="",0,VLOOKUP(--N50,test3,11,FALSE)*O50)+IF(P50="",0,VLOOKUP(--P50,test3,11,FALSE)*Q50)</f>
        <v>9</v>
      </c>
    </row>
    <row r="51" spans="2:18" x14ac:dyDescent="0.15">
      <c r="B51" s="1">
        <f>[1]item!$D50</f>
        <v>100049</v>
      </c>
      <c r="C51" s="1">
        <f>[1]item!$C50</f>
        <v>101040600</v>
      </c>
      <c r="D51" s="1">
        <f t="shared" si="1"/>
        <v>4</v>
      </c>
      <c r="E51" s="1">
        <f t="shared" si="2"/>
        <v>1</v>
      </c>
      <c r="F51" s="1">
        <f t="shared" si="3"/>
        <v>1</v>
      </c>
      <c r="G51" s="1" t="str">
        <f t="shared" si="0"/>
        <v>电击</v>
      </c>
      <c r="H51" s="1">
        <v>2</v>
      </c>
      <c r="I51" s="1" t="str">
        <f t="shared" si="4"/>
        <v>,50052,50047</v>
      </c>
      <c r="J51" s="1" t="str">
        <f t="shared" si="5"/>
        <v>50052</v>
      </c>
      <c r="K51" s="1">
        <v>4</v>
      </c>
      <c r="L51" s="1" t="str">
        <f t="shared" si="6"/>
        <v>50047</v>
      </c>
      <c r="M51" s="1">
        <v>2</v>
      </c>
      <c r="N51" s="1" t="str">
        <f t="shared" si="7"/>
        <v/>
      </c>
      <c r="P51" s="1" t="str">
        <f t="shared" si="8"/>
        <v/>
      </c>
      <c r="R51" s="1">
        <f>VLOOKUP(--J51,test3,11,FALSE)*K51+VLOOKUP(--L51,test3,11,FALSE)*M51+IF(N51="",0,VLOOKUP(--N51,test3,11,FALSE)*O51)+IF(P51="",0,VLOOKUP(--P51,test3,11,FALSE)*Q51)</f>
        <v>9</v>
      </c>
    </row>
    <row r="52" spans="2:18" x14ac:dyDescent="0.15">
      <c r="B52" s="1">
        <f>[1]item!$D51</f>
        <v>100050</v>
      </c>
      <c r="C52" s="1">
        <f>[1]item!$C51</f>
        <v>101050600</v>
      </c>
      <c r="D52" s="1">
        <f t="shared" si="1"/>
        <v>5</v>
      </c>
      <c r="E52" s="1">
        <f t="shared" si="2"/>
        <v>1</v>
      </c>
      <c r="F52" s="1">
        <f t="shared" si="3"/>
        <v>1</v>
      </c>
      <c r="G52" s="1" t="str">
        <f t="shared" si="0"/>
        <v>电击</v>
      </c>
      <c r="H52" s="1">
        <v>2</v>
      </c>
      <c r="I52" s="1" t="str">
        <f t="shared" si="4"/>
        <v>,50051,50145</v>
      </c>
      <c r="J52" s="1" t="str">
        <f t="shared" si="5"/>
        <v>50051</v>
      </c>
      <c r="K52" s="1">
        <v>4</v>
      </c>
      <c r="L52" s="1" t="str">
        <f t="shared" si="6"/>
        <v>50145</v>
      </c>
      <c r="M52" s="1">
        <v>2</v>
      </c>
      <c r="N52" s="1" t="str">
        <f t="shared" si="7"/>
        <v/>
      </c>
      <c r="P52" s="1" t="str">
        <f t="shared" si="8"/>
        <v/>
      </c>
      <c r="R52" s="1">
        <f>VLOOKUP(--J52,test3,11,FALSE)*K52+VLOOKUP(--L52,test3,11,FALSE)*M52+IF(N52="",0,VLOOKUP(--N52,test3,11,FALSE)*O52)+IF(P52="",0,VLOOKUP(--P52,test3,11,FALSE)*Q52)</f>
        <v>9</v>
      </c>
    </row>
    <row r="53" spans="2:18" x14ac:dyDescent="0.15">
      <c r="B53" s="1">
        <f>[1]item!$D52</f>
        <v>100051</v>
      </c>
      <c r="C53" s="1">
        <f>[1]item!$C52</f>
        <v>101060600</v>
      </c>
      <c r="D53" s="1">
        <f t="shared" si="1"/>
        <v>6</v>
      </c>
      <c r="E53" s="1">
        <f t="shared" si="2"/>
        <v>1</v>
      </c>
      <c r="F53" s="1">
        <f t="shared" si="3"/>
        <v>1</v>
      </c>
      <c r="G53" s="1" t="str">
        <f t="shared" si="0"/>
        <v>电击</v>
      </c>
      <c r="H53" s="1">
        <v>2</v>
      </c>
      <c r="I53" s="1" t="str">
        <f t="shared" si="4"/>
        <v>,50047,50051</v>
      </c>
      <c r="J53" s="1" t="str">
        <f t="shared" si="5"/>
        <v>50047</v>
      </c>
      <c r="K53" s="1">
        <v>4</v>
      </c>
      <c r="L53" s="1" t="str">
        <f t="shared" si="6"/>
        <v>50051</v>
      </c>
      <c r="M53" s="1">
        <v>2</v>
      </c>
      <c r="N53" s="1" t="str">
        <f t="shared" si="7"/>
        <v/>
      </c>
      <c r="P53" s="1" t="str">
        <f t="shared" si="8"/>
        <v/>
      </c>
      <c r="R53" s="1">
        <f>VLOOKUP(--J53,test3,11,FALSE)*K53+VLOOKUP(--L53,test3,11,FALSE)*M53+IF(N53="",0,VLOOKUP(--N53,test3,11,FALSE)*O53)+IF(P53="",0,VLOOKUP(--P53,test3,11,FALSE)*Q53)</f>
        <v>9</v>
      </c>
    </row>
    <row r="54" spans="2:18" x14ac:dyDescent="0.15">
      <c r="B54" s="1">
        <f>[1]item!$D53</f>
        <v>100052</v>
      </c>
      <c r="C54" s="1">
        <f>[1]item!$C53</f>
        <v>101070600</v>
      </c>
      <c r="D54" s="1">
        <f t="shared" si="1"/>
        <v>7</v>
      </c>
      <c r="E54" s="1">
        <f t="shared" si="2"/>
        <v>1</v>
      </c>
      <c r="F54" s="1">
        <f t="shared" si="3"/>
        <v>1</v>
      </c>
      <c r="G54" s="1" t="str">
        <f t="shared" si="0"/>
        <v>电击</v>
      </c>
      <c r="H54" s="1">
        <v>2</v>
      </c>
      <c r="I54" s="1" t="str">
        <f t="shared" si="4"/>
        <v>,50168,50052</v>
      </c>
      <c r="J54" s="1" t="str">
        <f t="shared" si="5"/>
        <v>50168</v>
      </c>
      <c r="K54" s="1">
        <v>4</v>
      </c>
      <c r="L54" s="1" t="str">
        <f t="shared" si="6"/>
        <v>50052</v>
      </c>
      <c r="M54" s="1">
        <v>2</v>
      </c>
      <c r="N54" s="1" t="str">
        <f t="shared" si="7"/>
        <v/>
      </c>
      <c r="P54" s="1" t="str">
        <f t="shared" si="8"/>
        <v/>
      </c>
      <c r="R54" s="1">
        <f>VLOOKUP(--J54,test3,11,FALSE)*K54+VLOOKUP(--L54,test3,11,FALSE)*M54+IF(N54="",0,VLOOKUP(--N54,test3,11,FALSE)*O54)+IF(P54="",0,VLOOKUP(--P54,test3,11,FALSE)*Q54)</f>
        <v>9</v>
      </c>
    </row>
    <row r="55" spans="2:18" x14ac:dyDescent="0.15">
      <c r="B55" s="1">
        <f>[1]item!$D54</f>
        <v>100053</v>
      </c>
      <c r="C55" s="1">
        <f>[1]item!$C54</f>
        <v>101080600</v>
      </c>
      <c r="D55" s="1">
        <f t="shared" si="1"/>
        <v>8</v>
      </c>
      <c r="E55" s="1">
        <f t="shared" si="2"/>
        <v>1</v>
      </c>
      <c r="F55" s="1">
        <f t="shared" si="3"/>
        <v>1</v>
      </c>
      <c r="G55" s="1" t="str">
        <f t="shared" si="0"/>
        <v>电击</v>
      </c>
      <c r="H55" s="1">
        <v>2</v>
      </c>
      <c r="I55" s="1" t="str">
        <f t="shared" si="4"/>
        <v>,50041,50069</v>
      </c>
      <c r="J55" s="1" t="str">
        <f t="shared" si="5"/>
        <v>50041</v>
      </c>
      <c r="K55" s="1">
        <v>4</v>
      </c>
      <c r="L55" s="1" t="str">
        <f t="shared" si="6"/>
        <v>50069</v>
      </c>
      <c r="M55" s="1">
        <v>2</v>
      </c>
      <c r="N55" s="1" t="str">
        <f t="shared" si="7"/>
        <v/>
      </c>
      <c r="P55" s="1" t="str">
        <f t="shared" si="8"/>
        <v/>
      </c>
      <c r="R55" s="1">
        <f>VLOOKUP(--J55,test3,11,FALSE)*K55+VLOOKUP(--L55,test3,11,FALSE)*M55+IF(N55="",0,VLOOKUP(--N55,test3,11,FALSE)*O55)+IF(P55="",0,VLOOKUP(--P55,test3,11,FALSE)*Q55)</f>
        <v>9</v>
      </c>
    </row>
    <row r="56" spans="2:18" x14ac:dyDescent="0.15">
      <c r="B56" s="1">
        <f>[1]item!$D55</f>
        <v>100054</v>
      </c>
      <c r="C56" s="1">
        <f>[1]item!$C55</f>
        <v>101090600</v>
      </c>
      <c r="D56" s="1">
        <f t="shared" si="1"/>
        <v>9</v>
      </c>
      <c r="E56" s="1">
        <f t="shared" si="2"/>
        <v>1</v>
      </c>
      <c r="F56" s="1">
        <f t="shared" si="3"/>
        <v>1</v>
      </c>
      <c r="G56" s="1" t="str">
        <f t="shared" si="0"/>
        <v>电击</v>
      </c>
      <c r="H56" s="1">
        <v>2</v>
      </c>
      <c r="I56" s="1" t="str">
        <f t="shared" si="4"/>
        <v>,50035,50189</v>
      </c>
      <c r="J56" s="1" t="str">
        <f t="shared" si="5"/>
        <v>50035</v>
      </c>
      <c r="K56" s="1">
        <v>4</v>
      </c>
      <c r="L56" s="1" t="str">
        <f t="shared" si="6"/>
        <v>50189</v>
      </c>
      <c r="M56" s="1">
        <v>2</v>
      </c>
      <c r="N56" s="1" t="str">
        <f t="shared" si="7"/>
        <v/>
      </c>
      <c r="P56" s="1" t="str">
        <f t="shared" si="8"/>
        <v/>
      </c>
      <c r="R56" s="1">
        <f>VLOOKUP(--J56,test3,11,FALSE)*K56+VLOOKUP(--L56,test3,11,FALSE)*M56+IF(N56="",0,VLOOKUP(--N56,test3,11,FALSE)*O56)+IF(P56="",0,VLOOKUP(--P56,test3,11,FALSE)*Q56)</f>
        <v>9</v>
      </c>
    </row>
    <row r="57" spans="2:18" x14ac:dyDescent="0.15">
      <c r="B57" s="1">
        <f>[1]item!$D56</f>
        <v>100055</v>
      </c>
      <c r="C57" s="1">
        <f>[1]item!$C56</f>
        <v>101010700</v>
      </c>
      <c r="D57" s="1">
        <f t="shared" si="1"/>
        <v>1</v>
      </c>
      <c r="E57" s="1">
        <f t="shared" si="2"/>
        <v>1</v>
      </c>
      <c r="F57" s="1">
        <f t="shared" si="3"/>
        <v>1</v>
      </c>
      <c r="G57" s="1" t="str">
        <f t="shared" si="0"/>
        <v>地脉</v>
      </c>
      <c r="H57" s="1">
        <v>2</v>
      </c>
      <c r="I57" s="1" t="str">
        <f t="shared" si="4"/>
        <v>,50041,50031</v>
      </c>
      <c r="J57" s="1" t="str">
        <f t="shared" si="5"/>
        <v>50041</v>
      </c>
      <c r="K57" s="1">
        <v>4</v>
      </c>
      <c r="L57" s="1" t="str">
        <f t="shared" si="6"/>
        <v>50031</v>
      </c>
      <c r="M57" s="1">
        <v>2</v>
      </c>
      <c r="N57" s="1" t="str">
        <f t="shared" si="7"/>
        <v/>
      </c>
      <c r="P57" s="1" t="str">
        <f t="shared" si="8"/>
        <v/>
      </c>
      <c r="R57" s="1">
        <f>VLOOKUP(--J57,test3,11,FALSE)*K57+VLOOKUP(--L57,test3,11,FALSE)*M57+IF(N57="",0,VLOOKUP(--N57,test3,11,FALSE)*O57)+IF(P57="",0,VLOOKUP(--P57,test3,11,FALSE)*Q57)</f>
        <v>9</v>
      </c>
    </row>
    <row r="58" spans="2:18" x14ac:dyDescent="0.15">
      <c r="B58" s="1">
        <f>[1]item!$D57</f>
        <v>100056</v>
      </c>
      <c r="C58" s="1">
        <f>[1]item!$C57</f>
        <v>101020700</v>
      </c>
      <c r="D58" s="1">
        <f t="shared" si="1"/>
        <v>2</v>
      </c>
      <c r="E58" s="1">
        <f t="shared" si="2"/>
        <v>1</v>
      </c>
      <c r="F58" s="1">
        <f t="shared" si="3"/>
        <v>1</v>
      </c>
      <c r="G58" s="1" t="str">
        <f t="shared" si="0"/>
        <v>地脉</v>
      </c>
      <c r="H58" s="1">
        <v>2</v>
      </c>
      <c r="I58" s="1" t="str">
        <f t="shared" si="4"/>
        <v>,50005,50035</v>
      </c>
      <c r="J58" s="1" t="str">
        <f t="shared" si="5"/>
        <v>50005</v>
      </c>
      <c r="K58" s="1">
        <v>4</v>
      </c>
      <c r="L58" s="1" t="str">
        <f t="shared" si="6"/>
        <v>50035</v>
      </c>
      <c r="M58" s="1">
        <v>2</v>
      </c>
      <c r="N58" s="1" t="str">
        <f t="shared" si="7"/>
        <v/>
      </c>
      <c r="P58" s="1" t="str">
        <f t="shared" si="8"/>
        <v/>
      </c>
      <c r="R58" s="1">
        <f>VLOOKUP(--J58,test3,11,FALSE)*K58+VLOOKUP(--L58,test3,11,FALSE)*M58+IF(N58="",0,VLOOKUP(--N58,test3,11,FALSE)*O58)+IF(P58="",0,VLOOKUP(--P58,test3,11,FALSE)*Q58)</f>
        <v>9</v>
      </c>
    </row>
    <row r="59" spans="2:18" x14ac:dyDescent="0.15">
      <c r="B59" s="1">
        <f>[1]item!$D58</f>
        <v>100057</v>
      </c>
      <c r="C59" s="1">
        <f>[1]item!$C58</f>
        <v>101030700</v>
      </c>
      <c r="D59" s="1">
        <f t="shared" si="1"/>
        <v>3</v>
      </c>
      <c r="E59" s="1">
        <f t="shared" si="2"/>
        <v>1</v>
      </c>
      <c r="F59" s="1">
        <f t="shared" si="3"/>
        <v>1</v>
      </c>
      <c r="G59" s="1" t="str">
        <f t="shared" si="0"/>
        <v>地脉</v>
      </c>
      <c r="H59" s="1">
        <v>2</v>
      </c>
      <c r="I59" s="1" t="str">
        <f t="shared" si="4"/>
        <v>,50145,50168</v>
      </c>
      <c r="J59" s="1" t="str">
        <f t="shared" si="5"/>
        <v>50145</v>
      </c>
      <c r="K59" s="1">
        <v>4</v>
      </c>
      <c r="L59" s="1" t="str">
        <f t="shared" si="6"/>
        <v>50168</v>
      </c>
      <c r="M59" s="1">
        <v>2</v>
      </c>
      <c r="N59" s="1" t="str">
        <f t="shared" si="7"/>
        <v/>
      </c>
      <c r="P59" s="1" t="str">
        <f t="shared" si="8"/>
        <v/>
      </c>
      <c r="R59" s="1">
        <f>VLOOKUP(--J59,test3,11,FALSE)*K59+VLOOKUP(--L59,test3,11,FALSE)*M59+IF(N59="",0,VLOOKUP(--N59,test3,11,FALSE)*O59)+IF(P59="",0,VLOOKUP(--P59,test3,11,FALSE)*Q59)</f>
        <v>9</v>
      </c>
    </row>
    <row r="60" spans="2:18" x14ac:dyDescent="0.15">
      <c r="B60" s="1">
        <f>[1]item!$D59</f>
        <v>100058</v>
      </c>
      <c r="C60" s="1">
        <f>[1]item!$C59</f>
        <v>101040700</v>
      </c>
      <c r="D60" s="1">
        <f t="shared" si="1"/>
        <v>4</v>
      </c>
      <c r="E60" s="1">
        <f t="shared" si="2"/>
        <v>1</v>
      </c>
      <c r="F60" s="1">
        <f t="shared" si="3"/>
        <v>1</v>
      </c>
      <c r="G60" s="1" t="str">
        <f t="shared" si="0"/>
        <v>地脉</v>
      </c>
      <c r="H60" s="1">
        <v>2</v>
      </c>
      <c r="I60" s="1" t="str">
        <f t="shared" si="4"/>
        <v>,50045,50069</v>
      </c>
      <c r="J60" s="1" t="str">
        <f t="shared" si="5"/>
        <v>50045</v>
      </c>
      <c r="K60" s="1">
        <v>4</v>
      </c>
      <c r="L60" s="1" t="str">
        <f t="shared" si="6"/>
        <v>50069</v>
      </c>
      <c r="M60" s="1">
        <v>2</v>
      </c>
      <c r="N60" s="1" t="str">
        <f t="shared" si="7"/>
        <v/>
      </c>
      <c r="P60" s="1" t="str">
        <f t="shared" si="8"/>
        <v/>
      </c>
      <c r="R60" s="1">
        <f>VLOOKUP(--J60,test3,11,FALSE)*K60+VLOOKUP(--L60,test3,11,FALSE)*M60+IF(N60="",0,VLOOKUP(--N60,test3,11,FALSE)*O60)+IF(P60="",0,VLOOKUP(--P60,test3,11,FALSE)*Q60)</f>
        <v>9</v>
      </c>
    </row>
    <row r="61" spans="2:18" x14ac:dyDescent="0.15">
      <c r="B61" s="1">
        <f>[1]item!$D60</f>
        <v>100059</v>
      </c>
      <c r="C61" s="1">
        <f>[1]item!$C60</f>
        <v>101050700</v>
      </c>
      <c r="D61" s="1">
        <f t="shared" si="1"/>
        <v>5</v>
      </c>
      <c r="E61" s="1">
        <f t="shared" si="2"/>
        <v>1</v>
      </c>
      <c r="F61" s="1">
        <f t="shared" si="3"/>
        <v>1</v>
      </c>
      <c r="G61" s="1" t="str">
        <f t="shared" si="0"/>
        <v>地脉</v>
      </c>
      <c r="H61" s="1">
        <v>2</v>
      </c>
      <c r="I61" s="1" t="str">
        <f t="shared" si="4"/>
        <v>,50157,50052</v>
      </c>
      <c r="J61" s="1" t="str">
        <f t="shared" si="5"/>
        <v>50157</v>
      </c>
      <c r="K61" s="1">
        <v>4</v>
      </c>
      <c r="L61" s="1" t="str">
        <f t="shared" si="6"/>
        <v>50052</v>
      </c>
      <c r="M61" s="1">
        <v>2</v>
      </c>
      <c r="N61" s="1" t="str">
        <f t="shared" si="7"/>
        <v/>
      </c>
      <c r="P61" s="1" t="str">
        <f t="shared" si="8"/>
        <v/>
      </c>
      <c r="R61" s="1">
        <f>VLOOKUP(--J61,test3,11,FALSE)*K61+VLOOKUP(--L61,test3,11,FALSE)*M61+IF(N61="",0,VLOOKUP(--N61,test3,11,FALSE)*O61)+IF(P61="",0,VLOOKUP(--P61,test3,11,FALSE)*Q61)</f>
        <v>9</v>
      </c>
    </row>
    <row r="62" spans="2:18" x14ac:dyDescent="0.15">
      <c r="B62" s="1">
        <f>[1]item!$D61</f>
        <v>100060</v>
      </c>
      <c r="C62" s="1">
        <f>[1]item!$C61</f>
        <v>101060700</v>
      </c>
      <c r="D62" s="1">
        <f t="shared" si="1"/>
        <v>6</v>
      </c>
      <c r="E62" s="1">
        <f t="shared" si="2"/>
        <v>1</v>
      </c>
      <c r="F62" s="1">
        <f t="shared" si="3"/>
        <v>1</v>
      </c>
      <c r="G62" s="1" t="str">
        <f t="shared" si="0"/>
        <v>地脉</v>
      </c>
      <c r="H62" s="1">
        <v>2</v>
      </c>
      <c r="I62" s="1" t="str">
        <f t="shared" si="4"/>
        <v>,50045,50045</v>
      </c>
      <c r="J62" s="1" t="str">
        <f t="shared" si="5"/>
        <v>50045</v>
      </c>
      <c r="K62" s="1">
        <v>4</v>
      </c>
      <c r="L62" s="1" t="str">
        <f t="shared" si="6"/>
        <v>50045</v>
      </c>
      <c r="M62" s="1">
        <v>2</v>
      </c>
      <c r="N62" s="1" t="str">
        <f t="shared" si="7"/>
        <v/>
      </c>
      <c r="P62" s="1" t="str">
        <f t="shared" si="8"/>
        <v/>
      </c>
      <c r="R62" s="1">
        <f>VLOOKUP(--J62,test3,11,FALSE)*K62+VLOOKUP(--L62,test3,11,FALSE)*M62+IF(N62="",0,VLOOKUP(--N62,test3,11,FALSE)*O62)+IF(P62="",0,VLOOKUP(--P62,test3,11,FALSE)*Q62)</f>
        <v>9</v>
      </c>
    </row>
    <row r="63" spans="2:18" x14ac:dyDescent="0.15">
      <c r="B63" s="1">
        <f>[1]item!$D62</f>
        <v>100061</v>
      </c>
      <c r="C63" s="1">
        <f>[1]item!$C62</f>
        <v>101070700</v>
      </c>
      <c r="D63" s="1">
        <f t="shared" si="1"/>
        <v>7</v>
      </c>
      <c r="E63" s="1">
        <f t="shared" si="2"/>
        <v>1</v>
      </c>
      <c r="F63" s="1">
        <f t="shared" si="3"/>
        <v>1</v>
      </c>
      <c r="G63" s="1" t="str">
        <f t="shared" si="0"/>
        <v>地脉</v>
      </c>
      <c r="H63" s="1">
        <v>2</v>
      </c>
      <c r="I63" s="1" t="str">
        <f t="shared" si="4"/>
        <v>,50051,50047</v>
      </c>
      <c r="J63" s="1" t="str">
        <f t="shared" si="5"/>
        <v>50051</v>
      </c>
      <c r="K63" s="1">
        <v>4</v>
      </c>
      <c r="L63" s="1" t="str">
        <f t="shared" si="6"/>
        <v>50047</v>
      </c>
      <c r="M63" s="1">
        <v>2</v>
      </c>
      <c r="N63" s="1" t="str">
        <f t="shared" si="7"/>
        <v/>
      </c>
      <c r="P63" s="1" t="str">
        <f t="shared" si="8"/>
        <v/>
      </c>
      <c r="R63" s="1">
        <f>VLOOKUP(--J63,test3,11,FALSE)*K63+VLOOKUP(--L63,test3,11,FALSE)*M63+IF(N63="",0,VLOOKUP(--N63,test3,11,FALSE)*O63)+IF(P63="",0,VLOOKUP(--P63,test3,11,FALSE)*Q63)</f>
        <v>9</v>
      </c>
    </row>
    <row r="64" spans="2:18" x14ac:dyDescent="0.15">
      <c r="B64" s="1">
        <f>[1]item!$D63</f>
        <v>100062</v>
      </c>
      <c r="C64" s="1">
        <f>[1]item!$C63</f>
        <v>101080700</v>
      </c>
      <c r="D64" s="1">
        <f t="shared" si="1"/>
        <v>8</v>
      </c>
      <c r="E64" s="1">
        <f t="shared" si="2"/>
        <v>1</v>
      </c>
      <c r="F64" s="1">
        <f t="shared" si="3"/>
        <v>1</v>
      </c>
      <c r="G64" s="1" t="str">
        <f t="shared" si="0"/>
        <v>地脉</v>
      </c>
      <c r="H64" s="1">
        <v>2</v>
      </c>
      <c r="I64" s="1" t="str">
        <f t="shared" si="4"/>
        <v>,50069,50119</v>
      </c>
      <c r="J64" s="1" t="str">
        <f t="shared" si="5"/>
        <v>50069</v>
      </c>
      <c r="K64" s="1">
        <v>4</v>
      </c>
      <c r="L64" s="1" t="str">
        <f t="shared" si="6"/>
        <v>50119</v>
      </c>
      <c r="M64" s="1">
        <v>2</v>
      </c>
      <c r="N64" s="1" t="str">
        <f t="shared" si="7"/>
        <v/>
      </c>
      <c r="P64" s="1" t="str">
        <f t="shared" si="8"/>
        <v/>
      </c>
      <c r="R64" s="1">
        <f>VLOOKUP(--J64,test3,11,FALSE)*K64+VLOOKUP(--L64,test3,11,FALSE)*M64+IF(N64="",0,VLOOKUP(--N64,test3,11,FALSE)*O64)+IF(P64="",0,VLOOKUP(--P64,test3,11,FALSE)*Q64)</f>
        <v>9</v>
      </c>
    </row>
    <row r="65" spans="2:18" x14ac:dyDescent="0.15">
      <c r="B65" s="1">
        <f>[1]item!$D64</f>
        <v>100063</v>
      </c>
      <c r="C65" s="1">
        <f>[1]item!$C64</f>
        <v>101090700</v>
      </c>
      <c r="D65" s="1">
        <f t="shared" si="1"/>
        <v>9</v>
      </c>
      <c r="E65" s="1">
        <f t="shared" si="2"/>
        <v>1</v>
      </c>
      <c r="F65" s="1">
        <f t="shared" si="3"/>
        <v>1</v>
      </c>
      <c r="G65" s="1" t="str">
        <f t="shared" si="0"/>
        <v>地脉</v>
      </c>
      <c r="H65" s="1">
        <v>2</v>
      </c>
      <c r="I65" s="1" t="str">
        <f t="shared" si="4"/>
        <v>,50189,50001</v>
      </c>
      <c r="J65" s="1" t="str">
        <f t="shared" si="5"/>
        <v>50189</v>
      </c>
      <c r="K65" s="1">
        <v>4</v>
      </c>
      <c r="L65" s="1" t="str">
        <f t="shared" si="6"/>
        <v>50001</v>
      </c>
      <c r="M65" s="1">
        <v>2</v>
      </c>
      <c r="N65" s="1" t="str">
        <f t="shared" si="7"/>
        <v/>
      </c>
      <c r="P65" s="1" t="str">
        <f t="shared" si="8"/>
        <v/>
      </c>
      <c r="R65" s="1">
        <f>VLOOKUP(--J65,test3,11,FALSE)*K65+VLOOKUP(--L65,test3,11,FALSE)*M65+IF(N65="",0,VLOOKUP(--N65,test3,11,FALSE)*O65)+IF(P65="",0,VLOOKUP(--P65,test3,11,FALSE)*Q65)</f>
        <v>9</v>
      </c>
    </row>
    <row r="66" spans="2:18" x14ac:dyDescent="0.15">
      <c r="B66" s="1">
        <f>[1]item!$D65</f>
        <v>100064</v>
      </c>
      <c r="C66" s="1">
        <f>[1]item!$C65</f>
        <v>101010800</v>
      </c>
      <c r="D66" s="1">
        <f t="shared" si="1"/>
        <v>1</v>
      </c>
      <c r="E66" s="1">
        <f t="shared" si="2"/>
        <v>1</v>
      </c>
      <c r="F66" s="1">
        <f t="shared" si="3"/>
        <v>1</v>
      </c>
      <c r="G66" s="1" t="str">
        <f t="shared" si="0"/>
        <v>物理</v>
      </c>
      <c r="H66" s="1">
        <v>2</v>
      </c>
      <c r="I66" s="1" t="str">
        <f t="shared" si="4"/>
        <v>,50031,50145</v>
      </c>
      <c r="J66" s="1" t="str">
        <f t="shared" si="5"/>
        <v>50031</v>
      </c>
      <c r="K66" s="1">
        <v>4</v>
      </c>
      <c r="L66" s="1" t="str">
        <f t="shared" si="6"/>
        <v>50145</v>
      </c>
      <c r="M66" s="1">
        <v>2</v>
      </c>
      <c r="N66" s="1" t="str">
        <f t="shared" si="7"/>
        <v/>
      </c>
      <c r="P66" s="1" t="str">
        <f t="shared" si="8"/>
        <v/>
      </c>
      <c r="R66" s="1">
        <f>VLOOKUP(--J66,test3,11,FALSE)*K66+VLOOKUP(--L66,test3,11,FALSE)*M66+IF(N66="",0,VLOOKUP(--N66,test3,11,FALSE)*O66)+IF(P66="",0,VLOOKUP(--P66,test3,11,FALSE)*Q66)</f>
        <v>9</v>
      </c>
    </row>
    <row r="67" spans="2:18" x14ac:dyDescent="0.15">
      <c r="B67" s="1">
        <f>[1]item!$D66</f>
        <v>100065</v>
      </c>
      <c r="C67" s="1">
        <f>[1]item!$C66</f>
        <v>101020800</v>
      </c>
      <c r="D67" s="1">
        <f t="shared" si="1"/>
        <v>2</v>
      </c>
      <c r="E67" s="1">
        <f t="shared" si="2"/>
        <v>1</v>
      </c>
      <c r="F67" s="1">
        <f t="shared" si="3"/>
        <v>1</v>
      </c>
      <c r="G67" s="1" t="str">
        <f t="shared" ref="G67:G130" si="9">IF(--MID(C67,6,2)&lt;14,VLOOKUP(--MID(C67,6,2),test2,3,FALSE),"")</f>
        <v>物理</v>
      </c>
      <c r="H67" s="1">
        <v>2</v>
      </c>
      <c r="I67" s="1" t="str">
        <f t="shared" si="4"/>
        <v>,50189,50001</v>
      </c>
      <c r="J67" s="1" t="str">
        <f t="shared" si="5"/>
        <v>50189</v>
      </c>
      <c r="K67" s="1">
        <v>4</v>
      </c>
      <c r="L67" s="1" t="str">
        <f t="shared" si="6"/>
        <v>50001</v>
      </c>
      <c r="M67" s="1">
        <v>2</v>
      </c>
      <c r="N67" s="1" t="str">
        <f t="shared" si="7"/>
        <v/>
      </c>
      <c r="P67" s="1" t="str">
        <f t="shared" si="8"/>
        <v/>
      </c>
      <c r="R67" s="1">
        <f>VLOOKUP(--J67,test3,11,FALSE)*K67+VLOOKUP(--L67,test3,11,FALSE)*M67+IF(N67="",0,VLOOKUP(--N67,test3,11,FALSE)*O67)+IF(P67="",0,VLOOKUP(--P67,test3,11,FALSE)*Q67)</f>
        <v>9</v>
      </c>
    </row>
    <row r="68" spans="2:18" x14ac:dyDescent="0.15">
      <c r="B68" s="1">
        <f>[1]item!$D67</f>
        <v>100066</v>
      </c>
      <c r="C68" s="1">
        <f>[1]item!$C67</f>
        <v>101030800</v>
      </c>
      <c r="D68" s="1">
        <f t="shared" ref="D68:D131" si="10">--MID(C68,4,2)</f>
        <v>3</v>
      </c>
      <c r="E68" s="1">
        <f t="shared" ref="E68:E131" si="11">--MID(C68,2,2)</f>
        <v>1</v>
      </c>
      <c r="F68" s="1">
        <f t="shared" ref="F68:F131" si="12">--MID(C68,1,1)</f>
        <v>1</v>
      </c>
      <c r="G68" s="1" t="str">
        <f t="shared" si="9"/>
        <v>物理</v>
      </c>
      <c r="H68" s="1">
        <v>2</v>
      </c>
      <c r="I68" s="1" t="str">
        <f t="shared" ref="I68:I131" si="13">getMarking(D68,E68,F68,G68)</f>
        <v>,50041,50069</v>
      </c>
      <c r="J68" s="1" t="str">
        <f t="shared" ref="J68:J131" si="14">getString(I68,1,H68)</f>
        <v>50041</v>
      </c>
      <c r="K68" s="1">
        <v>4</v>
      </c>
      <c r="L68" s="1" t="str">
        <f t="shared" ref="L68:L131" si="15">getString(I68,2,H68)</f>
        <v>50069</v>
      </c>
      <c r="M68" s="1">
        <v>2</v>
      </c>
      <c r="N68" s="1" t="str">
        <f t="shared" ref="N68:N131" si="16">getString(I68,3,H68)</f>
        <v/>
      </c>
      <c r="P68" s="1" t="str">
        <f t="shared" ref="P68:P131" si="17">getString(I68,4,H68)</f>
        <v/>
      </c>
      <c r="R68" s="1">
        <f>VLOOKUP(--J68,test3,11,FALSE)*K68+VLOOKUP(--L68,test3,11,FALSE)*M68+IF(N68="",0,VLOOKUP(--N68,test3,11,FALSE)*O68)+IF(P68="",0,VLOOKUP(--P68,test3,11,FALSE)*Q68)</f>
        <v>9</v>
      </c>
    </row>
    <row r="69" spans="2:18" x14ac:dyDescent="0.15">
      <c r="B69" s="1">
        <f>[1]item!$D68</f>
        <v>100067</v>
      </c>
      <c r="C69" s="1">
        <f>[1]item!$C68</f>
        <v>101040800</v>
      </c>
      <c r="D69" s="1">
        <f t="shared" si="10"/>
        <v>4</v>
      </c>
      <c r="E69" s="1">
        <f t="shared" si="11"/>
        <v>1</v>
      </c>
      <c r="F69" s="1">
        <f t="shared" si="12"/>
        <v>1</v>
      </c>
      <c r="G69" s="1" t="str">
        <f t="shared" si="9"/>
        <v>物理</v>
      </c>
      <c r="H69" s="1">
        <v>2</v>
      </c>
      <c r="I69" s="1" t="str">
        <f t="shared" si="13"/>
        <v>,50005,50069</v>
      </c>
      <c r="J69" s="1" t="str">
        <f t="shared" si="14"/>
        <v>50005</v>
      </c>
      <c r="K69" s="1">
        <v>4</v>
      </c>
      <c r="L69" s="1" t="str">
        <f t="shared" si="15"/>
        <v>50069</v>
      </c>
      <c r="M69" s="1">
        <v>2</v>
      </c>
      <c r="N69" s="1" t="str">
        <f t="shared" si="16"/>
        <v/>
      </c>
      <c r="P69" s="1" t="str">
        <f t="shared" si="17"/>
        <v/>
      </c>
      <c r="R69" s="1">
        <f>VLOOKUP(--J69,test3,11,FALSE)*K69+VLOOKUP(--L69,test3,11,FALSE)*M69+IF(N69="",0,VLOOKUP(--N69,test3,11,FALSE)*O69)+IF(P69="",0,VLOOKUP(--P69,test3,11,FALSE)*Q69)</f>
        <v>9</v>
      </c>
    </row>
    <row r="70" spans="2:18" x14ac:dyDescent="0.15">
      <c r="B70" s="1">
        <f>[1]item!$D69</f>
        <v>100068</v>
      </c>
      <c r="C70" s="1">
        <f>[1]item!$C69</f>
        <v>101050800</v>
      </c>
      <c r="D70" s="1">
        <f t="shared" si="10"/>
        <v>5</v>
      </c>
      <c r="E70" s="1">
        <f t="shared" si="11"/>
        <v>1</v>
      </c>
      <c r="F70" s="1">
        <f t="shared" si="12"/>
        <v>1</v>
      </c>
      <c r="G70" s="1" t="str">
        <f t="shared" si="9"/>
        <v>物理</v>
      </c>
      <c r="H70" s="1">
        <v>2</v>
      </c>
      <c r="I70" s="1" t="str">
        <f t="shared" si="13"/>
        <v>,50051,50005</v>
      </c>
      <c r="J70" s="1" t="str">
        <f t="shared" si="14"/>
        <v>50051</v>
      </c>
      <c r="K70" s="1">
        <v>4</v>
      </c>
      <c r="L70" s="1" t="str">
        <f t="shared" si="15"/>
        <v>50005</v>
      </c>
      <c r="M70" s="1">
        <v>2</v>
      </c>
      <c r="N70" s="1" t="str">
        <f t="shared" si="16"/>
        <v/>
      </c>
      <c r="P70" s="1" t="str">
        <f t="shared" si="17"/>
        <v/>
      </c>
      <c r="R70" s="1">
        <f>VLOOKUP(--J70,test3,11,FALSE)*K70+VLOOKUP(--L70,test3,11,FALSE)*M70+IF(N70="",0,VLOOKUP(--N70,test3,11,FALSE)*O70)+IF(P70="",0,VLOOKUP(--P70,test3,11,FALSE)*Q70)</f>
        <v>9</v>
      </c>
    </row>
    <row r="71" spans="2:18" x14ac:dyDescent="0.15">
      <c r="B71" s="1">
        <f>[1]item!$D70</f>
        <v>100069</v>
      </c>
      <c r="C71" s="1">
        <f>[1]item!$C70</f>
        <v>101060800</v>
      </c>
      <c r="D71" s="1">
        <f t="shared" si="10"/>
        <v>6</v>
      </c>
      <c r="E71" s="1">
        <f t="shared" si="11"/>
        <v>1</v>
      </c>
      <c r="F71" s="1">
        <f t="shared" si="12"/>
        <v>1</v>
      </c>
      <c r="G71" s="1" t="str">
        <f t="shared" si="9"/>
        <v>物理</v>
      </c>
      <c r="H71" s="1">
        <v>2</v>
      </c>
      <c r="I71" s="1" t="str">
        <f t="shared" si="13"/>
        <v>,50189,50001</v>
      </c>
      <c r="J71" s="1" t="str">
        <f t="shared" si="14"/>
        <v>50189</v>
      </c>
      <c r="K71" s="1">
        <v>4</v>
      </c>
      <c r="L71" s="1" t="str">
        <f t="shared" si="15"/>
        <v>50001</v>
      </c>
      <c r="M71" s="1">
        <v>2</v>
      </c>
      <c r="N71" s="1" t="str">
        <f t="shared" si="16"/>
        <v/>
      </c>
      <c r="P71" s="1" t="str">
        <f t="shared" si="17"/>
        <v/>
      </c>
      <c r="R71" s="1">
        <f>VLOOKUP(--J71,test3,11,FALSE)*K71+VLOOKUP(--L71,test3,11,FALSE)*M71+IF(N71="",0,VLOOKUP(--N71,test3,11,FALSE)*O71)+IF(P71="",0,VLOOKUP(--P71,test3,11,FALSE)*Q71)</f>
        <v>9</v>
      </c>
    </row>
    <row r="72" spans="2:18" x14ac:dyDescent="0.15">
      <c r="B72" s="1">
        <f>[1]item!$D71</f>
        <v>100070</v>
      </c>
      <c r="C72" s="1">
        <f>[1]item!$C71</f>
        <v>101070800</v>
      </c>
      <c r="D72" s="1">
        <f t="shared" si="10"/>
        <v>7</v>
      </c>
      <c r="E72" s="1">
        <f t="shared" si="11"/>
        <v>1</v>
      </c>
      <c r="F72" s="1">
        <f t="shared" si="12"/>
        <v>1</v>
      </c>
      <c r="G72" s="1" t="str">
        <f t="shared" si="9"/>
        <v>物理</v>
      </c>
      <c r="H72" s="1">
        <v>2</v>
      </c>
      <c r="I72" s="1" t="str">
        <f t="shared" si="13"/>
        <v>,50031,50145</v>
      </c>
      <c r="J72" s="1" t="str">
        <f t="shared" si="14"/>
        <v>50031</v>
      </c>
      <c r="K72" s="1">
        <v>4</v>
      </c>
      <c r="L72" s="1" t="str">
        <f t="shared" si="15"/>
        <v>50145</v>
      </c>
      <c r="M72" s="1">
        <v>2</v>
      </c>
      <c r="N72" s="1" t="str">
        <f t="shared" si="16"/>
        <v/>
      </c>
      <c r="P72" s="1" t="str">
        <f t="shared" si="17"/>
        <v/>
      </c>
      <c r="R72" s="1">
        <f>VLOOKUP(--J72,test3,11,FALSE)*K72+VLOOKUP(--L72,test3,11,FALSE)*M72+IF(N72="",0,VLOOKUP(--N72,test3,11,FALSE)*O72)+IF(P72="",0,VLOOKUP(--P72,test3,11,FALSE)*Q72)</f>
        <v>9</v>
      </c>
    </row>
    <row r="73" spans="2:18" x14ac:dyDescent="0.15">
      <c r="B73" s="1">
        <f>[1]item!$D72</f>
        <v>100071</v>
      </c>
      <c r="C73" s="1">
        <f>[1]item!$C72</f>
        <v>101080800</v>
      </c>
      <c r="D73" s="1">
        <f t="shared" si="10"/>
        <v>8</v>
      </c>
      <c r="E73" s="1">
        <f t="shared" si="11"/>
        <v>1</v>
      </c>
      <c r="F73" s="1">
        <f t="shared" si="12"/>
        <v>1</v>
      </c>
      <c r="G73" s="1" t="str">
        <f t="shared" si="9"/>
        <v>物理</v>
      </c>
      <c r="H73" s="1">
        <v>2</v>
      </c>
      <c r="I73" s="1" t="str">
        <f t="shared" si="13"/>
        <v>,50009,50051</v>
      </c>
      <c r="J73" s="1" t="str">
        <f t="shared" si="14"/>
        <v>50009</v>
      </c>
      <c r="K73" s="1">
        <v>4</v>
      </c>
      <c r="L73" s="1" t="str">
        <f t="shared" si="15"/>
        <v>50051</v>
      </c>
      <c r="M73" s="1">
        <v>2</v>
      </c>
      <c r="N73" s="1" t="str">
        <f t="shared" si="16"/>
        <v/>
      </c>
      <c r="P73" s="1" t="str">
        <f t="shared" si="17"/>
        <v/>
      </c>
      <c r="R73" s="1">
        <f>VLOOKUP(--J73,test3,11,FALSE)*K73+VLOOKUP(--L73,test3,11,FALSE)*M73+IF(N73="",0,VLOOKUP(--N73,test3,11,FALSE)*O73)+IF(P73="",0,VLOOKUP(--P73,test3,11,FALSE)*Q73)</f>
        <v>9</v>
      </c>
    </row>
    <row r="74" spans="2:18" x14ac:dyDescent="0.15">
      <c r="B74" s="1">
        <f>[1]item!$D73</f>
        <v>100072</v>
      </c>
      <c r="C74" s="1">
        <f>[1]item!$C73</f>
        <v>101090800</v>
      </c>
      <c r="D74" s="1">
        <f t="shared" si="10"/>
        <v>9</v>
      </c>
      <c r="E74" s="1">
        <f t="shared" si="11"/>
        <v>1</v>
      </c>
      <c r="F74" s="1">
        <f t="shared" si="12"/>
        <v>1</v>
      </c>
      <c r="G74" s="1" t="str">
        <f t="shared" si="9"/>
        <v>物理</v>
      </c>
      <c r="H74" s="1">
        <v>2</v>
      </c>
      <c r="I74" s="1" t="str">
        <f t="shared" si="13"/>
        <v>,50119,50157</v>
      </c>
      <c r="J74" s="1" t="str">
        <f t="shared" si="14"/>
        <v>50119</v>
      </c>
      <c r="K74" s="1">
        <v>4</v>
      </c>
      <c r="L74" s="1" t="str">
        <f t="shared" si="15"/>
        <v>50157</v>
      </c>
      <c r="M74" s="1">
        <v>2</v>
      </c>
      <c r="N74" s="1" t="str">
        <f t="shared" si="16"/>
        <v/>
      </c>
      <c r="P74" s="1" t="str">
        <f t="shared" si="17"/>
        <v/>
      </c>
      <c r="R74" s="1">
        <f>VLOOKUP(--J74,test3,11,FALSE)*K74+VLOOKUP(--L74,test3,11,FALSE)*M74+IF(N74="",0,VLOOKUP(--N74,test3,11,FALSE)*O74)+IF(P74="",0,VLOOKUP(--P74,test3,11,FALSE)*Q74)</f>
        <v>9</v>
      </c>
    </row>
    <row r="75" spans="2:18" x14ac:dyDescent="0.15">
      <c r="B75" s="1">
        <f>[1]item!$D74</f>
        <v>100073</v>
      </c>
      <c r="C75" s="1">
        <f>[1]item!$C74</f>
        <v>101010900</v>
      </c>
      <c r="D75" s="1">
        <f t="shared" si="10"/>
        <v>1</v>
      </c>
      <c r="E75" s="1">
        <f t="shared" si="11"/>
        <v>1</v>
      </c>
      <c r="F75" s="1">
        <f t="shared" si="12"/>
        <v>1</v>
      </c>
      <c r="G75" s="1" t="str">
        <f t="shared" si="9"/>
        <v>火炎</v>
      </c>
      <c r="H75" s="1">
        <v>2</v>
      </c>
      <c r="I75" s="1" t="str">
        <f t="shared" si="13"/>
        <v>,50015,50051</v>
      </c>
      <c r="J75" s="1" t="str">
        <f t="shared" si="14"/>
        <v>50015</v>
      </c>
      <c r="K75" s="1">
        <v>4</v>
      </c>
      <c r="L75" s="1" t="str">
        <f t="shared" si="15"/>
        <v>50051</v>
      </c>
      <c r="M75" s="1">
        <v>2</v>
      </c>
      <c r="N75" s="1" t="str">
        <f t="shared" si="16"/>
        <v/>
      </c>
      <c r="P75" s="1" t="str">
        <f t="shared" si="17"/>
        <v/>
      </c>
      <c r="R75" s="1">
        <f>VLOOKUP(--J75,test3,11,FALSE)*K75+VLOOKUP(--L75,test3,11,FALSE)*M75+IF(N75="",0,VLOOKUP(--N75,test3,11,FALSE)*O75)+IF(P75="",0,VLOOKUP(--P75,test3,11,FALSE)*Q75)</f>
        <v>9</v>
      </c>
    </row>
    <row r="76" spans="2:18" x14ac:dyDescent="0.15">
      <c r="B76" s="1">
        <f>[1]item!$D75</f>
        <v>100074</v>
      </c>
      <c r="C76" s="1">
        <f>[1]item!$C75</f>
        <v>101020900</v>
      </c>
      <c r="D76" s="1">
        <f t="shared" si="10"/>
        <v>2</v>
      </c>
      <c r="E76" s="1">
        <f t="shared" si="11"/>
        <v>1</v>
      </c>
      <c r="F76" s="1">
        <f t="shared" si="12"/>
        <v>1</v>
      </c>
      <c r="G76" s="1" t="str">
        <f t="shared" si="9"/>
        <v>火炎</v>
      </c>
      <c r="H76" s="1">
        <v>2</v>
      </c>
      <c r="I76" s="1" t="str">
        <f t="shared" si="13"/>
        <v>,50045,50047</v>
      </c>
      <c r="J76" s="1" t="str">
        <f t="shared" si="14"/>
        <v>50045</v>
      </c>
      <c r="K76" s="1">
        <v>4</v>
      </c>
      <c r="L76" s="1" t="str">
        <f t="shared" si="15"/>
        <v>50047</v>
      </c>
      <c r="M76" s="1">
        <v>2</v>
      </c>
      <c r="N76" s="1" t="str">
        <f t="shared" si="16"/>
        <v/>
      </c>
      <c r="P76" s="1" t="str">
        <f t="shared" si="17"/>
        <v/>
      </c>
      <c r="R76" s="1">
        <f>VLOOKUP(--J76,test3,11,FALSE)*K76+VLOOKUP(--L76,test3,11,FALSE)*M76+IF(N76="",0,VLOOKUP(--N76,test3,11,FALSE)*O76)+IF(P76="",0,VLOOKUP(--P76,test3,11,FALSE)*Q76)</f>
        <v>9</v>
      </c>
    </row>
    <row r="77" spans="2:18" x14ac:dyDescent="0.15">
      <c r="B77" s="1">
        <f>[1]item!$D76</f>
        <v>100075</v>
      </c>
      <c r="C77" s="1">
        <f>[1]item!$C76</f>
        <v>101030900</v>
      </c>
      <c r="D77" s="1">
        <f t="shared" si="10"/>
        <v>3</v>
      </c>
      <c r="E77" s="1">
        <f t="shared" si="11"/>
        <v>1</v>
      </c>
      <c r="F77" s="1">
        <f t="shared" si="12"/>
        <v>1</v>
      </c>
      <c r="G77" s="1" t="str">
        <f t="shared" si="9"/>
        <v>火炎</v>
      </c>
      <c r="H77" s="1">
        <v>2</v>
      </c>
      <c r="I77" s="1" t="str">
        <f t="shared" si="13"/>
        <v>,50015,50051</v>
      </c>
      <c r="J77" s="1" t="str">
        <f t="shared" si="14"/>
        <v>50015</v>
      </c>
      <c r="K77" s="1">
        <v>4</v>
      </c>
      <c r="L77" s="1" t="str">
        <f t="shared" si="15"/>
        <v>50051</v>
      </c>
      <c r="M77" s="1">
        <v>2</v>
      </c>
      <c r="N77" s="1" t="str">
        <f t="shared" si="16"/>
        <v/>
      </c>
      <c r="P77" s="1" t="str">
        <f t="shared" si="17"/>
        <v/>
      </c>
      <c r="R77" s="1">
        <f>VLOOKUP(--J77,test3,11,FALSE)*K77+VLOOKUP(--L77,test3,11,FALSE)*M77+IF(N77="",0,VLOOKUP(--N77,test3,11,FALSE)*O77)+IF(P77="",0,VLOOKUP(--P77,test3,11,FALSE)*Q77)</f>
        <v>9</v>
      </c>
    </row>
    <row r="78" spans="2:18" x14ac:dyDescent="0.15">
      <c r="B78" s="1">
        <f>[1]item!$D77</f>
        <v>100076</v>
      </c>
      <c r="C78" s="1">
        <f>[1]item!$C77</f>
        <v>101040900</v>
      </c>
      <c r="D78" s="1">
        <f t="shared" si="10"/>
        <v>4</v>
      </c>
      <c r="E78" s="1">
        <f t="shared" si="11"/>
        <v>1</v>
      </c>
      <c r="F78" s="1">
        <f t="shared" si="12"/>
        <v>1</v>
      </c>
      <c r="G78" s="1" t="str">
        <f t="shared" si="9"/>
        <v>火炎</v>
      </c>
      <c r="H78" s="1">
        <v>2</v>
      </c>
      <c r="I78" s="1" t="str">
        <f t="shared" si="13"/>
        <v>,50045,50013</v>
      </c>
      <c r="J78" s="1" t="str">
        <f t="shared" si="14"/>
        <v>50045</v>
      </c>
      <c r="K78" s="1">
        <v>4</v>
      </c>
      <c r="L78" s="1" t="str">
        <f t="shared" si="15"/>
        <v>50013</v>
      </c>
      <c r="M78" s="1">
        <v>2</v>
      </c>
      <c r="N78" s="1" t="str">
        <f t="shared" si="16"/>
        <v/>
      </c>
      <c r="P78" s="1" t="str">
        <f t="shared" si="17"/>
        <v/>
      </c>
      <c r="R78" s="1">
        <f>VLOOKUP(--J78,test3,11,FALSE)*K78+VLOOKUP(--L78,test3,11,FALSE)*M78+IF(N78="",0,VLOOKUP(--N78,test3,11,FALSE)*O78)+IF(P78="",0,VLOOKUP(--P78,test3,11,FALSE)*Q78)</f>
        <v>9</v>
      </c>
    </row>
    <row r="79" spans="2:18" x14ac:dyDescent="0.15">
      <c r="B79" s="1">
        <f>[1]item!$D78</f>
        <v>100077</v>
      </c>
      <c r="C79" s="1">
        <f>[1]item!$C78</f>
        <v>101050900</v>
      </c>
      <c r="D79" s="1">
        <f t="shared" si="10"/>
        <v>5</v>
      </c>
      <c r="E79" s="1">
        <f t="shared" si="11"/>
        <v>1</v>
      </c>
      <c r="F79" s="1">
        <f t="shared" si="12"/>
        <v>1</v>
      </c>
      <c r="G79" s="1" t="str">
        <f t="shared" si="9"/>
        <v>火炎</v>
      </c>
      <c r="H79" s="1">
        <v>2</v>
      </c>
      <c r="I79" s="1" t="str">
        <f t="shared" si="13"/>
        <v>,50157,50045</v>
      </c>
      <c r="J79" s="1" t="str">
        <f t="shared" si="14"/>
        <v>50157</v>
      </c>
      <c r="K79" s="1">
        <v>4</v>
      </c>
      <c r="L79" s="1" t="str">
        <f t="shared" si="15"/>
        <v>50045</v>
      </c>
      <c r="M79" s="1">
        <v>2</v>
      </c>
      <c r="N79" s="1" t="str">
        <f t="shared" si="16"/>
        <v/>
      </c>
      <c r="P79" s="1" t="str">
        <f t="shared" si="17"/>
        <v/>
      </c>
      <c r="R79" s="1">
        <f>VLOOKUP(--J79,test3,11,FALSE)*K79+VLOOKUP(--L79,test3,11,FALSE)*M79+IF(N79="",0,VLOOKUP(--N79,test3,11,FALSE)*O79)+IF(P79="",0,VLOOKUP(--P79,test3,11,FALSE)*Q79)</f>
        <v>9</v>
      </c>
    </row>
    <row r="80" spans="2:18" x14ac:dyDescent="0.15">
      <c r="B80" s="1">
        <f>[1]item!$D79</f>
        <v>100078</v>
      </c>
      <c r="C80" s="1">
        <f>[1]item!$C79</f>
        <v>101060900</v>
      </c>
      <c r="D80" s="1">
        <f t="shared" si="10"/>
        <v>6</v>
      </c>
      <c r="E80" s="1">
        <f t="shared" si="11"/>
        <v>1</v>
      </c>
      <c r="F80" s="1">
        <f t="shared" si="12"/>
        <v>1</v>
      </c>
      <c r="G80" s="1" t="str">
        <f t="shared" si="9"/>
        <v>火炎</v>
      </c>
      <c r="H80" s="1">
        <v>2</v>
      </c>
      <c r="I80" s="1" t="str">
        <f t="shared" si="13"/>
        <v>,50005,50035</v>
      </c>
      <c r="J80" s="1" t="str">
        <f t="shared" si="14"/>
        <v>50005</v>
      </c>
      <c r="K80" s="1">
        <v>4</v>
      </c>
      <c r="L80" s="1" t="str">
        <f t="shared" si="15"/>
        <v>50035</v>
      </c>
      <c r="M80" s="1">
        <v>2</v>
      </c>
      <c r="N80" s="1" t="str">
        <f t="shared" si="16"/>
        <v/>
      </c>
      <c r="P80" s="1" t="str">
        <f t="shared" si="17"/>
        <v/>
      </c>
      <c r="R80" s="1">
        <f>VLOOKUP(--J80,test3,11,FALSE)*K80+VLOOKUP(--L80,test3,11,FALSE)*M80+IF(N80="",0,VLOOKUP(--N80,test3,11,FALSE)*O80)+IF(P80="",0,VLOOKUP(--P80,test3,11,FALSE)*Q80)</f>
        <v>9</v>
      </c>
    </row>
    <row r="81" spans="2:18" x14ac:dyDescent="0.15">
      <c r="B81" s="1">
        <f>[1]item!$D80</f>
        <v>100079</v>
      </c>
      <c r="C81" s="1">
        <f>[1]item!$C80</f>
        <v>101070900</v>
      </c>
      <c r="D81" s="1">
        <f t="shared" si="10"/>
        <v>7</v>
      </c>
      <c r="E81" s="1">
        <f t="shared" si="11"/>
        <v>1</v>
      </c>
      <c r="F81" s="1">
        <f t="shared" si="12"/>
        <v>1</v>
      </c>
      <c r="G81" s="1" t="str">
        <f t="shared" si="9"/>
        <v>火炎</v>
      </c>
      <c r="H81" s="1">
        <v>2</v>
      </c>
      <c r="I81" s="1" t="str">
        <f t="shared" si="13"/>
        <v>,50031,50052</v>
      </c>
      <c r="J81" s="1" t="str">
        <f t="shared" si="14"/>
        <v>50031</v>
      </c>
      <c r="K81" s="1">
        <v>4</v>
      </c>
      <c r="L81" s="1" t="str">
        <f t="shared" si="15"/>
        <v>50052</v>
      </c>
      <c r="M81" s="1">
        <v>2</v>
      </c>
      <c r="N81" s="1" t="str">
        <f t="shared" si="16"/>
        <v/>
      </c>
      <c r="P81" s="1" t="str">
        <f t="shared" si="17"/>
        <v/>
      </c>
      <c r="R81" s="1">
        <f>VLOOKUP(--J81,test3,11,FALSE)*K81+VLOOKUP(--L81,test3,11,FALSE)*M81+IF(N81="",0,VLOOKUP(--N81,test3,11,FALSE)*O81)+IF(P81="",0,VLOOKUP(--P81,test3,11,FALSE)*Q81)</f>
        <v>9</v>
      </c>
    </row>
    <row r="82" spans="2:18" x14ac:dyDescent="0.15">
      <c r="B82" s="1">
        <f>[1]item!$D81</f>
        <v>100080</v>
      </c>
      <c r="C82" s="1">
        <f>[1]item!$C81</f>
        <v>101080900</v>
      </c>
      <c r="D82" s="1">
        <f t="shared" si="10"/>
        <v>8</v>
      </c>
      <c r="E82" s="1">
        <f t="shared" si="11"/>
        <v>1</v>
      </c>
      <c r="F82" s="1">
        <f t="shared" si="12"/>
        <v>1</v>
      </c>
      <c r="G82" s="1" t="str">
        <f t="shared" si="9"/>
        <v>火炎</v>
      </c>
      <c r="H82" s="1">
        <v>2</v>
      </c>
      <c r="I82" s="1" t="str">
        <f t="shared" si="13"/>
        <v>,50189,50001</v>
      </c>
      <c r="J82" s="1" t="str">
        <f t="shared" si="14"/>
        <v>50189</v>
      </c>
      <c r="K82" s="1">
        <v>4</v>
      </c>
      <c r="L82" s="1" t="str">
        <f t="shared" si="15"/>
        <v>50001</v>
      </c>
      <c r="M82" s="1">
        <v>2</v>
      </c>
      <c r="N82" s="1" t="str">
        <f t="shared" si="16"/>
        <v/>
      </c>
      <c r="P82" s="1" t="str">
        <f t="shared" si="17"/>
        <v/>
      </c>
      <c r="R82" s="1">
        <f>VLOOKUP(--J82,test3,11,FALSE)*K82+VLOOKUP(--L82,test3,11,FALSE)*M82+IF(N82="",0,VLOOKUP(--N82,test3,11,FALSE)*O82)+IF(P82="",0,VLOOKUP(--P82,test3,11,FALSE)*Q82)</f>
        <v>9</v>
      </c>
    </row>
    <row r="83" spans="2:18" x14ac:dyDescent="0.15">
      <c r="B83" s="1">
        <f>[1]item!$D82</f>
        <v>100081</v>
      </c>
      <c r="C83" s="1">
        <f>[1]item!$C82</f>
        <v>101090900</v>
      </c>
      <c r="D83" s="1">
        <f t="shared" si="10"/>
        <v>9</v>
      </c>
      <c r="E83" s="1">
        <f t="shared" si="11"/>
        <v>1</v>
      </c>
      <c r="F83" s="1">
        <f t="shared" si="12"/>
        <v>1</v>
      </c>
      <c r="G83" s="1" t="str">
        <f t="shared" si="9"/>
        <v>火炎</v>
      </c>
      <c r="H83" s="1">
        <v>2</v>
      </c>
      <c r="I83" s="1" t="str">
        <f t="shared" si="13"/>
        <v>,50069,50009</v>
      </c>
      <c r="J83" s="1" t="str">
        <f t="shared" si="14"/>
        <v>50069</v>
      </c>
      <c r="K83" s="1">
        <v>4</v>
      </c>
      <c r="L83" s="1" t="str">
        <f t="shared" si="15"/>
        <v>50009</v>
      </c>
      <c r="M83" s="1">
        <v>2</v>
      </c>
      <c r="N83" s="1" t="str">
        <f t="shared" si="16"/>
        <v/>
      </c>
      <c r="P83" s="1" t="str">
        <f t="shared" si="17"/>
        <v/>
      </c>
      <c r="R83" s="1">
        <f>VLOOKUP(--J83,test3,11,FALSE)*K83+VLOOKUP(--L83,test3,11,FALSE)*M83+IF(N83="",0,VLOOKUP(--N83,test3,11,FALSE)*O83)+IF(P83="",0,VLOOKUP(--P83,test3,11,FALSE)*Q83)</f>
        <v>9</v>
      </c>
    </row>
    <row r="84" spans="2:18" x14ac:dyDescent="0.15">
      <c r="B84" s="1">
        <f>[1]item!$D83</f>
        <v>100082</v>
      </c>
      <c r="C84" s="1">
        <f>[1]item!$C83</f>
        <v>101011000</v>
      </c>
      <c r="D84" s="1">
        <f t="shared" si="10"/>
        <v>1</v>
      </c>
      <c r="E84" s="1">
        <f t="shared" si="11"/>
        <v>1</v>
      </c>
      <c r="F84" s="1">
        <f t="shared" si="12"/>
        <v>1</v>
      </c>
      <c r="G84" s="1" t="str">
        <f t="shared" si="9"/>
        <v>黑暗</v>
      </c>
      <c r="H84" s="1">
        <v>2</v>
      </c>
      <c r="I84" s="1" t="str">
        <f t="shared" si="13"/>
        <v>,50168,50031</v>
      </c>
      <c r="J84" s="1" t="str">
        <f t="shared" si="14"/>
        <v>50168</v>
      </c>
      <c r="K84" s="1">
        <v>4</v>
      </c>
      <c r="L84" s="1" t="str">
        <f t="shared" si="15"/>
        <v>50031</v>
      </c>
      <c r="M84" s="1">
        <v>2</v>
      </c>
      <c r="N84" s="1" t="str">
        <f t="shared" si="16"/>
        <v/>
      </c>
      <c r="P84" s="1" t="str">
        <f t="shared" si="17"/>
        <v/>
      </c>
      <c r="R84" s="1">
        <f>VLOOKUP(--J84,test3,11,FALSE)*K84+VLOOKUP(--L84,test3,11,FALSE)*M84+IF(N84="",0,VLOOKUP(--N84,test3,11,FALSE)*O84)+IF(P84="",0,VLOOKUP(--P84,test3,11,FALSE)*Q84)</f>
        <v>9</v>
      </c>
    </row>
    <row r="85" spans="2:18" x14ac:dyDescent="0.15">
      <c r="B85" s="1">
        <f>[1]item!$D84</f>
        <v>100083</v>
      </c>
      <c r="C85" s="1">
        <f>[1]item!$C84</f>
        <v>101021000</v>
      </c>
      <c r="D85" s="1">
        <f t="shared" si="10"/>
        <v>2</v>
      </c>
      <c r="E85" s="1">
        <f t="shared" si="11"/>
        <v>1</v>
      </c>
      <c r="F85" s="1">
        <f t="shared" si="12"/>
        <v>1</v>
      </c>
      <c r="G85" s="1" t="str">
        <f t="shared" si="9"/>
        <v>黑暗</v>
      </c>
      <c r="H85" s="1">
        <v>2</v>
      </c>
      <c r="I85" s="1" t="str">
        <f t="shared" si="13"/>
        <v>,50051,50119</v>
      </c>
      <c r="J85" s="1" t="str">
        <f t="shared" si="14"/>
        <v>50051</v>
      </c>
      <c r="K85" s="1">
        <v>4</v>
      </c>
      <c r="L85" s="1" t="str">
        <f t="shared" si="15"/>
        <v>50119</v>
      </c>
      <c r="M85" s="1">
        <v>2</v>
      </c>
      <c r="N85" s="1" t="str">
        <f t="shared" si="16"/>
        <v/>
      </c>
      <c r="P85" s="1" t="str">
        <f t="shared" si="17"/>
        <v/>
      </c>
      <c r="R85" s="1">
        <f>VLOOKUP(--J85,test3,11,FALSE)*K85+VLOOKUP(--L85,test3,11,FALSE)*M85+IF(N85="",0,VLOOKUP(--N85,test3,11,FALSE)*O85)+IF(P85="",0,VLOOKUP(--P85,test3,11,FALSE)*Q85)</f>
        <v>9</v>
      </c>
    </row>
    <row r="86" spans="2:18" x14ac:dyDescent="0.15">
      <c r="B86" s="1">
        <f>[1]item!$D85</f>
        <v>100084</v>
      </c>
      <c r="C86" s="1">
        <f>[1]item!$C85</f>
        <v>101031000</v>
      </c>
      <c r="D86" s="1">
        <f t="shared" si="10"/>
        <v>3</v>
      </c>
      <c r="E86" s="1">
        <f t="shared" si="11"/>
        <v>1</v>
      </c>
      <c r="F86" s="1">
        <f t="shared" si="12"/>
        <v>1</v>
      </c>
      <c r="G86" s="1" t="str">
        <f t="shared" si="9"/>
        <v>黑暗</v>
      </c>
      <c r="H86" s="1">
        <v>2</v>
      </c>
      <c r="I86" s="1" t="str">
        <f t="shared" si="13"/>
        <v>,50168,50031</v>
      </c>
      <c r="J86" s="1" t="str">
        <f t="shared" si="14"/>
        <v>50168</v>
      </c>
      <c r="K86" s="1">
        <v>4</v>
      </c>
      <c r="L86" s="1" t="str">
        <f t="shared" si="15"/>
        <v>50031</v>
      </c>
      <c r="M86" s="1">
        <v>2</v>
      </c>
      <c r="N86" s="1" t="str">
        <f t="shared" si="16"/>
        <v/>
      </c>
      <c r="P86" s="1" t="str">
        <f t="shared" si="17"/>
        <v/>
      </c>
      <c r="R86" s="1">
        <f>VLOOKUP(--J86,test3,11,FALSE)*K86+VLOOKUP(--L86,test3,11,FALSE)*M86+IF(N86="",0,VLOOKUP(--N86,test3,11,FALSE)*O86)+IF(P86="",0,VLOOKUP(--P86,test3,11,FALSE)*Q86)</f>
        <v>9</v>
      </c>
    </row>
    <row r="87" spans="2:18" x14ac:dyDescent="0.15">
      <c r="B87" s="1">
        <f>[1]item!$D86</f>
        <v>100085</v>
      </c>
      <c r="C87" s="1">
        <f>[1]item!$C86</f>
        <v>101041000</v>
      </c>
      <c r="D87" s="1">
        <f t="shared" si="10"/>
        <v>4</v>
      </c>
      <c r="E87" s="1">
        <f t="shared" si="11"/>
        <v>1</v>
      </c>
      <c r="F87" s="1">
        <f t="shared" si="12"/>
        <v>1</v>
      </c>
      <c r="G87" s="1" t="str">
        <f t="shared" si="9"/>
        <v>黑暗</v>
      </c>
      <c r="H87" s="1">
        <v>2</v>
      </c>
      <c r="I87" s="1" t="str">
        <f t="shared" si="13"/>
        <v>,50047,50015</v>
      </c>
      <c r="J87" s="1" t="str">
        <f t="shared" si="14"/>
        <v>50047</v>
      </c>
      <c r="K87" s="1">
        <v>4</v>
      </c>
      <c r="L87" s="1" t="str">
        <f t="shared" si="15"/>
        <v>50015</v>
      </c>
      <c r="M87" s="1">
        <v>2</v>
      </c>
      <c r="N87" s="1" t="str">
        <f t="shared" si="16"/>
        <v/>
      </c>
      <c r="P87" s="1" t="str">
        <f t="shared" si="17"/>
        <v/>
      </c>
      <c r="R87" s="1">
        <f>VLOOKUP(--J87,test3,11,FALSE)*K87+VLOOKUP(--L87,test3,11,FALSE)*M87+IF(N87="",0,VLOOKUP(--N87,test3,11,FALSE)*O87)+IF(P87="",0,VLOOKUP(--P87,test3,11,FALSE)*Q87)</f>
        <v>9</v>
      </c>
    </row>
    <row r="88" spans="2:18" x14ac:dyDescent="0.15">
      <c r="B88" s="1">
        <f>[1]item!$D87</f>
        <v>100086</v>
      </c>
      <c r="C88" s="1">
        <f>[1]item!$C87</f>
        <v>101051000</v>
      </c>
      <c r="D88" s="1">
        <f t="shared" si="10"/>
        <v>5</v>
      </c>
      <c r="E88" s="1">
        <f t="shared" si="11"/>
        <v>1</v>
      </c>
      <c r="F88" s="1">
        <f t="shared" si="12"/>
        <v>1</v>
      </c>
      <c r="G88" s="1" t="str">
        <f t="shared" si="9"/>
        <v>黑暗</v>
      </c>
      <c r="H88" s="1">
        <v>2</v>
      </c>
      <c r="I88" s="1" t="str">
        <f t="shared" si="13"/>
        <v>,50031,50052</v>
      </c>
      <c r="J88" s="1" t="str">
        <f t="shared" si="14"/>
        <v>50031</v>
      </c>
      <c r="K88" s="1">
        <v>4</v>
      </c>
      <c r="L88" s="1" t="str">
        <f t="shared" si="15"/>
        <v>50052</v>
      </c>
      <c r="M88" s="1">
        <v>2</v>
      </c>
      <c r="N88" s="1" t="str">
        <f t="shared" si="16"/>
        <v/>
      </c>
      <c r="P88" s="1" t="str">
        <f t="shared" si="17"/>
        <v/>
      </c>
      <c r="R88" s="1">
        <f>VLOOKUP(--J88,test3,11,FALSE)*K88+VLOOKUP(--L88,test3,11,FALSE)*M88+IF(N88="",0,VLOOKUP(--N88,test3,11,FALSE)*O88)+IF(P88="",0,VLOOKUP(--P88,test3,11,FALSE)*Q88)</f>
        <v>9</v>
      </c>
    </row>
    <row r="89" spans="2:18" x14ac:dyDescent="0.15">
      <c r="B89" s="1">
        <f>[1]item!$D88</f>
        <v>100087</v>
      </c>
      <c r="C89" s="1">
        <f>[1]item!$C88</f>
        <v>101061000</v>
      </c>
      <c r="D89" s="1">
        <f t="shared" si="10"/>
        <v>6</v>
      </c>
      <c r="E89" s="1">
        <f t="shared" si="11"/>
        <v>1</v>
      </c>
      <c r="F89" s="1">
        <f t="shared" si="12"/>
        <v>1</v>
      </c>
      <c r="G89" s="1" t="str">
        <f t="shared" si="9"/>
        <v>黑暗</v>
      </c>
      <c r="H89" s="1">
        <v>2</v>
      </c>
      <c r="I89" s="1" t="str">
        <f t="shared" si="13"/>
        <v>,50035,50035</v>
      </c>
      <c r="J89" s="1" t="str">
        <f t="shared" si="14"/>
        <v>50035</v>
      </c>
      <c r="K89" s="1">
        <v>4</v>
      </c>
      <c r="L89" s="1" t="str">
        <f t="shared" si="15"/>
        <v>50035</v>
      </c>
      <c r="M89" s="1">
        <v>2</v>
      </c>
      <c r="N89" s="1" t="str">
        <f t="shared" si="16"/>
        <v/>
      </c>
      <c r="P89" s="1" t="str">
        <f t="shared" si="17"/>
        <v/>
      </c>
      <c r="R89" s="1">
        <f>VLOOKUP(--J89,test3,11,FALSE)*K89+VLOOKUP(--L89,test3,11,FALSE)*M89+IF(N89="",0,VLOOKUP(--N89,test3,11,FALSE)*O89)+IF(P89="",0,VLOOKUP(--P89,test3,11,FALSE)*Q89)</f>
        <v>9</v>
      </c>
    </row>
    <row r="90" spans="2:18" x14ac:dyDescent="0.15">
      <c r="B90" s="1">
        <f>[1]item!$D89</f>
        <v>100088</v>
      </c>
      <c r="C90" s="1">
        <f>[1]item!$C89</f>
        <v>101071000</v>
      </c>
      <c r="D90" s="1">
        <f t="shared" si="10"/>
        <v>7</v>
      </c>
      <c r="E90" s="1">
        <f t="shared" si="11"/>
        <v>1</v>
      </c>
      <c r="F90" s="1">
        <f t="shared" si="12"/>
        <v>1</v>
      </c>
      <c r="G90" s="1" t="str">
        <f t="shared" si="9"/>
        <v>黑暗</v>
      </c>
      <c r="H90" s="1">
        <v>2</v>
      </c>
      <c r="I90" s="1" t="str">
        <f t="shared" si="13"/>
        <v>,50189,50015</v>
      </c>
      <c r="J90" s="1" t="str">
        <f t="shared" si="14"/>
        <v>50189</v>
      </c>
      <c r="K90" s="1">
        <v>4</v>
      </c>
      <c r="L90" s="1" t="str">
        <f t="shared" si="15"/>
        <v>50015</v>
      </c>
      <c r="M90" s="1">
        <v>2</v>
      </c>
      <c r="N90" s="1" t="str">
        <f t="shared" si="16"/>
        <v/>
      </c>
      <c r="P90" s="1" t="str">
        <f t="shared" si="17"/>
        <v/>
      </c>
      <c r="R90" s="1">
        <f>VLOOKUP(--J90,test3,11,FALSE)*K90+VLOOKUP(--L90,test3,11,FALSE)*M90+IF(N90="",0,VLOOKUP(--N90,test3,11,FALSE)*O90)+IF(P90="",0,VLOOKUP(--P90,test3,11,FALSE)*Q90)</f>
        <v>9</v>
      </c>
    </row>
    <row r="91" spans="2:18" x14ac:dyDescent="0.15">
      <c r="B91" s="1">
        <f>[1]item!$D90</f>
        <v>100089</v>
      </c>
      <c r="C91" s="1">
        <f>[1]item!$C90</f>
        <v>101081000</v>
      </c>
      <c r="D91" s="1">
        <f t="shared" si="10"/>
        <v>8</v>
      </c>
      <c r="E91" s="1">
        <f t="shared" si="11"/>
        <v>1</v>
      </c>
      <c r="F91" s="1">
        <f t="shared" si="12"/>
        <v>1</v>
      </c>
      <c r="G91" s="1" t="str">
        <f t="shared" si="9"/>
        <v>黑暗</v>
      </c>
      <c r="H91" s="1">
        <v>2</v>
      </c>
      <c r="I91" s="1" t="str">
        <f t="shared" si="13"/>
        <v>,50035,50145</v>
      </c>
      <c r="J91" s="1" t="str">
        <f t="shared" si="14"/>
        <v>50035</v>
      </c>
      <c r="K91" s="1">
        <v>4</v>
      </c>
      <c r="L91" s="1" t="str">
        <f t="shared" si="15"/>
        <v>50145</v>
      </c>
      <c r="M91" s="1">
        <v>2</v>
      </c>
      <c r="N91" s="1" t="str">
        <f t="shared" si="16"/>
        <v/>
      </c>
      <c r="P91" s="1" t="str">
        <f t="shared" si="17"/>
        <v/>
      </c>
      <c r="R91" s="1">
        <f>VLOOKUP(--J91,test3,11,FALSE)*K91+VLOOKUP(--L91,test3,11,FALSE)*M91+IF(N91="",0,VLOOKUP(--N91,test3,11,FALSE)*O91)+IF(P91="",0,VLOOKUP(--P91,test3,11,FALSE)*Q91)</f>
        <v>9</v>
      </c>
    </row>
    <row r="92" spans="2:18" x14ac:dyDescent="0.15">
      <c r="B92" s="1">
        <f>[1]item!$D91</f>
        <v>100090</v>
      </c>
      <c r="C92" s="1">
        <f>[1]item!$C91</f>
        <v>101091000</v>
      </c>
      <c r="D92" s="1">
        <f t="shared" si="10"/>
        <v>9</v>
      </c>
      <c r="E92" s="1">
        <f t="shared" si="11"/>
        <v>1</v>
      </c>
      <c r="F92" s="1">
        <f t="shared" si="12"/>
        <v>1</v>
      </c>
      <c r="G92" s="1" t="str">
        <f t="shared" si="9"/>
        <v>黑暗</v>
      </c>
      <c r="H92" s="1">
        <v>2</v>
      </c>
      <c r="I92" s="1" t="str">
        <f t="shared" si="13"/>
        <v>,50045,50013</v>
      </c>
      <c r="J92" s="1" t="str">
        <f t="shared" si="14"/>
        <v>50045</v>
      </c>
      <c r="K92" s="1">
        <v>4</v>
      </c>
      <c r="L92" s="1" t="str">
        <f t="shared" si="15"/>
        <v>50013</v>
      </c>
      <c r="M92" s="1">
        <v>2</v>
      </c>
      <c r="N92" s="1" t="str">
        <f t="shared" si="16"/>
        <v/>
      </c>
      <c r="P92" s="1" t="str">
        <f t="shared" si="17"/>
        <v/>
      </c>
      <c r="R92" s="1">
        <f>VLOOKUP(--J92,test3,11,FALSE)*K92+VLOOKUP(--L92,test3,11,FALSE)*M92+IF(N92="",0,VLOOKUP(--N92,test3,11,FALSE)*O92)+IF(P92="",0,VLOOKUP(--P92,test3,11,FALSE)*Q92)</f>
        <v>9</v>
      </c>
    </row>
    <row r="93" spans="2:18" x14ac:dyDescent="0.15">
      <c r="B93" s="1">
        <f>[1]item!$D92</f>
        <v>100091</v>
      </c>
      <c r="C93" s="1">
        <f>[1]item!$C92</f>
        <v>101011100</v>
      </c>
      <c r="D93" s="1">
        <f t="shared" si="10"/>
        <v>1</v>
      </c>
      <c r="E93" s="1">
        <f t="shared" si="11"/>
        <v>1</v>
      </c>
      <c r="F93" s="1">
        <f t="shared" si="12"/>
        <v>1</v>
      </c>
      <c r="G93" s="1" t="str">
        <f t="shared" si="9"/>
        <v>电击</v>
      </c>
      <c r="H93" s="1">
        <v>2</v>
      </c>
      <c r="I93" s="1" t="str">
        <f t="shared" si="13"/>
        <v>,50031,50001</v>
      </c>
      <c r="J93" s="1" t="str">
        <f t="shared" si="14"/>
        <v>50031</v>
      </c>
      <c r="K93" s="1">
        <v>4</v>
      </c>
      <c r="L93" s="1" t="str">
        <f t="shared" si="15"/>
        <v>50001</v>
      </c>
      <c r="M93" s="1">
        <v>2</v>
      </c>
      <c r="N93" s="1" t="str">
        <f t="shared" si="16"/>
        <v/>
      </c>
      <c r="P93" s="1" t="str">
        <f t="shared" si="17"/>
        <v/>
      </c>
      <c r="R93" s="1">
        <f>VLOOKUP(--J93,test3,11,FALSE)*K93+VLOOKUP(--L93,test3,11,FALSE)*M93+IF(N93="",0,VLOOKUP(--N93,test3,11,FALSE)*O93)+IF(P93="",0,VLOOKUP(--P93,test3,11,FALSE)*Q93)</f>
        <v>9</v>
      </c>
    </row>
    <row r="94" spans="2:18" x14ac:dyDescent="0.15">
      <c r="B94" s="1">
        <f>[1]item!$D93</f>
        <v>100092</v>
      </c>
      <c r="C94" s="1">
        <f>[1]item!$C93</f>
        <v>101021100</v>
      </c>
      <c r="D94" s="1">
        <f t="shared" si="10"/>
        <v>2</v>
      </c>
      <c r="E94" s="1">
        <f t="shared" si="11"/>
        <v>1</v>
      </c>
      <c r="F94" s="1">
        <f t="shared" si="12"/>
        <v>1</v>
      </c>
      <c r="G94" s="1" t="str">
        <f t="shared" si="9"/>
        <v>电击</v>
      </c>
      <c r="H94" s="1">
        <v>2</v>
      </c>
      <c r="I94" s="1" t="str">
        <f t="shared" si="13"/>
        <v>,50051,50005</v>
      </c>
      <c r="J94" s="1" t="str">
        <f t="shared" si="14"/>
        <v>50051</v>
      </c>
      <c r="K94" s="1">
        <v>4</v>
      </c>
      <c r="L94" s="1" t="str">
        <f t="shared" si="15"/>
        <v>50005</v>
      </c>
      <c r="M94" s="1">
        <v>2</v>
      </c>
      <c r="N94" s="1" t="str">
        <f t="shared" si="16"/>
        <v/>
      </c>
      <c r="P94" s="1" t="str">
        <f t="shared" si="17"/>
        <v/>
      </c>
      <c r="R94" s="1">
        <f>VLOOKUP(--J94,test3,11,FALSE)*K94+VLOOKUP(--L94,test3,11,FALSE)*M94+IF(N94="",0,VLOOKUP(--N94,test3,11,FALSE)*O94)+IF(P94="",0,VLOOKUP(--P94,test3,11,FALSE)*Q94)</f>
        <v>9</v>
      </c>
    </row>
    <row r="95" spans="2:18" x14ac:dyDescent="0.15">
      <c r="B95" s="1">
        <f>[1]item!$D94</f>
        <v>100093</v>
      </c>
      <c r="C95" s="1">
        <f>[1]item!$C94</f>
        <v>101031100</v>
      </c>
      <c r="D95" s="1">
        <f t="shared" si="10"/>
        <v>3</v>
      </c>
      <c r="E95" s="1">
        <f t="shared" si="11"/>
        <v>1</v>
      </c>
      <c r="F95" s="1">
        <f t="shared" si="12"/>
        <v>1</v>
      </c>
      <c r="G95" s="1" t="str">
        <f t="shared" si="9"/>
        <v>电击</v>
      </c>
      <c r="H95" s="1">
        <v>2</v>
      </c>
      <c r="I95" s="1" t="str">
        <f t="shared" si="13"/>
        <v>,50157,50041</v>
      </c>
      <c r="J95" s="1" t="str">
        <f t="shared" si="14"/>
        <v>50157</v>
      </c>
      <c r="K95" s="1">
        <v>4</v>
      </c>
      <c r="L95" s="1" t="str">
        <f t="shared" si="15"/>
        <v>50041</v>
      </c>
      <c r="M95" s="1">
        <v>2</v>
      </c>
      <c r="N95" s="1" t="str">
        <f t="shared" si="16"/>
        <v/>
      </c>
      <c r="P95" s="1" t="str">
        <f t="shared" si="17"/>
        <v/>
      </c>
      <c r="R95" s="1">
        <f>VLOOKUP(--J95,test3,11,FALSE)*K95+VLOOKUP(--L95,test3,11,FALSE)*M95+IF(N95="",0,VLOOKUP(--N95,test3,11,FALSE)*O95)+IF(P95="",0,VLOOKUP(--P95,test3,11,FALSE)*Q95)</f>
        <v>9</v>
      </c>
    </row>
    <row r="96" spans="2:18" x14ac:dyDescent="0.15">
      <c r="B96" s="1">
        <f>[1]item!$D95</f>
        <v>100094</v>
      </c>
      <c r="C96" s="1">
        <f>[1]item!$C95</f>
        <v>101041100</v>
      </c>
      <c r="D96" s="1">
        <f t="shared" si="10"/>
        <v>4</v>
      </c>
      <c r="E96" s="1">
        <f t="shared" si="11"/>
        <v>1</v>
      </c>
      <c r="F96" s="1">
        <f t="shared" si="12"/>
        <v>1</v>
      </c>
      <c r="G96" s="1" t="str">
        <f t="shared" si="9"/>
        <v>电击</v>
      </c>
      <c r="H96" s="1">
        <v>2</v>
      </c>
      <c r="I96" s="1" t="str">
        <f t="shared" si="13"/>
        <v>,50013,50047</v>
      </c>
      <c r="J96" s="1" t="str">
        <f t="shared" si="14"/>
        <v>50013</v>
      </c>
      <c r="K96" s="1">
        <v>4</v>
      </c>
      <c r="L96" s="1" t="str">
        <f t="shared" si="15"/>
        <v>50047</v>
      </c>
      <c r="M96" s="1">
        <v>2</v>
      </c>
      <c r="N96" s="1" t="str">
        <f t="shared" si="16"/>
        <v/>
      </c>
      <c r="P96" s="1" t="str">
        <f t="shared" si="17"/>
        <v/>
      </c>
      <c r="R96" s="1">
        <f>VLOOKUP(--J96,test3,11,FALSE)*K96+VLOOKUP(--L96,test3,11,FALSE)*M96+IF(N96="",0,VLOOKUP(--N96,test3,11,FALSE)*O96)+IF(P96="",0,VLOOKUP(--P96,test3,11,FALSE)*Q96)</f>
        <v>9</v>
      </c>
    </row>
    <row r="97" spans="2:18" x14ac:dyDescent="0.15">
      <c r="B97" s="1">
        <f>[1]item!$D96</f>
        <v>100095</v>
      </c>
      <c r="C97" s="1">
        <f>[1]item!$C96</f>
        <v>101051100</v>
      </c>
      <c r="D97" s="1">
        <f t="shared" si="10"/>
        <v>5</v>
      </c>
      <c r="E97" s="1">
        <f t="shared" si="11"/>
        <v>1</v>
      </c>
      <c r="F97" s="1">
        <f t="shared" si="12"/>
        <v>1</v>
      </c>
      <c r="G97" s="1" t="str">
        <f t="shared" si="9"/>
        <v>电击</v>
      </c>
      <c r="H97" s="1">
        <v>2</v>
      </c>
      <c r="I97" s="1" t="str">
        <f t="shared" si="13"/>
        <v>,50005,50009</v>
      </c>
      <c r="J97" s="1" t="str">
        <f t="shared" si="14"/>
        <v>50005</v>
      </c>
      <c r="K97" s="1">
        <v>4</v>
      </c>
      <c r="L97" s="1" t="str">
        <f t="shared" si="15"/>
        <v>50009</v>
      </c>
      <c r="M97" s="1">
        <v>2</v>
      </c>
      <c r="N97" s="1" t="str">
        <f t="shared" si="16"/>
        <v/>
      </c>
      <c r="P97" s="1" t="str">
        <f t="shared" si="17"/>
        <v/>
      </c>
      <c r="R97" s="1">
        <f>VLOOKUP(--J97,test3,11,FALSE)*K97+VLOOKUP(--L97,test3,11,FALSE)*M97+IF(N97="",0,VLOOKUP(--N97,test3,11,FALSE)*O97)+IF(P97="",0,VLOOKUP(--P97,test3,11,FALSE)*Q97)</f>
        <v>9</v>
      </c>
    </row>
    <row r="98" spans="2:18" x14ac:dyDescent="0.15">
      <c r="B98" s="1">
        <f>[1]item!$D97</f>
        <v>100096</v>
      </c>
      <c r="C98" s="1">
        <f>[1]item!$C97</f>
        <v>101061100</v>
      </c>
      <c r="D98" s="1">
        <f t="shared" si="10"/>
        <v>6</v>
      </c>
      <c r="E98" s="1">
        <f t="shared" si="11"/>
        <v>1</v>
      </c>
      <c r="F98" s="1">
        <f t="shared" si="12"/>
        <v>1</v>
      </c>
      <c r="G98" s="1" t="str">
        <f t="shared" si="9"/>
        <v>电击</v>
      </c>
      <c r="H98" s="1">
        <v>2</v>
      </c>
      <c r="I98" s="1" t="str">
        <f t="shared" si="13"/>
        <v>,50168,50051</v>
      </c>
      <c r="J98" s="1" t="str">
        <f t="shared" si="14"/>
        <v>50168</v>
      </c>
      <c r="K98" s="1">
        <v>4</v>
      </c>
      <c r="L98" s="1" t="str">
        <f t="shared" si="15"/>
        <v>50051</v>
      </c>
      <c r="M98" s="1">
        <v>2</v>
      </c>
      <c r="N98" s="1" t="str">
        <f t="shared" si="16"/>
        <v/>
      </c>
      <c r="P98" s="1" t="str">
        <f t="shared" si="17"/>
        <v/>
      </c>
      <c r="R98" s="1">
        <f>VLOOKUP(--J98,test3,11,FALSE)*K98+VLOOKUP(--L98,test3,11,FALSE)*M98+IF(N98="",0,VLOOKUP(--N98,test3,11,FALSE)*O98)+IF(P98="",0,VLOOKUP(--P98,test3,11,FALSE)*Q98)</f>
        <v>9</v>
      </c>
    </row>
    <row r="99" spans="2:18" x14ac:dyDescent="0.15">
      <c r="B99" s="1">
        <f>[1]item!$D98</f>
        <v>100097</v>
      </c>
      <c r="C99" s="1">
        <f>[1]item!$C98</f>
        <v>101071100</v>
      </c>
      <c r="D99" s="1">
        <f t="shared" si="10"/>
        <v>7</v>
      </c>
      <c r="E99" s="1">
        <f t="shared" si="11"/>
        <v>1</v>
      </c>
      <c r="F99" s="1">
        <f t="shared" si="12"/>
        <v>1</v>
      </c>
      <c r="G99" s="1" t="str">
        <f t="shared" si="9"/>
        <v>电击</v>
      </c>
      <c r="H99" s="1">
        <v>2</v>
      </c>
      <c r="I99" s="1" t="str">
        <f t="shared" si="13"/>
        <v>,50013,50035</v>
      </c>
      <c r="J99" s="1" t="str">
        <f t="shared" si="14"/>
        <v>50013</v>
      </c>
      <c r="K99" s="1">
        <v>4</v>
      </c>
      <c r="L99" s="1" t="str">
        <f t="shared" si="15"/>
        <v>50035</v>
      </c>
      <c r="M99" s="1">
        <v>2</v>
      </c>
      <c r="N99" s="1" t="str">
        <f t="shared" si="16"/>
        <v/>
      </c>
      <c r="P99" s="1" t="str">
        <f t="shared" si="17"/>
        <v/>
      </c>
      <c r="R99" s="1">
        <f>VLOOKUP(--J99,test3,11,FALSE)*K99+VLOOKUP(--L99,test3,11,FALSE)*M99+IF(N99="",0,VLOOKUP(--N99,test3,11,FALSE)*O99)+IF(P99="",0,VLOOKUP(--P99,test3,11,FALSE)*Q99)</f>
        <v>9</v>
      </c>
    </row>
    <row r="100" spans="2:18" x14ac:dyDescent="0.15">
      <c r="B100" s="1">
        <f>[1]item!$D99</f>
        <v>100098</v>
      </c>
      <c r="C100" s="1">
        <f>[1]item!$C99</f>
        <v>101081100</v>
      </c>
      <c r="D100" s="1">
        <f t="shared" si="10"/>
        <v>8</v>
      </c>
      <c r="E100" s="1">
        <f t="shared" si="11"/>
        <v>1</v>
      </c>
      <c r="F100" s="1">
        <f t="shared" si="12"/>
        <v>1</v>
      </c>
      <c r="G100" s="1" t="str">
        <f t="shared" si="9"/>
        <v>电击</v>
      </c>
      <c r="H100" s="1">
        <v>2</v>
      </c>
      <c r="I100" s="1" t="str">
        <f t="shared" si="13"/>
        <v>,50069,50009</v>
      </c>
      <c r="J100" s="1" t="str">
        <f t="shared" si="14"/>
        <v>50069</v>
      </c>
      <c r="K100" s="1">
        <v>4</v>
      </c>
      <c r="L100" s="1" t="str">
        <f t="shared" si="15"/>
        <v>50009</v>
      </c>
      <c r="M100" s="1">
        <v>2</v>
      </c>
      <c r="N100" s="1" t="str">
        <f t="shared" si="16"/>
        <v/>
      </c>
      <c r="P100" s="1" t="str">
        <f t="shared" si="17"/>
        <v/>
      </c>
      <c r="R100" s="1">
        <f>VLOOKUP(--J100,test3,11,FALSE)*K100+VLOOKUP(--L100,test3,11,FALSE)*M100+IF(N100="",0,VLOOKUP(--N100,test3,11,FALSE)*O100)+IF(P100="",0,VLOOKUP(--P100,test3,11,FALSE)*Q100)</f>
        <v>9</v>
      </c>
    </row>
    <row r="101" spans="2:18" x14ac:dyDescent="0.15">
      <c r="B101" s="1">
        <f>[1]item!$D100</f>
        <v>100099</v>
      </c>
      <c r="C101" s="1">
        <f>[1]item!$C100</f>
        <v>101091100</v>
      </c>
      <c r="D101" s="1">
        <f t="shared" si="10"/>
        <v>9</v>
      </c>
      <c r="E101" s="1">
        <f t="shared" si="11"/>
        <v>1</v>
      </c>
      <c r="F101" s="1">
        <f t="shared" si="12"/>
        <v>1</v>
      </c>
      <c r="G101" s="1" t="str">
        <f t="shared" si="9"/>
        <v>电击</v>
      </c>
      <c r="H101" s="1">
        <v>2</v>
      </c>
      <c r="I101" s="1" t="str">
        <f t="shared" si="13"/>
        <v>,50189,50041</v>
      </c>
      <c r="J101" s="1" t="str">
        <f t="shared" si="14"/>
        <v>50189</v>
      </c>
      <c r="K101" s="1">
        <v>4</v>
      </c>
      <c r="L101" s="1" t="str">
        <f t="shared" si="15"/>
        <v>50041</v>
      </c>
      <c r="M101" s="1">
        <v>2</v>
      </c>
      <c r="N101" s="1" t="str">
        <f t="shared" si="16"/>
        <v/>
      </c>
      <c r="P101" s="1" t="str">
        <f t="shared" si="17"/>
        <v/>
      </c>
      <c r="R101" s="1">
        <f>VLOOKUP(--J101,test3,11,FALSE)*K101+VLOOKUP(--L101,test3,11,FALSE)*M101+IF(N101="",0,VLOOKUP(--N101,test3,11,FALSE)*O101)+IF(P101="",0,VLOOKUP(--P101,test3,11,FALSE)*Q101)</f>
        <v>9</v>
      </c>
    </row>
    <row r="102" spans="2:18" x14ac:dyDescent="0.15">
      <c r="B102" s="1">
        <f>[1]item!$D101</f>
        <v>100100</v>
      </c>
      <c r="C102" s="1">
        <f>[1]item!$C101</f>
        <v>101011200</v>
      </c>
      <c r="D102" s="1">
        <f t="shared" si="10"/>
        <v>1</v>
      </c>
      <c r="E102" s="1">
        <f t="shared" si="11"/>
        <v>1</v>
      </c>
      <c r="F102" s="1">
        <f t="shared" si="12"/>
        <v>1</v>
      </c>
      <c r="G102" s="1" t="str">
        <f t="shared" si="9"/>
        <v>冷却</v>
      </c>
      <c r="H102" s="1">
        <v>2</v>
      </c>
      <c r="I102" s="1" t="str">
        <f t="shared" si="13"/>
        <v>,50041,50015</v>
      </c>
      <c r="J102" s="1" t="str">
        <f t="shared" si="14"/>
        <v>50041</v>
      </c>
      <c r="K102" s="1">
        <v>4</v>
      </c>
      <c r="L102" s="1" t="str">
        <f t="shared" si="15"/>
        <v>50015</v>
      </c>
      <c r="M102" s="1">
        <v>2</v>
      </c>
      <c r="N102" s="1" t="str">
        <f t="shared" si="16"/>
        <v/>
      </c>
      <c r="P102" s="1" t="str">
        <f t="shared" si="17"/>
        <v/>
      </c>
      <c r="R102" s="1">
        <f>VLOOKUP(--J102,test3,11,FALSE)*K102+VLOOKUP(--L102,test3,11,FALSE)*M102+IF(N102="",0,VLOOKUP(--N102,test3,11,FALSE)*O102)+IF(P102="",0,VLOOKUP(--P102,test3,11,FALSE)*Q102)</f>
        <v>9</v>
      </c>
    </row>
    <row r="103" spans="2:18" x14ac:dyDescent="0.15">
      <c r="B103" s="1">
        <f>[1]item!$D102</f>
        <v>100101</v>
      </c>
      <c r="C103" s="1">
        <f>[1]item!$C102</f>
        <v>101021200</v>
      </c>
      <c r="D103" s="1">
        <f t="shared" si="10"/>
        <v>2</v>
      </c>
      <c r="E103" s="1">
        <f t="shared" si="11"/>
        <v>1</v>
      </c>
      <c r="F103" s="1">
        <f t="shared" si="12"/>
        <v>1</v>
      </c>
      <c r="G103" s="1" t="str">
        <f t="shared" si="9"/>
        <v>冷却</v>
      </c>
      <c r="H103" s="1">
        <v>2</v>
      </c>
      <c r="I103" s="1" t="str">
        <f t="shared" si="13"/>
        <v>,50145,50041</v>
      </c>
      <c r="J103" s="1" t="str">
        <f t="shared" si="14"/>
        <v>50145</v>
      </c>
      <c r="K103" s="1">
        <v>4</v>
      </c>
      <c r="L103" s="1" t="str">
        <f t="shared" si="15"/>
        <v>50041</v>
      </c>
      <c r="M103" s="1">
        <v>2</v>
      </c>
      <c r="N103" s="1" t="str">
        <f t="shared" si="16"/>
        <v/>
      </c>
      <c r="P103" s="1" t="str">
        <f t="shared" si="17"/>
        <v/>
      </c>
      <c r="R103" s="1">
        <f>VLOOKUP(--J103,test3,11,FALSE)*K103+VLOOKUP(--L103,test3,11,FALSE)*M103+IF(N103="",0,VLOOKUP(--N103,test3,11,FALSE)*O103)+IF(P103="",0,VLOOKUP(--P103,test3,11,FALSE)*Q103)</f>
        <v>9</v>
      </c>
    </row>
    <row r="104" spans="2:18" x14ac:dyDescent="0.15">
      <c r="B104" s="1">
        <f>[1]item!$D103</f>
        <v>100102</v>
      </c>
      <c r="C104" s="1">
        <f>[1]item!$C103</f>
        <v>101031200</v>
      </c>
      <c r="D104" s="1">
        <f t="shared" si="10"/>
        <v>3</v>
      </c>
      <c r="E104" s="1">
        <f t="shared" si="11"/>
        <v>1</v>
      </c>
      <c r="F104" s="1">
        <f t="shared" si="12"/>
        <v>1</v>
      </c>
      <c r="G104" s="1" t="str">
        <f t="shared" si="9"/>
        <v>冷却</v>
      </c>
      <c r="H104" s="1">
        <v>2</v>
      </c>
      <c r="I104" s="1" t="str">
        <f t="shared" si="13"/>
        <v>,50009,50013</v>
      </c>
      <c r="J104" s="1" t="str">
        <f t="shared" si="14"/>
        <v>50009</v>
      </c>
      <c r="K104" s="1">
        <v>4</v>
      </c>
      <c r="L104" s="1" t="str">
        <f t="shared" si="15"/>
        <v>50013</v>
      </c>
      <c r="M104" s="1">
        <v>2</v>
      </c>
      <c r="N104" s="1" t="str">
        <f t="shared" si="16"/>
        <v/>
      </c>
      <c r="P104" s="1" t="str">
        <f t="shared" si="17"/>
        <v/>
      </c>
      <c r="R104" s="1">
        <f>VLOOKUP(--J104,test3,11,FALSE)*K104+VLOOKUP(--L104,test3,11,FALSE)*M104+IF(N104="",0,VLOOKUP(--N104,test3,11,FALSE)*O104)+IF(P104="",0,VLOOKUP(--P104,test3,11,FALSE)*Q104)</f>
        <v>9</v>
      </c>
    </row>
    <row r="105" spans="2:18" x14ac:dyDescent="0.15">
      <c r="B105" s="1">
        <f>[1]item!$D104</f>
        <v>100103</v>
      </c>
      <c r="C105" s="1">
        <f>[1]item!$C104</f>
        <v>101041200</v>
      </c>
      <c r="D105" s="1">
        <f t="shared" si="10"/>
        <v>4</v>
      </c>
      <c r="E105" s="1">
        <f t="shared" si="11"/>
        <v>1</v>
      </c>
      <c r="F105" s="1">
        <f t="shared" si="12"/>
        <v>1</v>
      </c>
      <c r="G105" s="1" t="str">
        <f t="shared" si="9"/>
        <v>冷却</v>
      </c>
      <c r="H105" s="1">
        <v>2</v>
      </c>
      <c r="I105" s="1" t="str">
        <f t="shared" si="13"/>
        <v>,50069,50069</v>
      </c>
      <c r="J105" s="1" t="str">
        <f t="shared" si="14"/>
        <v>50069</v>
      </c>
      <c r="K105" s="1">
        <v>4</v>
      </c>
      <c r="L105" s="1" t="str">
        <f t="shared" si="15"/>
        <v>50069</v>
      </c>
      <c r="M105" s="1">
        <v>2</v>
      </c>
      <c r="N105" s="1" t="str">
        <f t="shared" si="16"/>
        <v/>
      </c>
      <c r="P105" s="1" t="str">
        <f t="shared" si="17"/>
        <v/>
      </c>
      <c r="R105" s="1">
        <f>VLOOKUP(--J105,test3,11,FALSE)*K105+VLOOKUP(--L105,test3,11,FALSE)*M105+IF(N105="",0,VLOOKUP(--N105,test3,11,FALSE)*O105)+IF(P105="",0,VLOOKUP(--P105,test3,11,FALSE)*Q105)</f>
        <v>9</v>
      </c>
    </row>
    <row r="106" spans="2:18" x14ac:dyDescent="0.15">
      <c r="B106" s="1">
        <f>[1]item!$D105</f>
        <v>100104</v>
      </c>
      <c r="C106" s="1">
        <f>[1]item!$C105</f>
        <v>101051200</v>
      </c>
      <c r="D106" s="1">
        <f t="shared" si="10"/>
        <v>5</v>
      </c>
      <c r="E106" s="1">
        <f t="shared" si="11"/>
        <v>1</v>
      </c>
      <c r="F106" s="1">
        <f t="shared" si="12"/>
        <v>1</v>
      </c>
      <c r="G106" s="1" t="str">
        <f t="shared" si="9"/>
        <v>冷却</v>
      </c>
      <c r="H106" s="1">
        <v>2</v>
      </c>
      <c r="I106" s="1" t="str">
        <f t="shared" si="13"/>
        <v>,50189,50041</v>
      </c>
      <c r="J106" s="1" t="str">
        <f t="shared" si="14"/>
        <v>50189</v>
      </c>
      <c r="K106" s="1">
        <v>4</v>
      </c>
      <c r="L106" s="1" t="str">
        <f t="shared" si="15"/>
        <v>50041</v>
      </c>
      <c r="M106" s="1">
        <v>2</v>
      </c>
      <c r="N106" s="1" t="str">
        <f t="shared" si="16"/>
        <v/>
      </c>
      <c r="P106" s="1" t="str">
        <f t="shared" si="17"/>
        <v/>
      </c>
      <c r="R106" s="1">
        <f>VLOOKUP(--J106,test3,11,FALSE)*K106+VLOOKUP(--L106,test3,11,FALSE)*M106+IF(N106="",0,VLOOKUP(--N106,test3,11,FALSE)*O106)+IF(P106="",0,VLOOKUP(--P106,test3,11,FALSE)*Q106)</f>
        <v>9</v>
      </c>
    </row>
    <row r="107" spans="2:18" x14ac:dyDescent="0.15">
      <c r="B107" s="1">
        <f>[1]item!$D106</f>
        <v>100105</v>
      </c>
      <c r="C107" s="1">
        <f>[1]item!$C106</f>
        <v>101061200</v>
      </c>
      <c r="D107" s="1">
        <f t="shared" si="10"/>
        <v>6</v>
      </c>
      <c r="E107" s="1">
        <f t="shared" si="11"/>
        <v>1</v>
      </c>
      <c r="F107" s="1">
        <f t="shared" si="12"/>
        <v>1</v>
      </c>
      <c r="G107" s="1" t="str">
        <f t="shared" si="9"/>
        <v>冷却</v>
      </c>
      <c r="H107" s="1">
        <v>2</v>
      </c>
      <c r="I107" s="1" t="str">
        <f t="shared" si="13"/>
        <v>,50145,50005</v>
      </c>
      <c r="J107" s="1" t="str">
        <f t="shared" si="14"/>
        <v>50145</v>
      </c>
      <c r="K107" s="1">
        <v>4</v>
      </c>
      <c r="L107" s="1" t="str">
        <f t="shared" si="15"/>
        <v>50005</v>
      </c>
      <c r="M107" s="1">
        <v>2</v>
      </c>
      <c r="N107" s="1" t="str">
        <f t="shared" si="16"/>
        <v/>
      </c>
      <c r="P107" s="1" t="str">
        <f t="shared" si="17"/>
        <v/>
      </c>
      <c r="R107" s="1">
        <f>VLOOKUP(--J107,test3,11,FALSE)*K107+VLOOKUP(--L107,test3,11,FALSE)*M107+IF(N107="",0,VLOOKUP(--N107,test3,11,FALSE)*O107)+IF(P107="",0,VLOOKUP(--P107,test3,11,FALSE)*Q107)</f>
        <v>9</v>
      </c>
    </row>
    <row r="108" spans="2:18" x14ac:dyDescent="0.15">
      <c r="B108" s="1">
        <f>[1]item!$D107</f>
        <v>100106</v>
      </c>
      <c r="C108" s="1">
        <f>[1]item!$C107</f>
        <v>101071200</v>
      </c>
      <c r="D108" s="1">
        <f t="shared" si="10"/>
        <v>7</v>
      </c>
      <c r="E108" s="1">
        <f t="shared" si="11"/>
        <v>1</v>
      </c>
      <c r="F108" s="1">
        <f t="shared" si="12"/>
        <v>1</v>
      </c>
      <c r="G108" s="1" t="str">
        <f t="shared" si="9"/>
        <v>冷却</v>
      </c>
      <c r="H108" s="1">
        <v>2</v>
      </c>
      <c r="I108" s="1" t="str">
        <f t="shared" si="13"/>
        <v>,50168,50051</v>
      </c>
      <c r="J108" s="1" t="str">
        <f t="shared" si="14"/>
        <v>50168</v>
      </c>
      <c r="K108" s="1">
        <v>4</v>
      </c>
      <c r="L108" s="1" t="str">
        <f t="shared" si="15"/>
        <v>50051</v>
      </c>
      <c r="M108" s="1">
        <v>2</v>
      </c>
      <c r="N108" s="1" t="str">
        <f t="shared" si="16"/>
        <v/>
      </c>
      <c r="P108" s="1" t="str">
        <f t="shared" si="17"/>
        <v/>
      </c>
      <c r="R108" s="1">
        <f>VLOOKUP(--J108,test3,11,FALSE)*K108+VLOOKUP(--L108,test3,11,FALSE)*M108+IF(N108="",0,VLOOKUP(--N108,test3,11,FALSE)*O108)+IF(P108="",0,VLOOKUP(--P108,test3,11,FALSE)*Q108)</f>
        <v>9</v>
      </c>
    </row>
    <row r="109" spans="2:18" x14ac:dyDescent="0.15">
      <c r="B109" s="1">
        <f>[1]item!$D108</f>
        <v>100107</v>
      </c>
      <c r="C109" s="1">
        <f>[1]item!$C108</f>
        <v>101081200</v>
      </c>
      <c r="D109" s="1">
        <f t="shared" si="10"/>
        <v>8</v>
      </c>
      <c r="E109" s="1">
        <f t="shared" si="11"/>
        <v>1</v>
      </c>
      <c r="F109" s="1">
        <f t="shared" si="12"/>
        <v>1</v>
      </c>
      <c r="G109" s="1" t="str">
        <f t="shared" si="9"/>
        <v>冷却</v>
      </c>
      <c r="H109" s="1">
        <v>2</v>
      </c>
      <c r="I109" s="1" t="str">
        <f t="shared" si="13"/>
        <v>,50031,50035</v>
      </c>
      <c r="J109" s="1" t="str">
        <f t="shared" si="14"/>
        <v>50031</v>
      </c>
      <c r="K109" s="1">
        <v>4</v>
      </c>
      <c r="L109" s="1" t="str">
        <f t="shared" si="15"/>
        <v>50035</v>
      </c>
      <c r="M109" s="1">
        <v>2</v>
      </c>
      <c r="N109" s="1" t="str">
        <f t="shared" si="16"/>
        <v/>
      </c>
      <c r="P109" s="1" t="str">
        <f t="shared" si="17"/>
        <v/>
      </c>
      <c r="R109" s="1">
        <f>VLOOKUP(--J109,test3,11,FALSE)*K109+VLOOKUP(--L109,test3,11,FALSE)*M109+IF(N109="",0,VLOOKUP(--N109,test3,11,FALSE)*O109)+IF(P109="",0,VLOOKUP(--P109,test3,11,FALSE)*Q109)</f>
        <v>9</v>
      </c>
    </row>
    <row r="110" spans="2:18" x14ac:dyDescent="0.15">
      <c r="B110" s="1">
        <f>[1]item!$D109</f>
        <v>100108</v>
      </c>
      <c r="C110" s="1">
        <f>[1]item!$C109</f>
        <v>101091200</v>
      </c>
      <c r="D110" s="1">
        <f t="shared" si="10"/>
        <v>9</v>
      </c>
      <c r="E110" s="1">
        <f t="shared" si="11"/>
        <v>1</v>
      </c>
      <c r="F110" s="1">
        <f t="shared" si="12"/>
        <v>1</v>
      </c>
      <c r="G110" s="1" t="str">
        <f t="shared" si="9"/>
        <v>冷却</v>
      </c>
      <c r="H110" s="1">
        <v>2</v>
      </c>
      <c r="I110" s="1" t="str">
        <f t="shared" si="13"/>
        <v>,50031,50001</v>
      </c>
      <c r="J110" s="1" t="str">
        <f t="shared" si="14"/>
        <v>50031</v>
      </c>
      <c r="K110" s="1">
        <v>4</v>
      </c>
      <c r="L110" s="1" t="str">
        <f t="shared" si="15"/>
        <v>50001</v>
      </c>
      <c r="M110" s="1">
        <v>2</v>
      </c>
      <c r="N110" s="1" t="str">
        <f t="shared" si="16"/>
        <v/>
      </c>
      <c r="P110" s="1" t="str">
        <f t="shared" si="17"/>
        <v/>
      </c>
      <c r="R110" s="1">
        <f>VLOOKUP(--J110,test3,11,FALSE)*K110+VLOOKUP(--L110,test3,11,FALSE)*M110+IF(N110="",0,VLOOKUP(--N110,test3,11,FALSE)*O110)+IF(P110="",0,VLOOKUP(--P110,test3,11,FALSE)*Q110)</f>
        <v>9</v>
      </c>
    </row>
    <row r="111" spans="2:18" x14ac:dyDescent="0.15">
      <c r="B111" s="1">
        <f>[1]item!$D110</f>
        <v>100109</v>
      </c>
      <c r="C111" s="1">
        <f>[1]item!$C110</f>
        <v>101011300</v>
      </c>
      <c r="D111" s="1">
        <f t="shared" si="10"/>
        <v>1</v>
      </c>
      <c r="E111" s="1">
        <f t="shared" si="11"/>
        <v>1</v>
      </c>
      <c r="F111" s="1">
        <f t="shared" si="12"/>
        <v>1</v>
      </c>
      <c r="G111" s="1" t="str">
        <f t="shared" si="9"/>
        <v>地脉</v>
      </c>
      <c r="H111" s="1">
        <v>2</v>
      </c>
      <c r="I111" s="1" t="str">
        <f t="shared" si="13"/>
        <v>,50031,50035</v>
      </c>
      <c r="J111" s="1" t="str">
        <f t="shared" si="14"/>
        <v>50031</v>
      </c>
      <c r="K111" s="1">
        <v>4</v>
      </c>
      <c r="L111" s="1" t="str">
        <f t="shared" si="15"/>
        <v>50035</v>
      </c>
      <c r="M111" s="1">
        <v>2</v>
      </c>
      <c r="N111" s="1" t="str">
        <f t="shared" si="16"/>
        <v/>
      </c>
      <c r="P111" s="1" t="str">
        <f t="shared" si="17"/>
        <v/>
      </c>
      <c r="R111" s="1">
        <f>VLOOKUP(--J111,test3,11,FALSE)*K111+VLOOKUP(--L111,test3,11,FALSE)*M111+IF(N111="",0,VLOOKUP(--N111,test3,11,FALSE)*O111)+IF(P111="",0,VLOOKUP(--P111,test3,11,FALSE)*Q111)</f>
        <v>9</v>
      </c>
    </row>
    <row r="112" spans="2:18" x14ac:dyDescent="0.15">
      <c r="B112" s="1">
        <f>[1]item!$D111</f>
        <v>100110</v>
      </c>
      <c r="C112" s="1">
        <f>[1]item!$C111</f>
        <v>101021300</v>
      </c>
      <c r="D112" s="1">
        <f t="shared" si="10"/>
        <v>2</v>
      </c>
      <c r="E112" s="1">
        <f t="shared" si="11"/>
        <v>1</v>
      </c>
      <c r="F112" s="1">
        <f t="shared" si="12"/>
        <v>1</v>
      </c>
      <c r="G112" s="1" t="str">
        <f t="shared" si="9"/>
        <v>地脉</v>
      </c>
      <c r="H112" s="1">
        <v>2</v>
      </c>
      <c r="I112" s="1" t="str">
        <f t="shared" si="13"/>
        <v>,50013,50035</v>
      </c>
      <c r="J112" s="1" t="str">
        <f t="shared" si="14"/>
        <v>50013</v>
      </c>
      <c r="K112" s="1">
        <v>4</v>
      </c>
      <c r="L112" s="1" t="str">
        <f t="shared" si="15"/>
        <v>50035</v>
      </c>
      <c r="M112" s="1">
        <v>2</v>
      </c>
      <c r="N112" s="1" t="str">
        <f t="shared" si="16"/>
        <v/>
      </c>
      <c r="P112" s="1" t="str">
        <f t="shared" si="17"/>
        <v/>
      </c>
      <c r="R112" s="1">
        <f>VLOOKUP(--J112,test3,11,FALSE)*K112+VLOOKUP(--L112,test3,11,FALSE)*M112+IF(N112="",0,VLOOKUP(--N112,test3,11,FALSE)*O112)+IF(P112="",0,VLOOKUP(--P112,test3,11,FALSE)*Q112)</f>
        <v>9</v>
      </c>
    </row>
    <row r="113" spans="2:18" x14ac:dyDescent="0.15">
      <c r="B113" s="1">
        <f>[1]item!$D112</f>
        <v>100111</v>
      </c>
      <c r="C113" s="1">
        <f>[1]item!$C112</f>
        <v>101031300</v>
      </c>
      <c r="D113" s="1">
        <f t="shared" si="10"/>
        <v>3</v>
      </c>
      <c r="E113" s="1">
        <f t="shared" si="11"/>
        <v>1</v>
      </c>
      <c r="F113" s="1">
        <f t="shared" si="12"/>
        <v>1</v>
      </c>
      <c r="G113" s="1" t="str">
        <f t="shared" si="9"/>
        <v>地脉</v>
      </c>
      <c r="H113" s="1">
        <v>2</v>
      </c>
      <c r="I113" s="1" t="str">
        <f t="shared" si="13"/>
        <v>,50051,50052</v>
      </c>
      <c r="J113" s="1" t="str">
        <f t="shared" si="14"/>
        <v>50051</v>
      </c>
      <c r="K113" s="1">
        <v>4</v>
      </c>
      <c r="L113" s="1" t="str">
        <f t="shared" si="15"/>
        <v>50052</v>
      </c>
      <c r="M113" s="1">
        <v>2</v>
      </c>
      <c r="N113" s="1" t="str">
        <f t="shared" si="16"/>
        <v/>
      </c>
      <c r="P113" s="1" t="str">
        <f t="shared" si="17"/>
        <v/>
      </c>
      <c r="R113" s="1">
        <f>VLOOKUP(--J113,test3,11,FALSE)*K113+VLOOKUP(--L113,test3,11,FALSE)*M113+IF(N113="",0,VLOOKUP(--N113,test3,11,FALSE)*O113)+IF(P113="",0,VLOOKUP(--P113,test3,11,FALSE)*Q113)</f>
        <v>9</v>
      </c>
    </row>
    <row r="114" spans="2:18" x14ac:dyDescent="0.15">
      <c r="B114" s="1">
        <f>[1]item!$D113</f>
        <v>100112</v>
      </c>
      <c r="C114" s="1">
        <f>[1]item!$C113</f>
        <v>101041300</v>
      </c>
      <c r="D114" s="1">
        <f t="shared" si="10"/>
        <v>4</v>
      </c>
      <c r="E114" s="1">
        <f t="shared" si="11"/>
        <v>1</v>
      </c>
      <c r="F114" s="1">
        <f t="shared" si="12"/>
        <v>1</v>
      </c>
      <c r="G114" s="1" t="str">
        <f t="shared" si="9"/>
        <v>地脉</v>
      </c>
      <c r="H114" s="1">
        <v>2</v>
      </c>
      <c r="I114" s="1" t="str">
        <f t="shared" si="13"/>
        <v>,50045,50157</v>
      </c>
      <c r="J114" s="1" t="str">
        <f t="shared" si="14"/>
        <v>50045</v>
      </c>
      <c r="K114" s="1">
        <v>4</v>
      </c>
      <c r="L114" s="1" t="str">
        <f t="shared" si="15"/>
        <v>50157</v>
      </c>
      <c r="M114" s="1">
        <v>2</v>
      </c>
      <c r="N114" s="1" t="str">
        <f t="shared" si="16"/>
        <v/>
      </c>
      <c r="P114" s="1" t="str">
        <f t="shared" si="17"/>
        <v/>
      </c>
      <c r="R114" s="1">
        <f>VLOOKUP(--J114,test3,11,FALSE)*K114+VLOOKUP(--L114,test3,11,FALSE)*M114+IF(N114="",0,VLOOKUP(--N114,test3,11,FALSE)*O114)+IF(P114="",0,VLOOKUP(--P114,test3,11,FALSE)*Q114)</f>
        <v>9</v>
      </c>
    </row>
    <row r="115" spans="2:18" x14ac:dyDescent="0.15">
      <c r="B115" s="1">
        <f>[1]item!$D114</f>
        <v>100113</v>
      </c>
      <c r="C115" s="1">
        <f>[1]item!$C114</f>
        <v>101051300</v>
      </c>
      <c r="D115" s="1">
        <f t="shared" si="10"/>
        <v>5</v>
      </c>
      <c r="E115" s="1">
        <f t="shared" si="11"/>
        <v>1</v>
      </c>
      <c r="F115" s="1">
        <f t="shared" si="12"/>
        <v>1</v>
      </c>
      <c r="G115" s="1" t="str">
        <f t="shared" si="9"/>
        <v>地脉</v>
      </c>
      <c r="H115" s="1">
        <v>2</v>
      </c>
      <c r="I115" s="1" t="str">
        <f t="shared" si="13"/>
        <v>,50145,50041</v>
      </c>
      <c r="J115" s="1" t="str">
        <f t="shared" si="14"/>
        <v>50145</v>
      </c>
      <c r="K115" s="1">
        <v>4</v>
      </c>
      <c r="L115" s="1" t="str">
        <f t="shared" si="15"/>
        <v>50041</v>
      </c>
      <c r="M115" s="1">
        <v>2</v>
      </c>
      <c r="N115" s="1" t="str">
        <f t="shared" si="16"/>
        <v/>
      </c>
      <c r="P115" s="1" t="str">
        <f t="shared" si="17"/>
        <v/>
      </c>
      <c r="R115" s="1">
        <f>VLOOKUP(--J115,test3,11,FALSE)*K115+VLOOKUP(--L115,test3,11,FALSE)*M115+IF(N115="",0,VLOOKUP(--N115,test3,11,FALSE)*O115)+IF(P115="",0,VLOOKUP(--P115,test3,11,FALSE)*Q115)</f>
        <v>9</v>
      </c>
    </row>
    <row r="116" spans="2:18" x14ac:dyDescent="0.15">
      <c r="B116" s="1">
        <f>[1]item!$D115</f>
        <v>100114</v>
      </c>
      <c r="C116" s="1">
        <f>[1]item!$C115</f>
        <v>101061300</v>
      </c>
      <c r="D116" s="1">
        <f t="shared" si="10"/>
        <v>6</v>
      </c>
      <c r="E116" s="1">
        <f t="shared" si="11"/>
        <v>1</v>
      </c>
      <c r="F116" s="1">
        <f t="shared" si="12"/>
        <v>1</v>
      </c>
      <c r="G116" s="1" t="str">
        <f t="shared" si="9"/>
        <v>地脉</v>
      </c>
      <c r="H116" s="1">
        <v>2</v>
      </c>
      <c r="I116" s="1" t="str">
        <f t="shared" si="13"/>
        <v>,50052,50157</v>
      </c>
      <c r="J116" s="1" t="str">
        <f t="shared" si="14"/>
        <v>50052</v>
      </c>
      <c r="K116" s="1">
        <v>4</v>
      </c>
      <c r="L116" s="1" t="str">
        <f t="shared" si="15"/>
        <v>50157</v>
      </c>
      <c r="M116" s="1">
        <v>2</v>
      </c>
      <c r="N116" s="1" t="str">
        <f t="shared" si="16"/>
        <v/>
      </c>
      <c r="P116" s="1" t="str">
        <f t="shared" si="17"/>
        <v/>
      </c>
      <c r="R116" s="1">
        <f>VLOOKUP(--J116,test3,11,FALSE)*K116+VLOOKUP(--L116,test3,11,FALSE)*M116+IF(N116="",0,VLOOKUP(--N116,test3,11,FALSE)*O116)+IF(P116="",0,VLOOKUP(--P116,test3,11,FALSE)*Q116)</f>
        <v>9</v>
      </c>
    </row>
    <row r="117" spans="2:18" x14ac:dyDescent="0.15">
      <c r="B117" s="1">
        <f>[1]item!$D116</f>
        <v>100115</v>
      </c>
      <c r="C117" s="1">
        <f>[1]item!$C116</f>
        <v>101071300</v>
      </c>
      <c r="D117" s="1">
        <f t="shared" si="10"/>
        <v>7</v>
      </c>
      <c r="E117" s="1">
        <f t="shared" si="11"/>
        <v>1</v>
      </c>
      <c r="F117" s="1">
        <f t="shared" si="12"/>
        <v>1</v>
      </c>
      <c r="G117" s="1" t="str">
        <f t="shared" si="9"/>
        <v>地脉</v>
      </c>
      <c r="H117" s="1">
        <v>2</v>
      </c>
      <c r="I117" s="1" t="str">
        <f t="shared" si="13"/>
        <v>,50041,50168</v>
      </c>
      <c r="J117" s="1" t="str">
        <f t="shared" si="14"/>
        <v>50041</v>
      </c>
      <c r="K117" s="1">
        <v>4</v>
      </c>
      <c r="L117" s="1" t="str">
        <f t="shared" si="15"/>
        <v>50168</v>
      </c>
      <c r="M117" s="1">
        <v>2</v>
      </c>
      <c r="N117" s="1" t="str">
        <f t="shared" si="16"/>
        <v/>
      </c>
      <c r="P117" s="1" t="str">
        <f t="shared" si="17"/>
        <v/>
      </c>
      <c r="R117" s="1">
        <f>VLOOKUP(--J117,test3,11,FALSE)*K117+VLOOKUP(--L117,test3,11,FALSE)*M117+IF(N117="",0,VLOOKUP(--N117,test3,11,FALSE)*O117)+IF(P117="",0,VLOOKUP(--P117,test3,11,FALSE)*Q117)</f>
        <v>9</v>
      </c>
    </row>
    <row r="118" spans="2:18" x14ac:dyDescent="0.15">
      <c r="B118" s="1">
        <f>[1]item!$D117</f>
        <v>100116</v>
      </c>
      <c r="C118" s="1">
        <f>[1]item!$C117</f>
        <v>101081300</v>
      </c>
      <c r="D118" s="1">
        <f t="shared" si="10"/>
        <v>8</v>
      </c>
      <c r="E118" s="1">
        <f t="shared" si="11"/>
        <v>1</v>
      </c>
      <c r="F118" s="1">
        <f t="shared" si="12"/>
        <v>1</v>
      </c>
      <c r="G118" s="1" t="str">
        <f t="shared" si="9"/>
        <v>地脉</v>
      </c>
      <c r="H118" s="1">
        <v>2</v>
      </c>
      <c r="I118" s="1" t="str">
        <f t="shared" si="13"/>
        <v>,50045,50047</v>
      </c>
      <c r="J118" s="1" t="str">
        <f t="shared" si="14"/>
        <v>50045</v>
      </c>
      <c r="K118" s="1">
        <v>4</v>
      </c>
      <c r="L118" s="1" t="str">
        <f t="shared" si="15"/>
        <v>50047</v>
      </c>
      <c r="M118" s="1">
        <v>2</v>
      </c>
      <c r="N118" s="1" t="str">
        <f t="shared" si="16"/>
        <v/>
      </c>
      <c r="P118" s="1" t="str">
        <f t="shared" si="17"/>
        <v/>
      </c>
      <c r="R118" s="1">
        <f>VLOOKUP(--J118,test3,11,FALSE)*K118+VLOOKUP(--L118,test3,11,FALSE)*M118+IF(N118="",0,VLOOKUP(--N118,test3,11,FALSE)*O118)+IF(P118="",0,VLOOKUP(--P118,test3,11,FALSE)*Q118)</f>
        <v>9</v>
      </c>
    </row>
    <row r="119" spans="2:18" x14ac:dyDescent="0.15">
      <c r="B119" s="1">
        <f>[1]item!$D118</f>
        <v>100117</v>
      </c>
      <c r="C119" s="1">
        <f>[1]item!$C118</f>
        <v>101091300</v>
      </c>
      <c r="D119" s="1">
        <f t="shared" si="10"/>
        <v>9</v>
      </c>
      <c r="E119" s="1">
        <f t="shared" si="11"/>
        <v>1</v>
      </c>
      <c r="F119" s="1">
        <f t="shared" si="12"/>
        <v>1</v>
      </c>
      <c r="G119" s="1" t="str">
        <f t="shared" si="9"/>
        <v>地脉</v>
      </c>
      <c r="H119" s="1">
        <v>2</v>
      </c>
      <c r="I119" s="1" t="str">
        <f t="shared" si="13"/>
        <v>,50031,50189</v>
      </c>
      <c r="J119" s="1" t="str">
        <f t="shared" si="14"/>
        <v>50031</v>
      </c>
      <c r="K119" s="1">
        <v>4</v>
      </c>
      <c r="L119" s="1" t="str">
        <f t="shared" si="15"/>
        <v>50189</v>
      </c>
      <c r="M119" s="1">
        <v>2</v>
      </c>
      <c r="N119" s="1" t="str">
        <f t="shared" si="16"/>
        <v/>
      </c>
      <c r="P119" s="1" t="str">
        <f t="shared" si="17"/>
        <v/>
      </c>
      <c r="R119" s="1">
        <f>VLOOKUP(--J119,test3,11,FALSE)*K119+VLOOKUP(--L119,test3,11,FALSE)*M119+IF(N119="",0,VLOOKUP(--N119,test3,11,FALSE)*O119)+IF(P119="",0,VLOOKUP(--P119,test3,11,FALSE)*Q119)</f>
        <v>9</v>
      </c>
    </row>
    <row r="120" spans="2:18" x14ac:dyDescent="0.15">
      <c r="B120" s="1">
        <f>[1]item!$D119</f>
        <v>100118</v>
      </c>
      <c r="C120" s="1">
        <f>[1]item!$C119</f>
        <v>201011400</v>
      </c>
      <c r="D120" s="1">
        <f t="shared" si="10"/>
        <v>1</v>
      </c>
      <c r="E120" s="1">
        <f t="shared" si="11"/>
        <v>1</v>
      </c>
      <c r="F120" s="1">
        <f t="shared" si="12"/>
        <v>2</v>
      </c>
      <c r="G120" s="1" t="str">
        <f t="shared" si="9"/>
        <v/>
      </c>
      <c r="H120" s="1">
        <v>2</v>
      </c>
      <c r="I120" s="1" t="str">
        <f t="shared" si="13"/>
        <v>,50009,50015</v>
      </c>
      <c r="J120" s="1" t="str">
        <f t="shared" si="14"/>
        <v>50009</v>
      </c>
      <c r="K120" s="1">
        <v>4</v>
      </c>
      <c r="L120" s="1" t="str">
        <f t="shared" si="15"/>
        <v>50015</v>
      </c>
      <c r="M120" s="1">
        <v>2</v>
      </c>
      <c r="N120" s="1" t="str">
        <f t="shared" si="16"/>
        <v/>
      </c>
      <c r="P120" s="1" t="str">
        <f t="shared" si="17"/>
        <v/>
      </c>
      <c r="R120" s="1">
        <f>VLOOKUP(--J120,test3,11,FALSE)*K120+VLOOKUP(--L120,test3,11,FALSE)*M120+IF(N120="",0,VLOOKUP(--N120,test3,11,FALSE)*O120)+IF(P120="",0,VLOOKUP(--P120,test3,11,FALSE)*Q120)</f>
        <v>9</v>
      </c>
    </row>
    <row r="121" spans="2:18" x14ac:dyDescent="0.15">
      <c r="B121" s="1">
        <f>[1]item!$D120</f>
        <v>100119</v>
      </c>
      <c r="C121" s="1">
        <f>[1]item!$C120</f>
        <v>201021400</v>
      </c>
      <c r="D121" s="1">
        <f t="shared" si="10"/>
        <v>2</v>
      </c>
      <c r="E121" s="1">
        <f t="shared" si="11"/>
        <v>1</v>
      </c>
      <c r="F121" s="1">
        <f t="shared" si="12"/>
        <v>2</v>
      </c>
      <c r="G121" s="1" t="str">
        <f t="shared" si="9"/>
        <v/>
      </c>
      <c r="H121" s="1">
        <v>2</v>
      </c>
      <c r="I121" s="1" t="str">
        <f t="shared" si="13"/>
        <v>,50069,50069</v>
      </c>
      <c r="J121" s="1" t="str">
        <f t="shared" si="14"/>
        <v>50069</v>
      </c>
      <c r="K121" s="1">
        <v>4</v>
      </c>
      <c r="L121" s="1" t="str">
        <f t="shared" si="15"/>
        <v>50069</v>
      </c>
      <c r="M121" s="1">
        <v>2</v>
      </c>
      <c r="N121" s="1" t="str">
        <f t="shared" si="16"/>
        <v/>
      </c>
      <c r="P121" s="1" t="str">
        <f t="shared" si="17"/>
        <v/>
      </c>
      <c r="R121" s="1">
        <f>VLOOKUP(--J121,test3,11,FALSE)*K121+VLOOKUP(--L121,test3,11,FALSE)*M121+IF(N121="",0,VLOOKUP(--N121,test3,11,FALSE)*O121)+IF(P121="",0,VLOOKUP(--P121,test3,11,FALSE)*Q121)</f>
        <v>9</v>
      </c>
    </row>
    <row r="122" spans="2:18" x14ac:dyDescent="0.15">
      <c r="B122" s="1">
        <f>[1]item!$D121</f>
        <v>100120</v>
      </c>
      <c r="C122" s="1">
        <f>[1]item!$C121</f>
        <v>201031400</v>
      </c>
      <c r="D122" s="1">
        <f t="shared" si="10"/>
        <v>3</v>
      </c>
      <c r="E122" s="1">
        <f t="shared" si="11"/>
        <v>1</v>
      </c>
      <c r="F122" s="1">
        <f t="shared" si="12"/>
        <v>2</v>
      </c>
      <c r="G122" s="1" t="str">
        <f t="shared" si="9"/>
        <v/>
      </c>
      <c r="H122" s="1">
        <v>2</v>
      </c>
      <c r="I122" s="1" t="str">
        <f t="shared" si="13"/>
        <v>,50009,50013</v>
      </c>
      <c r="J122" s="1" t="str">
        <f t="shared" si="14"/>
        <v>50009</v>
      </c>
      <c r="K122" s="1">
        <v>4</v>
      </c>
      <c r="L122" s="1" t="str">
        <f t="shared" si="15"/>
        <v>50013</v>
      </c>
      <c r="M122" s="1">
        <v>2</v>
      </c>
      <c r="N122" s="1" t="str">
        <f t="shared" si="16"/>
        <v/>
      </c>
      <c r="P122" s="1" t="str">
        <f t="shared" si="17"/>
        <v/>
      </c>
      <c r="R122" s="1">
        <f>VLOOKUP(--J122,test3,11,FALSE)*K122+VLOOKUP(--L122,test3,11,FALSE)*M122+IF(N122="",0,VLOOKUP(--N122,test3,11,FALSE)*O122)+IF(P122="",0,VLOOKUP(--P122,test3,11,FALSE)*Q122)</f>
        <v>9</v>
      </c>
    </row>
    <row r="123" spans="2:18" x14ac:dyDescent="0.15">
      <c r="B123" s="1">
        <f>[1]item!$D122</f>
        <v>100121</v>
      </c>
      <c r="C123" s="1">
        <f>[1]item!$C122</f>
        <v>201041400</v>
      </c>
      <c r="D123" s="1">
        <f t="shared" si="10"/>
        <v>4</v>
      </c>
      <c r="E123" s="1">
        <f t="shared" si="11"/>
        <v>1</v>
      </c>
      <c r="F123" s="1">
        <f t="shared" si="12"/>
        <v>2</v>
      </c>
      <c r="G123" s="1" t="str">
        <f t="shared" si="9"/>
        <v/>
      </c>
      <c r="H123" s="1">
        <v>2</v>
      </c>
      <c r="I123" s="1" t="str">
        <f t="shared" si="13"/>
        <v>,50051,50145</v>
      </c>
      <c r="J123" s="1" t="str">
        <f t="shared" si="14"/>
        <v>50051</v>
      </c>
      <c r="K123" s="1">
        <v>4</v>
      </c>
      <c r="L123" s="1" t="str">
        <f t="shared" si="15"/>
        <v>50145</v>
      </c>
      <c r="M123" s="1">
        <v>2</v>
      </c>
      <c r="N123" s="1" t="str">
        <f t="shared" si="16"/>
        <v/>
      </c>
      <c r="P123" s="1" t="str">
        <f t="shared" si="17"/>
        <v/>
      </c>
      <c r="R123" s="1">
        <f>VLOOKUP(--J123,test3,11,FALSE)*K123+VLOOKUP(--L123,test3,11,FALSE)*M123+IF(N123="",0,VLOOKUP(--N123,test3,11,FALSE)*O123)+IF(P123="",0,VLOOKUP(--P123,test3,11,FALSE)*Q123)</f>
        <v>9</v>
      </c>
    </row>
    <row r="124" spans="2:18" x14ac:dyDescent="0.15">
      <c r="B124" s="1">
        <f>[1]item!$D123</f>
        <v>100122</v>
      </c>
      <c r="C124" s="1">
        <f>[1]item!$C123</f>
        <v>201051400</v>
      </c>
      <c r="D124" s="1">
        <f t="shared" si="10"/>
        <v>5</v>
      </c>
      <c r="E124" s="1">
        <f t="shared" si="11"/>
        <v>1</v>
      </c>
      <c r="F124" s="1">
        <f t="shared" si="12"/>
        <v>2</v>
      </c>
      <c r="G124" s="1" t="str">
        <f t="shared" si="9"/>
        <v/>
      </c>
      <c r="H124" s="1">
        <v>2</v>
      </c>
      <c r="I124" s="1" t="str">
        <f t="shared" si="13"/>
        <v>,50001,50031</v>
      </c>
      <c r="J124" s="1" t="str">
        <f t="shared" si="14"/>
        <v>50001</v>
      </c>
      <c r="K124" s="1">
        <v>4</v>
      </c>
      <c r="L124" s="1" t="str">
        <f t="shared" si="15"/>
        <v>50031</v>
      </c>
      <c r="M124" s="1">
        <v>2</v>
      </c>
      <c r="N124" s="1" t="str">
        <f t="shared" si="16"/>
        <v/>
      </c>
      <c r="P124" s="1" t="str">
        <f t="shared" si="17"/>
        <v/>
      </c>
      <c r="R124" s="1">
        <f>VLOOKUP(--J124,test3,11,FALSE)*K124+VLOOKUP(--L124,test3,11,FALSE)*M124+IF(N124="",0,VLOOKUP(--N124,test3,11,FALSE)*O124)+IF(P124="",0,VLOOKUP(--P124,test3,11,FALSE)*Q124)</f>
        <v>9</v>
      </c>
    </row>
    <row r="125" spans="2:18" x14ac:dyDescent="0.15">
      <c r="B125" s="1">
        <f>[1]item!$D124</f>
        <v>100123</v>
      </c>
      <c r="C125" s="1">
        <f>[1]item!$C124</f>
        <v>201061400</v>
      </c>
      <c r="D125" s="1">
        <f t="shared" si="10"/>
        <v>6</v>
      </c>
      <c r="E125" s="1">
        <f t="shared" si="11"/>
        <v>1</v>
      </c>
      <c r="F125" s="1">
        <f t="shared" si="12"/>
        <v>2</v>
      </c>
      <c r="G125" s="1" t="str">
        <f t="shared" si="9"/>
        <v/>
      </c>
      <c r="H125" s="1">
        <v>2</v>
      </c>
      <c r="I125" s="1" t="str">
        <f t="shared" si="13"/>
        <v>,50035,50009</v>
      </c>
      <c r="J125" s="1" t="str">
        <f t="shared" si="14"/>
        <v>50035</v>
      </c>
      <c r="K125" s="1">
        <v>4</v>
      </c>
      <c r="L125" s="1" t="str">
        <f t="shared" si="15"/>
        <v>50009</v>
      </c>
      <c r="M125" s="1">
        <v>2</v>
      </c>
      <c r="N125" s="1" t="str">
        <f t="shared" si="16"/>
        <v/>
      </c>
      <c r="P125" s="1" t="str">
        <f t="shared" si="17"/>
        <v/>
      </c>
      <c r="R125" s="1">
        <f>VLOOKUP(--J125,test3,11,FALSE)*K125+VLOOKUP(--L125,test3,11,FALSE)*M125+IF(N125="",0,VLOOKUP(--N125,test3,11,FALSE)*O125)+IF(P125="",0,VLOOKUP(--P125,test3,11,FALSE)*Q125)</f>
        <v>9</v>
      </c>
    </row>
    <row r="126" spans="2:18" x14ac:dyDescent="0.15">
      <c r="B126" s="1">
        <f>[1]item!$D125</f>
        <v>100124</v>
      </c>
      <c r="C126" s="1">
        <f>[1]item!$C125</f>
        <v>201071400</v>
      </c>
      <c r="D126" s="1">
        <f t="shared" si="10"/>
        <v>7</v>
      </c>
      <c r="E126" s="1">
        <f t="shared" si="11"/>
        <v>1</v>
      </c>
      <c r="F126" s="1">
        <f t="shared" si="12"/>
        <v>2</v>
      </c>
      <c r="G126" s="1" t="str">
        <f t="shared" si="9"/>
        <v/>
      </c>
      <c r="H126" s="1">
        <v>2</v>
      </c>
      <c r="I126" s="1" t="str">
        <f t="shared" si="13"/>
        <v>,50069,50045</v>
      </c>
      <c r="J126" s="1" t="str">
        <f t="shared" si="14"/>
        <v>50069</v>
      </c>
      <c r="K126" s="1">
        <v>4</v>
      </c>
      <c r="L126" s="1" t="str">
        <f t="shared" si="15"/>
        <v>50045</v>
      </c>
      <c r="M126" s="1">
        <v>2</v>
      </c>
      <c r="N126" s="1" t="str">
        <f t="shared" si="16"/>
        <v/>
      </c>
      <c r="P126" s="1" t="str">
        <f t="shared" si="17"/>
        <v/>
      </c>
      <c r="R126" s="1">
        <f>VLOOKUP(--J126,test3,11,FALSE)*K126+VLOOKUP(--L126,test3,11,FALSE)*M126+IF(N126="",0,VLOOKUP(--N126,test3,11,FALSE)*O126)+IF(P126="",0,VLOOKUP(--P126,test3,11,FALSE)*Q126)</f>
        <v>9</v>
      </c>
    </row>
    <row r="127" spans="2:18" x14ac:dyDescent="0.15">
      <c r="B127" s="1">
        <f>[1]item!$D126</f>
        <v>100125</v>
      </c>
      <c r="C127" s="1">
        <f>[1]item!$C126</f>
        <v>201081400</v>
      </c>
      <c r="D127" s="1">
        <f t="shared" si="10"/>
        <v>8</v>
      </c>
      <c r="E127" s="1">
        <f t="shared" si="11"/>
        <v>1</v>
      </c>
      <c r="F127" s="1">
        <f t="shared" si="12"/>
        <v>2</v>
      </c>
      <c r="G127" s="1" t="str">
        <f t="shared" si="9"/>
        <v/>
      </c>
      <c r="H127" s="1">
        <v>2</v>
      </c>
      <c r="I127" s="1" t="str">
        <f t="shared" si="13"/>
        <v>,50119,50047</v>
      </c>
      <c r="J127" s="1" t="str">
        <f t="shared" si="14"/>
        <v>50119</v>
      </c>
      <c r="K127" s="1">
        <v>4</v>
      </c>
      <c r="L127" s="1" t="str">
        <f t="shared" si="15"/>
        <v>50047</v>
      </c>
      <c r="M127" s="1">
        <v>2</v>
      </c>
      <c r="N127" s="1" t="str">
        <f t="shared" si="16"/>
        <v/>
      </c>
      <c r="P127" s="1" t="str">
        <f t="shared" si="17"/>
        <v/>
      </c>
      <c r="R127" s="1">
        <f>VLOOKUP(--J127,test3,11,FALSE)*K127+VLOOKUP(--L127,test3,11,FALSE)*M127+IF(N127="",0,VLOOKUP(--N127,test3,11,FALSE)*O127)+IF(P127="",0,VLOOKUP(--P127,test3,11,FALSE)*Q127)</f>
        <v>9</v>
      </c>
    </row>
    <row r="128" spans="2:18" x14ac:dyDescent="0.15">
      <c r="B128" s="1">
        <f>[1]item!$D127</f>
        <v>100126</v>
      </c>
      <c r="C128" s="1">
        <f>[1]item!$C127</f>
        <v>201091400</v>
      </c>
      <c r="D128" s="1">
        <f t="shared" si="10"/>
        <v>9</v>
      </c>
      <c r="E128" s="1">
        <f t="shared" si="11"/>
        <v>1</v>
      </c>
      <c r="F128" s="1">
        <f t="shared" si="12"/>
        <v>2</v>
      </c>
      <c r="G128" s="1" t="str">
        <f t="shared" si="9"/>
        <v/>
      </c>
      <c r="H128" s="1">
        <v>2</v>
      </c>
      <c r="I128" s="1" t="str">
        <f t="shared" si="13"/>
        <v>,50157,50041</v>
      </c>
      <c r="J128" s="1" t="str">
        <f t="shared" si="14"/>
        <v>50157</v>
      </c>
      <c r="K128" s="1">
        <v>4</v>
      </c>
      <c r="L128" s="1" t="str">
        <f t="shared" si="15"/>
        <v>50041</v>
      </c>
      <c r="M128" s="1">
        <v>2</v>
      </c>
      <c r="N128" s="1" t="str">
        <f t="shared" si="16"/>
        <v/>
      </c>
      <c r="P128" s="1" t="str">
        <f t="shared" si="17"/>
        <v/>
      </c>
      <c r="R128" s="1">
        <f>VLOOKUP(--J128,test3,11,FALSE)*K128+VLOOKUP(--L128,test3,11,FALSE)*M128+IF(N128="",0,VLOOKUP(--N128,test3,11,FALSE)*O128)+IF(P128="",0,VLOOKUP(--P128,test3,11,FALSE)*Q128)</f>
        <v>9</v>
      </c>
    </row>
    <row r="129" spans="2:18" x14ac:dyDescent="0.15">
      <c r="B129" s="1">
        <f>[1]item!$D128</f>
        <v>100127</v>
      </c>
      <c r="C129" s="1">
        <f>[1]item!$C128</f>
        <v>301011500</v>
      </c>
      <c r="D129" s="1">
        <f t="shared" si="10"/>
        <v>1</v>
      </c>
      <c r="E129" s="1">
        <f t="shared" si="11"/>
        <v>1</v>
      </c>
      <c r="F129" s="1">
        <f t="shared" si="12"/>
        <v>3</v>
      </c>
      <c r="G129" s="1" t="str">
        <f t="shared" si="9"/>
        <v/>
      </c>
      <c r="H129" s="1">
        <v>2</v>
      </c>
      <c r="I129" s="1" t="str">
        <f t="shared" si="13"/>
        <v>,50009,50015</v>
      </c>
      <c r="J129" s="1" t="str">
        <f t="shared" si="14"/>
        <v>50009</v>
      </c>
      <c r="K129" s="1">
        <v>4</v>
      </c>
      <c r="L129" s="1" t="str">
        <f t="shared" si="15"/>
        <v>50015</v>
      </c>
      <c r="M129" s="1">
        <v>2</v>
      </c>
      <c r="N129" s="1" t="str">
        <f t="shared" si="16"/>
        <v/>
      </c>
      <c r="P129" s="1" t="str">
        <f t="shared" si="17"/>
        <v/>
      </c>
      <c r="R129" s="1">
        <f>VLOOKUP(--J129,test3,11,FALSE)*K129+VLOOKUP(--L129,test3,11,FALSE)*M129+IF(N129="",0,VLOOKUP(--N129,test3,11,FALSE)*O129)+IF(P129="",0,VLOOKUP(--P129,test3,11,FALSE)*Q129)</f>
        <v>9</v>
      </c>
    </row>
    <row r="130" spans="2:18" x14ac:dyDescent="0.15">
      <c r="B130" s="1">
        <f>[1]item!$D129</f>
        <v>100128</v>
      </c>
      <c r="C130" s="1">
        <f>[1]item!$C129</f>
        <v>301021500</v>
      </c>
      <c r="D130" s="1">
        <f t="shared" si="10"/>
        <v>2</v>
      </c>
      <c r="E130" s="1">
        <f t="shared" si="11"/>
        <v>1</v>
      </c>
      <c r="F130" s="1">
        <f t="shared" si="12"/>
        <v>3</v>
      </c>
      <c r="G130" s="1" t="str">
        <f t="shared" si="9"/>
        <v/>
      </c>
      <c r="H130" s="1">
        <v>2</v>
      </c>
      <c r="I130" s="1" t="str">
        <f t="shared" si="13"/>
        <v>,50069,50005</v>
      </c>
      <c r="J130" s="1" t="str">
        <f t="shared" si="14"/>
        <v>50069</v>
      </c>
      <c r="K130" s="1">
        <v>4</v>
      </c>
      <c r="L130" s="1" t="str">
        <f t="shared" si="15"/>
        <v>50005</v>
      </c>
      <c r="M130" s="1">
        <v>2</v>
      </c>
      <c r="N130" s="1" t="str">
        <f t="shared" si="16"/>
        <v/>
      </c>
      <c r="P130" s="1" t="str">
        <f t="shared" si="17"/>
        <v/>
      </c>
      <c r="R130" s="1">
        <f>VLOOKUP(--J130,test3,11,FALSE)*K130+VLOOKUP(--L130,test3,11,FALSE)*M130+IF(N130="",0,VLOOKUP(--N130,test3,11,FALSE)*O130)+IF(P130="",0,VLOOKUP(--P130,test3,11,FALSE)*Q130)</f>
        <v>9</v>
      </c>
    </row>
    <row r="131" spans="2:18" x14ac:dyDescent="0.15">
      <c r="B131" s="1">
        <f>[1]item!$D130</f>
        <v>100129</v>
      </c>
      <c r="C131" s="1">
        <f>[1]item!$C130</f>
        <v>301031500</v>
      </c>
      <c r="D131" s="1">
        <f t="shared" si="10"/>
        <v>3</v>
      </c>
      <c r="E131" s="1">
        <f t="shared" si="11"/>
        <v>1</v>
      </c>
      <c r="F131" s="1">
        <f t="shared" si="12"/>
        <v>3</v>
      </c>
      <c r="G131" s="1" t="str">
        <f t="shared" ref="G131:G194" si="18">IF(--MID(C131,6,2)&lt;14,VLOOKUP(--MID(C131,6,2),test2,3,FALSE),"")</f>
        <v/>
      </c>
      <c r="H131" s="1">
        <v>2</v>
      </c>
      <c r="I131" s="1" t="str">
        <f t="shared" si="13"/>
        <v>,50045,50013</v>
      </c>
      <c r="J131" s="1" t="str">
        <f t="shared" si="14"/>
        <v>50045</v>
      </c>
      <c r="K131" s="1">
        <v>4</v>
      </c>
      <c r="L131" s="1" t="str">
        <f t="shared" si="15"/>
        <v>50013</v>
      </c>
      <c r="M131" s="1">
        <v>2</v>
      </c>
      <c r="N131" s="1" t="str">
        <f t="shared" si="16"/>
        <v/>
      </c>
      <c r="P131" s="1" t="str">
        <f t="shared" si="17"/>
        <v/>
      </c>
      <c r="R131" s="1">
        <f>VLOOKUP(--J131,test3,11,FALSE)*K131+VLOOKUP(--L131,test3,11,FALSE)*M131+IF(N131="",0,VLOOKUP(--N131,test3,11,FALSE)*O131)+IF(P131="",0,VLOOKUP(--P131,test3,11,FALSE)*Q131)</f>
        <v>9</v>
      </c>
    </row>
    <row r="132" spans="2:18" x14ac:dyDescent="0.15">
      <c r="B132" s="1">
        <f>[1]item!$D131</f>
        <v>100130</v>
      </c>
      <c r="C132" s="1">
        <f>[1]item!$C131</f>
        <v>301041500</v>
      </c>
      <c r="D132" s="1">
        <f t="shared" ref="D132:D195" si="19">--MID(C132,4,2)</f>
        <v>4</v>
      </c>
      <c r="E132" s="1">
        <f t="shared" ref="E132:E195" si="20">--MID(C132,2,2)</f>
        <v>1</v>
      </c>
      <c r="F132" s="1">
        <f t="shared" ref="F132:F195" si="21">--MID(C132,1,1)</f>
        <v>3</v>
      </c>
      <c r="G132" s="1" t="str">
        <f t="shared" si="18"/>
        <v/>
      </c>
      <c r="H132" s="1">
        <v>2</v>
      </c>
      <c r="I132" s="1" t="str">
        <f t="shared" ref="I132:I195" si="22">getMarking(D132,E132,F132,G132)</f>
        <v>,50119,50047</v>
      </c>
      <c r="J132" s="1" t="str">
        <f t="shared" ref="J132:J195" si="23">getString(I132,1,H132)</f>
        <v>50119</v>
      </c>
      <c r="K132" s="1">
        <v>4</v>
      </c>
      <c r="L132" s="1" t="str">
        <f t="shared" ref="L132:L195" si="24">getString(I132,2,H132)</f>
        <v>50047</v>
      </c>
      <c r="M132" s="1">
        <v>2</v>
      </c>
      <c r="N132" s="1" t="str">
        <f t="shared" ref="N132:N195" si="25">getString(I132,3,H132)</f>
        <v/>
      </c>
      <c r="P132" s="1" t="str">
        <f t="shared" ref="P132:P195" si="26">getString(I132,4,H132)</f>
        <v/>
      </c>
      <c r="R132" s="1">
        <f>VLOOKUP(--J132,test3,11,FALSE)*K132+VLOOKUP(--L132,test3,11,FALSE)*M132+IF(N132="",0,VLOOKUP(--N132,test3,11,FALSE)*O132)+IF(P132="",0,VLOOKUP(--P132,test3,11,FALSE)*Q132)</f>
        <v>9</v>
      </c>
    </row>
    <row r="133" spans="2:18" x14ac:dyDescent="0.15">
      <c r="B133" s="1">
        <f>[1]item!$D132</f>
        <v>100131</v>
      </c>
      <c r="C133" s="1">
        <f>[1]item!$C132</f>
        <v>301051500</v>
      </c>
      <c r="D133" s="1">
        <f t="shared" si="19"/>
        <v>5</v>
      </c>
      <c r="E133" s="1">
        <f t="shared" si="20"/>
        <v>1</v>
      </c>
      <c r="F133" s="1">
        <f t="shared" si="21"/>
        <v>3</v>
      </c>
      <c r="G133" s="1" t="str">
        <f t="shared" si="18"/>
        <v/>
      </c>
      <c r="H133" s="1">
        <v>2</v>
      </c>
      <c r="I133" s="1" t="str">
        <f t="shared" si="22"/>
        <v>,50013,50047</v>
      </c>
      <c r="J133" s="1" t="str">
        <f t="shared" si="23"/>
        <v>50013</v>
      </c>
      <c r="K133" s="1">
        <v>4</v>
      </c>
      <c r="L133" s="1" t="str">
        <f t="shared" si="24"/>
        <v>50047</v>
      </c>
      <c r="M133" s="1">
        <v>2</v>
      </c>
      <c r="N133" s="1" t="str">
        <f t="shared" si="25"/>
        <v/>
      </c>
      <c r="P133" s="1" t="str">
        <f t="shared" si="26"/>
        <v/>
      </c>
      <c r="R133" s="1">
        <f>VLOOKUP(--J133,test3,11,FALSE)*K133+VLOOKUP(--L133,test3,11,FALSE)*M133+IF(N133="",0,VLOOKUP(--N133,test3,11,FALSE)*O133)+IF(P133="",0,VLOOKUP(--P133,test3,11,FALSE)*Q133)</f>
        <v>9</v>
      </c>
    </row>
    <row r="134" spans="2:18" x14ac:dyDescent="0.15">
      <c r="B134" s="1">
        <f>[1]item!$D133</f>
        <v>100132</v>
      </c>
      <c r="C134" s="1">
        <f>[1]item!$C133</f>
        <v>301061500</v>
      </c>
      <c r="D134" s="1">
        <f t="shared" si="19"/>
        <v>6</v>
      </c>
      <c r="E134" s="1">
        <f t="shared" si="20"/>
        <v>1</v>
      </c>
      <c r="F134" s="1">
        <f t="shared" si="21"/>
        <v>3</v>
      </c>
      <c r="G134" s="1" t="str">
        <f t="shared" si="18"/>
        <v/>
      </c>
      <c r="H134" s="1">
        <v>2</v>
      </c>
      <c r="I134" s="1" t="str">
        <f t="shared" si="22"/>
        <v>,50035,50009</v>
      </c>
      <c r="J134" s="1" t="str">
        <f t="shared" si="23"/>
        <v>50035</v>
      </c>
      <c r="K134" s="1">
        <v>4</v>
      </c>
      <c r="L134" s="1" t="str">
        <f t="shared" si="24"/>
        <v>50009</v>
      </c>
      <c r="M134" s="1">
        <v>2</v>
      </c>
      <c r="N134" s="1" t="str">
        <f t="shared" si="25"/>
        <v/>
      </c>
      <c r="P134" s="1" t="str">
        <f t="shared" si="26"/>
        <v/>
      </c>
      <c r="R134" s="1">
        <f>VLOOKUP(--J134,test3,11,FALSE)*K134+VLOOKUP(--L134,test3,11,FALSE)*M134+IF(N134="",0,VLOOKUP(--N134,test3,11,FALSE)*O134)+IF(P134="",0,VLOOKUP(--P134,test3,11,FALSE)*Q134)</f>
        <v>9</v>
      </c>
    </row>
    <row r="135" spans="2:18" x14ac:dyDescent="0.15">
      <c r="B135" s="1">
        <f>[1]item!$D134</f>
        <v>100133</v>
      </c>
      <c r="C135" s="1">
        <f>[1]item!$C134</f>
        <v>301071500</v>
      </c>
      <c r="D135" s="1">
        <f t="shared" si="19"/>
        <v>7</v>
      </c>
      <c r="E135" s="1">
        <f t="shared" si="20"/>
        <v>1</v>
      </c>
      <c r="F135" s="1">
        <f t="shared" si="21"/>
        <v>3</v>
      </c>
      <c r="G135" s="1" t="str">
        <f t="shared" si="18"/>
        <v/>
      </c>
      <c r="H135" s="1">
        <v>2</v>
      </c>
      <c r="I135" s="1" t="str">
        <f t="shared" si="22"/>
        <v>,50189,50145</v>
      </c>
      <c r="J135" s="1" t="str">
        <f t="shared" si="23"/>
        <v>50189</v>
      </c>
      <c r="K135" s="1">
        <v>4</v>
      </c>
      <c r="L135" s="1" t="str">
        <f t="shared" si="24"/>
        <v>50145</v>
      </c>
      <c r="M135" s="1">
        <v>2</v>
      </c>
      <c r="N135" s="1" t="str">
        <f t="shared" si="25"/>
        <v/>
      </c>
      <c r="P135" s="1" t="str">
        <f t="shared" si="26"/>
        <v/>
      </c>
      <c r="R135" s="1">
        <f>VLOOKUP(--J135,test3,11,FALSE)*K135+VLOOKUP(--L135,test3,11,FALSE)*M135+IF(N135="",0,VLOOKUP(--N135,test3,11,FALSE)*O135)+IF(P135="",0,VLOOKUP(--P135,test3,11,FALSE)*Q135)</f>
        <v>9</v>
      </c>
    </row>
    <row r="136" spans="2:18" x14ac:dyDescent="0.15">
      <c r="B136" s="1">
        <f>[1]item!$D135</f>
        <v>100134</v>
      </c>
      <c r="C136" s="1">
        <f>[1]item!$C135</f>
        <v>301081500</v>
      </c>
      <c r="D136" s="1">
        <f t="shared" si="19"/>
        <v>8</v>
      </c>
      <c r="E136" s="1">
        <f t="shared" si="20"/>
        <v>1</v>
      </c>
      <c r="F136" s="1">
        <f t="shared" si="21"/>
        <v>3</v>
      </c>
      <c r="G136" s="1" t="str">
        <f t="shared" si="18"/>
        <v/>
      </c>
      <c r="H136" s="1">
        <v>2</v>
      </c>
      <c r="I136" s="1" t="str">
        <f t="shared" si="22"/>
        <v>,50189,50052</v>
      </c>
      <c r="J136" s="1" t="str">
        <f t="shared" si="23"/>
        <v>50189</v>
      </c>
      <c r="K136" s="1">
        <v>4</v>
      </c>
      <c r="L136" s="1" t="str">
        <f t="shared" si="24"/>
        <v>50052</v>
      </c>
      <c r="M136" s="1">
        <v>2</v>
      </c>
      <c r="N136" s="1" t="str">
        <f t="shared" si="25"/>
        <v/>
      </c>
      <c r="P136" s="1" t="str">
        <f t="shared" si="26"/>
        <v/>
      </c>
      <c r="R136" s="1">
        <f>VLOOKUP(--J136,test3,11,FALSE)*K136+VLOOKUP(--L136,test3,11,FALSE)*M136+IF(N136="",0,VLOOKUP(--N136,test3,11,FALSE)*O136)+IF(P136="",0,VLOOKUP(--P136,test3,11,FALSE)*Q136)</f>
        <v>9</v>
      </c>
    </row>
    <row r="137" spans="2:18" x14ac:dyDescent="0.15">
      <c r="B137" s="1">
        <f>[1]item!$D136</f>
        <v>100135</v>
      </c>
      <c r="C137" s="1">
        <f>[1]item!$C136</f>
        <v>301091500</v>
      </c>
      <c r="D137" s="1">
        <f t="shared" si="19"/>
        <v>9</v>
      </c>
      <c r="E137" s="1">
        <f t="shared" si="20"/>
        <v>1</v>
      </c>
      <c r="F137" s="1">
        <f t="shared" si="21"/>
        <v>3</v>
      </c>
      <c r="G137" s="1" t="str">
        <f t="shared" si="18"/>
        <v/>
      </c>
      <c r="H137" s="1">
        <v>2</v>
      </c>
      <c r="I137" s="1" t="str">
        <f t="shared" si="22"/>
        <v>,50145,50005</v>
      </c>
      <c r="J137" s="1" t="str">
        <f t="shared" si="23"/>
        <v>50145</v>
      </c>
      <c r="K137" s="1">
        <v>4</v>
      </c>
      <c r="L137" s="1" t="str">
        <f t="shared" si="24"/>
        <v>50005</v>
      </c>
      <c r="M137" s="1">
        <v>2</v>
      </c>
      <c r="N137" s="1" t="str">
        <f t="shared" si="25"/>
        <v/>
      </c>
      <c r="P137" s="1" t="str">
        <f t="shared" si="26"/>
        <v/>
      </c>
      <c r="R137" s="1">
        <f>VLOOKUP(--J137,test3,11,FALSE)*K137+VLOOKUP(--L137,test3,11,FALSE)*M137+IF(N137="",0,VLOOKUP(--N137,test3,11,FALSE)*O137)+IF(P137="",0,VLOOKUP(--P137,test3,11,FALSE)*Q137)</f>
        <v>9</v>
      </c>
    </row>
    <row r="138" spans="2:18" x14ac:dyDescent="0.15">
      <c r="B138" s="1">
        <f>[1]item!$D137</f>
        <v>100136</v>
      </c>
      <c r="C138" s="1">
        <f>[1]item!$C137</f>
        <v>102010100</v>
      </c>
      <c r="D138" s="1">
        <f t="shared" si="19"/>
        <v>1</v>
      </c>
      <c r="E138" s="1">
        <f t="shared" si="20"/>
        <v>2</v>
      </c>
      <c r="F138" s="1">
        <f t="shared" si="21"/>
        <v>1</v>
      </c>
      <c r="G138" s="1" t="str">
        <f t="shared" si="18"/>
        <v>神圣</v>
      </c>
      <c r="H138" s="1">
        <v>3</v>
      </c>
      <c r="I138" s="1" t="str">
        <f t="shared" si="22"/>
        <v>,50091,50142,50116</v>
      </c>
      <c r="J138" s="1" t="str">
        <f t="shared" si="23"/>
        <v>50091</v>
      </c>
      <c r="K138" s="1">
        <v>4</v>
      </c>
      <c r="L138" s="1" t="str">
        <f t="shared" si="24"/>
        <v>50142</v>
      </c>
      <c r="M138" s="1">
        <v>2</v>
      </c>
      <c r="N138" s="1" t="str">
        <f t="shared" si="25"/>
        <v>50116</v>
      </c>
      <c r="P138" s="1" t="str">
        <f t="shared" si="26"/>
        <v/>
      </c>
      <c r="R138" s="1">
        <f>VLOOKUP(--J138,test3,11,FALSE)*K138+VLOOKUP(--L138,test3,11,FALSE)*M138+IF(N138="",0,VLOOKUP(--N138,test3,11,FALSE)*O138)+IF(P138="",0,VLOOKUP(--P138,test3,11,FALSE)*Q138)</f>
        <v>51</v>
      </c>
    </row>
    <row r="139" spans="2:18" x14ac:dyDescent="0.15">
      <c r="B139" s="1">
        <f>[1]item!$D138</f>
        <v>100137</v>
      </c>
      <c r="C139" s="1">
        <f>[1]item!$C138</f>
        <v>102020100</v>
      </c>
      <c r="D139" s="1">
        <f t="shared" si="19"/>
        <v>2</v>
      </c>
      <c r="E139" s="1">
        <f t="shared" si="20"/>
        <v>2</v>
      </c>
      <c r="F139" s="1">
        <f t="shared" si="21"/>
        <v>1</v>
      </c>
      <c r="G139" s="1" t="str">
        <f t="shared" si="18"/>
        <v>神圣</v>
      </c>
      <c r="H139" s="1">
        <v>3</v>
      </c>
      <c r="I139" s="1" t="str">
        <f t="shared" si="22"/>
        <v>,50115,50169,50055</v>
      </c>
      <c r="J139" s="1" t="str">
        <f t="shared" si="23"/>
        <v>50115</v>
      </c>
      <c r="K139" s="1">
        <v>4</v>
      </c>
      <c r="L139" s="1" t="str">
        <f t="shared" si="24"/>
        <v>50169</v>
      </c>
      <c r="M139" s="1">
        <v>2</v>
      </c>
      <c r="N139" s="1" t="str">
        <f t="shared" si="25"/>
        <v>50055</v>
      </c>
      <c r="P139" s="1" t="str">
        <f t="shared" si="26"/>
        <v/>
      </c>
      <c r="R139" s="1">
        <f>VLOOKUP(--J139,test3,11,FALSE)*K139+VLOOKUP(--L139,test3,11,FALSE)*M139+IF(N139="",0,VLOOKUP(--N139,test3,11,FALSE)*O139)+IF(P139="",0,VLOOKUP(--P139,test3,11,FALSE)*Q139)</f>
        <v>81</v>
      </c>
    </row>
    <row r="140" spans="2:18" x14ac:dyDescent="0.15">
      <c r="B140" s="1">
        <f>[1]item!$D139</f>
        <v>100138</v>
      </c>
      <c r="C140" s="1">
        <f>[1]item!$C139</f>
        <v>102030100</v>
      </c>
      <c r="D140" s="1">
        <f t="shared" si="19"/>
        <v>3</v>
      </c>
      <c r="E140" s="1">
        <f t="shared" si="20"/>
        <v>2</v>
      </c>
      <c r="F140" s="1">
        <f t="shared" si="21"/>
        <v>1</v>
      </c>
      <c r="G140" s="1" t="str">
        <f t="shared" si="18"/>
        <v>神圣</v>
      </c>
      <c r="H140" s="1">
        <v>3</v>
      </c>
      <c r="I140" s="1" t="str">
        <f t="shared" si="22"/>
        <v>,50067,50122,50150</v>
      </c>
      <c r="J140" s="1" t="str">
        <f t="shared" si="23"/>
        <v>50067</v>
      </c>
      <c r="K140" s="1">
        <v>4</v>
      </c>
      <c r="L140" s="1" t="str">
        <f t="shared" si="24"/>
        <v>50122</v>
      </c>
      <c r="M140" s="1">
        <v>2</v>
      </c>
      <c r="N140" s="1" t="str">
        <f t="shared" si="25"/>
        <v>50150</v>
      </c>
      <c r="P140" s="1" t="str">
        <f t="shared" si="26"/>
        <v/>
      </c>
      <c r="R140" s="1">
        <f>VLOOKUP(--J140,test3,11,FALSE)*K140+VLOOKUP(--L140,test3,11,FALSE)*M140+IF(N140="",0,VLOOKUP(--N140,test3,11,FALSE)*O140)+IF(P140="",0,VLOOKUP(--P140,test3,11,FALSE)*Q140)</f>
        <v>81</v>
      </c>
    </row>
    <row r="141" spans="2:18" x14ac:dyDescent="0.15">
      <c r="B141" s="1">
        <f>[1]item!$D140</f>
        <v>100139</v>
      </c>
      <c r="C141" s="1">
        <f>[1]item!$C140</f>
        <v>102040100</v>
      </c>
      <c r="D141" s="1">
        <f t="shared" si="19"/>
        <v>4</v>
      </c>
      <c r="E141" s="1">
        <f t="shared" si="20"/>
        <v>2</v>
      </c>
      <c r="F141" s="1">
        <f t="shared" si="21"/>
        <v>1</v>
      </c>
      <c r="G141" s="1" t="str">
        <f t="shared" si="18"/>
        <v>神圣</v>
      </c>
      <c r="H141" s="1">
        <v>3</v>
      </c>
      <c r="I141" s="1" t="str">
        <f t="shared" si="22"/>
        <v>,50023,50065,50128</v>
      </c>
      <c r="J141" s="1" t="str">
        <f t="shared" si="23"/>
        <v>50023</v>
      </c>
      <c r="K141" s="1">
        <v>4</v>
      </c>
      <c r="L141" s="1" t="str">
        <f t="shared" si="24"/>
        <v>50065</v>
      </c>
      <c r="M141" s="1">
        <v>2</v>
      </c>
      <c r="N141" s="1" t="str">
        <f t="shared" si="25"/>
        <v>50128</v>
      </c>
      <c r="P141" s="1" t="str">
        <f t="shared" si="26"/>
        <v/>
      </c>
      <c r="R141" s="1">
        <f>VLOOKUP(--J141,test3,11,FALSE)*K141+VLOOKUP(--L141,test3,11,FALSE)*M141+IF(N141="",0,VLOOKUP(--N141,test3,11,FALSE)*O141)+IF(P141="",0,VLOOKUP(--P141,test3,11,FALSE)*Q141)</f>
        <v>66</v>
      </c>
    </row>
    <row r="142" spans="2:18" x14ac:dyDescent="0.15">
      <c r="B142" s="1">
        <f>[1]item!$D141</f>
        <v>100140</v>
      </c>
      <c r="C142" s="1">
        <f>[1]item!$C141</f>
        <v>102050100</v>
      </c>
      <c r="D142" s="1">
        <f t="shared" si="19"/>
        <v>5</v>
      </c>
      <c r="E142" s="1">
        <f t="shared" si="20"/>
        <v>2</v>
      </c>
      <c r="F142" s="1">
        <f t="shared" si="21"/>
        <v>1</v>
      </c>
      <c r="G142" s="1" t="str">
        <f t="shared" si="18"/>
        <v>神圣</v>
      </c>
      <c r="H142" s="1">
        <v>3</v>
      </c>
      <c r="I142" s="1" t="str">
        <f t="shared" si="22"/>
        <v>,50140,50095,50129</v>
      </c>
      <c r="J142" s="1" t="str">
        <f t="shared" si="23"/>
        <v>50140</v>
      </c>
      <c r="K142" s="1">
        <v>4</v>
      </c>
      <c r="L142" s="1" t="str">
        <f t="shared" si="24"/>
        <v>50095</v>
      </c>
      <c r="M142" s="1">
        <v>2</v>
      </c>
      <c r="N142" s="1" t="str">
        <f t="shared" si="25"/>
        <v>50129</v>
      </c>
      <c r="P142" s="1" t="str">
        <f t="shared" si="26"/>
        <v/>
      </c>
      <c r="R142" s="1">
        <f>VLOOKUP(--J142,test3,11,FALSE)*K142+VLOOKUP(--L142,test3,11,FALSE)*M142+IF(N142="",0,VLOOKUP(--N142,test3,11,FALSE)*O142)+IF(P142="",0,VLOOKUP(--P142,test3,11,FALSE)*Q142)</f>
        <v>36</v>
      </c>
    </row>
    <row r="143" spans="2:18" x14ac:dyDescent="0.15">
      <c r="B143" s="1">
        <f>[1]item!$D142</f>
        <v>100141</v>
      </c>
      <c r="C143" s="1">
        <f>[1]item!$C142</f>
        <v>102060100</v>
      </c>
      <c r="D143" s="1">
        <f t="shared" si="19"/>
        <v>6</v>
      </c>
      <c r="E143" s="1">
        <f t="shared" si="20"/>
        <v>2</v>
      </c>
      <c r="F143" s="1">
        <f t="shared" si="21"/>
        <v>1</v>
      </c>
      <c r="G143" s="1" t="str">
        <f t="shared" si="18"/>
        <v>神圣</v>
      </c>
      <c r="H143" s="1">
        <v>3</v>
      </c>
      <c r="I143" s="1" t="str">
        <f t="shared" si="22"/>
        <v>,50091,50142,50116</v>
      </c>
      <c r="J143" s="1" t="str">
        <f t="shared" si="23"/>
        <v>50091</v>
      </c>
      <c r="K143" s="1">
        <v>4</v>
      </c>
      <c r="L143" s="1" t="str">
        <f t="shared" si="24"/>
        <v>50142</v>
      </c>
      <c r="M143" s="1">
        <v>2</v>
      </c>
      <c r="N143" s="1" t="str">
        <f t="shared" si="25"/>
        <v>50116</v>
      </c>
      <c r="P143" s="1" t="str">
        <f t="shared" si="26"/>
        <v/>
      </c>
      <c r="R143" s="1">
        <f>VLOOKUP(--J143,test3,11,FALSE)*K143+VLOOKUP(--L143,test3,11,FALSE)*M143+IF(N143="",0,VLOOKUP(--N143,test3,11,FALSE)*O143)+IF(P143="",0,VLOOKUP(--P143,test3,11,FALSE)*Q143)</f>
        <v>51</v>
      </c>
    </row>
    <row r="144" spans="2:18" x14ac:dyDescent="0.15">
      <c r="B144" s="1">
        <f>[1]item!$D143</f>
        <v>100142</v>
      </c>
      <c r="C144" s="1">
        <f>[1]item!$C143</f>
        <v>102070100</v>
      </c>
      <c r="D144" s="1">
        <f t="shared" si="19"/>
        <v>7</v>
      </c>
      <c r="E144" s="1">
        <f t="shared" si="20"/>
        <v>2</v>
      </c>
      <c r="F144" s="1">
        <f t="shared" si="21"/>
        <v>1</v>
      </c>
      <c r="G144" s="1" t="str">
        <f t="shared" si="18"/>
        <v>神圣</v>
      </c>
      <c r="H144" s="1">
        <v>3</v>
      </c>
      <c r="I144" s="1" t="str">
        <f t="shared" si="22"/>
        <v>,50139,50048,50173</v>
      </c>
      <c r="J144" s="1" t="str">
        <f t="shared" si="23"/>
        <v>50139</v>
      </c>
      <c r="K144" s="1">
        <v>4</v>
      </c>
      <c r="L144" s="1" t="str">
        <f t="shared" si="24"/>
        <v>50048</v>
      </c>
      <c r="M144" s="1">
        <v>2</v>
      </c>
      <c r="N144" s="1" t="str">
        <f t="shared" si="25"/>
        <v>50173</v>
      </c>
      <c r="P144" s="1" t="str">
        <f t="shared" si="26"/>
        <v/>
      </c>
      <c r="R144" s="1">
        <f>VLOOKUP(--J144,test3,11,FALSE)*K144+VLOOKUP(--L144,test3,11,FALSE)*M144+IF(N144="",0,VLOOKUP(--N144,test3,11,FALSE)*O144)+IF(P144="",0,VLOOKUP(--P144,test3,11,FALSE)*Q144)</f>
        <v>51</v>
      </c>
    </row>
    <row r="145" spans="2:18" x14ac:dyDescent="0.15">
      <c r="B145" s="1">
        <f>[1]item!$D144</f>
        <v>100143</v>
      </c>
      <c r="C145" s="1">
        <f>[1]item!$C144</f>
        <v>102080100</v>
      </c>
      <c r="D145" s="1">
        <f t="shared" si="19"/>
        <v>8</v>
      </c>
      <c r="E145" s="1">
        <f t="shared" si="20"/>
        <v>2</v>
      </c>
      <c r="F145" s="1">
        <f t="shared" si="21"/>
        <v>1</v>
      </c>
      <c r="G145" s="1" t="str">
        <f t="shared" si="18"/>
        <v>神圣</v>
      </c>
      <c r="H145" s="1">
        <v>3</v>
      </c>
      <c r="I145" s="1" t="str">
        <f t="shared" si="22"/>
        <v>,50148,50006,50117</v>
      </c>
      <c r="J145" s="1" t="str">
        <f t="shared" si="23"/>
        <v>50148</v>
      </c>
      <c r="K145" s="1">
        <v>4</v>
      </c>
      <c r="L145" s="1" t="str">
        <f t="shared" si="24"/>
        <v>50006</v>
      </c>
      <c r="M145" s="1">
        <v>2</v>
      </c>
      <c r="N145" s="1" t="str">
        <f t="shared" si="25"/>
        <v>50117</v>
      </c>
      <c r="P145" s="1" t="str">
        <f t="shared" si="26"/>
        <v/>
      </c>
      <c r="R145" s="1">
        <f>VLOOKUP(--J145,test3,11,FALSE)*K145+VLOOKUP(--L145,test3,11,FALSE)*M145+IF(N145="",0,VLOOKUP(--N145,test3,11,FALSE)*O145)+IF(P145="",0,VLOOKUP(--P145,test3,11,FALSE)*Q145)</f>
        <v>36</v>
      </c>
    </row>
    <row r="146" spans="2:18" x14ac:dyDescent="0.15">
      <c r="B146" s="1">
        <f>[1]item!$D145</f>
        <v>100144</v>
      </c>
      <c r="C146" s="1">
        <f>[1]item!$C145</f>
        <v>102090100</v>
      </c>
      <c r="D146" s="1">
        <f t="shared" si="19"/>
        <v>9</v>
      </c>
      <c r="E146" s="1">
        <f t="shared" si="20"/>
        <v>2</v>
      </c>
      <c r="F146" s="1">
        <f t="shared" si="21"/>
        <v>1</v>
      </c>
      <c r="G146" s="1" t="str">
        <f t="shared" si="18"/>
        <v>神圣</v>
      </c>
      <c r="H146" s="1">
        <v>3</v>
      </c>
      <c r="I146" s="1" t="str">
        <f t="shared" si="22"/>
        <v>,50113,50137,50007</v>
      </c>
      <c r="J146" s="1" t="str">
        <f t="shared" si="23"/>
        <v>50113</v>
      </c>
      <c r="K146" s="1">
        <v>4</v>
      </c>
      <c r="L146" s="1" t="str">
        <f t="shared" si="24"/>
        <v>50137</v>
      </c>
      <c r="M146" s="1">
        <v>2</v>
      </c>
      <c r="N146" s="1" t="str">
        <f t="shared" si="25"/>
        <v>50007</v>
      </c>
      <c r="P146" s="1" t="str">
        <f t="shared" si="26"/>
        <v/>
      </c>
      <c r="R146" s="1">
        <f>VLOOKUP(--J146,test3,11,FALSE)*K146+VLOOKUP(--L146,test3,11,FALSE)*M146+IF(N146="",0,VLOOKUP(--N146,test3,11,FALSE)*O146)+IF(P146="",0,VLOOKUP(--P146,test3,11,FALSE)*Q146)</f>
        <v>66</v>
      </c>
    </row>
    <row r="147" spans="2:18" x14ac:dyDescent="0.15">
      <c r="B147" s="1">
        <f>[1]item!$D146</f>
        <v>100145</v>
      </c>
      <c r="C147" s="1">
        <f>[1]item!$C146</f>
        <v>102010200</v>
      </c>
      <c r="D147" s="1">
        <f t="shared" si="19"/>
        <v>1</v>
      </c>
      <c r="E147" s="1">
        <f t="shared" si="20"/>
        <v>2</v>
      </c>
      <c r="F147" s="1">
        <f t="shared" si="21"/>
        <v>1</v>
      </c>
      <c r="G147" s="1" t="str">
        <f t="shared" si="18"/>
        <v>地脉</v>
      </c>
      <c r="H147" s="1">
        <v>3</v>
      </c>
      <c r="I147" s="1" t="str">
        <f t="shared" si="22"/>
        <v>,50113,50025,50042</v>
      </c>
      <c r="J147" s="1" t="str">
        <f t="shared" si="23"/>
        <v>50113</v>
      </c>
      <c r="K147" s="1">
        <v>4</v>
      </c>
      <c r="L147" s="1" t="str">
        <f t="shared" si="24"/>
        <v>50025</v>
      </c>
      <c r="M147" s="1">
        <v>2</v>
      </c>
      <c r="N147" s="1" t="str">
        <f t="shared" si="25"/>
        <v>50042</v>
      </c>
      <c r="P147" s="1" t="str">
        <f t="shared" si="26"/>
        <v/>
      </c>
      <c r="R147" s="1">
        <f>VLOOKUP(--J147,test3,11,FALSE)*K147+VLOOKUP(--L147,test3,11,FALSE)*M147+IF(N147="",0,VLOOKUP(--N147,test3,11,FALSE)*O147)+IF(P147="",0,VLOOKUP(--P147,test3,11,FALSE)*Q147)</f>
        <v>81</v>
      </c>
    </row>
    <row r="148" spans="2:18" x14ac:dyDescent="0.15">
      <c r="B148" s="1">
        <f>[1]item!$D147</f>
        <v>100146</v>
      </c>
      <c r="C148" s="1">
        <f>[1]item!$C147</f>
        <v>102020200</v>
      </c>
      <c r="D148" s="1">
        <f t="shared" si="19"/>
        <v>2</v>
      </c>
      <c r="E148" s="1">
        <f t="shared" si="20"/>
        <v>2</v>
      </c>
      <c r="F148" s="1">
        <f t="shared" si="21"/>
        <v>1</v>
      </c>
      <c r="G148" s="1" t="str">
        <f t="shared" si="18"/>
        <v>地脉</v>
      </c>
      <c r="H148" s="1">
        <v>3</v>
      </c>
      <c r="I148" s="1" t="str">
        <f t="shared" si="22"/>
        <v>,50140,50095,50129</v>
      </c>
      <c r="J148" s="1" t="str">
        <f t="shared" si="23"/>
        <v>50140</v>
      </c>
      <c r="K148" s="1">
        <v>4</v>
      </c>
      <c r="L148" s="1" t="str">
        <f t="shared" si="24"/>
        <v>50095</v>
      </c>
      <c r="M148" s="1">
        <v>2</v>
      </c>
      <c r="N148" s="1" t="str">
        <f t="shared" si="25"/>
        <v>50129</v>
      </c>
      <c r="P148" s="1" t="str">
        <f t="shared" si="26"/>
        <v/>
      </c>
      <c r="R148" s="1">
        <f>VLOOKUP(--J148,test3,11,FALSE)*K148+VLOOKUP(--L148,test3,11,FALSE)*M148+IF(N148="",0,VLOOKUP(--N148,test3,11,FALSE)*O148)+IF(P148="",0,VLOOKUP(--P148,test3,11,FALSE)*Q148)</f>
        <v>36</v>
      </c>
    </row>
    <row r="149" spans="2:18" x14ac:dyDescent="0.15">
      <c r="B149" s="1">
        <f>[1]item!$D148</f>
        <v>100147</v>
      </c>
      <c r="C149" s="1">
        <f>[1]item!$C148</f>
        <v>102030200</v>
      </c>
      <c r="D149" s="1">
        <f t="shared" si="19"/>
        <v>3</v>
      </c>
      <c r="E149" s="1">
        <f t="shared" si="20"/>
        <v>2</v>
      </c>
      <c r="F149" s="1">
        <f t="shared" si="21"/>
        <v>1</v>
      </c>
      <c r="G149" s="1" t="str">
        <f t="shared" si="18"/>
        <v>地脉</v>
      </c>
      <c r="H149" s="1">
        <v>3</v>
      </c>
      <c r="I149" s="1" t="str">
        <f t="shared" si="22"/>
        <v>,50140,50095,50129</v>
      </c>
      <c r="J149" s="1" t="str">
        <f t="shared" si="23"/>
        <v>50140</v>
      </c>
      <c r="K149" s="1">
        <v>4</v>
      </c>
      <c r="L149" s="1" t="str">
        <f t="shared" si="24"/>
        <v>50095</v>
      </c>
      <c r="M149" s="1">
        <v>2</v>
      </c>
      <c r="N149" s="1" t="str">
        <f t="shared" si="25"/>
        <v>50129</v>
      </c>
      <c r="P149" s="1" t="str">
        <f t="shared" si="26"/>
        <v/>
      </c>
      <c r="R149" s="1">
        <f>VLOOKUP(--J149,test3,11,FALSE)*K149+VLOOKUP(--L149,test3,11,FALSE)*M149+IF(N149="",0,VLOOKUP(--N149,test3,11,FALSE)*O149)+IF(P149="",0,VLOOKUP(--P149,test3,11,FALSE)*Q149)</f>
        <v>36</v>
      </c>
    </row>
    <row r="150" spans="2:18" x14ac:dyDescent="0.15">
      <c r="B150" s="1">
        <f>[1]item!$D149</f>
        <v>100148</v>
      </c>
      <c r="C150" s="1">
        <f>[1]item!$C149</f>
        <v>102040200</v>
      </c>
      <c r="D150" s="1">
        <f t="shared" si="19"/>
        <v>4</v>
      </c>
      <c r="E150" s="1">
        <f t="shared" si="20"/>
        <v>2</v>
      </c>
      <c r="F150" s="1">
        <f t="shared" si="21"/>
        <v>1</v>
      </c>
      <c r="G150" s="1" t="str">
        <f t="shared" si="18"/>
        <v>地脉</v>
      </c>
      <c r="H150" s="1">
        <v>3</v>
      </c>
      <c r="I150" s="1" t="str">
        <f t="shared" si="22"/>
        <v>,50152,50149,50010</v>
      </c>
      <c r="J150" s="1" t="str">
        <f t="shared" si="23"/>
        <v>50152</v>
      </c>
      <c r="K150" s="1">
        <v>4</v>
      </c>
      <c r="L150" s="1" t="str">
        <f t="shared" si="24"/>
        <v>50149</v>
      </c>
      <c r="M150" s="1">
        <v>2</v>
      </c>
      <c r="N150" s="1" t="str">
        <f t="shared" si="25"/>
        <v>50010</v>
      </c>
      <c r="P150" s="1" t="str">
        <f t="shared" si="26"/>
        <v/>
      </c>
      <c r="R150" s="1">
        <f>VLOOKUP(--J150,test3,11,FALSE)*K150+VLOOKUP(--L150,test3,11,FALSE)*M150+IF(N150="",0,VLOOKUP(--N150,test3,11,FALSE)*O150)+IF(P150="",0,VLOOKUP(--P150,test3,11,FALSE)*Q150)</f>
        <v>36</v>
      </c>
    </row>
    <row r="151" spans="2:18" x14ac:dyDescent="0.15">
      <c r="B151" s="1">
        <f>[1]item!$D150</f>
        <v>100149</v>
      </c>
      <c r="C151" s="1">
        <f>[1]item!$C150</f>
        <v>102050200</v>
      </c>
      <c r="D151" s="1">
        <f t="shared" si="19"/>
        <v>5</v>
      </c>
      <c r="E151" s="1">
        <f t="shared" si="20"/>
        <v>2</v>
      </c>
      <c r="F151" s="1">
        <f t="shared" si="21"/>
        <v>1</v>
      </c>
      <c r="G151" s="1" t="str">
        <f t="shared" si="18"/>
        <v>地脉</v>
      </c>
      <c r="H151" s="1">
        <v>3</v>
      </c>
      <c r="I151" s="1" t="str">
        <f t="shared" si="22"/>
        <v>,50091,50142,50116</v>
      </c>
      <c r="J151" s="1" t="str">
        <f t="shared" si="23"/>
        <v>50091</v>
      </c>
      <c r="K151" s="1">
        <v>4</v>
      </c>
      <c r="L151" s="1" t="str">
        <f t="shared" si="24"/>
        <v>50142</v>
      </c>
      <c r="M151" s="1">
        <v>2</v>
      </c>
      <c r="N151" s="1" t="str">
        <f t="shared" si="25"/>
        <v>50116</v>
      </c>
      <c r="P151" s="1" t="str">
        <f t="shared" si="26"/>
        <v/>
      </c>
      <c r="R151" s="1">
        <f>VLOOKUP(--J151,test3,11,FALSE)*K151+VLOOKUP(--L151,test3,11,FALSE)*M151+IF(N151="",0,VLOOKUP(--N151,test3,11,FALSE)*O151)+IF(P151="",0,VLOOKUP(--P151,test3,11,FALSE)*Q151)</f>
        <v>51</v>
      </c>
    </row>
    <row r="152" spans="2:18" x14ac:dyDescent="0.15">
      <c r="B152" s="1">
        <f>[1]item!$D151</f>
        <v>100150</v>
      </c>
      <c r="C152" s="1">
        <f>[1]item!$C151</f>
        <v>102060200</v>
      </c>
      <c r="D152" s="1">
        <f t="shared" si="19"/>
        <v>6</v>
      </c>
      <c r="E152" s="1">
        <f t="shared" si="20"/>
        <v>2</v>
      </c>
      <c r="F152" s="1">
        <f t="shared" si="21"/>
        <v>1</v>
      </c>
      <c r="G152" s="1" t="str">
        <f t="shared" si="18"/>
        <v>地脉</v>
      </c>
      <c r="H152" s="1">
        <v>3</v>
      </c>
      <c r="I152" s="1" t="str">
        <f t="shared" si="22"/>
        <v>,50025,50006,50114</v>
      </c>
      <c r="J152" s="1" t="str">
        <f t="shared" si="23"/>
        <v>50025</v>
      </c>
      <c r="K152" s="1">
        <v>4</v>
      </c>
      <c r="L152" s="1" t="str">
        <f t="shared" si="24"/>
        <v>50006</v>
      </c>
      <c r="M152" s="1">
        <v>2</v>
      </c>
      <c r="N152" s="1" t="str">
        <f t="shared" si="25"/>
        <v>50114</v>
      </c>
      <c r="P152" s="1" t="str">
        <f t="shared" si="26"/>
        <v/>
      </c>
      <c r="R152" s="1">
        <f>VLOOKUP(--J152,test3,11,FALSE)*K152+VLOOKUP(--L152,test3,11,FALSE)*M152+IF(N152="",0,VLOOKUP(--N152,test3,11,FALSE)*O152)+IF(P152="",0,VLOOKUP(--P152,test3,11,FALSE)*Q152)</f>
        <v>66</v>
      </c>
    </row>
    <row r="153" spans="2:18" x14ac:dyDescent="0.15">
      <c r="B153" s="1">
        <f>[1]item!$D152</f>
        <v>100151</v>
      </c>
      <c r="C153" s="1">
        <f>[1]item!$C152</f>
        <v>102070200</v>
      </c>
      <c r="D153" s="1">
        <f t="shared" si="19"/>
        <v>7</v>
      </c>
      <c r="E153" s="1">
        <f t="shared" si="20"/>
        <v>2</v>
      </c>
      <c r="F153" s="1">
        <f t="shared" si="21"/>
        <v>1</v>
      </c>
      <c r="G153" s="1" t="str">
        <f t="shared" si="18"/>
        <v>地脉</v>
      </c>
      <c r="H153" s="1">
        <v>3</v>
      </c>
      <c r="I153" s="1" t="str">
        <f t="shared" si="22"/>
        <v>,50140,50095,50129</v>
      </c>
      <c r="J153" s="1" t="str">
        <f t="shared" si="23"/>
        <v>50140</v>
      </c>
      <c r="K153" s="1">
        <v>4</v>
      </c>
      <c r="L153" s="1" t="str">
        <f t="shared" si="24"/>
        <v>50095</v>
      </c>
      <c r="M153" s="1">
        <v>2</v>
      </c>
      <c r="N153" s="1" t="str">
        <f t="shared" si="25"/>
        <v>50129</v>
      </c>
      <c r="P153" s="1" t="str">
        <f t="shared" si="26"/>
        <v/>
      </c>
      <c r="R153" s="1">
        <f>VLOOKUP(--J153,test3,11,FALSE)*K153+VLOOKUP(--L153,test3,11,FALSE)*M153+IF(N153="",0,VLOOKUP(--N153,test3,11,FALSE)*O153)+IF(P153="",0,VLOOKUP(--P153,test3,11,FALSE)*Q153)</f>
        <v>36</v>
      </c>
    </row>
    <row r="154" spans="2:18" x14ac:dyDescent="0.15">
      <c r="B154" s="1">
        <f>[1]item!$D153</f>
        <v>100152</v>
      </c>
      <c r="C154" s="1">
        <f>[1]item!$C153</f>
        <v>102080200</v>
      </c>
      <c r="D154" s="1">
        <f t="shared" si="19"/>
        <v>8</v>
      </c>
      <c r="E154" s="1">
        <f t="shared" si="20"/>
        <v>2</v>
      </c>
      <c r="F154" s="1">
        <f t="shared" si="21"/>
        <v>1</v>
      </c>
      <c r="G154" s="1" t="str">
        <f t="shared" si="18"/>
        <v>地脉</v>
      </c>
      <c r="H154" s="1">
        <v>3</v>
      </c>
      <c r="I154" s="1" t="str">
        <f t="shared" si="22"/>
        <v>,50010,50102,50006</v>
      </c>
      <c r="J154" s="1" t="str">
        <f t="shared" si="23"/>
        <v>50010</v>
      </c>
      <c r="K154" s="1">
        <v>4</v>
      </c>
      <c r="L154" s="1" t="str">
        <f t="shared" si="24"/>
        <v>50102</v>
      </c>
      <c r="M154" s="1">
        <v>2</v>
      </c>
      <c r="N154" s="1" t="str">
        <f t="shared" si="25"/>
        <v>50006</v>
      </c>
      <c r="P154" s="1" t="str">
        <f t="shared" si="26"/>
        <v/>
      </c>
      <c r="R154" s="1">
        <f>VLOOKUP(--J154,test3,11,FALSE)*K154+VLOOKUP(--L154,test3,11,FALSE)*M154+IF(N154="",0,VLOOKUP(--N154,test3,11,FALSE)*O154)+IF(P154="",0,VLOOKUP(--P154,test3,11,FALSE)*Q154)</f>
        <v>51</v>
      </c>
    </row>
    <row r="155" spans="2:18" x14ac:dyDescent="0.15">
      <c r="B155" s="1">
        <f>[1]item!$D154</f>
        <v>100153</v>
      </c>
      <c r="C155" s="1">
        <f>[1]item!$C154</f>
        <v>102090200</v>
      </c>
      <c r="D155" s="1">
        <f t="shared" si="19"/>
        <v>9</v>
      </c>
      <c r="E155" s="1">
        <f t="shared" si="20"/>
        <v>2</v>
      </c>
      <c r="F155" s="1">
        <f t="shared" si="21"/>
        <v>1</v>
      </c>
      <c r="G155" s="1" t="str">
        <f t="shared" si="18"/>
        <v>地脉</v>
      </c>
      <c r="H155" s="1">
        <v>3</v>
      </c>
      <c r="I155" s="1" t="str">
        <f t="shared" si="22"/>
        <v>,50140,50095,50129</v>
      </c>
      <c r="J155" s="1" t="str">
        <f t="shared" si="23"/>
        <v>50140</v>
      </c>
      <c r="K155" s="1">
        <v>4</v>
      </c>
      <c r="L155" s="1" t="str">
        <f t="shared" si="24"/>
        <v>50095</v>
      </c>
      <c r="M155" s="1">
        <v>2</v>
      </c>
      <c r="N155" s="1" t="str">
        <f t="shared" si="25"/>
        <v>50129</v>
      </c>
      <c r="P155" s="1" t="str">
        <f t="shared" si="26"/>
        <v/>
      </c>
      <c r="R155" s="1">
        <f>VLOOKUP(--J155,test3,11,FALSE)*K155+VLOOKUP(--L155,test3,11,FALSE)*M155+IF(N155="",0,VLOOKUP(--N155,test3,11,FALSE)*O155)+IF(P155="",0,VLOOKUP(--P155,test3,11,FALSE)*Q155)</f>
        <v>36</v>
      </c>
    </row>
    <row r="156" spans="2:18" x14ac:dyDescent="0.15">
      <c r="B156" s="1">
        <f>[1]item!$D155</f>
        <v>100154</v>
      </c>
      <c r="C156" s="1">
        <f>[1]item!$C155</f>
        <v>102010300</v>
      </c>
      <c r="D156" s="1">
        <f t="shared" si="19"/>
        <v>1</v>
      </c>
      <c r="E156" s="1">
        <f t="shared" si="20"/>
        <v>2</v>
      </c>
      <c r="F156" s="1">
        <f t="shared" si="21"/>
        <v>1</v>
      </c>
      <c r="G156" s="1" t="str">
        <f t="shared" si="18"/>
        <v>神圣</v>
      </c>
      <c r="H156" s="1">
        <v>3</v>
      </c>
      <c r="I156" s="1" t="str">
        <f t="shared" si="22"/>
        <v>,50169,50116,50029</v>
      </c>
      <c r="J156" s="1" t="str">
        <f t="shared" si="23"/>
        <v>50169</v>
      </c>
      <c r="K156" s="1">
        <v>4</v>
      </c>
      <c r="L156" s="1" t="str">
        <f t="shared" si="24"/>
        <v>50116</v>
      </c>
      <c r="M156" s="1">
        <v>2</v>
      </c>
      <c r="N156" s="1" t="str">
        <f t="shared" si="25"/>
        <v>50029</v>
      </c>
      <c r="P156" s="1" t="str">
        <f t="shared" si="26"/>
        <v/>
      </c>
      <c r="R156" s="1">
        <f>VLOOKUP(--J156,test3,11,FALSE)*K156+VLOOKUP(--L156,test3,11,FALSE)*M156+IF(N156="",0,VLOOKUP(--N156,test3,11,FALSE)*O156)+IF(P156="",0,VLOOKUP(--P156,test3,11,FALSE)*Q156)</f>
        <v>81</v>
      </c>
    </row>
    <row r="157" spans="2:18" x14ac:dyDescent="0.15">
      <c r="B157" s="1">
        <f>[1]item!$D156</f>
        <v>100155</v>
      </c>
      <c r="C157" s="1">
        <f>[1]item!$C156</f>
        <v>102020300</v>
      </c>
      <c r="D157" s="1">
        <f t="shared" si="19"/>
        <v>2</v>
      </c>
      <c r="E157" s="1">
        <f t="shared" si="20"/>
        <v>2</v>
      </c>
      <c r="F157" s="1">
        <f t="shared" si="21"/>
        <v>1</v>
      </c>
      <c r="G157" s="1" t="str">
        <f t="shared" si="18"/>
        <v>神圣</v>
      </c>
      <c r="H157" s="1">
        <v>3</v>
      </c>
      <c r="I157" s="1" t="str">
        <f t="shared" si="22"/>
        <v>,50025,50006,50114</v>
      </c>
      <c r="J157" s="1" t="str">
        <f t="shared" si="23"/>
        <v>50025</v>
      </c>
      <c r="K157" s="1">
        <v>4</v>
      </c>
      <c r="L157" s="1" t="str">
        <f t="shared" si="24"/>
        <v>50006</v>
      </c>
      <c r="M157" s="1">
        <v>2</v>
      </c>
      <c r="N157" s="1" t="str">
        <f t="shared" si="25"/>
        <v>50114</v>
      </c>
      <c r="P157" s="1" t="str">
        <f t="shared" si="26"/>
        <v/>
      </c>
      <c r="R157" s="1">
        <f>VLOOKUP(--J157,test3,11,FALSE)*K157+VLOOKUP(--L157,test3,11,FALSE)*M157+IF(N157="",0,VLOOKUP(--N157,test3,11,FALSE)*O157)+IF(P157="",0,VLOOKUP(--P157,test3,11,FALSE)*Q157)</f>
        <v>66</v>
      </c>
    </row>
    <row r="158" spans="2:18" x14ac:dyDescent="0.15">
      <c r="B158" s="1">
        <f>[1]item!$D157</f>
        <v>100156</v>
      </c>
      <c r="C158" s="1">
        <f>[1]item!$C157</f>
        <v>102030300</v>
      </c>
      <c r="D158" s="1">
        <f t="shared" si="19"/>
        <v>3</v>
      </c>
      <c r="E158" s="1">
        <f t="shared" si="20"/>
        <v>2</v>
      </c>
      <c r="F158" s="1">
        <f t="shared" si="21"/>
        <v>1</v>
      </c>
      <c r="G158" s="1" t="str">
        <f t="shared" si="18"/>
        <v>神圣</v>
      </c>
      <c r="H158" s="1">
        <v>3</v>
      </c>
      <c r="I158" s="1" t="str">
        <f t="shared" si="22"/>
        <v>,50025,50055,50016</v>
      </c>
      <c r="J158" s="1" t="str">
        <f t="shared" si="23"/>
        <v>50025</v>
      </c>
      <c r="K158" s="1">
        <v>4</v>
      </c>
      <c r="L158" s="1" t="str">
        <f t="shared" si="24"/>
        <v>50055</v>
      </c>
      <c r="M158" s="1">
        <v>2</v>
      </c>
      <c r="N158" s="1" t="str">
        <f t="shared" si="25"/>
        <v>50016</v>
      </c>
      <c r="P158" s="1" t="str">
        <f t="shared" si="26"/>
        <v/>
      </c>
      <c r="R158" s="1">
        <f>VLOOKUP(--J158,test3,11,FALSE)*K158+VLOOKUP(--L158,test3,11,FALSE)*M158+IF(N158="",0,VLOOKUP(--N158,test3,11,FALSE)*O158)+IF(P158="",0,VLOOKUP(--P158,test3,11,FALSE)*Q158)</f>
        <v>66</v>
      </c>
    </row>
    <row r="159" spans="2:18" x14ac:dyDescent="0.15">
      <c r="B159" s="1">
        <f>[1]item!$D158</f>
        <v>100157</v>
      </c>
      <c r="C159" s="1">
        <f>[1]item!$C158</f>
        <v>102040300</v>
      </c>
      <c r="D159" s="1">
        <f t="shared" si="19"/>
        <v>4</v>
      </c>
      <c r="E159" s="1">
        <f t="shared" si="20"/>
        <v>2</v>
      </c>
      <c r="F159" s="1">
        <f t="shared" si="21"/>
        <v>1</v>
      </c>
      <c r="G159" s="1" t="str">
        <f t="shared" si="18"/>
        <v>神圣</v>
      </c>
      <c r="H159" s="1">
        <v>3</v>
      </c>
      <c r="I159" s="1" t="str">
        <f t="shared" si="22"/>
        <v>,50102,50006,50014</v>
      </c>
      <c r="J159" s="1" t="str">
        <f t="shared" si="23"/>
        <v>50102</v>
      </c>
      <c r="K159" s="1">
        <v>4</v>
      </c>
      <c r="L159" s="1" t="str">
        <f t="shared" si="24"/>
        <v>50006</v>
      </c>
      <c r="M159" s="1">
        <v>2</v>
      </c>
      <c r="N159" s="1" t="str">
        <f t="shared" si="25"/>
        <v>50014</v>
      </c>
      <c r="P159" s="1" t="str">
        <f t="shared" si="26"/>
        <v/>
      </c>
      <c r="R159" s="1">
        <f>VLOOKUP(--J159,test3,11,FALSE)*K159+VLOOKUP(--L159,test3,11,FALSE)*M159+IF(N159="",0,VLOOKUP(--N159,test3,11,FALSE)*O159)+IF(P159="",0,VLOOKUP(--P159,test3,11,FALSE)*Q159)</f>
        <v>66</v>
      </c>
    </row>
    <row r="160" spans="2:18" x14ac:dyDescent="0.15">
      <c r="B160" s="1">
        <f>[1]item!$D159</f>
        <v>100158</v>
      </c>
      <c r="C160" s="1">
        <f>[1]item!$C159</f>
        <v>102050300</v>
      </c>
      <c r="D160" s="1">
        <f t="shared" si="19"/>
        <v>5</v>
      </c>
      <c r="E160" s="1">
        <f t="shared" si="20"/>
        <v>2</v>
      </c>
      <c r="F160" s="1">
        <f t="shared" si="21"/>
        <v>1</v>
      </c>
      <c r="G160" s="1" t="str">
        <f t="shared" si="18"/>
        <v>神圣</v>
      </c>
      <c r="H160" s="1">
        <v>3</v>
      </c>
      <c r="I160" s="1" t="str">
        <f t="shared" si="22"/>
        <v>,50006,50023,50187</v>
      </c>
      <c r="J160" s="1" t="str">
        <f t="shared" si="23"/>
        <v>50006</v>
      </c>
      <c r="K160" s="1">
        <v>4</v>
      </c>
      <c r="L160" s="1" t="str">
        <f t="shared" si="24"/>
        <v>50023</v>
      </c>
      <c r="M160" s="1">
        <v>2</v>
      </c>
      <c r="N160" s="1" t="str">
        <f t="shared" si="25"/>
        <v>50187</v>
      </c>
      <c r="P160" s="1" t="str">
        <f t="shared" si="26"/>
        <v/>
      </c>
      <c r="R160" s="1">
        <f>VLOOKUP(--J160,test3,11,FALSE)*K160+VLOOKUP(--L160,test3,11,FALSE)*M160+IF(N160="",0,VLOOKUP(--N160,test3,11,FALSE)*O160)+IF(P160="",0,VLOOKUP(--P160,test3,11,FALSE)*Q160)</f>
        <v>51</v>
      </c>
    </row>
    <row r="161" spans="2:18" x14ac:dyDescent="0.15">
      <c r="B161" s="1">
        <f>[1]item!$D160</f>
        <v>100159</v>
      </c>
      <c r="C161" s="1">
        <f>[1]item!$C160</f>
        <v>102060300</v>
      </c>
      <c r="D161" s="1">
        <f t="shared" si="19"/>
        <v>6</v>
      </c>
      <c r="E161" s="1">
        <f t="shared" si="20"/>
        <v>2</v>
      </c>
      <c r="F161" s="1">
        <f t="shared" si="21"/>
        <v>1</v>
      </c>
      <c r="G161" s="1" t="str">
        <f t="shared" si="18"/>
        <v>神圣</v>
      </c>
      <c r="H161" s="1">
        <v>3</v>
      </c>
      <c r="I161" s="1" t="str">
        <f t="shared" si="22"/>
        <v>,50043,50053,50022</v>
      </c>
      <c r="J161" s="1" t="str">
        <f t="shared" si="23"/>
        <v>50043</v>
      </c>
      <c r="K161" s="1">
        <v>4</v>
      </c>
      <c r="L161" s="1" t="str">
        <f t="shared" si="24"/>
        <v>50053</v>
      </c>
      <c r="M161" s="1">
        <v>2</v>
      </c>
      <c r="N161" s="1" t="str">
        <f t="shared" si="25"/>
        <v>50022</v>
      </c>
      <c r="P161" s="1" t="str">
        <f t="shared" si="26"/>
        <v/>
      </c>
      <c r="R161" s="1">
        <f>VLOOKUP(--J161,test3,11,FALSE)*K161+VLOOKUP(--L161,test3,11,FALSE)*M161+IF(N161="",0,VLOOKUP(--N161,test3,11,FALSE)*O161)+IF(P161="",0,VLOOKUP(--P161,test3,11,FALSE)*Q161)</f>
        <v>66</v>
      </c>
    </row>
    <row r="162" spans="2:18" x14ac:dyDescent="0.15">
      <c r="B162" s="1">
        <f>[1]item!$D161</f>
        <v>100160</v>
      </c>
      <c r="C162" s="1">
        <f>[1]item!$C161</f>
        <v>102070300</v>
      </c>
      <c r="D162" s="1">
        <f t="shared" si="19"/>
        <v>7</v>
      </c>
      <c r="E162" s="1">
        <f t="shared" si="20"/>
        <v>2</v>
      </c>
      <c r="F162" s="1">
        <f t="shared" si="21"/>
        <v>1</v>
      </c>
      <c r="G162" s="1" t="str">
        <f t="shared" si="18"/>
        <v>神圣</v>
      </c>
      <c r="H162" s="1">
        <v>3</v>
      </c>
      <c r="I162" s="1" t="str">
        <f t="shared" si="22"/>
        <v>,50028,50096,50148</v>
      </c>
      <c r="J162" s="1" t="str">
        <f t="shared" si="23"/>
        <v>50028</v>
      </c>
      <c r="K162" s="1">
        <v>4</v>
      </c>
      <c r="L162" s="1" t="str">
        <f t="shared" si="24"/>
        <v>50096</v>
      </c>
      <c r="M162" s="1">
        <v>2</v>
      </c>
      <c r="N162" s="1" t="str">
        <f t="shared" si="25"/>
        <v>50148</v>
      </c>
      <c r="P162" s="1" t="str">
        <f t="shared" si="26"/>
        <v/>
      </c>
      <c r="R162" s="1">
        <f>VLOOKUP(--J162,test3,11,FALSE)*K162+VLOOKUP(--L162,test3,11,FALSE)*M162+IF(N162="",0,VLOOKUP(--N162,test3,11,FALSE)*O162)+IF(P162="",0,VLOOKUP(--P162,test3,11,FALSE)*Q162)</f>
        <v>66</v>
      </c>
    </row>
    <row r="163" spans="2:18" x14ac:dyDescent="0.15">
      <c r="B163" s="1">
        <f>[1]item!$D162</f>
        <v>100161</v>
      </c>
      <c r="C163" s="1">
        <f>[1]item!$C162</f>
        <v>102080300</v>
      </c>
      <c r="D163" s="1">
        <f t="shared" si="19"/>
        <v>8</v>
      </c>
      <c r="E163" s="1">
        <f t="shared" si="20"/>
        <v>2</v>
      </c>
      <c r="F163" s="1">
        <f t="shared" si="21"/>
        <v>1</v>
      </c>
      <c r="G163" s="1" t="str">
        <f t="shared" si="18"/>
        <v>神圣</v>
      </c>
      <c r="H163" s="1">
        <v>3</v>
      </c>
      <c r="I163" s="1" t="str">
        <f t="shared" si="22"/>
        <v>,50029,50152,50149</v>
      </c>
      <c r="J163" s="1" t="str">
        <f t="shared" si="23"/>
        <v>50029</v>
      </c>
      <c r="K163" s="1">
        <v>4</v>
      </c>
      <c r="L163" s="1" t="str">
        <f t="shared" si="24"/>
        <v>50152</v>
      </c>
      <c r="M163" s="1">
        <v>2</v>
      </c>
      <c r="N163" s="1" t="str">
        <f t="shared" si="25"/>
        <v>50149</v>
      </c>
      <c r="P163" s="1" t="str">
        <f t="shared" si="26"/>
        <v/>
      </c>
      <c r="R163" s="1">
        <f>VLOOKUP(--J163,test3,11,FALSE)*K163+VLOOKUP(--L163,test3,11,FALSE)*M163+IF(N163="",0,VLOOKUP(--N163,test3,11,FALSE)*O163)+IF(P163="",0,VLOOKUP(--P163,test3,11,FALSE)*Q163)</f>
        <v>66</v>
      </c>
    </row>
    <row r="164" spans="2:18" x14ac:dyDescent="0.15">
      <c r="B164" s="1">
        <f>[1]item!$D163</f>
        <v>100162</v>
      </c>
      <c r="C164" s="1">
        <f>[1]item!$C163</f>
        <v>102090300</v>
      </c>
      <c r="D164" s="1">
        <f t="shared" si="19"/>
        <v>9</v>
      </c>
      <c r="E164" s="1">
        <f t="shared" si="20"/>
        <v>2</v>
      </c>
      <c r="F164" s="1">
        <f t="shared" si="21"/>
        <v>1</v>
      </c>
      <c r="G164" s="1" t="str">
        <f t="shared" si="18"/>
        <v>神圣</v>
      </c>
      <c r="H164" s="1">
        <v>3</v>
      </c>
      <c r="I164" s="1" t="str">
        <f t="shared" si="22"/>
        <v>,50032,50121,50007</v>
      </c>
      <c r="J164" s="1" t="str">
        <f t="shared" si="23"/>
        <v>50032</v>
      </c>
      <c r="K164" s="1">
        <v>4</v>
      </c>
      <c r="L164" s="1" t="str">
        <f t="shared" si="24"/>
        <v>50121</v>
      </c>
      <c r="M164" s="1">
        <v>2</v>
      </c>
      <c r="N164" s="1" t="str">
        <f t="shared" si="25"/>
        <v>50007</v>
      </c>
      <c r="P164" s="1" t="str">
        <f t="shared" si="26"/>
        <v/>
      </c>
      <c r="R164" s="1">
        <f>VLOOKUP(--J164,test3,11,FALSE)*K164+VLOOKUP(--L164,test3,11,FALSE)*M164+IF(N164="",0,VLOOKUP(--N164,test3,11,FALSE)*O164)+IF(P164="",0,VLOOKUP(--P164,test3,11,FALSE)*Q164)</f>
        <v>81</v>
      </c>
    </row>
    <row r="165" spans="2:18" x14ac:dyDescent="0.15">
      <c r="B165" s="1">
        <f>[1]item!$D164</f>
        <v>100163</v>
      </c>
      <c r="C165" s="1">
        <f>[1]item!$C164</f>
        <v>102010400</v>
      </c>
      <c r="D165" s="1">
        <f t="shared" si="19"/>
        <v>1</v>
      </c>
      <c r="E165" s="1">
        <f t="shared" si="20"/>
        <v>2</v>
      </c>
      <c r="F165" s="1">
        <f t="shared" si="21"/>
        <v>1</v>
      </c>
      <c r="G165" s="1" t="str">
        <f t="shared" si="18"/>
        <v>电击</v>
      </c>
      <c r="H165" s="1">
        <v>3</v>
      </c>
      <c r="I165" s="1" t="str">
        <f t="shared" si="22"/>
        <v>,50110,50088,50155</v>
      </c>
      <c r="J165" s="1" t="str">
        <f t="shared" si="23"/>
        <v>50110</v>
      </c>
      <c r="K165" s="1">
        <v>4</v>
      </c>
      <c r="L165" s="1" t="str">
        <f t="shared" si="24"/>
        <v>50088</v>
      </c>
      <c r="M165" s="1">
        <v>2</v>
      </c>
      <c r="N165" s="1" t="str">
        <f t="shared" si="25"/>
        <v>50155</v>
      </c>
      <c r="P165" s="1" t="str">
        <f t="shared" si="26"/>
        <v/>
      </c>
      <c r="R165" s="1">
        <f>VLOOKUP(--J165,test3,11,FALSE)*K165+VLOOKUP(--L165,test3,11,FALSE)*M165+IF(N165="",0,VLOOKUP(--N165,test3,11,FALSE)*O165)+IF(P165="",0,VLOOKUP(--P165,test3,11,FALSE)*Q165)</f>
        <v>66</v>
      </c>
    </row>
    <row r="166" spans="2:18" x14ac:dyDescent="0.15">
      <c r="B166" s="1">
        <f>[1]item!$D165</f>
        <v>100164</v>
      </c>
      <c r="C166" s="1">
        <f>[1]item!$C165</f>
        <v>102020400</v>
      </c>
      <c r="D166" s="1">
        <f t="shared" si="19"/>
        <v>2</v>
      </c>
      <c r="E166" s="1">
        <f t="shared" si="20"/>
        <v>2</v>
      </c>
      <c r="F166" s="1">
        <f t="shared" si="21"/>
        <v>1</v>
      </c>
      <c r="G166" s="1" t="str">
        <f t="shared" si="18"/>
        <v>电击</v>
      </c>
      <c r="H166" s="1">
        <v>3</v>
      </c>
      <c r="I166" s="1" t="str">
        <f t="shared" si="22"/>
        <v>,50141,50090,50128</v>
      </c>
      <c r="J166" s="1" t="str">
        <f t="shared" si="23"/>
        <v>50141</v>
      </c>
      <c r="K166" s="1">
        <v>4</v>
      </c>
      <c r="L166" s="1" t="str">
        <f t="shared" si="24"/>
        <v>50090</v>
      </c>
      <c r="M166" s="1">
        <v>2</v>
      </c>
      <c r="N166" s="1" t="str">
        <f t="shared" si="25"/>
        <v>50128</v>
      </c>
      <c r="P166" s="1" t="str">
        <f t="shared" si="26"/>
        <v/>
      </c>
      <c r="R166" s="1">
        <f>VLOOKUP(--J166,test3,11,FALSE)*K166+VLOOKUP(--L166,test3,11,FALSE)*M166+IF(N166="",0,VLOOKUP(--N166,test3,11,FALSE)*O166)+IF(P166="",0,VLOOKUP(--P166,test3,11,FALSE)*Q166)</f>
        <v>66</v>
      </c>
    </row>
    <row r="167" spans="2:18" x14ac:dyDescent="0.15">
      <c r="B167" s="1">
        <f>[1]item!$D166</f>
        <v>100165</v>
      </c>
      <c r="C167" s="1">
        <f>[1]item!$C166</f>
        <v>102030400</v>
      </c>
      <c r="D167" s="1">
        <f t="shared" si="19"/>
        <v>3</v>
      </c>
      <c r="E167" s="1">
        <f t="shared" si="20"/>
        <v>2</v>
      </c>
      <c r="F167" s="1">
        <f t="shared" si="21"/>
        <v>1</v>
      </c>
      <c r="G167" s="1" t="str">
        <f t="shared" si="18"/>
        <v>电击</v>
      </c>
      <c r="H167" s="1">
        <v>3</v>
      </c>
      <c r="I167" s="1" t="str">
        <f t="shared" si="22"/>
        <v>,50115,50117,50111</v>
      </c>
      <c r="J167" s="1" t="str">
        <f t="shared" si="23"/>
        <v>50115</v>
      </c>
      <c r="K167" s="1">
        <v>4</v>
      </c>
      <c r="L167" s="1" t="str">
        <f t="shared" si="24"/>
        <v>50117</v>
      </c>
      <c r="M167" s="1">
        <v>2</v>
      </c>
      <c r="N167" s="1" t="str">
        <f t="shared" si="25"/>
        <v>50111</v>
      </c>
      <c r="P167" s="1" t="str">
        <f t="shared" si="26"/>
        <v/>
      </c>
      <c r="R167" s="1">
        <f>VLOOKUP(--J167,test3,11,FALSE)*K167+VLOOKUP(--L167,test3,11,FALSE)*M167+IF(N167="",0,VLOOKUP(--N167,test3,11,FALSE)*O167)+IF(P167="",0,VLOOKUP(--P167,test3,11,FALSE)*Q167)</f>
        <v>81</v>
      </c>
    </row>
    <row r="168" spans="2:18" x14ac:dyDescent="0.15">
      <c r="B168" s="1">
        <f>[1]item!$D167</f>
        <v>100166</v>
      </c>
      <c r="C168" s="1">
        <f>[1]item!$C167</f>
        <v>102040400</v>
      </c>
      <c r="D168" s="1">
        <f t="shared" si="19"/>
        <v>4</v>
      </c>
      <c r="E168" s="1">
        <f t="shared" si="20"/>
        <v>2</v>
      </c>
      <c r="F168" s="1">
        <f t="shared" si="21"/>
        <v>1</v>
      </c>
      <c r="G168" s="1" t="str">
        <f t="shared" si="18"/>
        <v>电击</v>
      </c>
      <c r="H168" s="1">
        <v>3</v>
      </c>
      <c r="I168" s="1" t="str">
        <f t="shared" si="22"/>
        <v>,50114,50143,50018</v>
      </c>
      <c r="J168" s="1" t="str">
        <f t="shared" si="23"/>
        <v>50114</v>
      </c>
      <c r="K168" s="1">
        <v>4</v>
      </c>
      <c r="L168" s="1" t="str">
        <f t="shared" si="24"/>
        <v>50143</v>
      </c>
      <c r="M168" s="1">
        <v>2</v>
      </c>
      <c r="N168" s="1" t="str">
        <f t="shared" si="25"/>
        <v>50018</v>
      </c>
      <c r="P168" s="1" t="str">
        <f t="shared" si="26"/>
        <v/>
      </c>
      <c r="R168" s="1">
        <f>VLOOKUP(--J168,test3,11,FALSE)*K168+VLOOKUP(--L168,test3,11,FALSE)*M168+IF(N168="",0,VLOOKUP(--N168,test3,11,FALSE)*O168)+IF(P168="",0,VLOOKUP(--P168,test3,11,FALSE)*Q168)</f>
        <v>81</v>
      </c>
    </row>
    <row r="169" spans="2:18" x14ac:dyDescent="0.15">
      <c r="B169" s="1">
        <f>[1]item!$D168</f>
        <v>100167</v>
      </c>
      <c r="C169" s="1">
        <f>[1]item!$C168</f>
        <v>102050400</v>
      </c>
      <c r="D169" s="1">
        <f t="shared" si="19"/>
        <v>5</v>
      </c>
      <c r="E169" s="1">
        <f t="shared" si="20"/>
        <v>2</v>
      </c>
      <c r="F169" s="1">
        <f t="shared" si="21"/>
        <v>1</v>
      </c>
      <c r="G169" s="1" t="str">
        <f t="shared" si="18"/>
        <v>电击</v>
      </c>
      <c r="H169" s="1">
        <v>3</v>
      </c>
      <c r="I169" s="1" t="str">
        <f t="shared" si="22"/>
        <v>,50087,50094,50137</v>
      </c>
      <c r="J169" s="1" t="str">
        <f t="shared" si="23"/>
        <v>50087</v>
      </c>
      <c r="K169" s="1">
        <v>4</v>
      </c>
      <c r="L169" s="1" t="str">
        <f t="shared" si="24"/>
        <v>50094</v>
      </c>
      <c r="M169" s="1">
        <v>2</v>
      </c>
      <c r="N169" s="1" t="str">
        <f t="shared" si="25"/>
        <v>50137</v>
      </c>
      <c r="P169" s="1" t="str">
        <f t="shared" si="26"/>
        <v/>
      </c>
      <c r="R169" s="1">
        <f>VLOOKUP(--J169,test3,11,FALSE)*K169+VLOOKUP(--L169,test3,11,FALSE)*M169+IF(N169="",0,VLOOKUP(--N169,test3,11,FALSE)*O169)+IF(P169="",0,VLOOKUP(--P169,test3,11,FALSE)*Q169)</f>
        <v>36</v>
      </c>
    </row>
    <row r="170" spans="2:18" x14ac:dyDescent="0.15">
      <c r="B170" s="1">
        <f>[1]item!$D169</f>
        <v>100168</v>
      </c>
      <c r="C170" s="1">
        <f>[1]item!$C169</f>
        <v>102060400</v>
      </c>
      <c r="D170" s="1">
        <f t="shared" si="19"/>
        <v>6</v>
      </c>
      <c r="E170" s="1">
        <f t="shared" si="20"/>
        <v>2</v>
      </c>
      <c r="F170" s="1">
        <f t="shared" si="21"/>
        <v>1</v>
      </c>
      <c r="G170" s="1" t="str">
        <f t="shared" si="18"/>
        <v>电击</v>
      </c>
      <c r="H170" s="1">
        <v>3</v>
      </c>
      <c r="I170" s="1" t="str">
        <f t="shared" si="22"/>
        <v>,50030,50090,50103</v>
      </c>
      <c r="J170" s="1" t="str">
        <f t="shared" si="23"/>
        <v>50030</v>
      </c>
      <c r="K170" s="1">
        <v>4</v>
      </c>
      <c r="L170" s="1" t="str">
        <f t="shared" si="24"/>
        <v>50090</v>
      </c>
      <c r="M170" s="1">
        <v>2</v>
      </c>
      <c r="N170" s="1" t="str">
        <f t="shared" si="25"/>
        <v>50103</v>
      </c>
      <c r="P170" s="1" t="str">
        <f t="shared" si="26"/>
        <v/>
      </c>
      <c r="R170" s="1">
        <f>VLOOKUP(--J170,test3,11,FALSE)*K170+VLOOKUP(--L170,test3,11,FALSE)*M170+IF(N170="",0,VLOOKUP(--N170,test3,11,FALSE)*O170)+IF(P170="",0,VLOOKUP(--P170,test3,11,FALSE)*Q170)</f>
        <v>66</v>
      </c>
    </row>
    <row r="171" spans="2:18" x14ac:dyDescent="0.15">
      <c r="B171" s="1">
        <f>[1]item!$D170</f>
        <v>100169</v>
      </c>
      <c r="C171" s="1">
        <f>[1]item!$C170</f>
        <v>102070400</v>
      </c>
      <c r="D171" s="1">
        <f t="shared" si="19"/>
        <v>7</v>
      </c>
      <c r="E171" s="1">
        <f t="shared" si="20"/>
        <v>2</v>
      </c>
      <c r="F171" s="1">
        <f t="shared" si="21"/>
        <v>1</v>
      </c>
      <c r="G171" s="1" t="str">
        <f t="shared" si="18"/>
        <v>电击</v>
      </c>
      <c r="H171" s="1">
        <v>3</v>
      </c>
      <c r="I171" s="1" t="str">
        <f t="shared" si="22"/>
        <v>,50091,50096,50027</v>
      </c>
      <c r="J171" s="1" t="str">
        <f t="shared" si="23"/>
        <v>50091</v>
      </c>
      <c r="K171" s="1">
        <v>4</v>
      </c>
      <c r="L171" s="1" t="str">
        <f t="shared" si="24"/>
        <v>50096</v>
      </c>
      <c r="M171" s="1">
        <v>2</v>
      </c>
      <c r="N171" s="1" t="str">
        <f t="shared" si="25"/>
        <v>50027</v>
      </c>
      <c r="P171" s="1" t="str">
        <f t="shared" si="26"/>
        <v/>
      </c>
      <c r="R171" s="1">
        <f>VLOOKUP(--J171,test3,11,FALSE)*K171+VLOOKUP(--L171,test3,11,FALSE)*M171+IF(N171="",0,VLOOKUP(--N171,test3,11,FALSE)*O171)+IF(P171="",0,VLOOKUP(--P171,test3,11,FALSE)*Q171)</f>
        <v>36</v>
      </c>
    </row>
    <row r="172" spans="2:18" x14ac:dyDescent="0.15">
      <c r="B172" s="1">
        <f>[1]item!$D171</f>
        <v>100170</v>
      </c>
      <c r="C172" s="1">
        <f>[1]item!$C171</f>
        <v>102080400</v>
      </c>
      <c r="D172" s="1">
        <f t="shared" si="19"/>
        <v>8</v>
      </c>
      <c r="E172" s="1">
        <f t="shared" si="20"/>
        <v>2</v>
      </c>
      <c r="F172" s="1">
        <f t="shared" si="21"/>
        <v>1</v>
      </c>
      <c r="G172" s="1" t="str">
        <f t="shared" si="18"/>
        <v>电击</v>
      </c>
      <c r="H172" s="1">
        <v>3</v>
      </c>
      <c r="I172" s="1" t="str">
        <f t="shared" si="22"/>
        <v>,50026,50102,50016</v>
      </c>
      <c r="J172" s="1" t="str">
        <f t="shared" si="23"/>
        <v>50026</v>
      </c>
      <c r="K172" s="1">
        <v>4</v>
      </c>
      <c r="L172" s="1" t="str">
        <f t="shared" si="24"/>
        <v>50102</v>
      </c>
      <c r="M172" s="1">
        <v>2</v>
      </c>
      <c r="N172" s="1" t="str">
        <f t="shared" si="25"/>
        <v>50016</v>
      </c>
      <c r="P172" s="1" t="str">
        <f t="shared" si="26"/>
        <v/>
      </c>
      <c r="R172" s="1">
        <f>VLOOKUP(--J172,test3,11,FALSE)*K172+VLOOKUP(--L172,test3,11,FALSE)*M172+IF(N172="",0,VLOOKUP(--N172,test3,11,FALSE)*O172)+IF(P172="",0,VLOOKUP(--P172,test3,11,FALSE)*Q172)</f>
        <v>81</v>
      </c>
    </row>
    <row r="173" spans="2:18" x14ac:dyDescent="0.15">
      <c r="B173" s="1">
        <f>[1]item!$D172</f>
        <v>100171</v>
      </c>
      <c r="C173" s="1">
        <f>[1]item!$C172</f>
        <v>102090400</v>
      </c>
      <c r="D173" s="1">
        <f t="shared" si="19"/>
        <v>9</v>
      </c>
      <c r="E173" s="1">
        <f t="shared" si="20"/>
        <v>2</v>
      </c>
      <c r="F173" s="1">
        <f t="shared" si="21"/>
        <v>1</v>
      </c>
      <c r="G173" s="1" t="str">
        <f t="shared" si="18"/>
        <v>电击</v>
      </c>
      <c r="H173" s="1">
        <v>3</v>
      </c>
      <c r="I173" s="1" t="str">
        <f t="shared" si="22"/>
        <v>,50171,50103,50027</v>
      </c>
      <c r="J173" s="1" t="str">
        <f t="shared" si="23"/>
        <v>50171</v>
      </c>
      <c r="K173" s="1">
        <v>4</v>
      </c>
      <c r="L173" s="1" t="str">
        <f t="shared" si="24"/>
        <v>50103</v>
      </c>
      <c r="M173" s="1">
        <v>2</v>
      </c>
      <c r="N173" s="1" t="str">
        <f t="shared" si="25"/>
        <v>50027</v>
      </c>
      <c r="P173" s="1" t="str">
        <f t="shared" si="26"/>
        <v/>
      </c>
      <c r="R173" s="1">
        <f>VLOOKUP(--J173,test3,11,FALSE)*K173+VLOOKUP(--L173,test3,11,FALSE)*M173+IF(N173="",0,VLOOKUP(--N173,test3,11,FALSE)*O173)+IF(P173="",0,VLOOKUP(--P173,test3,11,FALSE)*Q173)</f>
        <v>81</v>
      </c>
    </row>
    <row r="174" spans="2:18" x14ac:dyDescent="0.15">
      <c r="B174" s="1">
        <f>[1]item!$D173</f>
        <v>100172</v>
      </c>
      <c r="C174" s="1">
        <f>[1]item!$C173</f>
        <v>102010500</v>
      </c>
      <c r="D174" s="1">
        <f t="shared" si="19"/>
        <v>1</v>
      </c>
      <c r="E174" s="1">
        <f t="shared" si="20"/>
        <v>2</v>
      </c>
      <c r="F174" s="1">
        <f t="shared" si="21"/>
        <v>1</v>
      </c>
      <c r="G174" s="1" t="str">
        <f t="shared" si="18"/>
        <v>黑暗</v>
      </c>
      <c r="H174" s="1">
        <v>3</v>
      </c>
      <c r="I174" s="1" t="str">
        <f t="shared" si="22"/>
        <v>,50010,50006,50053</v>
      </c>
      <c r="J174" s="1" t="str">
        <f t="shared" si="23"/>
        <v>50010</v>
      </c>
      <c r="K174" s="1">
        <v>4</v>
      </c>
      <c r="L174" s="1" t="str">
        <f t="shared" si="24"/>
        <v>50006</v>
      </c>
      <c r="M174" s="1">
        <v>2</v>
      </c>
      <c r="N174" s="1" t="str">
        <f t="shared" si="25"/>
        <v>50053</v>
      </c>
      <c r="P174" s="1" t="str">
        <f t="shared" si="26"/>
        <v/>
      </c>
      <c r="R174" s="1">
        <f>VLOOKUP(--J174,test3,11,FALSE)*K174+VLOOKUP(--L174,test3,11,FALSE)*M174+IF(N174="",0,VLOOKUP(--N174,test3,11,FALSE)*O174)+IF(P174="",0,VLOOKUP(--P174,test3,11,FALSE)*Q174)</f>
        <v>36</v>
      </c>
    </row>
    <row r="175" spans="2:18" x14ac:dyDescent="0.15">
      <c r="B175" s="1">
        <f>[1]item!$D174</f>
        <v>100173</v>
      </c>
      <c r="C175" s="1">
        <f>[1]item!$C174</f>
        <v>102020500</v>
      </c>
      <c r="D175" s="1">
        <f t="shared" si="19"/>
        <v>2</v>
      </c>
      <c r="E175" s="1">
        <f t="shared" si="20"/>
        <v>2</v>
      </c>
      <c r="F175" s="1">
        <f t="shared" si="21"/>
        <v>1</v>
      </c>
      <c r="G175" s="1" t="str">
        <f t="shared" si="18"/>
        <v>黑暗</v>
      </c>
      <c r="H175" s="1">
        <v>3</v>
      </c>
      <c r="I175" s="1" t="str">
        <f t="shared" si="22"/>
        <v>,50014,50065,50176</v>
      </c>
      <c r="J175" s="1" t="str">
        <f t="shared" si="23"/>
        <v>50014</v>
      </c>
      <c r="K175" s="1">
        <v>4</v>
      </c>
      <c r="L175" s="1" t="str">
        <f t="shared" si="24"/>
        <v>50065</v>
      </c>
      <c r="M175" s="1">
        <v>2</v>
      </c>
      <c r="N175" s="1" t="str">
        <f t="shared" si="25"/>
        <v>50176</v>
      </c>
      <c r="P175" s="1" t="str">
        <f t="shared" si="26"/>
        <v/>
      </c>
      <c r="R175" s="1">
        <f>VLOOKUP(--J175,test3,11,FALSE)*K175+VLOOKUP(--L175,test3,11,FALSE)*M175+IF(N175="",0,VLOOKUP(--N175,test3,11,FALSE)*O175)+IF(P175="",0,VLOOKUP(--P175,test3,11,FALSE)*Q175)</f>
        <v>66</v>
      </c>
    </row>
    <row r="176" spans="2:18" x14ac:dyDescent="0.15">
      <c r="B176" s="1">
        <f>[1]item!$D175</f>
        <v>100174</v>
      </c>
      <c r="C176" s="1">
        <f>[1]item!$C175</f>
        <v>102030500</v>
      </c>
      <c r="D176" s="1">
        <f t="shared" si="19"/>
        <v>3</v>
      </c>
      <c r="E176" s="1">
        <f t="shared" si="20"/>
        <v>2</v>
      </c>
      <c r="F176" s="1">
        <f t="shared" si="21"/>
        <v>1</v>
      </c>
      <c r="G176" s="1" t="str">
        <f t="shared" si="18"/>
        <v>黑暗</v>
      </c>
      <c r="H176" s="1">
        <v>3</v>
      </c>
      <c r="I176" s="1" t="str">
        <f t="shared" si="22"/>
        <v>,50019,50010,50006</v>
      </c>
      <c r="J176" s="1" t="str">
        <f t="shared" si="23"/>
        <v>50019</v>
      </c>
      <c r="K176" s="1">
        <v>4</v>
      </c>
      <c r="L176" s="1" t="str">
        <f t="shared" si="24"/>
        <v>50010</v>
      </c>
      <c r="M176" s="1">
        <v>2</v>
      </c>
      <c r="N176" s="1" t="str">
        <f t="shared" si="25"/>
        <v>50006</v>
      </c>
      <c r="P176" s="1" t="str">
        <f t="shared" si="26"/>
        <v/>
      </c>
      <c r="R176" s="1">
        <f>VLOOKUP(--J176,test3,11,FALSE)*K176+VLOOKUP(--L176,test3,11,FALSE)*M176+IF(N176="",0,VLOOKUP(--N176,test3,11,FALSE)*O176)+IF(P176="",0,VLOOKUP(--P176,test3,11,FALSE)*Q176)</f>
        <v>66</v>
      </c>
    </row>
    <row r="177" spans="2:18" x14ac:dyDescent="0.15">
      <c r="B177" s="1">
        <f>[1]item!$D176</f>
        <v>100175</v>
      </c>
      <c r="C177" s="1">
        <f>[1]item!$C176</f>
        <v>102040500</v>
      </c>
      <c r="D177" s="1">
        <f t="shared" si="19"/>
        <v>4</v>
      </c>
      <c r="E177" s="1">
        <f t="shared" si="20"/>
        <v>2</v>
      </c>
      <c r="F177" s="1">
        <f t="shared" si="21"/>
        <v>1</v>
      </c>
      <c r="G177" s="1" t="str">
        <f t="shared" si="18"/>
        <v>黑暗</v>
      </c>
      <c r="H177" s="1">
        <v>3</v>
      </c>
      <c r="I177" s="1" t="str">
        <f t="shared" si="22"/>
        <v>,50053,50110,50088</v>
      </c>
      <c r="J177" s="1" t="str">
        <f t="shared" si="23"/>
        <v>50053</v>
      </c>
      <c r="K177" s="1">
        <v>4</v>
      </c>
      <c r="L177" s="1" t="str">
        <f t="shared" si="24"/>
        <v>50110</v>
      </c>
      <c r="M177" s="1">
        <v>2</v>
      </c>
      <c r="N177" s="1" t="str">
        <f t="shared" si="25"/>
        <v>50088</v>
      </c>
      <c r="P177" s="1" t="str">
        <f t="shared" si="26"/>
        <v/>
      </c>
      <c r="R177" s="1">
        <f>VLOOKUP(--J177,test3,11,FALSE)*K177+VLOOKUP(--L177,test3,11,FALSE)*M177+IF(N177="",0,VLOOKUP(--N177,test3,11,FALSE)*O177)+IF(P177="",0,VLOOKUP(--P177,test3,11,FALSE)*Q177)</f>
        <v>51</v>
      </c>
    </row>
    <row r="178" spans="2:18" x14ac:dyDescent="0.15">
      <c r="B178" s="1">
        <f>[1]item!$D177</f>
        <v>100176</v>
      </c>
      <c r="C178" s="1">
        <f>[1]item!$C177</f>
        <v>102050500</v>
      </c>
      <c r="D178" s="1">
        <f t="shared" si="19"/>
        <v>5</v>
      </c>
      <c r="E178" s="1">
        <f t="shared" si="20"/>
        <v>2</v>
      </c>
      <c r="F178" s="1">
        <f t="shared" si="21"/>
        <v>1</v>
      </c>
      <c r="G178" s="1" t="str">
        <f t="shared" si="18"/>
        <v>黑暗</v>
      </c>
      <c r="H178" s="1">
        <v>3</v>
      </c>
      <c r="I178" s="1" t="str">
        <f t="shared" si="22"/>
        <v>,50171,50103,50027</v>
      </c>
      <c r="J178" s="1" t="str">
        <f t="shared" si="23"/>
        <v>50171</v>
      </c>
      <c r="K178" s="1">
        <v>4</v>
      </c>
      <c r="L178" s="1" t="str">
        <f t="shared" si="24"/>
        <v>50103</v>
      </c>
      <c r="M178" s="1">
        <v>2</v>
      </c>
      <c r="N178" s="1" t="str">
        <f t="shared" si="25"/>
        <v>50027</v>
      </c>
      <c r="P178" s="1" t="str">
        <f t="shared" si="26"/>
        <v/>
      </c>
      <c r="R178" s="1">
        <f>VLOOKUP(--J178,test3,11,FALSE)*K178+VLOOKUP(--L178,test3,11,FALSE)*M178+IF(N178="",0,VLOOKUP(--N178,test3,11,FALSE)*O178)+IF(P178="",0,VLOOKUP(--P178,test3,11,FALSE)*Q178)</f>
        <v>81</v>
      </c>
    </row>
    <row r="179" spans="2:18" x14ac:dyDescent="0.15">
      <c r="B179" s="1">
        <f>[1]item!$D178</f>
        <v>100177</v>
      </c>
      <c r="C179" s="1">
        <f>[1]item!$C178</f>
        <v>102060500</v>
      </c>
      <c r="D179" s="1">
        <f t="shared" si="19"/>
        <v>6</v>
      </c>
      <c r="E179" s="1">
        <f t="shared" si="20"/>
        <v>2</v>
      </c>
      <c r="F179" s="1">
        <f t="shared" si="21"/>
        <v>1</v>
      </c>
      <c r="G179" s="1" t="str">
        <f t="shared" si="18"/>
        <v>黑暗</v>
      </c>
      <c r="H179" s="1">
        <v>3</v>
      </c>
      <c r="I179" s="1" t="str">
        <f t="shared" si="22"/>
        <v>,50169,50154,50006</v>
      </c>
      <c r="J179" s="1" t="str">
        <f t="shared" si="23"/>
        <v>50169</v>
      </c>
      <c r="K179" s="1">
        <v>4</v>
      </c>
      <c r="L179" s="1" t="str">
        <f t="shared" si="24"/>
        <v>50154</v>
      </c>
      <c r="M179" s="1">
        <v>2</v>
      </c>
      <c r="N179" s="1" t="str">
        <f t="shared" si="25"/>
        <v>50006</v>
      </c>
      <c r="P179" s="1" t="str">
        <f t="shared" si="26"/>
        <v/>
      </c>
      <c r="R179" s="1">
        <f>VLOOKUP(--J179,test3,11,FALSE)*K179+VLOOKUP(--L179,test3,11,FALSE)*M179+IF(N179="",0,VLOOKUP(--N179,test3,11,FALSE)*O179)+IF(P179="",0,VLOOKUP(--P179,test3,11,FALSE)*Q179)</f>
        <v>81</v>
      </c>
    </row>
    <row r="180" spans="2:18" x14ac:dyDescent="0.15">
      <c r="B180" s="1">
        <f>[1]item!$D179</f>
        <v>100178</v>
      </c>
      <c r="C180" s="1">
        <f>[1]item!$C179</f>
        <v>102070500</v>
      </c>
      <c r="D180" s="1">
        <f t="shared" si="19"/>
        <v>7</v>
      </c>
      <c r="E180" s="1">
        <f t="shared" si="20"/>
        <v>2</v>
      </c>
      <c r="F180" s="1">
        <f t="shared" si="21"/>
        <v>1</v>
      </c>
      <c r="G180" s="1" t="str">
        <f t="shared" si="18"/>
        <v>黑暗</v>
      </c>
      <c r="H180" s="1">
        <v>3</v>
      </c>
      <c r="I180" s="1" t="str">
        <f t="shared" si="22"/>
        <v>,50042,50023,50087</v>
      </c>
      <c r="J180" s="1" t="str">
        <f t="shared" si="23"/>
        <v>50042</v>
      </c>
      <c r="K180" s="1">
        <v>4</v>
      </c>
      <c r="L180" s="1" t="str">
        <f t="shared" si="24"/>
        <v>50023</v>
      </c>
      <c r="M180" s="1">
        <v>2</v>
      </c>
      <c r="N180" s="1" t="str">
        <f t="shared" si="25"/>
        <v>50087</v>
      </c>
      <c r="P180" s="1" t="str">
        <f t="shared" si="26"/>
        <v/>
      </c>
      <c r="R180" s="1">
        <f>VLOOKUP(--J180,test3,11,FALSE)*K180+VLOOKUP(--L180,test3,11,FALSE)*M180+IF(N180="",0,VLOOKUP(--N180,test3,11,FALSE)*O180)+IF(P180="",0,VLOOKUP(--P180,test3,11,FALSE)*Q180)</f>
        <v>51</v>
      </c>
    </row>
    <row r="181" spans="2:18" x14ac:dyDescent="0.15">
      <c r="B181" s="1">
        <f>[1]item!$D180</f>
        <v>100179</v>
      </c>
      <c r="C181" s="1">
        <f>[1]item!$C180</f>
        <v>102080500</v>
      </c>
      <c r="D181" s="1">
        <f t="shared" si="19"/>
        <v>8</v>
      </c>
      <c r="E181" s="1">
        <f t="shared" si="20"/>
        <v>2</v>
      </c>
      <c r="F181" s="1">
        <f t="shared" si="21"/>
        <v>1</v>
      </c>
      <c r="G181" s="1" t="str">
        <f t="shared" si="18"/>
        <v>黑暗</v>
      </c>
      <c r="H181" s="1">
        <v>3</v>
      </c>
      <c r="I181" s="1" t="str">
        <f t="shared" si="22"/>
        <v>,50144,50117,50016</v>
      </c>
      <c r="J181" s="1" t="str">
        <f t="shared" si="23"/>
        <v>50144</v>
      </c>
      <c r="K181" s="1">
        <v>4</v>
      </c>
      <c r="L181" s="1" t="str">
        <f t="shared" si="24"/>
        <v>50117</v>
      </c>
      <c r="M181" s="1">
        <v>2</v>
      </c>
      <c r="N181" s="1" t="str">
        <f t="shared" si="25"/>
        <v>50016</v>
      </c>
      <c r="P181" s="1" t="str">
        <f t="shared" si="26"/>
        <v/>
      </c>
      <c r="R181" s="1">
        <f>VLOOKUP(--J181,test3,11,FALSE)*K181+VLOOKUP(--L181,test3,11,FALSE)*M181+IF(N181="",0,VLOOKUP(--N181,test3,11,FALSE)*O181)+IF(P181="",0,VLOOKUP(--P181,test3,11,FALSE)*Q181)</f>
        <v>81</v>
      </c>
    </row>
    <row r="182" spans="2:18" x14ac:dyDescent="0.15">
      <c r="B182" s="1">
        <f>[1]item!$D181</f>
        <v>100180</v>
      </c>
      <c r="C182" s="1">
        <f>[1]item!$C181</f>
        <v>102090500</v>
      </c>
      <c r="D182" s="1">
        <f t="shared" si="19"/>
        <v>9</v>
      </c>
      <c r="E182" s="1">
        <f t="shared" si="20"/>
        <v>2</v>
      </c>
      <c r="F182" s="1">
        <f t="shared" si="21"/>
        <v>1</v>
      </c>
      <c r="G182" s="1" t="str">
        <f t="shared" si="18"/>
        <v>黑暗</v>
      </c>
      <c r="H182" s="1">
        <v>3</v>
      </c>
      <c r="I182" s="1" t="str">
        <f t="shared" si="22"/>
        <v>,50007,50156,50022</v>
      </c>
      <c r="J182" s="1" t="str">
        <f t="shared" si="23"/>
        <v>50007</v>
      </c>
      <c r="K182" s="1">
        <v>4</v>
      </c>
      <c r="L182" s="1" t="str">
        <f t="shared" si="24"/>
        <v>50156</v>
      </c>
      <c r="M182" s="1">
        <v>2</v>
      </c>
      <c r="N182" s="1" t="str">
        <f t="shared" si="25"/>
        <v>50022</v>
      </c>
      <c r="P182" s="1" t="str">
        <f t="shared" si="26"/>
        <v/>
      </c>
      <c r="R182" s="1">
        <f>VLOOKUP(--J182,test3,11,FALSE)*K182+VLOOKUP(--L182,test3,11,FALSE)*M182+IF(N182="",0,VLOOKUP(--N182,test3,11,FALSE)*O182)+IF(P182="",0,VLOOKUP(--P182,test3,11,FALSE)*Q182)</f>
        <v>81</v>
      </c>
    </row>
    <row r="183" spans="2:18" x14ac:dyDescent="0.15">
      <c r="B183" s="1">
        <f>[1]item!$D182</f>
        <v>100181</v>
      </c>
      <c r="C183" s="1">
        <f>[1]item!$C182</f>
        <v>102010600</v>
      </c>
      <c r="D183" s="1">
        <f t="shared" si="19"/>
        <v>1</v>
      </c>
      <c r="E183" s="1">
        <f t="shared" si="20"/>
        <v>2</v>
      </c>
      <c r="F183" s="1">
        <f t="shared" si="21"/>
        <v>1</v>
      </c>
      <c r="G183" s="1" t="str">
        <f t="shared" si="18"/>
        <v>电击</v>
      </c>
      <c r="H183" s="1">
        <v>3</v>
      </c>
      <c r="I183" s="1" t="str">
        <f t="shared" si="22"/>
        <v>,50011,50046,50098</v>
      </c>
      <c r="J183" s="1" t="str">
        <f t="shared" si="23"/>
        <v>50011</v>
      </c>
      <c r="K183" s="1">
        <v>4</v>
      </c>
      <c r="L183" s="1" t="str">
        <f t="shared" si="24"/>
        <v>50046</v>
      </c>
      <c r="M183" s="1">
        <v>2</v>
      </c>
      <c r="N183" s="1" t="str">
        <f t="shared" si="25"/>
        <v>50098</v>
      </c>
      <c r="P183" s="1" t="str">
        <f t="shared" si="26"/>
        <v/>
      </c>
      <c r="R183" s="1">
        <f>VLOOKUP(--J183,test3,11,FALSE)*K183+VLOOKUP(--L183,test3,11,FALSE)*M183+IF(N183="",0,VLOOKUP(--N183,test3,11,FALSE)*O183)+IF(P183="",0,VLOOKUP(--P183,test3,11,FALSE)*Q183)</f>
        <v>81</v>
      </c>
    </row>
    <row r="184" spans="2:18" x14ac:dyDescent="0.15">
      <c r="B184" s="1">
        <f>[1]item!$D183</f>
        <v>100182</v>
      </c>
      <c r="C184" s="1">
        <f>[1]item!$C183</f>
        <v>102020600</v>
      </c>
      <c r="D184" s="1">
        <f t="shared" si="19"/>
        <v>2</v>
      </c>
      <c r="E184" s="1">
        <f t="shared" si="20"/>
        <v>2</v>
      </c>
      <c r="F184" s="1">
        <f t="shared" si="21"/>
        <v>1</v>
      </c>
      <c r="G184" s="1" t="str">
        <f t="shared" si="18"/>
        <v>电击</v>
      </c>
      <c r="H184" s="1">
        <v>3</v>
      </c>
      <c r="I184" s="1" t="str">
        <f t="shared" si="22"/>
        <v>,50007,50156,50022</v>
      </c>
      <c r="J184" s="1" t="str">
        <f t="shared" si="23"/>
        <v>50007</v>
      </c>
      <c r="K184" s="1">
        <v>4</v>
      </c>
      <c r="L184" s="1" t="str">
        <f t="shared" si="24"/>
        <v>50156</v>
      </c>
      <c r="M184" s="1">
        <v>2</v>
      </c>
      <c r="N184" s="1" t="str">
        <f t="shared" si="25"/>
        <v>50022</v>
      </c>
      <c r="P184" s="1" t="str">
        <f t="shared" si="26"/>
        <v/>
      </c>
      <c r="R184" s="1">
        <f>VLOOKUP(--J184,test3,11,FALSE)*K184+VLOOKUP(--L184,test3,11,FALSE)*M184+IF(N184="",0,VLOOKUP(--N184,test3,11,FALSE)*O184)+IF(P184="",0,VLOOKUP(--P184,test3,11,FALSE)*Q184)</f>
        <v>81</v>
      </c>
    </row>
    <row r="185" spans="2:18" x14ac:dyDescent="0.15">
      <c r="B185" s="1">
        <f>[1]item!$D184</f>
        <v>100183</v>
      </c>
      <c r="C185" s="1">
        <f>[1]item!$C184</f>
        <v>102030600</v>
      </c>
      <c r="D185" s="1">
        <f t="shared" si="19"/>
        <v>3</v>
      </c>
      <c r="E185" s="1">
        <f t="shared" si="20"/>
        <v>2</v>
      </c>
      <c r="F185" s="1">
        <f t="shared" si="21"/>
        <v>1</v>
      </c>
      <c r="G185" s="1" t="str">
        <f t="shared" si="18"/>
        <v>电击</v>
      </c>
      <c r="H185" s="1">
        <v>3</v>
      </c>
      <c r="I185" s="1" t="str">
        <f t="shared" si="22"/>
        <v>,50095,50057,50147</v>
      </c>
      <c r="J185" s="1" t="str">
        <f t="shared" si="23"/>
        <v>50095</v>
      </c>
      <c r="K185" s="1">
        <v>4</v>
      </c>
      <c r="L185" s="1" t="str">
        <f t="shared" si="24"/>
        <v>50057</v>
      </c>
      <c r="M185" s="1">
        <v>2</v>
      </c>
      <c r="N185" s="1" t="str">
        <f t="shared" si="25"/>
        <v>50147</v>
      </c>
      <c r="P185" s="1" t="str">
        <f t="shared" si="26"/>
        <v/>
      </c>
      <c r="R185" s="1">
        <f>VLOOKUP(--J185,test3,11,FALSE)*K185+VLOOKUP(--L185,test3,11,FALSE)*M185+IF(N185="",0,VLOOKUP(--N185,test3,11,FALSE)*O185)+IF(P185="",0,VLOOKUP(--P185,test3,11,FALSE)*Q185)</f>
        <v>36</v>
      </c>
    </row>
    <row r="186" spans="2:18" x14ac:dyDescent="0.15">
      <c r="B186" s="1">
        <f>[1]item!$D185</f>
        <v>100184</v>
      </c>
      <c r="C186" s="1">
        <f>[1]item!$C185</f>
        <v>102040600</v>
      </c>
      <c r="D186" s="1">
        <f t="shared" si="19"/>
        <v>4</v>
      </c>
      <c r="E186" s="1">
        <f t="shared" si="20"/>
        <v>2</v>
      </c>
      <c r="F186" s="1">
        <f t="shared" si="21"/>
        <v>1</v>
      </c>
      <c r="G186" s="1" t="str">
        <f t="shared" si="18"/>
        <v>电击</v>
      </c>
      <c r="H186" s="1">
        <v>3</v>
      </c>
      <c r="I186" s="1" t="str">
        <f t="shared" si="22"/>
        <v>,50171,50103,50027</v>
      </c>
      <c r="J186" s="1" t="str">
        <f t="shared" si="23"/>
        <v>50171</v>
      </c>
      <c r="K186" s="1">
        <v>4</v>
      </c>
      <c r="L186" s="1" t="str">
        <f t="shared" si="24"/>
        <v>50103</v>
      </c>
      <c r="M186" s="1">
        <v>2</v>
      </c>
      <c r="N186" s="1" t="str">
        <f t="shared" si="25"/>
        <v>50027</v>
      </c>
      <c r="P186" s="1" t="str">
        <f t="shared" si="26"/>
        <v/>
      </c>
      <c r="R186" s="1">
        <f>VLOOKUP(--J186,test3,11,FALSE)*K186+VLOOKUP(--L186,test3,11,FALSE)*M186+IF(N186="",0,VLOOKUP(--N186,test3,11,FALSE)*O186)+IF(P186="",0,VLOOKUP(--P186,test3,11,FALSE)*Q186)</f>
        <v>81</v>
      </c>
    </row>
    <row r="187" spans="2:18" x14ac:dyDescent="0.15">
      <c r="B187" s="1">
        <f>[1]item!$D186</f>
        <v>100185</v>
      </c>
      <c r="C187" s="1">
        <f>[1]item!$C186</f>
        <v>102050600</v>
      </c>
      <c r="D187" s="1">
        <f t="shared" si="19"/>
        <v>5</v>
      </c>
      <c r="E187" s="1">
        <f t="shared" si="20"/>
        <v>2</v>
      </c>
      <c r="F187" s="1">
        <f t="shared" si="21"/>
        <v>1</v>
      </c>
      <c r="G187" s="1" t="str">
        <f t="shared" si="18"/>
        <v>电击</v>
      </c>
      <c r="H187" s="1">
        <v>3</v>
      </c>
      <c r="I187" s="1" t="str">
        <f t="shared" si="22"/>
        <v>,50101,50114,50124</v>
      </c>
      <c r="J187" s="1" t="str">
        <f t="shared" si="23"/>
        <v>50101</v>
      </c>
      <c r="K187" s="1">
        <v>4</v>
      </c>
      <c r="L187" s="1" t="str">
        <f t="shared" si="24"/>
        <v>50114</v>
      </c>
      <c r="M187" s="1">
        <v>2</v>
      </c>
      <c r="N187" s="1" t="str">
        <f t="shared" si="25"/>
        <v>50124</v>
      </c>
      <c r="P187" s="1" t="str">
        <f t="shared" si="26"/>
        <v/>
      </c>
      <c r="R187" s="1">
        <f>VLOOKUP(--J187,test3,11,FALSE)*K187+VLOOKUP(--L187,test3,11,FALSE)*M187+IF(N187="",0,VLOOKUP(--N187,test3,11,FALSE)*O187)+IF(P187="",0,VLOOKUP(--P187,test3,11,FALSE)*Q187)</f>
        <v>81</v>
      </c>
    </row>
    <row r="188" spans="2:18" x14ac:dyDescent="0.15">
      <c r="B188" s="1">
        <f>[1]item!$D187</f>
        <v>100186</v>
      </c>
      <c r="C188" s="1">
        <f>[1]item!$C187</f>
        <v>102060600</v>
      </c>
      <c r="D188" s="1">
        <f t="shared" si="19"/>
        <v>6</v>
      </c>
      <c r="E188" s="1">
        <f t="shared" si="20"/>
        <v>2</v>
      </c>
      <c r="F188" s="1">
        <f t="shared" si="21"/>
        <v>1</v>
      </c>
      <c r="G188" s="1" t="str">
        <f t="shared" si="18"/>
        <v>电击</v>
      </c>
      <c r="H188" s="1">
        <v>3</v>
      </c>
      <c r="I188" s="1" t="str">
        <f t="shared" si="22"/>
        <v>,50094,50023,50156</v>
      </c>
      <c r="J188" s="1" t="str">
        <f t="shared" si="23"/>
        <v>50094</v>
      </c>
      <c r="K188" s="1">
        <v>4</v>
      </c>
      <c r="L188" s="1" t="str">
        <f t="shared" si="24"/>
        <v>50023</v>
      </c>
      <c r="M188" s="1">
        <v>2</v>
      </c>
      <c r="N188" s="1" t="str">
        <f t="shared" si="25"/>
        <v>50156</v>
      </c>
      <c r="P188" s="1" t="str">
        <f t="shared" si="26"/>
        <v/>
      </c>
      <c r="R188" s="1">
        <f>VLOOKUP(--J188,test3,11,FALSE)*K188+VLOOKUP(--L188,test3,11,FALSE)*M188+IF(N188="",0,VLOOKUP(--N188,test3,11,FALSE)*O188)+IF(P188="",0,VLOOKUP(--P188,test3,11,FALSE)*Q188)</f>
        <v>51</v>
      </c>
    </row>
    <row r="189" spans="2:18" x14ac:dyDescent="0.15">
      <c r="B189" s="1">
        <f>[1]item!$D188</f>
        <v>100187</v>
      </c>
      <c r="C189" s="1">
        <f>[1]item!$C188</f>
        <v>102070600</v>
      </c>
      <c r="D189" s="1">
        <f t="shared" si="19"/>
        <v>7</v>
      </c>
      <c r="E189" s="1">
        <f t="shared" si="20"/>
        <v>2</v>
      </c>
      <c r="F189" s="1">
        <f t="shared" si="21"/>
        <v>1</v>
      </c>
      <c r="G189" s="1" t="str">
        <f t="shared" si="18"/>
        <v>电击</v>
      </c>
      <c r="H189" s="1">
        <v>3</v>
      </c>
      <c r="I189" s="1" t="str">
        <f t="shared" si="22"/>
        <v>,50135,50010,50054</v>
      </c>
      <c r="J189" s="1" t="str">
        <f t="shared" si="23"/>
        <v>50135</v>
      </c>
      <c r="K189" s="1">
        <v>4</v>
      </c>
      <c r="L189" s="1" t="str">
        <f t="shared" si="24"/>
        <v>50010</v>
      </c>
      <c r="M189" s="1">
        <v>2</v>
      </c>
      <c r="N189" s="1" t="str">
        <f t="shared" si="25"/>
        <v>50054</v>
      </c>
      <c r="P189" s="1" t="str">
        <f t="shared" si="26"/>
        <v/>
      </c>
      <c r="R189" s="1">
        <f>VLOOKUP(--J189,test3,11,FALSE)*K189+VLOOKUP(--L189,test3,11,FALSE)*M189+IF(N189="",0,VLOOKUP(--N189,test3,11,FALSE)*O189)+IF(P189="",0,VLOOKUP(--P189,test3,11,FALSE)*Q189)</f>
        <v>36</v>
      </c>
    </row>
    <row r="190" spans="2:18" x14ac:dyDescent="0.15">
      <c r="B190" s="1">
        <f>[1]item!$D189</f>
        <v>100188</v>
      </c>
      <c r="C190" s="1">
        <f>[1]item!$C189</f>
        <v>102080600</v>
      </c>
      <c r="D190" s="1">
        <f t="shared" si="19"/>
        <v>8</v>
      </c>
      <c r="E190" s="1">
        <f t="shared" si="20"/>
        <v>2</v>
      </c>
      <c r="F190" s="1">
        <f t="shared" si="21"/>
        <v>1</v>
      </c>
      <c r="G190" s="1" t="str">
        <f t="shared" si="18"/>
        <v>电击</v>
      </c>
      <c r="H190" s="1">
        <v>3</v>
      </c>
      <c r="I190" s="1" t="str">
        <f t="shared" si="22"/>
        <v>,50171,50103,50027</v>
      </c>
      <c r="J190" s="1" t="str">
        <f t="shared" si="23"/>
        <v>50171</v>
      </c>
      <c r="K190" s="1">
        <v>4</v>
      </c>
      <c r="L190" s="1" t="str">
        <f t="shared" si="24"/>
        <v>50103</v>
      </c>
      <c r="M190" s="1">
        <v>2</v>
      </c>
      <c r="N190" s="1" t="str">
        <f t="shared" si="25"/>
        <v>50027</v>
      </c>
      <c r="P190" s="1" t="str">
        <f t="shared" si="26"/>
        <v/>
      </c>
      <c r="R190" s="1">
        <f>VLOOKUP(--J190,test3,11,FALSE)*K190+VLOOKUP(--L190,test3,11,FALSE)*M190+IF(N190="",0,VLOOKUP(--N190,test3,11,FALSE)*O190)+IF(P190="",0,VLOOKUP(--P190,test3,11,FALSE)*Q190)</f>
        <v>81</v>
      </c>
    </row>
    <row r="191" spans="2:18" x14ac:dyDescent="0.15">
      <c r="B191" s="1">
        <f>[1]item!$D190</f>
        <v>100189</v>
      </c>
      <c r="C191" s="1">
        <f>[1]item!$C190</f>
        <v>102090600</v>
      </c>
      <c r="D191" s="1">
        <f t="shared" si="19"/>
        <v>9</v>
      </c>
      <c r="E191" s="1">
        <f t="shared" si="20"/>
        <v>2</v>
      </c>
      <c r="F191" s="1">
        <f t="shared" si="21"/>
        <v>1</v>
      </c>
      <c r="G191" s="1" t="str">
        <f t="shared" si="18"/>
        <v>电击</v>
      </c>
      <c r="H191" s="1">
        <v>3</v>
      </c>
      <c r="I191" s="1" t="str">
        <f t="shared" si="22"/>
        <v>,50070,50016,50172</v>
      </c>
      <c r="J191" s="1" t="str">
        <f t="shared" si="23"/>
        <v>50070</v>
      </c>
      <c r="K191" s="1">
        <v>4</v>
      </c>
      <c r="L191" s="1" t="str">
        <f t="shared" si="24"/>
        <v>50016</v>
      </c>
      <c r="M191" s="1">
        <v>2</v>
      </c>
      <c r="N191" s="1" t="str">
        <f t="shared" si="25"/>
        <v>50172</v>
      </c>
      <c r="P191" s="1" t="str">
        <f t="shared" si="26"/>
        <v/>
      </c>
      <c r="R191" s="1">
        <f>VLOOKUP(--J191,test3,11,FALSE)*K191+VLOOKUP(--L191,test3,11,FALSE)*M191+IF(N191="",0,VLOOKUP(--N191,test3,11,FALSE)*O191)+IF(P191="",0,VLOOKUP(--P191,test3,11,FALSE)*Q191)</f>
        <v>51</v>
      </c>
    </row>
    <row r="192" spans="2:18" x14ac:dyDescent="0.15">
      <c r="B192" s="1">
        <f>[1]item!$D191</f>
        <v>100190</v>
      </c>
      <c r="C192" s="1">
        <f>[1]item!$C191</f>
        <v>102010700</v>
      </c>
      <c r="D192" s="1">
        <f t="shared" si="19"/>
        <v>1</v>
      </c>
      <c r="E192" s="1">
        <f t="shared" si="20"/>
        <v>2</v>
      </c>
      <c r="F192" s="1">
        <f t="shared" si="21"/>
        <v>1</v>
      </c>
      <c r="G192" s="1" t="str">
        <f t="shared" si="18"/>
        <v>地脉</v>
      </c>
      <c r="H192" s="1">
        <v>3</v>
      </c>
      <c r="I192" s="1" t="str">
        <f t="shared" si="22"/>
        <v>,50141,50141,50036</v>
      </c>
      <c r="J192" s="1" t="str">
        <f t="shared" si="23"/>
        <v>50141</v>
      </c>
      <c r="K192" s="1">
        <v>4</v>
      </c>
      <c r="L192" s="1" t="str">
        <f t="shared" si="24"/>
        <v>50141</v>
      </c>
      <c r="M192" s="1">
        <v>2</v>
      </c>
      <c r="N192" s="1" t="str">
        <f t="shared" si="25"/>
        <v>50036</v>
      </c>
      <c r="P192" s="1" t="str">
        <f t="shared" si="26"/>
        <v/>
      </c>
      <c r="R192" s="1">
        <f>VLOOKUP(--J192,test3,11,FALSE)*K192+VLOOKUP(--L192,test3,11,FALSE)*M192+IF(N192="",0,VLOOKUP(--N192,test3,11,FALSE)*O192)+IF(P192="",0,VLOOKUP(--P192,test3,11,FALSE)*Q192)</f>
        <v>81</v>
      </c>
    </row>
    <row r="193" spans="2:18" x14ac:dyDescent="0.15">
      <c r="B193" s="1">
        <f>[1]item!$D192</f>
        <v>100191</v>
      </c>
      <c r="C193" s="1">
        <f>[1]item!$C192</f>
        <v>102020700</v>
      </c>
      <c r="D193" s="1">
        <f t="shared" si="19"/>
        <v>2</v>
      </c>
      <c r="E193" s="1">
        <f t="shared" si="20"/>
        <v>2</v>
      </c>
      <c r="F193" s="1">
        <f t="shared" si="21"/>
        <v>1</v>
      </c>
      <c r="G193" s="1" t="str">
        <f t="shared" si="18"/>
        <v>地脉</v>
      </c>
      <c r="H193" s="1">
        <v>3</v>
      </c>
      <c r="I193" s="1" t="str">
        <f t="shared" si="22"/>
        <v>,50089,50098,50173</v>
      </c>
      <c r="J193" s="1" t="str">
        <f t="shared" si="23"/>
        <v>50089</v>
      </c>
      <c r="K193" s="1">
        <v>4</v>
      </c>
      <c r="L193" s="1" t="str">
        <f t="shared" si="24"/>
        <v>50098</v>
      </c>
      <c r="M193" s="1">
        <v>2</v>
      </c>
      <c r="N193" s="1" t="str">
        <f t="shared" si="25"/>
        <v>50173</v>
      </c>
      <c r="P193" s="1" t="str">
        <f t="shared" si="26"/>
        <v/>
      </c>
      <c r="R193" s="1">
        <f>VLOOKUP(--J193,test3,11,FALSE)*K193+VLOOKUP(--L193,test3,11,FALSE)*M193+IF(N193="",0,VLOOKUP(--N193,test3,11,FALSE)*O193)+IF(P193="",0,VLOOKUP(--P193,test3,11,FALSE)*Q193)</f>
        <v>81</v>
      </c>
    </row>
    <row r="194" spans="2:18" x14ac:dyDescent="0.15">
      <c r="B194" s="1">
        <f>[1]item!$D193</f>
        <v>100192</v>
      </c>
      <c r="C194" s="1">
        <f>[1]item!$C193</f>
        <v>102030700</v>
      </c>
      <c r="D194" s="1">
        <f t="shared" si="19"/>
        <v>3</v>
      </c>
      <c r="E194" s="1">
        <f t="shared" si="20"/>
        <v>2</v>
      </c>
      <c r="F194" s="1">
        <f t="shared" si="21"/>
        <v>1</v>
      </c>
      <c r="G194" s="1" t="str">
        <f t="shared" si="18"/>
        <v>地脉</v>
      </c>
      <c r="H194" s="1">
        <v>3</v>
      </c>
      <c r="I194" s="1" t="str">
        <f t="shared" si="22"/>
        <v>,50101,50114,50124</v>
      </c>
      <c r="J194" s="1" t="str">
        <f t="shared" si="23"/>
        <v>50101</v>
      </c>
      <c r="K194" s="1">
        <v>4</v>
      </c>
      <c r="L194" s="1" t="str">
        <f t="shared" si="24"/>
        <v>50114</v>
      </c>
      <c r="M194" s="1">
        <v>2</v>
      </c>
      <c r="N194" s="1" t="str">
        <f t="shared" si="25"/>
        <v>50124</v>
      </c>
      <c r="P194" s="1" t="str">
        <f t="shared" si="26"/>
        <v/>
      </c>
      <c r="R194" s="1">
        <f>VLOOKUP(--J194,test3,11,FALSE)*K194+VLOOKUP(--L194,test3,11,FALSE)*M194+IF(N194="",0,VLOOKUP(--N194,test3,11,FALSE)*O194)+IF(P194="",0,VLOOKUP(--P194,test3,11,FALSE)*Q194)</f>
        <v>81</v>
      </c>
    </row>
    <row r="195" spans="2:18" x14ac:dyDescent="0.15">
      <c r="B195" s="1">
        <f>[1]item!$D194</f>
        <v>100193</v>
      </c>
      <c r="C195" s="1">
        <f>[1]item!$C194</f>
        <v>102040700</v>
      </c>
      <c r="D195" s="1">
        <f t="shared" si="19"/>
        <v>4</v>
      </c>
      <c r="E195" s="1">
        <f t="shared" si="20"/>
        <v>2</v>
      </c>
      <c r="F195" s="1">
        <f t="shared" si="21"/>
        <v>1</v>
      </c>
      <c r="G195" s="1" t="str">
        <f t="shared" ref="G195:G258" si="27">IF(--MID(C195,6,2)&lt;14,VLOOKUP(--MID(C195,6,2),test2,3,FALSE),"")</f>
        <v>地脉</v>
      </c>
      <c r="H195" s="1">
        <v>3</v>
      </c>
      <c r="I195" s="1" t="str">
        <f t="shared" si="22"/>
        <v>,50032,50078,50063</v>
      </c>
      <c r="J195" s="1" t="str">
        <f t="shared" si="23"/>
        <v>50032</v>
      </c>
      <c r="K195" s="1">
        <v>4</v>
      </c>
      <c r="L195" s="1" t="str">
        <f t="shared" si="24"/>
        <v>50078</v>
      </c>
      <c r="M195" s="1">
        <v>2</v>
      </c>
      <c r="N195" s="1" t="str">
        <f t="shared" si="25"/>
        <v>50063</v>
      </c>
      <c r="P195" s="1" t="str">
        <f t="shared" si="26"/>
        <v/>
      </c>
      <c r="R195" s="1">
        <f>VLOOKUP(--J195,test3,11,FALSE)*K195+VLOOKUP(--L195,test3,11,FALSE)*M195+IF(N195="",0,VLOOKUP(--N195,test3,11,FALSE)*O195)+IF(P195="",0,VLOOKUP(--P195,test3,11,FALSE)*Q195)</f>
        <v>66</v>
      </c>
    </row>
    <row r="196" spans="2:18" x14ac:dyDescent="0.15">
      <c r="B196" s="1">
        <f>[1]item!$D195</f>
        <v>100194</v>
      </c>
      <c r="C196" s="1">
        <f>[1]item!$C195</f>
        <v>102050700</v>
      </c>
      <c r="D196" s="1">
        <f t="shared" ref="D196:D259" si="28">--MID(C196,4,2)</f>
        <v>5</v>
      </c>
      <c r="E196" s="1">
        <f t="shared" ref="E196:E259" si="29">--MID(C196,2,2)</f>
        <v>2</v>
      </c>
      <c r="F196" s="1">
        <f t="shared" ref="F196:F259" si="30">--MID(C196,1,1)</f>
        <v>1</v>
      </c>
      <c r="G196" s="1" t="str">
        <f t="shared" si="27"/>
        <v>地脉</v>
      </c>
      <c r="H196" s="1">
        <v>3</v>
      </c>
      <c r="I196" s="1" t="str">
        <f t="shared" ref="I196:I259" si="31">getMarking(D196,E196,F196,G196)</f>
        <v>,50032,50078,50063</v>
      </c>
      <c r="J196" s="1" t="str">
        <f t="shared" ref="J196:J259" si="32">getString(I196,1,H196)</f>
        <v>50032</v>
      </c>
      <c r="K196" s="1">
        <v>4</v>
      </c>
      <c r="L196" s="1" t="str">
        <f t="shared" ref="L196:L259" si="33">getString(I196,2,H196)</f>
        <v>50078</v>
      </c>
      <c r="M196" s="1">
        <v>2</v>
      </c>
      <c r="N196" s="1" t="str">
        <f t="shared" ref="N196:N259" si="34">getString(I196,3,H196)</f>
        <v>50063</v>
      </c>
      <c r="P196" s="1" t="str">
        <f t="shared" ref="P196:P259" si="35">getString(I196,4,H196)</f>
        <v/>
      </c>
      <c r="R196" s="1">
        <f>VLOOKUP(--J196,test3,11,FALSE)*K196+VLOOKUP(--L196,test3,11,FALSE)*M196+IF(N196="",0,VLOOKUP(--N196,test3,11,FALSE)*O196)+IF(P196="",0,VLOOKUP(--P196,test3,11,FALSE)*Q196)</f>
        <v>66</v>
      </c>
    </row>
    <row r="197" spans="2:18" x14ac:dyDescent="0.15">
      <c r="B197" s="1">
        <f>[1]item!$D196</f>
        <v>100195</v>
      </c>
      <c r="C197" s="1">
        <f>[1]item!$C196</f>
        <v>102060700</v>
      </c>
      <c r="D197" s="1">
        <f t="shared" si="28"/>
        <v>6</v>
      </c>
      <c r="E197" s="1">
        <f t="shared" si="29"/>
        <v>2</v>
      </c>
      <c r="F197" s="1">
        <f t="shared" si="30"/>
        <v>1</v>
      </c>
      <c r="G197" s="1" t="str">
        <f t="shared" si="27"/>
        <v>地脉</v>
      </c>
      <c r="H197" s="1">
        <v>3</v>
      </c>
      <c r="I197" s="1" t="str">
        <f t="shared" si="31"/>
        <v>,50032,50022,50090</v>
      </c>
      <c r="J197" s="1" t="str">
        <f t="shared" si="32"/>
        <v>50032</v>
      </c>
      <c r="K197" s="1">
        <v>4</v>
      </c>
      <c r="L197" s="1" t="str">
        <f t="shared" si="33"/>
        <v>50022</v>
      </c>
      <c r="M197" s="1">
        <v>2</v>
      </c>
      <c r="N197" s="1" t="str">
        <f t="shared" si="34"/>
        <v>50090</v>
      </c>
      <c r="P197" s="1" t="str">
        <f t="shared" si="35"/>
        <v/>
      </c>
      <c r="R197" s="1">
        <f>VLOOKUP(--J197,test3,11,FALSE)*K197+VLOOKUP(--L197,test3,11,FALSE)*M197+IF(N197="",0,VLOOKUP(--N197,test3,11,FALSE)*O197)+IF(P197="",0,VLOOKUP(--P197,test3,11,FALSE)*Q197)</f>
        <v>81</v>
      </c>
    </row>
    <row r="198" spans="2:18" x14ac:dyDescent="0.15">
      <c r="B198" s="1">
        <f>[1]item!$D197</f>
        <v>100196</v>
      </c>
      <c r="C198" s="1">
        <f>[1]item!$C197</f>
        <v>102070700</v>
      </c>
      <c r="D198" s="1">
        <f t="shared" si="28"/>
        <v>7</v>
      </c>
      <c r="E198" s="1">
        <f t="shared" si="29"/>
        <v>2</v>
      </c>
      <c r="F198" s="1">
        <f t="shared" si="30"/>
        <v>1</v>
      </c>
      <c r="G198" s="1" t="str">
        <f t="shared" si="27"/>
        <v>地脉</v>
      </c>
      <c r="H198" s="1">
        <v>3</v>
      </c>
      <c r="I198" s="1" t="str">
        <f t="shared" si="31"/>
        <v>,50055,50142,50054</v>
      </c>
      <c r="J198" s="1" t="str">
        <f t="shared" si="32"/>
        <v>50055</v>
      </c>
      <c r="K198" s="1">
        <v>4</v>
      </c>
      <c r="L198" s="1" t="str">
        <f t="shared" si="33"/>
        <v>50142</v>
      </c>
      <c r="M198" s="1">
        <v>2</v>
      </c>
      <c r="N198" s="1" t="str">
        <f t="shared" si="34"/>
        <v>50054</v>
      </c>
      <c r="P198" s="1" t="str">
        <f t="shared" si="35"/>
        <v/>
      </c>
      <c r="R198" s="1">
        <f>VLOOKUP(--J198,test3,11,FALSE)*K198+VLOOKUP(--L198,test3,11,FALSE)*M198+IF(N198="",0,VLOOKUP(--N198,test3,11,FALSE)*O198)+IF(P198="",0,VLOOKUP(--P198,test3,11,FALSE)*Q198)</f>
        <v>51</v>
      </c>
    </row>
    <row r="199" spans="2:18" x14ac:dyDescent="0.15">
      <c r="B199" s="1">
        <f>[1]item!$D198</f>
        <v>100197</v>
      </c>
      <c r="C199" s="1">
        <f>[1]item!$C198</f>
        <v>102080700</v>
      </c>
      <c r="D199" s="1">
        <f t="shared" si="28"/>
        <v>8</v>
      </c>
      <c r="E199" s="1">
        <f t="shared" si="29"/>
        <v>2</v>
      </c>
      <c r="F199" s="1">
        <f t="shared" si="30"/>
        <v>1</v>
      </c>
      <c r="G199" s="1" t="str">
        <f t="shared" si="27"/>
        <v>地脉</v>
      </c>
      <c r="H199" s="1">
        <v>3</v>
      </c>
      <c r="I199" s="1" t="str">
        <f t="shared" si="31"/>
        <v>,50088,50151,50014</v>
      </c>
      <c r="J199" s="1" t="str">
        <f t="shared" si="32"/>
        <v>50088</v>
      </c>
      <c r="K199" s="1">
        <v>4</v>
      </c>
      <c r="L199" s="1" t="str">
        <f t="shared" si="33"/>
        <v>50151</v>
      </c>
      <c r="M199" s="1">
        <v>2</v>
      </c>
      <c r="N199" s="1" t="str">
        <f t="shared" si="34"/>
        <v>50014</v>
      </c>
      <c r="P199" s="1" t="str">
        <f t="shared" si="35"/>
        <v/>
      </c>
      <c r="R199" s="1">
        <f>VLOOKUP(--J199,test3,11,FALSE)*K199+VLOOKUP(--L199,test3,11,FALSE)*M199+IF(N199="",0,VLOOKUP(--N199,test3,11,FALSE)*O199)+IF(P199="",0,VLOOKUP(--P199,test3,11,FALSE)*Q199)</f>
        <v>36</v>
      </c>
    </row>
    <row r="200" spans="2:18" x14ac:dyDescent="0.15">
      <c r="B200" s="1">
        <f>[1]item!$D199</f>
        <v>100198</v>
      </c>
      <c r="C200" s="1">
        <f>[1]item!$C199</f>
        <v>102090700</v>
      </c>
      <c r="D200" s="1">
        <f t="shared" si="28"/>
        <v>9</v>
      </c>
      <c r="E200" s="1">
        <f t="shared" si="29"/>
        <v>2</v>
      </c>
      <c r="F200" s="1">
        <f t="shared" si="30"/>
        <v>1</v>
      </c>
      <c r="G200" s="1" t="str">
        <f t="shared" si="27"/>
        <v>地脉</v>
      </c>
      <c r="H200" s="1">
        <v>3</v>
      </c>
      <c r="I200" s="1" t="str">
        <f t="shared" si="31"/>
        <v>,50003,50124,50099</v>
      </c>
      <c r="J200" s="1" t="str">
        <f t="shared" si="32"/>
        <v>50003</v>
      </c>
      <c r="K200" s="1">
        <v>4</v>
      </c>
      <c r="L200" s="1" t="str">
        <f t="shared" si="33"/>
        <v>50124</v>
      </c>
      <c r="M200" s="1">
        <v>2</v>
      </c>
      <c r="N200" s="1" t="str">
        <f t="shared" si="34"/>
        <v>50099</v>
      </c>
      <c r="P200" s="1" t="str">
        <f t="shared" si="35"/>
        <v/>
      </c>
      <c r="R200" s="1">
        <f>VLOOKUP(--J200,test3,11,FALSE)*K200+VLOOKUP(--L200,test3,11,FALSE)*M200+IF(N200="",0,VLOOKUP(--N200,test3,11,FALSE)*O200)+IF(P200="",0,VLOOKUP(--P200,test3,11,FALSE)*Q200)</f>
        <v>81</v>
      </c>
    </row>
    <row r="201" spans="2:18" x14ac:dyDescent="0.15">
      <c r="B201" s="1">
        <f>[1]item!$D200</f>
        <v>100199</v>
      </c>
      <c r="C201" s="1">
        <f>[1]item!$C200</f>
        <v>102010800</v>
      </c>
      <c r="D201" s="1">
        <f t="shared" si="28"/>
        <v>1</v>
      </c>
      <c r="E201" s="1">
        <f t="shared" si="29"/>
        <v>2</v>
      </c>
      <c r="F201" s="1">
        <f t="shared" si="30"/>
        <v>1</v>
      </c>
      <c r="G201" s="1" t="str">
        <f t="shared" si="27"/>
        <v>物理</v>
      </c>
      <c r="H201" s="1">
        <v>3</v>
      </c>
      <c r="I201" s="1" t="str">
        <f t="shared" si="31"/>
        <v>,50155,50140,50055</v>
      </c>
      <c r="J201" s="1" t="str">
        <f t="shared" si="32"/>
        <v>50155</v>
      </c>
      <c r="K201" s="1">
        <v>4</v>
      </c>
      <c r="L201" s="1" t="str">
        <f t="shared" si="33"/>
        <v>50140</v>
      </c>
      <c r="M201" s="1">
        <v>2</v>
      </c>
      <c r="N201" s="1" t="str">
        <f t="shared" si="34"/>
        <v>50055</v>
      </c>
      <c r="P201" s="1" t="str">
        <f t="shared" si="35"/>
        <v/>
      </c>
      <c r="R201" s="1">
        <f>VLOOKUP(--J201,test3,11,FALSE)*K201+VLOOKUP(--L201,test3,11,FALSE)*M201+IF(N201="",0,VLOOKUP(--N201,test3,11,FALSE)*O201)+IF(P201="",0,VLOOKUP(--P201,test3,11,FALSE)*Q201)</f>
        <v>66</v>
      </c>
    </row>
    <row r="202" spans="2:18" x14ac:dyDescent="0.15">
      <c r="B202" s="1">
        <f>[1]item!$D201</f>
        <v>100200</v>
      </c>
      <c r="C202" s="1">
        <f>[1]item!$C201</f>
        <v>102020800</v>
      </c>
      <c r="D202" s="1">
        <f t="shared" si="28"/>
        <v>2</v>
      </c>
      <c r="E202" s="1">
        <f t="shared" si="29"/>
        <v>2</v>
      </c>
      <c r="F202" s="1">
        <f t="shared" si="30"/>
        <v>1</v>
      </c>
      <c r="G202" s="1" t="str">
        <f t="shared" si="27"/>
        <v>物理</v>
      </c>
      <c r="H202" s="1">
        <v>3</v>
      </c>
      <c r="I202" s="1" t="str">
        <f t="shared" si="31"/>
        <v>,50003,50124,50099</v>
      </c>
      <c r="J202" s="1" t="str">
        <f t="shared" si="32"/>
        <v>50003</v>
      </c>
      <c r="K202" s="1">
        <v>4</v>
      </c>
      <c r="L202" s="1" t="str">
        <f t="shared" si="33"/>
        <v>50124</v>
      </c>
      <c r="M202" s="1">
        <v>2</v>
      </c>
      <c r="N202" s="1" t="str">
        <f t="shared" si="34"/>
        <v>50099</v>
      </c>
      <c r="P202" s="1" t="str">
        <f t="shared" si="35"/>
        <v/>
      </c>
      <c r="R202" s="1">
        <f>VLOOKUP(--J202,test3,11,FALSE)*K202+VLOOKUP(--L202,test3,11,FALSE)*M202+IF(N202="",0,VLOOKUP(--N202,test3,11,FALSE)*O202)+IF(P202="",0,VLOOKUP(--P202,test3,11,FALSE)*Q202)</f>
        <v>81</v>
      </c>
    </row>
    <row r="203" spans="2:18" x14ac:dyDescent="0.15">
      <c r="B203" s="1">
        <f>[1]item!$D202</f>
        <v>100201</v>
      </c>
      <c r="C203" s="1">
        <f>[1]item!$C202</f>
        <v>102030800</v>
      </c>
      <c r="D203" s="1">
        <f t="shared" si="28"/>
        <v>3</v>
      </c>
      <c r="E203" s="1">
        <f t="shared" si="29"/>
        <v>2</v>
      </c>
      <c r="F203" s="1">
        <f t="shared" si="30"/>
        <v>1</v>
      </c>
      <c r="G203" s="1" t="str">
        <f t="shared" si="27"/>
        <v>物理</v>
      </c>
      <c r="H203" s="1">
        <v>3</v>
      </c>
      <c r="I203" s="1" t="str">
        <f t="shared" si="31"/>
        <v>,50093,50155,50140</v>
      </c>
      <c r="J203" s="1" t="str">
        <f t="shared" si="32"/>
        <v>50093</v>
      </c>
      <c r="K203" s="1">
        <v>4</v>
      </c>
      <c r="L203" s="1" t="str">
        <f t="shared" si="33"/>
        <v>50155</v>
      </c>
      <c r="M203" s="1">
        <v>2</v>
      </c>
      <c r="N203" s="1" t="str">
        <f t="shared" si="34"/>
        <v>50140</v>
      </c>
      <c r="P203" s="1" t="str">
        <f t="shared" si="35"/>
        <v/>
      </c>
      <c r="R203" s="1">
        <f>VLOOKUP(--J203,test3,11,FALSE)*K203+VLOOKUP(--L203,test3,11,FALSE)*M203+IF(N203="",0,VLOOKUP(--N203,test3,11,FALSE)*O203)+IF(P203="",0,VLOOKUP(--P203,test3,11,FALSE)*Q203)</f>
        <v>51</v>
      </c>
    </row>
    <row r="204" spans="2:18" x14ac:dyDescent="0.15">
      <c r="B204" s="1">
        <f>[1]item!$D203</f>
        <v>100202</v>
      </c>
      <c r="C204" s="1">
        <f>[1]item!$C203</f>
        <v>102040800</v>
      </c>
      <c r="D204" s="1">
        <f t="shared" si="28"/>
        <v>4</v>
      </c>
      <c r="E204" s="1">
        <f t="shared" si="29"/>
        <v>2</v>
      </c>
      <c r="F204" s="1">
        <f t="shared" si="30"/>
        <v>1</v>
      </c>
      <c r="G204" s="1" t="str">
        <f t="shared" si="27"/>
        <v>物理</v>
      </c>
      <c r="H204" s="1">
        <v>3</v>
      </c>
      <c r="I204" s="1" t="str">
        <f t="shared" si="31"/>
        <v>,50101,50114,50124</v>
      </c>
      <c r="J204" s="1" t="str">
        <f t="shared" si="32"/>
        <v>50101</v>
      </c>
      <c r="K204" s="1">
        <v>4</v>
      </c>
      <c r="L204" s="1" t="str">
        <f t="shared" si="33"/>
        <v>50114</v>
      </c>
      <c r="M204" s="1">
        <v>2</v>
      </c>
      <c r="N204" s="1" t="str">
        <f t="shared" si="34"/>
        <v>50124</v>
      </c>
      <c r="P204" s="1" t="str">
        <f t="shared" si="35"/>
        <v/>
      </c>
      <c r="R204" s="1">
        <f>VLOOKUP(--J204,test3,11,FALSE)*K204+VLOOKUP(--L204,test3,11,FALSE)*M204+IF(N204="",0,VLOOKUP(--N204,test3,11,FALSE)*O204)+IF(P204="",0,VLOOKUP(--P204,test3,11,FALSE)*Q204)</f>
        <v>81</v>
      </c>
    </row>
    <row r="205" spans="2:18" x14ac:dyDescent="0.15">
      <c r="B205" s="1">
        <f>[1]item!$D204</f>
        <v>100203</v>
      </c>
      <c r="C205" s="1">
        <f>[1]item!$C204</f>
        <v>102050800</v>
      </c>
      <c r="D205" s="1">
        <f t="shared" si="28"/>
        <v>5</v>
      </c>
      <c r="E205" s="1">
        <f t="shared" si="29"/>
        <v>2</v>
      </c>
      <c r="F205" s="1">
        <f t="shared" si="30"/>
        <v>1</v>
      </c>
      <c r="G205" s="1" t="str">
        <f t="shared" si="27"/>
        <v>物理</v>
      </c>
      <c r="H205" s="1">
        <v>3</v>
      </c>
      <c r="I205" s="1" t="str">
        <f t="shared" si="31"/>
        <v>,50129,50148,50128</v>
      </c>
      <c r="J205" s="1" t="str">
        <f t="shared" si="32"/>
        <v>50129</v>
      </c>
      <c r="K205" s="1">
        <v>4</v>
      </c>
      <c r="L205" s="1" t="str">
        <f t="shared" si="33"/>
        <v>50148</v>
      </c>
      <c r="M205" s="1">
        <v>2</v>
      </c>
      <c r="N205" s="1" t="str">
        <f t="shared" si="34"/>
        <v>50128</v>
      </c>
      <c r="P205" s="1" t="str">
        <f t="shared" si="35"/>
        <v/>
      </c>
      <c r="R205" s="1">
        <f>VLOOKUP(--J205,test3,11,FALSE)*K205+VLOOKUP(--L205,test3,11,FALSE)*M205+IF(N205="",0,VLOOKUP(--N205,test3,11,FALSE)*O205)+IF(P205="",0,VLOOKUP(--P205,test3,11,FALSE)*Q205)</f>
        <v>66</v>
      </c>
    </row>
    <row r="206" spans="2:18" x14ac:dyDescent="0.15">
      <c r="B206" s="1">
        <f>[1]item!$D205</f>
        <v>100204</v>
      </c>
      <c r="C206" s="1">
        <f>[1]item!$C205</f>
        <v>102060800</v>
      </c>
      <c r="D206" s="1">
        <f t="shared" si="28"/>
        <v>6</v>
      </c>
      <c r="E206" s="1">
        <f t="shared" si="29"/>
        <v>2</v>
      </c>
      <c r="F206" s="1">
        <f t="shared" si="30"/>
        <v>1</v>
      </c>
      <c r="G206" s="1" t="str">
        <f t="shared" si="27"/>
        <v>物理</v>
      </c>
      <c r="H206" s="1">
        <v>3</v>
      </c>
      <c r="I206" s="1" t="str">
        <f t="shared" si="31"/>
        <v>,50027,50121,50151</v>
      </c>
      <c r="J206" s="1" t="str">
        <f t="shared" si="32"/>
        <v>50027</v>
      </c>
      <c r="K206" s="1">
        <v>4</v>
      </c>
      <c r="L206" s="1" t="str">
        <f t="shared" si="33"/>
        <v>50121</v>
      </c>
      <c r="M206" s="1">
        <v>2</v>
      </c>
      <c r="N206" s="1" t="str">
        <f t="shared" si="34"/>
        <v>50151</v>
      </c>
      <c r="P206" s="1" t="str">
        <f t="shared" si="35"/>
        <v/>
      </c>
      <c r="R206" s="1">
        <f>VLOOKUP(--J206,test3,11,FALSE)*K206+VLOOKUP(--L206,test3,11,FALSE)*M206+IF(N206="",0,VLOOKUP(--N206,test3,11,FALSE)*O206)+IF(P206="",0,VLOOKUP(--P206,test3,11,FALSE)*Q206)</f>
        <v>81</v>
      </c>
    </row>
    <row r="207" spans="2:18" x14ac:dyDescent="0.15">
      <c r="B207" s="1">
        <f>[1]item!$D206</f>
        <v>100205</v>
      </c>
      <c r="C207" s="1">
        <f>[1]item!$C206</f>
        <v>102070800</v>
      </c>
      <c r="D207" s="1">
        <f t="shared" si="28"/>
        <v>7</v>
      </c>
      <c r="E207" s="1">
        <f t="shared" si="29"/>
        <v>2</v>
      </c>
      <c r="F207" s="1">
        <f t="shared" si="30"/>
        <v>1</v>
      </c>
      <c r="G207" s="1" t="str">
        <f t="shared" si="27"/>
        <v>物理</v>
      </c>
      <c r="H207" s="1">
        <v>3</v>
      </c>
      <c r="I207" s="1" t="str">
        <f t="shared" si="31"/>
        <v>,50173,50048,50102</v>
      </c>
      <c r="J207" s="1" t="str">
        <f t="shared" si="32"/>
        <v>50173</v>
      </c>
      <c r="K207" s="1">
        <v>4</v>
      </c>
      <c r="L207" s="1" t="str">
        <f t="shared" si="33"/>
        <v>50048</v>
      </c>
      <c r="M207" s="1">
        <v>2</v>
      </c>
      <c r="N207" s="1" t="str">
        <f t="shared" si="34"/>
        <v>50102</v>
      </c>
      <c r="P207" s="1" t="str">
        <f t="shared" si="35"/>
        <v/>
      </c>
      <c r="R207" s="1">
        <f>VLOOKUP(--J207,test3,11,FALSE)*K207+VLOOKUP(--L207,test3,11,FALSE)*M207+IF(N207="",0,VLOOKUP(--N207,test3,11,FALSE)*O207)+IF(P207="",0,VLOOKUP(--P207,test3,11,FALSE)*Q207)</f>
        <v>81</v>
      </c>
    </row>
    <row r="208" spans="2:18" x14ac:dyDescent="0.15">
      <c r="B208" s="1">
        <f>[1]item!$D207</f>
        <v>100206</v>
      </c>
      <c r="C208" s="1">
        <f>[1]item!$C207</f>
        <v>102080800</v>
      </c>
      <c r="D208" s="1">
        <f t="shared" si="28"/>
        <v>8</v>
      </c>
      <c r="E208" s="1">
        <f t="shared" si="29"/>
        <v>2</v>
      </c>
      <c r="F208" s="1">
        <f t="shared" si="30"/>
        <v>1</v>
      </c>
      <c r="G208" s="1" t="str">
        <f t="shared" si="27"/>
        <v>物理</v>
      </c>
      <c r="H208" s="1">
        <v>3</v>
      </c>
      <c r="I208" s="1" t="str">
        <f t="shared" si="31"/>
        <v>,50014,50152,50006</v>
      </c>
      <c r="J208" s="1" t="str">
        <f t="shared" si="32"/>
        <v>50014</v>
      </c>
      <c r="K208" s="1">
        <v>4</v>
      </c>
      <c r="L208" s="1" t="str">
        <f t="shared" si="33"/>
        <v>50152</v>
      </c>
      <c r="M208" s="1">
        <v>2</v>
      </c>
      <c r="N208" s="1" t="str">
        <f t="shared" si="34"/>
        <v>50006</v>
      </c>
      <c r="P208" s="1" t="str">
        <f t="shared" si="35"/>
        <v/>
      </c>
      <c r="R208" s="1">
        <f>VLOOKUP(--J208,test3,11,FALSE)*K208+VLOOKUP(--L208,test3,11,FALSE)*M208+IF(N208="",0,VLOOKUP(--N208,test3,11,FALSE)*O208)+IF(P208="",0,VLOOKUP(--P208,test3,11,FALSE)*Q208)</f>
        <v>66</v>
      </c>
    </row>
    <row r="209" spans="2:18" x14ac:dyDescent="0.15">
      <c r="B209" s="1">
        <f>[1]item!$D208</f>
        <v>100207</v>
      </c>
      <c r="C209" s="1">
        <f>[1]item!$C208</f>
        <v>102090800</v>
      </c>
      <c r="D209" s="1">
        <f t="shared" si="28"/>
        <v>9</v>
      </c>
      <c r="E209" s="1">
        <f t="shared" si="29"/>
        <v>2</v>
      </c>
      <c r="F209" s="1">
        <f t="shared" si="30"/>
        <v>1</v>
      </c>
      <c r="G209" s="1" t="str">
        <f t="shared" si="27"/>
        <v>物理</v>
      </c>
      <c r="H209" s="1">
        <v>3</v>
      </c>
      <c r="I209" s="1" t="str">
        <f t="shared" si="31"/>
        <v>,50065,50078,50089</v>
      </c>
      <c r="J209" s="1" t="str">
        <f t="shared" si="32"/>
        <v>50065</v>
      </c>
      <c r="K209" s="1">
        <v>4</v>
      </c>
      <c r="L209" s="1" t="str">
        <f t="shared" si="33"/>
        <v>50078</v>
      </c>
      <c r="M209" s="1">
        <v>2</v>
      </c>
      <c r="N209" s="1" t="str">
        <f t="shared" si="34"/>
        <v>50089</v>
      </c>
      <c r="P209" s="1" t="str">
        <f t="shared" si="35"/>
        <v/>
      </c>
      <c r="R209" s="1">
        <f>VLOOKUP(--J209,test3,11,FALSE)*K209+VLOOKUP(--L209,test3,11,FALSE)*M209+IF(N209="",0,VLOOKUP(--N209,test3,11,FALSE)*O209)+IF(P209="",0,VLOOKUP(--P209,test3,11,FALSE)*Q209)</f>
        <v>36</v>
      </c>
    </row>
    <row r="210" spans="2:18" x14ac:dyDescent="0.15">
      <c r="B210" s="1">
        <f>[1]item!$D209</f>
        <v>100208</v>
      </c>
      <c r="C210" s="1">
        <f>[1]item!$C209</f>
        <v>102010900</v>
      </c>
      <c r="D210" s="1">
        <f t="shared" si="28"/>
        <v>1</v>
      </c>
      <c r="E210" s="1">
        <f t="shared" si="29"/>
        <v>2</v>
      </c>
      <c r="F210" s="1">
        <f t="shared" si="30"/>
        <v>1</v>
      </c>
      <c r="G210" s="1" t="str">
        <f t="shared" si="27"/>
        <v>火炎</v>
      </c>
      <c r="H210" s="1">
        <v>3</v>
      </c>
      <c r="I210" s="1" t="str">
        <f t="shared" si="31"/>
        <v>,50043,50093,50046</v>
      </c>
      <c r="J210" s="1" t="str">
        <f t="shared" si="32"/>
        <v>50043</v>
      </c>
      <c r="K210" s="1">
        <v>4</v>
      </c>
      <c r="L210" s="1" t="str">
        <f t="shared" si="33"/>
        <v>50093</v>
      </c>
      <c r="M210" s="1">
        <v>2</v>
      </c>
      <c r="N210" s="1" t="str">
        <f t="shared" si="34"/>
        <v>50046</v>
      </c>
      <c r="P210" s="1" t="str">
        <f t="shared" si="35"/>
        <v/>
      </c>
      <c r="R210" s="1">
        <f>VLOOKUP(--J210,test3,11,FALSE)*K210+VLOOKUP(--L210,test3,11,FALSE)*M210+IF(N210="",0,VLOOKUP(--N210,test3,11,FALSE)*O210)+IF(P210="",0,VLOOKUP(--P210,test3,11,FALSE)*Q210)</f>
        <v>66</v>
      </c>
    </row>
    <row r="211" spans="2:18" x14ac:dyDescent="0.15">
      <c r="B211" s="1">
        <f>[1]item!$D210</f>
        <v>100209</v>
      </c>
      <c r="C211" s="1">
        <f>[1]item!$C210</f>
        <v>102020900</v>
      </c>
      <c r="D211" s="1">
        <f t="shared" si="28"/>
        <v>2</v>
      </c>
      <c r="E211" s="1">
        <f t="shared" si="29"/>
        <v>2</v>
      </c>
      <c r="F211" s="1">
        <f t="shared" si="30"/>
        <v>1</v>
      </c>
      <c r="G211" s="1" t="str">
        <f t="shared" si="27"/>
        <v>火炎</v>
      </c>
      <c r="H211" s="1">
        <v>3</v>
      </c>
      <c r="I211" s="1" t="str">
        <f t="shared" si="31"/>
        <v>,50014,50152,50006</v>
      </c>
      <c r="J211" s="1" t="str">
        <f t="shared" si="32"/>
        <v>50014</v>
      </c>
      <c r="K211" s="1">
        <v>4</v>
      </c>
      <c r="L211" s="1" t="str">
        <f t="shared" si="33"/>
        <v>50152</v>
      </c>
      <c r="M211" s="1">
        <v>2</v>
      </c>
      <c r="N211" s="1" t="str">
        <f t="shared" si="34"/>
        <v>50006</v>
      </c>
      <c r="P211" s="1" t="str">
        <f t="shared" si="35"/>
        <v/>
      </c>
      <c r="R211" s="1">
        <f>VLOOKUP(--J211,test3,11,FALSE)*K211+VLOOKUP(--L211,test3,11,FALSE)*M211+IF(N211="",0,VLOOKUP(--N211,test3,11,FALSE)*O211)+IF(P211="",0,VLOOKUP(--P211,test3,11,FALSE)*Q211)</f>
        <v>66</v>
      </c>
    </row>
    <row r="212" spans="2:18" x14ac:dyDescent="0.15">
      <c r="B212" s="1">
        <f>[1]item!$D211</f>
        <v>100210</v>
      </c>
      <c r="C212" s="1">
        <f>[1]item!$C211</f>
        <v>102030900</v>
      </c>
      <c r="D212" s="1">
        <f t="shared" si="28"/>
        <v>3</v>
      </c>
      <c r="E212" s="1">
        <f t="shared" si="29"/>
        <v>2</v>
      </c>
      <c r="F212" s="1">
        <f t="shared" si="30"/>
        <v>1</v>
      </c>
      <c r="G212" s="1" t="str">
        <f t="shared" si="27"/>
        <v>火炎</v>
      </c>
      <c r="H212" s="1">
        <v>3</v>
      </c>
      <c r="I212" s="1" t="str">
        <f t="shared" si="31"/>
        <v>,50147,50124,50023</v>
      </c>
      <c r="J212" s="1" t="str">
        <f t="shared" si="32"/>
        <v>50147</v>
      </c>
      <c r="K212" s="1">
        <v>4</v>
      </c>
      <c r="L212" s="1" t="str">
        <f t="shared" si="33"/>
        <v>50124</v>
      </c>
      <c r="M212" s="1">
        <v>2</v>
      </c>
      <c r="N212" s="1" t="str">
        <f t="shared" si="34"/>
        <v>50023</v>
      </c>
      <c r="P212" s="1" t="str">
        <f t="shared" si="35"/>
        <v/>
      </c>
      <c r="R212" s="1">
        <f>VLOOKUP(--J212,test3,11,FALSE)*K212+VLOOKUP(--L212,test3,11,FALSE)*M212+IF(N212="",0,VLOOKUP(--N212,test3,11,FALSE)*O212)+IF(P212="",0,VLOOKUP(--P212,test3,11,FALSE)*Q212)</f>
        <v>51</v>
      </c>
    </row>
    <row r="213" spans="2:18" x14ac:dyDescent="0.15">
      <c r="B213" s="1">
        <f>[1]item!$D212</f>
        <v>100211</v>
      </c>
      <c r="C213" s="1">
        <f>[1]item!$C212</f>
        <v>102040900</v>
      </c>
      <c r="D213" s="1">
        <f t="shared" si="28"/>
        <v>4</v>
      </c>
      <c r="E213" s="1">
        <f t="shared" si="29"/>
        <v>2</v>
      </c>
      <c r="F213" s="1">
        <f t="shared" si="30"/>
        <v>1</v>
      </c>
      <c r="G213" s="1" t="str">
        <f t="shared" si="27"/>
        <v>火炎</v>
      </c>
      <c r="H213" s="1">
        <v>3</v>
      </c>
      <c r="I213" s="1" t="str">
        <f t="shared" si="31"/>
        <v>,50120,50053,50137</v>
      </c>
      <c r="J213" s="1" t="str">
        <f t="shared" si="32"/>
        <v>50120</v>
      </c>
      <c r="K213" s="1">
        <v>4</v>
      </c>
      <c r="L213" s="1" t="str">
        <f t="shared" si="33"/>
        <v>50053</v>
      </c>
      <c r="M213" s="1">
        <v>2</v>
      </c>
      <c r="N213" s="1" t="str">
        <f t="shared" si="34"/>
        <v>50137</v>
      </c>
      <c r="P213" s="1" t="str">
        <f t="shared" si="35"/>
        <v/>
      </c>
      <c r="R213" s="1">
        <f>VLOOKUP(--J213,test3,11,FALSE)*K213+VLOOKUP(--L213,test3,11,FALSE)*M213+IF(N213="",0,VLOOKUP(--N213,test3,11,FALSE)*O213)+IF(P213="",0,VLOOKUP(--P213,test3,11,FALSE)*Q213)</f>
        <v>66</v>
      </c>
    </row>
    <row r="214" spans="2:18" x14ac:dyDescent="0.15">
      <c r="B214" s="1">
        <f>[1]item!$D213</f>
        <v>100212</v>
      </c>
      <c r="C214" s="1">
        <f>[1]item!$C213</f>
        <v>102050900</v>
      </c>
      <c r="D214" s="1">
        <f t="shared" si="28"/>
        <v>5</v>
      </c>
      <c r="E214" s="1">
        <f t="shared" si="29"/>
        <v>2</v>
      </c>
      <c r="F214" s="1">
        <f t="shared" si="30"/>
        <v>1</v>
      </c>
      <c r="G214" s="1" t="str">
        <f t="shared" si="27"/>
        <v>火炎</v>
      </c>
      <c r="H214" s="1">
        <v>3</v>
      </c>
      <c r="I214" s="1" t="str">
        <f t="shared" si="31"/>
        <v>,50129,50148,50128</v>
      </c>
      <c r="J214" s="1" t="str">
        <f t="shared" si="32"/>
        <v>50129</v>
      </c>
      <c r="K214" s="1">
        <v>4</v>
      </c>
      <c r="L214" s="1" t="str">
        <f t="shared" si="33"/>
        <v>50148</v>
      </c>
      <c r="M214" s="1">
        <v>2</v>
      </c>
      <c r="N214" s="1" t="str">
        <f t="shared" si="34"/>
        <v>50128</v>
      </c>
      <c r="P214" s="1" t="str">
        <f t="shared" si="35"/>
        <v/>
      </c>
      <c r="R214" s="1">
        <f>VLOOKUP(--J214,test3,11,FALSE)*K214+VLOOKUP(--L214,test3,11,FALSE)*M214+IF(N214="",0,VLOOKUP(--N214,test3,11,FALSE)*O214)+IF(P214="",0,VLOOKUP(--P214,test3,11,FALSE)*Q214)</f>
        <v>66</v>
      </c>
    </row>
    <row r="215" spans="2:18" x14ac:dyDescent="0.15">
      <c r="B215" s="1">
        <f>[1]item!$D214</f>
        <v>100213</v>
      </c>
      <c r="C215" s="1">
        <f>[1]item!$C214</f>
        <v>102060900</v>
      </c>
      <c r="D215" s="1">
        <f t="shared" si="28"/>
        <v>6</v>
      </c>
      <c r="E215" s="1">
        <f t="shared" si="29"/>
        <v>2</v>
      </c>
      <c r="F215" s="1">
        <f t="shared" si="30"/>
        <v>1</v>
      </c>
      <c r="G215" s="1" t="str">
        <f t="shared" si="27"/>
        <v>火炎</v>
      </c>
      <c r="H215" s="1">
        <v>3</v>
      </c>
      <c r="I215" s="1" t="str">
        <f t="shared" si="31"/>
        <v>,50147,50124,50023</v>
      </c>
      <c r="J215" s="1" t="str">
        <f t="shared" si="32"/>
        <v>50147</v>
      </c>
      <c r="K215" s="1">
        <v>4</v>
      </c>
      <c r="L215" s="1" t="str">
        <f t="shared" si="33"/>
        <v>50124</v>
      </c>
      <c r="M215" s="1">
        <v>2</v>
      </c>
      <c r="N215" s="1" t="str">
        <f t="shared" si="34"/>
        <v>50023</v>
      </c>
      <c r="P215" s="1" t="str">
        <f t="shared" si="35"/>
        <v/>
      </c>
      <c r="R215" s="1">
        <f>VLOOKUP(--J215,test3,11,FALSE)*K215+VLOOKUP(--L215,test3,11,FALSE)*M215+IF(N215="",0,VLOOKUP(--N215,test3,11,FALSE)*O215)+IF(P215="",0,VLOOKUP(--P215,test3,11,FALSE)*Q215)</f>
        <v>51</v>
      </c>
    </row>
    <row r="216" spans="2:18" x14ac:dyDescent="0.15">
      <c r="B216" s="1">
        <f>[1]item!$D215</f>
        <v>100214</v>
      </c>
      <c r="C216" s="1">
        <f>[1]item!$C215</f>
        <v>102070900</v>
      </c>
      <c r="D216" s="1">
        <f t="shared" si="28"/>
        <v>7</v>
      </c>
      <c r="E216" s="1">
        <f t="shared" si="29"/>
        <v>2</v>
      </c>
      <c r="F216" s="1">
        <f t="shared" si="30"/>
        <v>1</v>
      </c>
      <c r="G216" s="1" t="str">
        <f t="shared" si="27"/>
        <v>火炎</v>
      </c>
      <c r="H216" s="1">
        <v>3</v>
      </c>
      <c r="I216" s="1" t="str">
        <f t="shared" si="31"/>
        <v>,50154,50002,50024</v>
      </c>
      <c r="J216" s="1" t="str">
        <f t="shared" si="32"/>
        <v>50154</v>
      </c>
      <c r="K216" s="1">
        <v>4</v>
      </c>
      <c r="L216" s="1" t="str">
        <f t="shared" si="33"/>
        <v>50002</v>
      </c>
      <c r="M216" s="1">
        <v>2</v>
      </c>
      <c r="N216" s="1" t="str">
        <f t="shared" si="34"/>
        <v>50024</v>
      </c>
      <c r="P216" s="1" t="str">
        <f t="shared" si="35"/>
        <v/>
      </c>
      <c r="R216" s="1">
        <f>VLOOKUP(--J216,test3,11,FALSE)*K216+VLOOKUP(--L216,test3,11,FALSE)*M216+IF(N216="",0,VLOOKUP(--N216,test3,11,FALSE)*O216)+IF(P216="",0,VLOOKUP(--P216,test3,11,FALSE)*Q216)</f>
        <v>66</v>
      </c>
    </row>
    <row r="217" spans="2:18" x14ac:dyDescent="0.15">
      <c r="B217" s="1">
        <f>[1]item!$D216</f>
        <v>100215</v>
      </c>
      <c r="C217" s="1">
        <f>[1]item!$C216</f>
        <v>102080900</v>
      </c>
      <c r="D217" s="1">
        <f t="shared" si="28"/>
        <v>8</v>
      </c>
      <c r="E217" s="1">
        <f t="shared" si="29"/>
        <v>2</v>
      </c>
      <c r="F217" s="1">
        <f t="shared" si="30"/>
        <v>1</v>
      </c>
      <c r="G217" s="1" t="str">
        <f t="shared" si="27"/>
        <v>火炎</v>
      </c>
      <c r="H217" s="1">
        <v>3</v>
      </c>
      <c r="I217" s="1" t="str">
        <f t="shared" si="31"/>
        <v>,50064,50120,50093</v>
      </c>
      <c r="J217" s="1" t="str">
        <f t="shared" si="32"/>
        <v>50064</v>
      </c>
      <c r="K217" s="1">
        <v>4</v>
      </c>
      <c r="L217" s="1" t="str">
        <f t="shared" si="33"/>
        <v>50120</v>
      </c>
      <c r="M217" s="1">
        <v>2</v>
      </c>
      <c r="N217" s="1" t="str">
        <f t="shared" si="34"/>
        <v>50093</v>
      </c>
      <c r="P217" s="1" t="str">
        <f t="shared" si="35"/>
        <v/>
      </c>
      <c r="R217" s="1">
        <f>VLOOKUP(--J217,test3,11,FALSE)*K217+VLOOKUP(--L217,test3,11,FALSE)*M217+IF(N217="",0,VLOOKUP(--N217,test3,11,FALSE)*O217)+IF(P217="",0,VLOOKUP(--P217,test3,11,FALSE)*Q217)</f>
        <v>51</v>
      </c>
    </row>
    <row r="218" spans="2:18" x14ac:dyDescent="0.15">
      <c r="B218" s="1">
        <f>[1]item!$D217</f>
        <v>100216</v>
      </c>
      <c r="C218" s="1">
        <f>[1]item!$C217</f>
        <v>102090900</v>
      </c>
      <c r="D218" s="1">
        <f t="shared" si="28"/>
        <v>9</v>
      </c>
      <c r="E218" s="1">
        <f t="shared" si="29"/>
        <v>2</v>
      </c>
      <c r="F218" s="1">
        <f t="shared" si="30"/>
        <v>1</v>
      </c>
      <c r="G218" s="1" t="str">
        <f t="shared" si="27"/>
        <v>火炎</v>
      </c>
      <c r="H218" s="1">
        <v>3</v>
      </c>
      <c r="I218" s="1" t="str">
        <f t="shared" si="31"/>
        <v>,50095,50014,50152</v>
      </c>
      <c r="J218" s="1" t="str">
        <f t="shared" si="32"/>
        <v>50095</v>
      </c>
      <c r="K218" s="1">
        <v>4</v>
      </c>
      <c r="L218" s="1" t="str">
        <f t="shared" si="33"/>
        <v>50014</v>
      </c>
      <c r="M218" s="1">
        <v>2</v>
      </c>
      <c r="N218" s="1" t="str">
        <f t="shared" si="34"/>
        <v>50152</v>
      </c>
      <c r="P218" s="1" t="str">
        <f t="shared" si="35"/>
        <v/>
      </c>
      <c r="R218" s="1">
        <f>VLOOKUP(--J218,test3,11,FALSE)*K218+VLOOKUP(--L218,test3,11,FALSE)*M218+IF(N218="",0,VLOOKUP(--N218,test3,11,FALSE)*O218)+IF(P218="",0,VLOOKUP(--P218,test3,11,FALSE)*Q218)</f>
        <v>51</v>
      </c>
    </row>
    <row r="219" spans="2:18" x14ac:dyDescent="0.15">
      <c r="B219" s="1">
        <f>[1]item!$D218</f>
        <v>100217</v>
      </c>
      <c r="C219" s="1">
        <f>[1]item!$C218</f>
        <v>102011000</v>
      </c>
      <c r="D219" s="1">
        <f t="shared" si="28"/>
        <v>1</v>
      </c>
      <c r="E219" s="1">
        <f t="shared" si="29"/>
        <v>2</v>
      </c>
      <c r="F219" s="1">
        <f t="shared" si="30"/>
        <v>1</v>
      </c>
      <c r="G219" s="1" t="str">
        <f t="shared" si="27"/>
        <v>黑暗</v>
      </c>
      <c r="H219" s="1">
        <v>3</v>
      </c>
      <c r="I219" s="1" t="str">
        <f t="shared" si="31"/>
        <v>,50117,50021,50118</v>
      </c>
      <c r="J219" s="1" t="str">
        <f t="shared" si="32"/>
        <v>50117</v>
      </c>
      <c r="K219" s="1">
        <v>4</v>
      </c>
      <c r="L219" s="1" t="str">
        <f t="shared" si="33"/>
        <v>50021</v>
      </c>
      <c r="M219" s="1">
        <v>2</v>
      </c>
      <c r="N219" s="1" t="str">
        <f t="shared" si="34"/>
        <v>50118</v>
      </c>
      <c r="P219" s="1" t="str">
        <f t="shared" si="35"/>
        <v/>
      </c>
      <c r="R219" s="1">
        <f>VLOOKUP(--J219,test3,11,FALSE)*K219+VLOOKUP(--L219,test3,11,FALSE)*M219+IF(N219="",0,VLOOKUP(--N219,test3,11,FALSE)*O219)+IF(P219="",0,VLOOKUP(--P219,test3,11,FALSE)*Q219)</f>
        <v>81</v>
      </c>
    </row>
    <row r="220" spans="2:18" x14ac:dyDescent="0.15">
      <c r="B220" s="1">
        <f>[1]item!$D219</f>
        <v>100218</v>
      </c>
      <c r="C220" s="1">
        <f>[1]item!$C219</f>
        <v>102021000</v>
      </c>
      <c r="D220" s="1">
        <f t="shared" si="28"/>
        <v>2</v>
      </c>
      <c r="E220" s="1">
        <f t="shared" si="29"/>
        <v>2</v>
      </c>
      <c r="F220" s="1">
        <f t="shared" si="30"/>
        <v>1</v>
      </c>
      <c r="G220" s="1" t="str">
        <f t="shared" si="27"/>
        <v>黑暗</v>
      </c>
      <c r="H220" s="1">
        <v>3</v>
      </c>
      <c r="I220" s="1" t="str">
        <f t="shared" si="31"/>
        <v>,50169,50006,50046</v>
      </c>
      <c r="J220" s="1" t="str">
        <f t="shared" si="32"/>
        <v>50169</v>
      </c>
      <c r="K220" s="1">
        <v>4</v>
      </c>
      <c r="L220" s="1" t="str">
        <f t="shared" si="33"/>
        <v>50006</v>
      </c>
      <c r="M220" s="1">
        <v>2</v>
      </c>
      <c r="N220" s="1" t="str">
        <f t="shared" si="34"/>
        <v>50046</v>
      </c>
      <c r="P220" s="1" t="str">
        <f t="shared" si="35"/>
        <v/>
      </c>
      <c r="R220" s="1">
        <f>VLOOKUP(--J220,test3,11,FALSE)*K220+VLOOKUP(--L220,test3,11,FALSE)*M220+IF(N220="",0,VLOOKUP(--N220,test3,11,FALSE)*O220)+IF(P220="",0,VLOOKUP(--P220,test3,11,FALSE)*Q220)</f>
        <v>66</v>
      </c>
    </row>
    <row r="221" spans="2:18" x14ac:dyDescent="0.15">
      <c r="B221" s="1">
        <f>[1]item!$D220</f>
        <v>100219</v>
      </c>
      <c r="C221" s="1">
        <f>[1]item!$C220</f>
        <v>102031000</v>
      </c>
      <c r="D221" s="1">
        <f t="shared" si="28"/>
        <v>3</v>
      </c>
      <c r="E221" s="1">
        <f t="shared" si="29"/>
        <v>2</v>
      </c>
      <c r="F221" s="1">
        <f t="shared" si="30"/>
        <v>1</v>
      </c>
      <c r="G221" s="1" t="str">
        <f t="shared" si="27"/>
        <v>黑暗</v>
      </c>
      <c r="H221" s="1">
        <v>3</v>
      </c>
      <c r="I221" s="1" t="str">
        <f t="shared" si="31"/>
        <v>,50095,50173,50029</v>
      </c>
      <c r="J221" s="1" t="str">
        <f t="shared" si="32"/>
        <v>50095</v>
      </c>
      <c r="K221" s="1">
        <v>4</v>
      </c>
      <c r="L221" s="1" t="str">
        <f t="shared" si="33"/>
        <v>50173</v>
      </c>
      <c r="M221" s="1">
        <v>2</v>
      </c>
      <c r="N221" s="1" t="str">
        <f t="shared" si="34"/>
        <v>50029</v>
      </c>
      <c r="P221" s="1" t="str">
        <f t="shared" si="35"/>
        <v/>
      </c>
      <c r="R221" s="1">
        <f>VLOOKUP(--J221,test3,11,FALSE)*K221+VLOOKUP(--L221,test3,11,FALSE)*M221+IF(N221="",0,VLOOKUP(--N221,test3,11,FALSE)*O221)+IF(P221="",0,VLOOKUP(--P221,test3,11,FALSE)*Q221)</f>
        <v>51</v>
      </c>
    </row>
    <row r="222" spans="2:18" x14ac:dyDescent="0.15">
      <c r="B222" s="1">
        <f>[1]item!$D221</f>
        <v>100220</v>
      </c>
      <c r="C222" s="1">
        <f>[1]item!$C221</f>
        <v>102041000</v>
      </c>
      <c r="D222" s="1">
        <f t="shared" si="28"/>
        <v>4</v>
      </c>
      <c r="E222" s="1">
        <f t="shared" si="29"/>
        <v>2</v>
      </c>
      <c r="F222" s="1">
        <f t="shared" si="30"/>
        <v>1</v>
      </c>
      <c r="G222" s="1" t="str">
        <f t="shared" si="27"/>
        <v>黑暗</v>
      </c>
      <c r="H222" s="1">
        <v>3</v>
      </c>
      <c r="I222" s="1" t="str">
        <f t="shared" si="31"/>
        <v>,50010,50053,50115</v>
      </c>
      <c r="J222" s="1" t="str">
        <f t="shared" si="32"/>
        <v>50010</v>
      </c>
      <c r="K222" s="1">
        <v>4</v>
      </c>
      <c r="L222" s="1" t="str">
        <f t="shared" si="33"/>
        <v>50053</v>
      </c>
      <c r="M222" s="1">
        <v>2</v>
      </c>
      <c r="N222" s="1" t="str">
        <f t="shared" si="34"/>
        <v>50115</v>
      </c>
      <c r="P222" s="1" t="str">
        <f t="shared" si="35"/>
        <v/>
      </c>
      <c r="R222" s="1">
        <f>VLOOKUP(--J222,test3,11,FALSE)*K222+VLOOKUP(--L222,test3,11,FALSE)*M222+IF(N222="",0,VLOOKUP(--N222,test3,11,FALSE)*O222)+IF(P222="",0,VLOOKUP(--P222,test3,11,FALSE)*Q222)</f>
        <v>36</v>
      </c>
    </row>
    <row r="223" spans="2:18" x14ac:dyDescent="0.15">
      <c r="B223" s="1">
        <f>[1]item!$D222</f>
        <v>100221</v>
      </c>
      <c r="C223" s="1">
        <f>[1]item!$C222</f>
        <v>102051000</v>
      </c>
      <c r="D223" s="1">
        <f t="shared" si="28"/>
        <v>5</v>
      </c>
      <c r="E223" s="1">
        <f t="shared" si="29"/>
        <v>2</v>
      </c>
      <c r="F223" s="1">
        <f t="shared" si="30"/>
        <v>1</v>
      </c>
      <c r="G223" s="1" t="str">
        <f t="shared" si="27"/>
        <v>黑暗</v>
      </c>
      <c r="H223" s="1">
        <v>3</v>
      </c>
      <c r="I223" s="1" t="str">
        <f t="shared" si="31"/>
        <v>,50020,50018,50090</v>
      </c>
      <c r="J223" s="1" t="str">
        <f t="shared" si="32"/>
        <v>50020</v>
      </c>
      <c r="K223" s="1">
        <v>4</v>
      </c>
      <c r="L223" s="1" t="str">
        <f t="shared" si="33"/>
        <v>50018</v>
      </c>
      <c r="M223" s="1">
        <v>2</v>
      </c>
      <c r="N223" s="1" t="str">
        <f t="shared" si="34"/>
        <v>50090</v>
      </c>
      <c r="P223" s="1" t="str">
        <f t="shared" si="35"/>
        <v/>
      </c>
      <c r="R223" s="1">
        <f>VLOOKUP(--J223,test3,11,FALSE)*K223+VLOOKUP(--L223,test3,11,FALSE)*M223+IF(N223="",0,VLOOKUP(--N223,test3,11,FALSE)*O223)+IF(P223="",0,VLOOKUP(--P223,test3,11,FALSE)*Q223)</f>
        <v>81</v>
      </c>
    </row>
    <row r="224" spans="2:18" x14ac:dyDescent="0.15">
      <c r="B224" s="1">
        <f>[1]item!$D223</f>
        <v>100222</v>
      </c>
      <c r="C224" s="1">
        <f>[1]item!$C223</f>
        <v>102061000</v>
      </c>
      <c r="D224" s="1">
        <f t="shared" si="28"/>
        <v>6</v>
      </c>
      <c r="E224" s="1">
        <f t="shared" si="29"/>
        <v>2</v>
      </c>
      <c r="F224" s="1">
        <f t="shared" si="30"/>
        <v>1</v>
      </c>
      <c r="G224" s="1" t="str">
        <f t="shared" si="27"/>
        <v>黑暗</v>
      </c>
      <c r="H224" s="1">
        <v>3</v>
      </c>
      <c r="I224" s="1" t="str">
        <f t="shared" si="31"/>
        <v>,50124,50032,50028</v>
      </c>
      <c r="J224" s="1" t="str">
        <f t="shared" si="32"/>
        <v>50124</v>
      </c>
      <c r="K224" s="1">
        <v>4</v>
      </c>
      <c r="L224" s="1" t="str">
        <f t="shared" si="33"/>
        <v>50032</v>
      </c>
      <c r="M224" s="1">
        <v>2</v>
      </c>
      <c r="N224" s="1" t="str">
        <f t="shared" si="34"/>
        <v>50028</v>
      </c>
      <c r="P224" s="1" t="str">
        <f t="shared" si="35"/>
        <v/>
      </c>
      <c r="R224" s="1">
        <f>VLOOKUP(--J224,test3,11,FALSE)*K224+VLOOKUP(--L224,test3,11,FALSE)*M224+IF(N224="",0,VLOOKUP(--N224,test3,11,FALSE)*O224)+IF(P224="",0,VLOOKUP(--P224,test3,11,FALSE)*Q224)</f>
        <v>81</v>
      </c>
    </row>
    <row r="225" spans="2:18" x14ac:dyDescent="0.15">
      <c r="B225" s="1">
        <f>[1]item!$D224</f>
        <v>100223</v>
      </c>
      <c r="C225" s="1">
        <f>[1]item!$C224</f>
        <v>102071000</v>
      </c>
      <c r="D225" s="1">
        <f t="shared" si="28"/>
        <v>7</v>
      </c>
      <c r="E225" s="1">
        <f t="shared" si="29"/>
        <v>2</v>
      </c>
      <c r="F225" s="1">
        <f t="shared" si="30"/>
        <v>1</v>
      </c>
      <c r="G225" s="1" t="str">
        <f t="shared" si="27"/>
        <v>黑暗</v>
      </c>
      <c r="H225" s="1">
        <v>3</v>
      </c>
      <c r="I225" s="1" t="str">
        <f t="shared" si="31"/>
        <v>,50115,50027,50099</v>
      </c>
      <c r="J225" s="1" t="str">
        <f t="shared" si="32"/>
        <v>50115</v>
      </c>
      <c r="K225" s="1">
        <v>4</v>
      </c>
      <c r="L225" s="1" t="str">
        <f t="shared" si="33"/>
        <v>50027</v>
      </c>
      <c r="M225" s="1">
        <v>2</v>
      </c>
      <c r="N225" s="1" t="str">
        <f t="shared" si="34"/>
        <v>50099</v>
      </c>
      <c r="P225" s="1" t="str">
        <f t="shared" si="35"/>
        <v/>
      </c>
      <c r="R225" s="1">
        <f>VLOOKUP(--J225,test3,11,FALSE)*K225+VLOOKUP(--L225,test3,11,FALSE)*M225+IF(N225="",0,VLOOKUP(--N225,test3,11,FALSE)*O225)+IF(P225="",0,VLOOKUP(--P225,test3,11,FALSE)*Q225)</f>
        <v>81</v>
      </c>
    </row>
    <row r="226" spans="2:18" x14ac:dyDescent="0.15">
      <c r="B226" s="1">
        <f>[1]item!$D225</f>
        <v>100224</v>
      </c>
      <c r="C226" s="1">
        <f>[1]item!$C225</f>
        <v>102081000</v>
      </c>
      <c r="D226" s="1">
        <f t="shared" si="28"/>
        <v>8</v>
      </c>
      <c r="E226" s="1">
        <f t="shared" si="29"/>
        <v>2</v>
      </c>
      <c r="F226" s="1">
        <f t="shared" si="30"/>
        <v>1</v>
      </c>
      <c r="G226" s="1" t="str">
        <f t="shared" si="27"/>
        <v>黑暗</v>
      </c>
      <c r="H226" s="1">
        <v>3</v>
      </c>
      <c r="I226" s="1" t="str">
        <f t="shared" si="31"/>
        <v>,50026,50144,50173</v>
      </c>
      <c r="J226" s="1" t="str">
        <f t="shared" si="32"/>
        <v>50026</v>
      </c>
      <c r="K226" s="1">
        <v>4</v>
      </c>
      <c r="L226" s="1" t="str">
        <f t="shared" si="33"/>
        <v>50144</v>
      </c>
      <c r="M226" s="1">
        <v>2</v>
      </c>
      <c r="N226" s="1" t="str">
        <f t="shared" si="34"/>
        <v>50173</v>
      </c>
      <c r="P226" s="1" t="str">
        <f t="shared" si="35"/>
        <v/>
      </c>
      <c r="R226" s="1">
        <f>VLOOKUP(--J226,test3,11,FALSE)*K226+VLOOKUP(--L226,test3,11,FALSE)*M226+IF(N226="",0,VLOOKUP(--N226,test3,11,FALSE)*O226)+IF(P226="",0,VLOOKUP(--P226,test3,11,FALSE)*Q226)</f>
        <v>81</v>
      </c>
    </row>
    <row r="227" spans="2:18" x14ac:dyDescent="0.15">
      <c r="B227" s="1">
        <f>[1]item!$D226</f>
        <v>100225</v>
      </c>
      <c r="C227" s="1">
        <f>[1]item!$C226</f>
        <v>102091000</v>
      </c>
      <c r="D227" s="1">
        <f t="shared" si="28"/>
        <v>9</v>
      </c>
      <c r="E227" s="1">
        <f t="shared" si="29"/>
        <v>2</v>
      </c>
      <c r="F227" s="1">
        <f t="shared" si="30"/>
        <v>1</v>
      </c>
      <c r="G227" s="1" t="str">
        <f t="shared" si="27"/>
        <v>黑暗</v>
      </c>
      <c r="H227" s="1">
        <v>3</v>
      </c>
      <c r="I227" s="1" t="str">
        <f t="shared" si="31"/>
        <v>,50042,50003,50120</v>
      </c>
      <c r="J227" s="1" t="str">
        <f t="shared" si="32"/>
        <v>50042</v>
      </c>
      <c r="K227" s="1">
        <v>4</v>
      </c>
      <c r="L227" s="1" t="str">
        <f t="shared" si="33"/>
        <v>50003</v>
      </c>
      <c r="M227" s="1">
        <v>2</v>
      </c>
      <c r="N227" s="1" t="str">
        <f t="shared" si="34"/>
        <v>50120</v>
      </c>
      <c r="P227" s="1" t="str">
        <f t="shared" si="35"/>
        <v/>
      </c>
      <c r="R227" s="1">
        <f>VLOOKUP(--J227,test3,11,FALSE)*K227+VLOOKUP(--L227,test3,11,FALSE)*M227+IF(N227="",0,VLOOKUP(--N227,test3,11,FALSE)*O227)+IF(P227="",0,VLOOKUP(--P227,test3,11,FALSE)*Q227)</f>
        <v>51</v>
      </c>
    </row>
    <row r="228" spans="2:18" x14ac:dyDescent="0.15">
      <c r="B228" s="1">
        <f>[1]item!$D227</f>
        <v>100226</v>
      </c>
      <c r="C228" s="1">
        <f>[1]item!$C227</f>
        <v>102011100</v>
      </c>
      <c r="D228" s="1">
        <f t="shared" si="28"/>
        <v>1</v>
      </c>
      <c r="E228" s="1">
        <f t="shared" si="29"/>
        <v>2</v>
      </c>
      <c r="F228" s="1">
        <f t="shared" si="30"/>
        <v>1</v>
      </c>
      <c r="G228" s="1" t="str">
        <f t="shared" si="27"/>
        <v>电击</v>
      </c>
      <c r="H228" s="1">
        <v>3</v>
      </c>
      <c r="I228" s="1" t="str">
        <f t="shared" si="31"/>
        <v>,50152,50067,50121</v>
      </c>
      <c r="J228" s="1" t="str">
        <f t="shared" si="32"/>
        <v>50152</v>
      </c>
      <c r="K228" s="1">
        <v>4</v>
      </c>
      <c r="L228" s="1" t="str">
        <f t="shared" si="33"/>
        <v>50067</v>
      </c>
      <c r="M228" s="1">
        <v>2</v>
      </c>
      <c r="N228" s="1" t="str">
        <f t="shared" si="34"/>
        <v>50121</v>
      </c>
      <c r="P228" s="1" t="str">
        <f t="shared" si="35"/>
        <v/>
      </c>
      <c r="R228" s="1">
        <f>VLOOKUP(--J228,test3,11,FALSE)*K228+VLOOKUP(--L228,test3,11,FALSE)*M228+IF(N228="",0,VLOOKUP(--N228,test3,11,FALSE)*O228)+IF(P228="",0,VLOOKUP(--P228,test3,11,FALSE)*Q228)</f>
        <v>51</v>
      </c>
    </row>
    <row r="229" spans="2:18" x14ac:dyDescent="0.15">
      <c r="B229" s="1">
        <f>[1]item!$D228</f>
        <v>100227</v>
      </c>
      <c r="C229" s="1">
        <f>[1]item!$C228</f>
        <v>102021100</v>
      </c>
      <c r="D229" s="1">
        <f t="shared" si="28"/>
        <v>2</v>
      </c>
      <c r="E229" s="1">
        <f t="shared" si="29"/>
        <v>2</v>
      </c>
      <c r="F229" s="1">
        <f t="shared" si="30"/>
        <v>1</v>
      </c>
      <c r="G229" s="1" t="str">
        <f t="shared" si="27"/>
        <v>电击</v>
      </c>
      <c r="H229" s="1">
        <v>3</v>
      </c>
      <c r="I229" s="1" t="str">
        <f t="shared" si="31"/>
        <v>,50100,50070,50026</v>
      </c>
      <c r="J229" s="1" t="str">
        <f t="shared" si="32"/>
        <v>50100</v>
      </c>
      <c r="K229" s="1">
        <v>4</v>
      </c>
      <c r="L229" s="1" t="str">
        <f t="shared" si="33"/>
        <v>50070</v>
      </c>
      <c r="M229" s="1">
        <v>2</v>
      </c>
      <c r="N229" s="1" t="str">
        <f t="shared" si="34"/>
        <v>50026</v>
      </c>
      <c r="P229" s="1" t="str">
        <f t="shared" si="35"/>
        <v/>
      </c>
      <c r="R229" s="1">
        <f>VLOOKUP(--J229,test3,11,FALSE)*K229+VLOOKUP(--L229,test3,11,FALSE)*M229+IF(N229="",0,VLOOKUP(--N229,test3,11,FALSE)*O229)+IF(P229="",0,VLOOKUP(--P229,test3,11,FALSE)*Q229)</f>
        <v>66</v>
      </c>
    </row>
    <row r="230" spans="2:18" x14ac:dyDescent="0.15">
      <c r="B230" s="1">
        <f>[1]item!$D229</f>
        <v>100228</v>
      </c>
      <c r="C230" s="1">
        <f>[1]item!$C229</f>
        <v>102031100</v>
      </c>
      <c r="D230" s="1">
        <f t="shared" si="28"/>
        <v>3</v>
      </c>
      <c r="E230" s="1">
        <f t="shared" si="29"/>
        <v>2</v>
      </c>
      <c r="F230" s="1">
        <f t="shared" si="30"/>
        <v>1</v>
      </c>
      <c r="G230" s="1" t="str">
        <f t="shared" si="27"/>
        <v>电击</v>
      </c>
      <c r="H230" s="1">
        <v>3</v>
      </c>
      <c r="I230" s="1" t="str">
        <f t="shared" si="31"/>
        <v>,50096,50187,50079</v>
      </c>
      <c r="J230" s="1" t="str">
        <f t="shared" si="32"/>
        <v>50096</v>
      </c>
      <c r="K230" s="1">
        <v>4</v>
      </c>
      <c r="L230" s="1" t="str">
        <f t="shared" si="33"/>
        <v>50187</v>
      </c>
      <c r="M230" s="1">
        <v>2</v>
      </c>
      <c r="N230" s="1" t="str">
        <f t="shared" si="34"/>
        <v>50079</v>
      </c>
      <c r="P230" s="1" t="str">
        <f t="shared" si="35"/>
        <v/>
      </c>
      <c r="R230" s="1">
        <f>VLOOKUP(--J230,test3,11,FALSE)*K230+VLOOKUP(--L230,test3,11,FALSE)*M230+IF(N230="",0,VLOOKUP(--N230,test3,11,FALSE)*O230)+IF(P230="",0,VLOOKUP(--P230,test3,11,FALSE)*Q230)</f>
        <v>36</v>
      </c>
    </row>
    <row r="231" spans="2:18" x14ac:dyDescent="0.15">
      <c r="B231" s="1">
        <f>[1]item!$D230</f>
        <v>100229</v>
      </c>
      <c r="C231" s="1">
        <f>[1]item!$C230</f>
        <v>102041100</v>
      </c>
      <c r="D231" s="1">
        <f t="shared" si="28"/>
        <v>4</v>
      </c>
      <c r="E231" s="1">
        <f t="shared" si="29"/>
        <v>2</v>
      </c>
      <c r="F231" s="1">
        <f t="shared" si="30"/>
        <v>1</v>
      </c>
      <c r="G231" s="1" t="str">
        <f t="shared" si="27"/>
        <v>电击</v>
      </c>
      <c r="H231" s="1">
        <v>3</v>
      </c>
      <c r="I231" s="1" t="str">
        <f t="shared" si="31"/>
        <v>,50154,50066,50174</v>
      </c>
      <c r="J231" s="1" t="str">
        <f t="shared" si="32"/>
        <v>50154</v>
      </c>
      <c r="K231" s="1">
        <v>4</v>
      </c>
      <c r="L231" s="1" t="str">
        <f t="shared" si="33"/>
        <v>50066</v>
      </c>
      <c r="M231" s="1">
        <v>2</v>
      </c>
      <c r="N231" s="1" t="str">
        <f t="shared" si="34"/>
        <v>50174</v>
      </c>
      <c r="P231" s="1" t="str">
        <f t="shared" si="35"/>
        <v/>
      </c>
      <c r="R231" s="1">
        <f>VLOOKUP(--J231,test3,11,FALSE)*K231+VLOOKUP(--L231,test3,11,FALSE)*M231+IF(N231="",0,VLOOKUP(--N231,test3,11,FALSE)*O231)+IF(P231="",0,VLOOKUP(--P231,test3,11,FALSE)*Q231)</f>
        <v>81</v>
      </c>
    </row>
    <row r="232" spans="2:18" x14ac:dyDescent="0.15">
      <c r="B232" s="1">
        <f>[1]item!$D231</f>
        <v>100230</v>
      </c>
      <c r="C232" s="1">
        <f>[1]item!$C231</f>
        <v>102051100</v>
      </c>
      <c r="D232" s="1">
        <f t="shared" si="28"/>
        <v>5</v>
      </c>
      <c r="E232" s="1">
        <f t="shared" si="29"/>
        <v>2</v>
      </c>
      <c r="F232" s="1">
        <f t="shared" si="30"/>
        <v>1</v>
      </c>
      <c r="G232" s="1" t="str">
        <f t="shared" si="27"/>
        <v>电击</v>
      </c>
      <c r="H232" s="1">
        <v>3</v>
      </c>
      <c r="I232" s="1" t="str">
        <f t="shared" si="31"/>
        <v>,50014,50036,50022</v>
      </c>
      <c r="J232" s="1" t="str">
        <f t="shared" si="32"/>
        <v>50014</v>
      </c>
      <c r="K232" s="1">
        <v>4</v>
      </c>
      <c r="L232" s="1" t="str">
        <f t="shared" si="33"/>
        <v>50036</v>
      </c>
      <c r="M232" s="1">
        <v>2</v>
      </c>
      <c r="N232" s="1" t="str">
        <f t="shared" si="34"/>
        <v>50022</v>
      </c>
      <c r="P232" s="1" t="str">
        <f t="shared" si="35"/>
        <v/>
      </c>
      <c r="R232" s="1">
        <f>VLOOKUP(--J232,test3,11,FALSE)*K232+VLOOKUP(--L232,test3,11,FALSE)*M232+IF(N232="",0,VLOOKUP(--N232,test3,11,FALSE)*O232)+IF(P232="",0,VLOOKUP(--P232,test3,11,FALSE)*Q232)</f>
        <v>81</v>
      </c>
    </row>
    <row r="233" spans="2:18" x14ac:dyDescent="0.15">
      <c r="B233" s="1">
        <f>[1]item!$D232</f>
        <v>100231</v>
      </c>
      <c r="C233" s="1">
        <f>[1]item!$C232</f>
        <v>102061100</v>
      </c>
      <c r="D233" s="1">
        <f t="shared" si="28"/>
        <v>6</v>
      </c>
      <c r="E233" s="1">
        <f t="shared" si="29"/>
        <v>2</v>
      </c>
      <c r="F233" s="1">
        <f t="shared" si="30"/>
        <v>1</v>
      </c>
      <c r="G233" s="1" t="str">
        <f t="shared" si="27"/>
        <v>电击</v>
      </c>
      <c r="H233" s="1">
        <v>3</v>
      </c>
      <c r="I233" s="1" t="str">
        <f t="shared" si="31"/>
        <v>,50056,50151,50057</v>
      </c>
      <c r="J233" s="1" t="str">
        <f t="shared" si="32"/>
        <v>50056</v>
      </c>
      <c r="K233" s="1">
        <v>4</v>
      </c>
      <c r="L233" s="1" t="str">
        <f t="shared" si="33"/>
        <v>50151</v>
      </c>
      <c r="M233" s="1">
        <v>2</v>
      </c>
      <c r="N233" s="1" t="str">
        <f t="shared" si="34"/>
        <v>50057</v>
      </c>
      <c r="P233" s="1" t="str">
        <f t="shared" si="35"/>
        <v/>
      </c>
      <c r="R233" s="1">
        <f>VLOOKUP(--J233,test3,11,FALSE)*K233+VLOOKUP(--L233,test3,11,FALSE)*M233+IF(N233="",0,VLOOKUP(--N233,test3,11,FALSE)*O233)+IF(P233="",0,VLOOKUP(--P233,test3,11,FALSE)*Q233)</f>
        <v>36</v>
      </c>
    </row>
    <row r="234" spans="2:18" x14ac:dyDescent="0.15">
      <c r="B234" s="1">
        <f>[1]item!$D233</f>
        <v>100232</v>
      </c>
      <c r="C234" s="1">
        <f>[1]item!$C233</f>
        <v>102071100</v>
      </c>
      <c r="D234" s="1">
        <f t="shared" si="28"/>
        <v>7</v>
      </c>
      <c r="E234" s="1">
        <f t="shared" si="29"/>
        <v>2</v>
      </c>
      <c r="F234" s="1">
        <f t="shared" si="30"/>
        <v>1</v>
      </c>
      <c r="G234" s="1" t="str">
        <f t="shared" si="27"/>
        <v>电击</v>
      </c>
      <c r="H234" s="1">
        <v>3</v>
      </c>
      <c r="I234" s="1" t="str">
        <f t="shared" si="31"/>
        <v>,50098,50143,50025</v>
      </c>
      <c r="J234" s="1" t="str">
        <f t="shared" si="32"/>
        <v>50098</v>
      </c>
      <c r="K234" s="1">
        <v>4</v>
      </c>
      <c r="L234" s="1" t="str">
        <f t="shared" si="33"/>
        <v>50143</v>
      </c>
      <c r="M234" s="1">
        <v>2</v>
      </c>
      <c r="N234" s="1" t="str">
        <f t="shared" si="34"/>
        <v>50025</v>
      </c>
      <c r="P234" s="1" t="str">
        <f t="shared" si="35"/>
        <v/>
      </c>
      <c r="R234" s="1">
        <f>VLOOKUP(--J234,test3,11,FALSE)*K234+VLOOKUP(--L234,test3,11,FALSE)*M234+IF(N234="",0,VLOOKUP(--N234,test3,11,FALSE)*O234)+IF(P234="",0,VLOOKUP(--P234,test3,11,FALSE)*Q234)</f>
        <v>81</v>
      </c>
    </row>
    <row r="235" spans="2:18" x14ac:dyDescent="0.15">
      <c r="B235" s="1">
        <f>[1]item!$D234</f>
        <v>100233</v>
      </c>
      <c r="C235" s="1">
        <f>[1]item!$C234</f>
        <v>102081100</v>
      </c>
      <c r="D235" s="1">
        <f t="shared" si="28"/>
        <v>8</v>
      </c>
      <c r="E235" s="1">
        <f t="shared" si="29"/>
        <v>2</v>
      </c>
      <c r="F235" s="1">
        <f t="shared" si="30"/>
        <v>1</v>
      </c>
      <c r="G235" s="1" t="str">
        <f t="shared" si="27"/>
        <v>电击</v>
      </c>
      <c r="H235" s="1">
        <v>3</v>
      </c>
      <c r="I235" s="1" t="str">
        <f t="shared" si="31"/>
        <v>,50136,50053,50111</v>
      </c>
      <c r="J235" s="1" t="str">
        <f t="shared" si="32"/>
        <v>50136</v>
      </c>
      <c r="K235" s="1">
        <v>4</v>
      </c>
      <c r="L235" s="1" t="str">
        <f t="shared" si="33"/>
        <v>50053</v>
      </c>
      <c r="M235" s="1">
        <v>2</v>
      </c>
      <c r="N235" s="1" t="str">
        <f t="shared" si="34"/>
        <v>50111</v>
      </c>
      <c r="P235" s="1" t="str">
        <f t="shared" si="35"/>
        <v/>
      </c>
      <c r="R235" s="1">
        <f>VLOOKUP(--J235,test3,11,FALSE)*K235+VLOOKUP(--L235,test3,11,FALSE)*M235+IF(N235="",0,VLOOKUP(--N235,test3,11,FALSE)*O235)+IF(P235="",0,VLOOKUP(--P235,test3,11,FALSE)*Q235)</f>
        <v>36</v>
      </c>
    </row>
    <row r="236" spans="2:18" x14ac:dyDescent="0.15">
      <c r="B236" s="1">
        <f>[1]item!$D235</f>
        <v>100234</v>
      </c>
      <c r="C236" s="1">
        <f>[1]item!$C235</f>
        <v>102091100</v>
      </c>
      <c r="D236" s="1">
        <f t="shared" si="28"/>
        <v>9</v>
      </c>
      <c r="E236" s="1">
        <f t="shared" si="29"/>
        <v>2</v>
      </c>
      <c r="F236" s="1">
        <f t="shared" si="30"/>
        <v>1</v>
      </c>
      <c r="G236" s="1" t="str">
        <f t="shared" si="27"/>
        <v>电击</v>
      </c>
      <c r="H236" s="1">
        <v>3</v>
      </c>
      <c r="I236" s="1" t="str">
        <f t="shared" si="31"/>
        <v>,50154,50066,50174</v>
      </c>
      <c r="J236" s="1" t="str">
        <f t="shared" si="32"/>
        <v>50154</v>
      </c>
      <c r="K236" s="1">
        <v>4</v>
      </c>
      <c r="L236" s="1" t="str">
        <f t="shared" si="33"/>
        <v>50066</v>
      </c>
      <c r="M236" s="1">
        <v>2</v>
      </c>
      <c r="N236" s="1" t="str">
        <f t="shared" si="34"/>
        <v>50174</v>
      </c>
      <c r="P236" s="1" t="str">
        <f t="shared" si="35"/>
        <v/>
      </c>
      <c r="R236" s="1">
        <f>VLOOKUP(--J236,test3,11,FALSE)*K236+VLOOKUP(--L236,test3,11,FALSE)*M236+IF(N236="",0,VLOOKUP(--N236,test3,11,FALSE)*O236)+IF(P236="",0,VLOOKUP(--P236,test3,11,FALSE)*Q236)</f>
        <v>81</v>
      </c>
    </row>
    <row r="237" spans="2:18" x14ac:dyDescent="0.15">
      <c r="B237" s="1">
        <f>[1]item!$D236</f>
        <v>100235</v>
      </c>
      <c r="C237" s="1">
        <f>[1]item!$C236</f>
        <v>102011200</v>
      </c>
      <c r="D237" s="1">
        <f t="shared" si="28"/>
        <v>1</v>
      </c>
      <c r="E237" s="1">
        <f t="shared" si="29"/>
        <v>2</v>
      </c>
      <c r="F237" s="1">
        <f t="shared" si="30"/>
        <v>1</v>
      </c>
      <c r="G237" s="1" t="str">
        <f t="shared" si="27"/>
        <v>冷却</v>
      </c>
      <c r="H237" s="1">
        <v>3</v>
      </c>
      <c r="I237" s="1" t="str">
        <f t="shared" si="31"/>
        <v>,50151,50153,50147</v>
      </c>
      <c r="J237" s="1" t="str">
        <f t="shared" si="32"/>
        <v>50151</v>
      </c>
      <c r="K237" s="1">
        <v>4</v>
      </c>
      <c r="L237" s="1" t="str">
        <f t="shared" si="33"/>
        <v>50153</v>
      </c>
      <c r="M237" s="1">
        <v>2</v>
      </c>
      <c r="N237" s="1" t="str">
        <f t="shared" si="34"/>
        <v>50147</v>
      </c>
      <c r="P237" s="1" t="str">
        <f t="shared" si="35"/>
        <v/>
      </c>
      <c r="R237" s="1">
        <f>VLOOKUP(--J237,test3,11,FALSE)*K237+VLOOKUP(--L237,test3,11,FALSE)*M237+IF(N237="",0,VLOOKUP(--N237,test3,11,FALSE)*O237)+IF(P237="",0,VLOOKUP(--P237,test3,11,FALSE)*Q237)</f>
        <v>51</v>
      </c>
    </row>
    <row r="238" spans="2:18" x14ac:dyDescent="0.15">
      <c r="B238" s="1">
        <f>[1]item!$D237</f>
        <v>100236</v>
      </c>
      <c r="C238" s="1">
        <f>[1]item!$C237</f>
        <v>102021200</v>
      </c>
      <c r="D238" s="1">
        <f t="shared" si="28"/>
        <v>2</v>
      </c>
      <c r="E238" s="1">
        <f t="shared" si="29"/>
        <v>2</v>
      </c>
      <c r="F238" s="1">
        <f t="shared" si="30"/>
        <v>1</v>
      </c>
      <c r="G238" s="1" t="str">
        <f t="shared" si="27"/>
        <v>冷却</v>
      </c>
      <c r="H238" s="1">
        <v>3</v>
      </c>
      <c r="I238" s="1" t="str">
        <f t="shared" si="31"/>
        <v>,50187,50091,50016</v>
      </c>
      <c r="J238" s="1" t="str">
        <f t="shared" si="32"/>
        <v>50187</v>
      </c>
      <c r="K238" s="1">
        <v>4</v>
      </c>
      <c r="L238" s="1" t="str">
        <f t="shared" si="33"/>
        <v>50091</v>
      </c>
      <c r="M238" s="1">
        <v>2</v>
      </c>
      <c r="N238" s="1" t="str">
        <f t="shared" si="34"/>
        <v>50016</v>
      </c>
      <c r="P238" s="1" t="str">
        <f t="shared" si="35"/>
        <v/>
      </c>
      <c r="R238" s="1">
        <f>VLOOKUP(--J238,test3,11,FALSE)*K238+VLOOKUP(--L238,test3,11,FALSE)*M238+IF(N238="",0,VLOOKUP(--N238,test3,11,FALSE)*O238)+IF(P238="",0,VLOOKUP(--P238,test3,11,FALSE)*Q238)</f>
        <v>36</v>
      </c>
    </row>
    <row r="239" spans="2:18" x14ac:dyDescent="0.15">
      <c r="B239" s="1">
        <f>[1]item!$D238</f>
        <v>100237</v>
      </c>
      <c r="C239" s="1">
        <f>[1]item!$C238</f>
        <v>102031200</v>
      </c>
      <c r="D239" s="1">
        <f t="shared" si="28"/>
        <v>3</v>
      </c>
      <c r="E239" s="1">
        <f t="shared" si="29"/>
        <v>2</v>
      </c>
      <c r="F239" s="1">
        <f t="shared" si="30"/>
        <v>1</v>
      </c>
      <c r="G239" s="1" t="str">
        <f t="shared" si="27"/>
        <v>冷却</v>
      </c>
      <c r="H239" s="1">
        <v>3</v>
      </c>
      <c r="I239" s="1" t="str">
        <f t="shared" si="31"/>
        <v>,50020,50018,50090</v>
      </c>
      <c r="J239" s="1" t="str">
        <f t="shared" si="32"/>
        <v>50020</v>
      </c>
      <c r="K239" s="1">
        <v>4</v>
      </c>
      <c r="L239" s="1" t="str">
        <f t="shared" si="33"/>
        <v>50018</v>
      </c>
      <c r="M239" s="1">
        <v>2</v>
      </c>
      <c r="N239" s="1" t="str">
        <f t="shared" si="34"/>
        <v>50090</v>
      </c>
      <c r="P239" s="1" t="str">
        <f t="shared" si="35"/>
        <v/>
      </c>
      <c r="R239" s="1">
        <f>VLOOKUP(--J239,test3,11,FALSE)*K239+VLOOKUP(--L239,test3,11,FALSE)*M239+IF(N239="",0,VLOOKUP(--N239,test3,11,FALSE)*O239)+IF(P239="",0,VLOOKUP(--P239,test3,11,FALSE)*Q239)</f>
        <v>81</v>
      </c>
    </row>
    <row r="240" spans="2:18" x14ac:dyDescent="0.15">
      <c r="B240" s="1">
        <f>[1]item!$D239</f>
        <v>100238</v>
      </c>
      <c r="C240" s="1">
        <f>[1]item!$C239</f>
        <v>102041200</v>
      </c>
      <c r="D240" s="1">
        <f t="shared" si="28"/>
        <v>4</v>
      </c>
      <c r="E240" s="1">
        <f t="shared" si="29"/>
        <v>2</v>
      </c>
      <c r="F240" s="1">
        <f t="shared" si="30"/>
        <v>1</v>
      </c>
      <c r="G240" s="1" t="str">
        <f t="shared" si="27"/>
        <v>冷却</v>
      </c>
      <c r="H240" s="1">
        <v>3</v>
      </c>
      <c r="I240" s="1" t="str">
        <f t="shared" si="31"/>
        <v>,50129,50175,50172</v>
      </c>
      <c r="J240" s="1" t="str">
        <f t="shared" si="32"/>
        <v>50129</v>
      </c>
      <c r="K240" s="1">
        <v>4</v>
      </c>
      <c r="L240" s="1" t="str">
        <f t="shared" si="33"/>
        <v>50175</v>
      </c>
      <c r="M240" s="1">
        <v>2</v>
      </c>
      <c r="N240" s="1" t="str">
        <f t="shared" si="34"/>
        <v>50172</v>
      </c>
      <c r="P240" s="1" t="str">
        <f t="shared" si="35"/>
        <v/>
      </c>
      <c r="R240" s="1">
        <f>VLOOKUP(--J240,test3,11,FALSE)*K240+VLOOKUP(--L240,test3,11,FALSE)*M240+IF(N240="",0,VLOOKUP(--N240,test3,11,FALSE)*O240)+IF(P240="",0,VLOOKUP(--P240,test3,11,FALSE)*Q240)</f>
        <v>81</v>
      </c>
    </row>
    <row r="241" spans="2:18" x14ac:dyDescent="0.15">
      <c r="B241" s="1">
        <f>[1]item!$D240</f>
        <v>100239</v>
      </c>
      <c r="C241" s="1">
        <f>[1]item!$C240</f>
        <v>102051200</v>
      </c>
      <c r="D241" s="1">
        <f t="shared" si="28"/>
        <v>5</v>
      </c>
      <c r="E241" s="1">
        <f t="shared" si="29"/>
        <v>2</v>
      </c>
      <c r="F241" s="1">
        <f t="shared" si="30"/>
        <v>1</v>
      </c>
      <c r="G241" s="1" t="str">
        <f t="shared" si="27"/>
        <v>冷却</v>
      </c>
      <c r="H241" s="1">
        <v>3</v>
      </c>
      <c r="I241" s="1" t="str">
        <f t="shared" si="31"/>
        <v>,50089,50053,50020</v>
      </c>
      <c r="J241" s="1" t="str">
        <f t="shared" si="32"/>
        <v>50089</v>
      </c>
      <c r="K241" s="1">
        <v>4</v>
      </c>
      <c r="L241" s="1" t="str">
        <f t="shared" si="33"/>
        <v>50053</v>
      </c>
      <c r="M241" s="1">
        <v>2</v>
      </c>
      <c r="N241" s="1" t="str">
        <f t="shared" si="34"/>
        <v>50020</v>
      </c>
      <c r="P241" s="1" t="str">
        <f t="shared" si="35"/>
        <v/>
      </c>
      <c r="R241" s="1">
        <f>VLOOKUP(--J241,test3,11,FALSE)*K241+VLOOKUP(--L241,test3,11,FALSE)*M241+IF(N241="",0,VLOOKUP(--N241,test3,11,FALSE)*O241)+IF(P241="",0,VLOOKUP(--P241,test3,11,FALSE)*Q241)</f>
        <v>66</v>
      </c>
    </row>
    <row r="242" spans="2:18" x14ac:dyDescent="0.15">
      <c r="B242" s="1">
        <f>[1]item!$D241</f>
        <v>100240</v>
      </c>
      <c r="C242" s="1">
        <f>[1]item!$C241</f>
        <v>102061200</v>
      </c>
      <c r="D242" s="1">
        <f t="shared" si="28"/>
        <v>6</v>
      </c>
      <c r="E242" s="1">
        <f t="shared" si="29"/>
        <v>2</v>
      </c>
      <c r="F242" s="1">
        <f t="shared" si="30"/>
        <v>1</v>
      </c>
      <c r="G242" s="1" t="str">
        <f t="shared" si="27"/>
        <v>冷却</v>
      </c>
      <c r="H242" s="1">
        <v>3</v>
      </c>
      <c r="I242" s="1" t="str">
        <f t="shared" si="31"/>
        <v>,50064,50172,50118</v>
      </c>
      <c r="J242" s="1" t="str">
        <f t="shared" si="32"/>
        <v>50064</v>
      </c>
      <c r="K242" s="1">
        <v>4</v>
      </c>
      <c r="L242" s="1" t="str">
        <f t="shared" si="33"/>
        <v>50172</v>
      </c>
      <c r="M242" s="1">
        <v>2</v>
      </c>
      <c r="N242" s="1" t="str">
        <f t="shared" si="34"/>
        <v>50118</v>
      </c>
      <c r="P242" s="1" t="str">
        <f t="shared" si="35"/>
        <v/>
      </c>
      <c r="R242" s="1">
        <f>VLOOKUP(--J242,test3,11,FALSE)*K242+VLOOKUP(--L242,test3,11,FALSE)*M242+IF(N242="",0,VLOOKUP(--N242,test3,11,FALSE)*O242)+IF(P242="",0,VLOOKUP(--P242,test3,11,FALSE)*Q242)</f>
        <v>51</v>
      </c>
    </row>
    <row r="243" spans="2:18" x14ac:dyDescent="0.15">
      <c r="B243" s="1">
        <f>[1]item!$D242</f>
        <v>100241</v>
      </c>
      <c r="C243" s="1">
        <f>[1]item!$C242</f>
        <v>102071200</v>
      </c>
      <c r="D243" s="1">
        <f t="shared" si="28"/>
        <v>7</v>
      </c>
      <c r="E243" s="1">
        <f t="shared" si="29"/>
        <v>2</v>
      </c>
      <c r="F243" s="1">
        <f t="shared" si="30"/>
        <v>1</v>
      </c>
      <c r="G243" s="1" t="str">
        <f t="shared" si="27"/>
        <v>冷却</v>
      </c>
      <c r="H243" s="1">
        <v>3</v>
      </c>
      <c r="I243" s="1" t="str">
        <f t="shared" si="31"/>
        <v>,50136,50053,50111</v>
      </c>
      <c r="J243" s="1" t="str">
        <f t="shared" si="32"/>
        <v>50136</v>
      </c>
      <c r="K243" s="1">
        <v>4</v>
      </c>
      <c r="L243" s="1" t="str">
        <f t="shared" si="33"/>
        <v>50053</v>
      </c>
      <c r="M243" s="1">
        <v>2</v>
      </c>
      <c r="N243" s="1" t="str">
        <f t="shared" si="34"/>
        <v>50111</v>
      </c>
      <c r="P243" s="1" t="str">
        <f t="shared" si="35"/>
        <v/>
      </c>
      <c r="R243" s="1">
        <f>VLOOKUP(--J243,test3,11,FALSE)*K243+VLOOKUP(--L243,test3,11,FALSE)*M243+IF(N243="",0,VLOOKUP(--N243,test3,11,FALSE)*O243)+IF(P243="",0,VLOOKUP(--P243,test3,11,FALSE)*Q243)</f>
        <v>36</v>
      </c>
    </row>
    <row r="244" spans="2:18" x14ac:dyDescent="0.15">
      <c r="B244" s="1">
        <f>[1]item!$D243</f>
        <v>100242</v>
      </c>
      <c r="C244" s="1">
        <f>[1]item!$C243</f>
        <v>102081200</v>
      </c>
      <c r="D244" s="1">
        <f t="shared" si="28"/>
        <v>8</v>
      </c>
      <c r="E244" s="1">
        <f t="shared" si="29"/>
        <v>2</v>
      </c>
      <c r="F244" s="1">
        <f t="shared" si="30"/>
        <v>1</v>
      </c>
      <c r="G244" s="1" t="str">
        <f t="shared" si="27"/>
        <v>冷却</v>
      </c>
      <c r="H244" s="1">
        <v>3</v>
      </c>
      <c r="I244" s="1" t="str">
        <f t="shared" si="31"/>
        <v>,50126,50019,50124</v>
      </c>
      <c r="J244" s="1" t="str">
        <f t="shared" si="32"/>
        <v>50126</v>
      </c>
      <c r="K244" s="1">
        <v>4</v>
      </c>
      <c r="L244" s="1" t="str">
        <f t="shared" si="33"/>
        <v>50019</v>
      </c>
      <c r="M244" s="1">
        <v>2</v>
      </c>
      <c r="N244" s="1" t="str">
        <f t="shared" si="34"/>
        <v>50124</v>
      </c>
      <c r="P244" s="1" t="str">
        <f t="shared" si="35"/>
        <v/>
      </c>
      <c r="R244" s="1">
        <f>VLOOKUP(--J244,test3,11,FALSE)*K244+VLOOKUP(--L244,test3,11,FALSE)*M244+IF(N244="",0,VLOOKUP(--N244,test3,11,FALSE)*O244)+IF(P244="",0,VLOOKUP(--P244,test3,11,FALSE)*Q244)</f>
        <v>81</v>
      </c>
    </row>
    <row r="245" spans="2:18" x14ac:dyDescent="0.15">
      <c r="B245" s="1">
        <f>[1]item!$D244</f>
        <v>100243</v>
      </c>
      <c r="C245" s="1">
        <f>[1]item!$C244</f>
        <v>102091200</v>
      </c>
      <c r="D245" s="1">
        <f t="shared" si="28"/>
        <v>9</v>
      </c>
      <c r="E245" s="1">
        <f t="shared" si="29"/>
        <v>2</v>
      </c>
      <c r="F245" s="1">
        <f t="shared" si="30"/>
        <v>1</v>
      </c>
      <c r="G245" s="1" t="str">
        <f t="shared" si="27"/>
        <v>冷却</v>
      </c>
      <c r="H245" s="1">
        <v>3</v>
      </c>
      <c r="I245" s="1" t="str">
        <f t="shared" si="31"/>
        <v>,50064,50018,50024</v>
      </c>
      <c r="J245" s="1" t="str">
        <f t="shared" si="32"/>
        <v>50064</v>
      </c>
      <c r="K245" s="1">
        <v>4</v>
      </c>
      <c r="L245" s="1" t="str">
        <f t="shared" si="33"/>
        <v>50018</v>
      </c>
      <c r="M245" s="1">
        <v>2</v>
      </c>
      <c r="N245" s="1" t="str">
        <f t="shared" si="34"/>
        <v>50024</v>
      </c>
      <c r="P245" s="1" t="str">
        <f t="shared" si="35"/>
        <v/>
      </c>
      <c r="R245" s="1">
        <f>VLOOKUP(--J245,test3,11,FALSE)*K245+VLOOKUP(--L245,test3,11,FALSE)*M245+IF(N245="",0,VLOOKUP(--N245,test3,11,FALSE)*O245)+IF(P245="",0,VLOOKUP(--P245,test3,11,FALSE)*Q245)</f>
        <v>51</v>
      </c>
    </row>
    <row r="246" spans="2:18" x14ac:dyDescent="0.15">
      <c r="B246" s="1">
        <f>[1]item!$D245</f>
        <v>100244</v>
      </c>
      <c r="C246" s="1">
        <f>[1]item!$C245</f>
        <v>102011300</v>
      </c>
      <c r="D246" s="1">
        <f t="shared" si="28"/>
        <v>1</v>
      </c>
      <c r="E246" s="1">
        <f t="shared" si="29"/>
        <v>2</v>
      </c>
      <c r="F246" s="1">
        <f t="shared" si="30"/>
        <v>1</v>
      </c>
      <c r="G246" s="1" t="str">
        <f t="shared" si="27"/>
        <v>地脉</v>
      </c>
      <c r="H246" s="1">
        <v>3</v>
      </c>
      <c r="I246" s="1" t="str">
        <f t="shared" si="31"/>
        <v>,50136,50018,50028</v>
      </c>
      <c r="J246" s="1" t="str">
        <f t="shared" si="32"/>
        <v>50136</v>
      </c>
      <c r="K246" s="1">
        <v>4</v>
      </c>
      <c r="L246" s="1" t="str">
        <f t="shared" si="33"/>
        <v>50018</v>
      </c>
      <c r="M246" s="1">
        <v>2</v>
      </c>
      <c r="N246" s="1" t="str">
        <f t="shared" si="34"/>
        <v>50028</v>
      </c>
      <c r="P246" s="1" t="str">
        <f t="shared" si="35"/>
        <v/>
      </c>
      <c r="R246" s="1">
        <f>VLOOKUP(--J246,test3,11,FALSE)*K246+VLOOKUP(--L246,test3,11,FALSE)*M246+IF(N246="",0,VLOOKUP(--N246,test3,11,FALSE)*O246)+IF(P246="",0,VLOOKUP(--P246,test3,11,FALSE)*Q246)</f>
        <v>51</v>
      </c>
    </row>
    <row r="247" spans="2:18" x14ac:dyDescent="0.15">
      <c r="B247" s="1">
        <f>[1]item!$D246</f>
        <v>100245</v>
      </c>
      <c r="C247" s="1">
        <f>[1]item!$C246</f>
        <v>102021300</v>
      </c>
      <c r="D247" s="1">
        <f t="shared" si="28"/>
        <v>2</v>
      </c>
      <c r="E247" s="1">
        <f t="shared" si="29"/>
        <v>2</v>
      </c>
      <c r="F247" s="1">
        <f t="shared" si="30"/>
        <v>1</v>
      </c>
      <c r="G247" s="1" t="str">
        <f t="shared" si="27"/>
        <v>地脉</v>
      </c>
      <c r="H247" s="1">
        <v>3</v>
      </c>
      <c r="I247" s="1" t="str">
        <f t="shared" si="31"/>
        <v>,50124,50032,50028</v>
      </c>
      <c r="J247" s="1" t="str">
        <f t="shared" si="32"/>
        <v>50124</v>
      </c>
      <c r="K247" s="1">
        <v>4</v>
      </c>
      <c r="L247" s="1" t="str">
        <f t="shared" si="33"/>
        <v>50032</v>
      </c>
      <c r="M247" s="1">
        <v>2</v>
      </c>
      <c r="N247" s="1" t="str">
        <f t="shared" si="34"/>
        <v>50028</v>
      </c>
      <c r="P247" s="1" t="str">
        <f t="shared" si="35"/>
        <v/>
      </c>
      <c r="R247" s="1">
        <f>VLOOKUP(--J247,test3,11,FALSE)*K247+VLOOKUP(--L247,test3,11,FALSE)*M247+IF(N247="",0,VLOOKUP(--N247,test3,11,FALSE)*O247)+IF(P247="",0,VLOOKUP(--P247,test3,11,FALSE)*Q247)</f>
        <v>81</v>
      </c>
    </row>
    <row r="248" spans="2:18" x14ac:dyDescent="0.15">
      <c r="B248" s="1">
        <f>[1]item!$D247</f>
        <v>100246</v>
      </c>
      <c r="C248" s="1">
        <f>[1]item!$C247</f>
        <v>102031300</v>
      </c>
      <c r="D248" s="1">
        <f t="shared" si="28"/>
        <v>3</v>
      </c>
      <c r="E248" s="1">
        <f t="shared" si="29"/>
        <v>2</v>
      </c>
      <c r="F248" s="1">
        <f t="shared" si="30"/>
        <v>1</v>
      </c>
      <c r="G248" s="1" t="str">
        <f t="shared" si="27"/>
        <v>地脉</v>
      </c>
      <c r="H248" s="1">
        <v>3</v>
      </c>
      <c r="I248" s="1" t="str">
        <f t="shared" si="31"/>
        <v>,50138,50129,50175</v>
      </c>
      <c r="J248" s="1" t="str">
        <f t="shared" si="32"/>
        <v>50138</v>
      </c>
      <c r="K248" s="1">
        <v>4</v>
      </c>
      <c r="L248" s="1" t="str">
        <f t="shared" si="33"/>
        <v>50129</v>
      </c>
      <c r="M248" s="1">
        <v>2</v>
      </c>
      <c r="N248" s="1" t="str">
        <f t="shared" si="34"/>
        <v>50175</v>
      </c>
      <c r="P248" s="1" t="str">
        <f t="shared" si="35"/>
        <v/>
      </c>
      <c r="R248" s="1">
        <f>VLOOKUP(--J248,test3,11,FALSE)*K248+VLOOKUP(--L248,test3,11,FALSE)*M248+IF(N248="",0,VLOOKUP(--N248,test3,11,FALSE)*O248)+IF(P248="",0,VLOOKUP(--P248,test3,11,FALSE)*Q248)</f>
        <v>51</v>
      </c>
    </row>
    <row r="249" spans="2:18" x14ac:dyDescent="0.15">
      <c r="B249" s="1">
        <f>[1]item!$D248</f>
        <v>100247</v>
      </c>
      <c r="C249" s="1">
        <f>[1]item!$C248</f>
        <v>102041300</v>
      </c>
      <c r="D249" s="1">
        <f t="shared" si="28"/>
        <v>4</v>
      </c>
      <c r="E249" s="1">
        <f t="shared" si="29"/>
        <v>2</v>
      </c>
      <c r="F249" s="1">
        <f t="shared" si="30"/>
        <v>1</v>
      </c>
      <c r="G249" s="1" t="str">
        <f t="shared" si="27"/>
        <v>地脉</v>
      </c>
      <c r="H249" s="1">
        <v>3</v>
      </c>
      <c r="I249" s="1" t="str">
        <f t="shared" si="31"/>
        <v>,50096,50187,50079</v>
      </c>
      <c r="J249" s="1" t="str">
        <f t="shared" si="32"/>
        <v>50096</v>
      </c>
      <c r="K249" s="1">
        <v>4</v>
      </c>
      <c r="L249" s="1" t="str">
        <f t="shared" si="33"/>
        <v>50187</v>
      </c>
      <c r="M249" s="1">
        <v>2</v>
      </c>
      <c r="N249" s="1" t="str">
        <f t="shared" si="34"/>
        <v>50079</v>
      </c>
      <c r="P249" s="1" t="str">
        <f t="shared" si="35"/>
        <v/>
      </c>
      <c r="R249" s="1">
        <f>VLOOKUP(--J249,test3,11,FALSE)*K249+VLOOKUP(--L249,test3,11,FALSE)*M249+IF(N249="",0,VLOOKUP(--N249,test3,11,FALSE)*O249)+IF(P249="",0,VLOOKUP(--P249,test3,11,FALSE)*Q249)</f>
        <v>36</v>
      </c>
    </row>
    <row r="250" spans="2:18" x14ac:dyDescent="0.15">
      <c r="B250" s="1">
        <f>[1]item!$D249</f>
        <v>100248</v>
      </c>
      <c r="C250" s="1">
        <f>[1]item!$C249</f>
        <v>102051300</v>
      </c>
      <c r="D250" s="1">
        <f t="shared" si="28"/>
        <v>5</v>
      </c>
      <c r="E250" s="1">
        <f t="shared" si="29"/>
        <v>2</v>
      </c>
      <c r="F250" s="1">
        <f t="shared" si="30"/>
        <v>1</v>
      </c>
      <c r="G250" s="1" t="str">
        <f t="shared" si="27"/>
        <v>地脉</v>
      </c>
      <c r="H250" s="1">
        <v>3</v>
      </c>
      <c r="I250" s="1" t="str">
        <f t="shared" si="31"/>
        <v>,50093,50094,50117</v>
      </c>
      <c r="J250" s="1" t="str">
        <f t="shared" si="32"/>
        <v>50093</v>
      </c>
      <c r="K250" s="1">
        <v>4</v>
      </c>
      <c r="L250" s="1" t="str">
        <f t="shared" si="33"/>
        <v>50094</v>
      </c>
      <c r="M250" s="1">
        <v>2</v>
      </c>
      <c r="N250" s="1" t="str">
        <f t="shared" si="34"/>
        <v>50117</v>
      </c>
      <c r="P250" s="1" t="str">
        <f t="shared" si="35"/>
        <v/>
      </c>
      <c r="R250" s="1">
        <f>VLOOKUP(--J250,test3,11,FALSE)*K250+VLOOKUP(--L250,test3,11,FALSE)*M250+IF(N250="",0,VLOOKUP(--N250,test3,11,FALSE)*O250)+IF(P250="",0,VLOOKUP(--P250,test3,11,FALSE)*Q250)</f>
        <v>36</v>
      </c>
    </row>
    <row r="251" spans="2:18" x14ac:dyDescent="0.15">
      <c r="B251" s="1">
        <f>[1]item!$D250</f>
        <v>100249</v>
      </c>
      <c r="C251" s="1">
        <f>[1]item!$C250</f>
        <v>102061300</v>
      </c>
      <c r="D251" s="1">
        <f t="shared" si="28"/>
        <v>6</v>
      </c>
      <c r="E251" s="1">
        <f t="shared" si="29"/>
        <v>2</v>
      </c>
      <c r="F251" s="1">
        <f t="shared" si="30"/>
        <v>1</v>
      </c>
      <c r="G251" s="1" t="str">
        <f t="shared" si="27"/>
        <v>地脉</v>
      </c>
      <c r="H251" s="1">
        <v>3</v>
      </c>
      <c r="I251" s="1" t="str">
        <f t="shared" si="31"/>
        <v>,50128,50120,50053</v>
      </c>
      <c r="J251" s="1" t="str">
        <f t="shared" si="32"/>
        <v>50128</v>
      </c>
      <c r="K251" s="1">
        <v>4</v>
      </c>
      <c r="L251" s="1" t="str">
        <f t="shared" si="33"/>
        <v>50120</v>
      </c>
      <c r="M251" s="1">
        <v>2</v>
      </c>
      <c r="N251" s="1" t="str">
        <f t="shared" si="34"/>
        <v>50053</v>
      </c>
      <c r="P251" s="1" t="str">
        <f t="shared" si="35"/>
        <v/>
      </c>
      <c r="R251" s="1">
        <f>VLOOKUP(--J251,test3,11,FALSE)*K251+VLOOKUP(--L251,test3,11,FALSE)*M251+IF(N251="",0,VLOOKUP(--N251,test3,11,FALSE)*O251)+IF(P251="",0,VLOOKUP(--P251,test3,11,FALSE)*Q251)</f>
        <v>81</v>
      </c>
    </row>
    <row r="252" spans="2:18" x14ac:dyDescent="0.15">
      <c r="B252" s="1">
        <f>[1]item!$D251</f>
        <v>100250</v>
      </c>
      <c r="C252" s="1">
        <f>[1]item!$C251</f>
        <v>102071300</v>
      </c>
      <c r="D252" s="1">
        <f t="shared" si="28"/>
        <v>7</v>
      </c>
      <c r="E252" s="1">
        <f t="shared" si="29"/>
        <v>2</v>
      </c>
      <c r="F252" s="1">
        <f t="shared" si="30"/>
        <v>1</v>
      </c>
      <c r="G252" s="1" t="str">
        <f t="shared" si="27"/>
        <v>地脉</v>
      </c>
      <c r="H252" s="1">
        <v>3</v>
      </c>
      <c r="I252" s="1" t="str">
        <f t="shared" si="31"/>
        <v>,50089,50118,50002</v>
      </c>
      <c r="J252" s="1" t="str">
        <f t="shared" si="32"/>
        <v>50089</v>
      </c>
      <c r="K252" s="1">
        <v>4</v>
      </c>
      <c r="L252" s="1" t="str">
        <f t="shared" si="33"/>
        <v>50118</v>
      </c>
      <c r="M252" s="1">
        <v>2</v>
      </c>
      <c r="N252" s="1" t="str">
        <f t="shared" si="34"/>
        <v>50002</v>
      </c>
      <c r="P252" s="1" t="str">
        <f t="shared" si="35"/>
        <v/>
      </c>
      <c r="R252" s="1">
        <f>VLOOKUP(--J252,test3,11,FALSE)*K252+VLOOKUP(--L252,test3,11,FALSE)*M252+IF(N252="",0,VLOOKUP(--N252,test3,11,FALSE)*O252)+IF(P252="",0,VLOOKUP(--P252,test3,11,FALSE)*Q252)</f>
        <v>81</v>
      </c>
    </row>
    <row r="253" spans="2:18" x14ac:dyDescent="0.15">
      <c r="B253" s="1">
        <f>[1]item!$D252</f>
        <v>100251</v>
      </c>
      <c r="C253" s="1">
        <f>[1]item!$C252</f>
        <v>102081300</v>
      </c>
      <c r="D253" s="1">
        <f t="shared" si="28"/>
        <v>8</v>
      </c>
      <c r="E253" s="1">
        <f t="shared" si="29"/>
        <v>2</v>
      </c>
      <c r="F253" s="1">
        <f t="shared" si="30"/>
        <v>1</v>
      </c>
      <c r="G253" s="1" t="str">
        <f t="shared" si="27"/>
        <v>地脉</v>
      </c>
      <c r="H253" s="1">
        <v>3</v>
      </c>
      <c r="I253" s="1" t="str">
        <f t="shared" si="31"/>
        <v>,50011,50063,50020</v>
      </c>
      <c r="J253" s="1" t="str">
        <f t="shared" si="32"/>
        <v>50011</v>
      </c>
      <c r="K253" s="1">
        <v>4</v>
      </c>
      <c r="L253" s="1" t="str">
        <f t="shared" si="33"/>
        <v>50063</v>
      </c>
      <c r="M253" s="1">
        <v>2</v>
      </c>
      <c r="N253" s="1" t="str">
        <f t="shared" si="34"/>
        <v>50020</v>
      </c>
      <c r="P253" s="1" t="str">
        <f t="shared" si="35"/>
        <v/>
      </c>
      <c r="R253" s="1">
        <f>VLOOKUP(--J253,test3,11,FALSE)*K253+VLOOKUP(--L253,test3,11,FALSE)*M253+IF(N253="",0,VLOOKUP(--N253,test3,11,FALSE)*O253)+IF(P253="",0,VLOOKUP(--P253,test3,11,FALSE)*Q253)</f>
        <v>66</v>
      </c>
    </row>
    <row r="254" spans="2:18" x14ac:dyDescent="0.15">
      <c r="B254" s="1">
        <f>[1]item!$D253</f>
        <v>100252</v>
      </c>
      <c r="C254" s="1">
        <f>[1]item!$C253</f>
        <v>102091300</v>
      </c>
      <c r="D254" s="1">
        <f t="shared" si="28"/>
        <v>9</v>
      </c>
      <c r="E254" s="1">
        <f t="shared" si="29"/>
        <v>2</v>
      </c>
      <c r="F254" s="1">
        <f t="shared" si="30"/>
        <v>1</v>
      </c>
      <c r="G254" s="1" t="str">
        <f t="shared" si="27"/>
        <v>地脉</v>
      </c>
      <c r="H254" s="1">
        <v>3</v>
      </c>
      <c r="I254" s="1" t="str">
        <f t="shared" si="31"/>
        <v>,50102,50122,50030</v>
      </c>
      <c r="J254" s="1" t="str">
        <f t="shared" si="32"/>
        <v>50102</v>
      </c>
      <c r="K254" s="1">
        <v>4</v>
      </c>
      <c r="L254" s="1" t="str">
        <f t="shared" si="33"/>
        <v>50122</v>
      </c>
      <c r="M254" s="1">
        <v>2</v>
      </c>
      <c r="N254" s="1" t="str">
        <f t="shared" si="34"/>
        <v>50030</v>
      </c>
      <c r="P254" s="1" t="str">
        <f t="shared" si="35"/>
        <v/>
      </c>
      <c r="R254" s="1">
        <f>VLOOKUP(--J254,test3,11,FALSE)*K254+VLOOKUP(--L254,test3,11,FALSE)*M254+IF(N254="",0,VLOOKUP(--N254,test3,11,FALSE)*O254)+IF(P254="",0,VLOOKUP(--P254,test3,11,FALSE)*Q254)</f>
        <v>81</v>
      </c>
    </row>
    <row r="255" spans="2:18" x14ac:dyDescent="0.15">
      <c r="B255" s="1">
        <f>[1]item!$D254</f>
        <v>100253</v>
      </c>
      <c r="C255" s="1">
        <f>[1]item!$C254</f>
        <v>202011400</v>
      </c>
      <c r="D255" s="1">
        <f t="shared" si="28"/>
        <v>1</v>
      </c>
      <c r="E255" s="1">
        <f t="shared" si="29"/>
        <v>2</v>
      </c>
      <c r="F255" s="1">
        <f t="shared" si="30"/>
        <v>2</v>
      </c>
      <c r="G255" s="1" t="str">
        <f t="shared" si="27"/>
        <v/>
      </c>
      <c r="H255" s="1">
        <v>3</v>
      </c>
      <c r="I255" s="1" t="str">
        <f t="shared" si="31"/>
        <v>,50128,50120,50053</v>
      </c>
      <c r="J255" s="1" t="str">
        <f t="shared" si="32"/>
        <v>50128</v>
      </c>
      <c r="K255" s="1">
        <v>4</v>
      </c>
      <c r="L255" s="1" t="str">
        <f t="shared" si="33"/>
        <v>50120</v>
      </c>
      <c r="M255" s="1">
        <v>2</v>
      </c>
      <c r="N255" s="1" t="str">
        <f t="shared" si="34"/>
        <v>50053</v>
      </c>
      <c r="P255" s="1" t="str">
        <f t="shared" si="35"/>
        <v/>
      </c>
      <c r="R255" s="1">
        <f>VLOOKUP(--J255,test3,11,FALSE)*K255+VLOOKUP(--L255,test3,11,FALSE)*M255+IF(N255="",0,VLOOKUP(--N255,test3,11,FALSE)*O255)+IF(P255="",0,VLOOKUP(--P255,test3,11,FALSE)*Q255)</f>
        <v>81</v>
      </c>
    </row>
    <row r="256" spans="2:18" x14ac:dyDescent="0.15">
      <c r="B256" s="1">
        <f>[1]item!$D255</f>
        <v>100254</v>
      </c>
      <c r="C256" s="1">
        <f>[1]item!$C255</f>
        <v>202021400</v>
      </c>
      <c r="D256" s="1">
        <f t="shared" si="28"/>
        <v>2</v>
      </c>
      <c r="E256" s="1">
        <f t="shared" si="29"/>
        <v>2</v>
      </c>
      <c r="F256" s="1">
        <f t="shared" si="30"/>
        <v>2</v>
      </c>
      <c r="G256" s="1" t="str">
        <f t="shared" si="27"/>
        <v/>
      </c>
      <c r="H256" s="1">
        <v>3</v>
      </c>
      <c r="I256" s="1" t="str">
        <f t="shared" si="31"/>
        <v>,50156,50087,50151</v>
      </c>
      <c r="J256" s="1" t="str">
        <f t="shared" si="32"/>
        <v>50156</v>
      </c>
      <c r="K256" s="1">
        <v>4</v>
      </c>
      <c r="L256" s="1" t="str">
        <f t="shared" si="33"/>
        <v>50087</v>
      </c>
      <c r="M256" s="1">
        <v>2</v>
      </c>
      <c r="N256" s="1" t="str">
        <f t="shared" si="34"/>
        <v>50151</v>
      </c>
      <c r="P256" s="1" t="str">
        <f t="shared" si="35"/>
        <v/>
      </c>
      <c r="R256" s="1">
        <f>VLOOKUP(--J256,test3,11,FALSE)*K256+VLOOKUP(--L256,test3,11,FALSE)*M256+IF(N256="",0,VLOOKUP(--N256,test3,11,FALSE)*O256)+IF(P256="",0,VLOOKUP(--P256,test3,11,FALSE)*Q256)</f>
        <v>66</v>
      </c>
    </row>
    <row r="257" spans="2:18" x14ac:dyDescent="0.15">
      <c r="B257" s="1">
        <f>[1]item!$D256</f>
        <v>100255</v>
      </c>
      <c r="C257" s="1">
        <f>[1]item!$C256</f>
        <v>202031400</v>
      </c>
      <c r="D257" s="1">
        <f t="shared" si="28"/>
        <v>3</v>
      </c>
      <c r="E257" s="1">
        <f t="shared" si="29"/>
        <v>2</v>
      </c>
      <c r="F257" s="1">
        <f t="shared" si="30"/>
        <v>2</v>
      </c>
      <c r="G257" s="1" t="str">
        <f t="shared" si="27"/>
        <v/>
      </c>
      <c r="H257" s="1">
        <v>3</v>
      </c>
      <c r="I257" s="1" t="str">
        <f t="shared" si="31"/>
        <v>,50171,50091,50139</v>
      </c>
      <c r="J257" s="1" t="str">
        <f t="shared" si="32"/>
        <v>50171</v>
      </c>
      <c r="K257" s="1">
        <v>4</v>
      </c>
      <c r="L257" s="1" t="str">
        <f t="shared" si="33"/>
        <v>50091</v>
      </c>
      <c r="M257" s="1">
        <v>2</v>
      </c>
      <c r="N257" s="1" t="str">
        <f t="shared" si="34"/>
        <v>50139</v>
      </c>
      <c r="P257" s="1" t="str">
        <f t="shared" si="35"/>
        <v/>
      </c>
      <c r="R257" s="1">
        <f>VLOOKUP(--J257,test3,11,FALSE)*K257+VLOOKUP(--L257,test3,11,FALSE)*M257+IF(N257="",0,VLOOKUP(--N257,test3,11,FALSE)*O257)+IF(P257="",0,VLOOKUP(--P257,test3,11,FALSE)*Q257)</f>
        <v>66</v>
      </c>
    </row>
    <row r="258" spans="2:18" x14ac:dyDescent="0.15">
      <c r="B258" s="1">
        <f>[1]item!$D257</f>
        <v>100256</v>
      </c>
      <c r="C258" s="1">
        <f>[1]item!$C257</f>
        <v>202041400</v>
      </c>
      <c r="D258" s="1">
        <f t="shared" si="28"/>
        <v>4</v>
      </c>
      <c r="E258" s="1">
        <f t="shared" si="29"/>
        <v>2</v>
      </c>
      <c r="F258" s="1">
        <f t="shared" si="30"/>
        <v>2</v>
      </c>
      <c r="G258" s="1" t="str">
        <f t="shared" si="27"/>
        <v/>
      </c>
      <c r="H258" s="1">
        <v>3</v>
      </c>
      <c r="I258" s="1" t="str">
        <f t="shared" si="31"/>
        <v>,50011,50087,50018</v>
      </c>
      <c r="J258" s="1" t="str">
        <f t="shared" si="32"/>
        <v>50011</v>
      </c>
      <c r="K258" s="1">
        <v>4</v>
      </c>
      <c r="L258" s="1" t="str">
        <f t="shared" si="33"/>
        <v>50087</v>
      </c>
      <c r="M258" s="1">
        <v>2</v>
      </c>
      <c r="N258" s="1" t="str">
        <f t="shared" si="34"/>
        <v>50018</v>
      </c>
      <c r="P258" s="1" t="str">
        <f t="shared" si="35"/>
        <v/>
      </c>
      <c r="R258" s="1">
        <f>VLOOKUP(--J258,test3,11,FALSE)*K258+VLOOKUP(--L258,test3,11,FALSE)*M258+IF(N258="",0,VLOOKUP(--N258,test3,11,FALSE)*O258)+IF(P258="",0,VLOOKUP(--P258,test3,11,FALSE)*Q258)</f>
        <v>66</v>
      </c>
    </row>
    <row r="259" spans="2:18" x14ac:dyDescent="0.15">
      <c r="B259" s="1">
        <f>[1]item!$D258</f>
        <v>100257</v>
      </c>
      <c r="C259" s="1">
        <f>[1]item!$C258</f>
        <v>202051400</v>
      </c>
      <c r="D259" s="1">
        <f t="shared" si="28"/>
        <v>5</v>
      </c>
      <c r="E259" s="1">
        <f t="shared" si="29"/>
        <v>2</v>
      </c>
      <c r="F259" s="1">
        <f t="shared" si="30"/>
        <v>2</v>
      </c>
      <c r="G259" s="1" t="str">
        <f t="shared" ref="G259:G322" si="36">IF(--MID(C259,6,2)&lt;14,VLOOKUP(--MID(C259,6,2),test2,3,FALSE),"")</f>
        <v/>
      </c>
      <c r="H259" s="1">
        <v>3</v>
      </c>
      <c r="I259" s="1" t="str">
        <f t="shared" si="31"/>
        <v>,50030,50032,50026</v>
      </c>
      <c r="J259" s="1" t="str">
        <f t="shared" si="32"/>
        <v>50030</v>
      </c>
      <c r="K259" s="1">
        <v>4</v>
      </c>
      <c r="L259" s="1" t="str">
        <f t="shared" si="33"/>
        <v>50032</v>
      </c>
      <c r="M259" s="1">
        <v>2</v>
      </c>
      <c r="N259" s="1" t="str">
        <f t="shared" si="34"/>
        <v>50026</v>
      </c>
      <c r="P259" s="1" t="str">
        <f t="shared" si="35"/>
        <v/>
      </c>
      <c r="R259" s="1">
        <f>VLOOKUP(--J259,test3,11,FALSE)*K259+VLOOKUP(--L259,test3,11,FALSE)*M259+IF(N259="",0,VLOOKUP(--N259,test3,11,FALSE)*O259)+IF(P259="",0,VLOOKUP(--P259,test3,11,FALSE)*Q259)</f>
        <v>81</v>
      </c>
    </row>
    <row r="260" spans="2:18" x14ac:dyDescent="0.15">
      <c r="B260" s="1">
        <f>[1]item!$D259</f>
        <v>100258</v>
      </c>
      <c r="C260" s="1">
        <f>[1]item!$C259</f>
        <v>202061400</v>
      </c>
      <c r="D260" s="1">
        <f t="shared" ref="D260:D323" si="37">--MID(C260,4,2)</f>
        <v>6</v>
      </c>
      <c r="E260" s="1">
        <f t="shared" ref="E260:E323" si="38">--MID(C260,2,2)</f>
        <v>2</v>
      </c>
      <c r="F260" s="1">
        <f t="shared" ref="F260:F323" si="39">--MID(C260,1,1)</f>
        <v>2</v>
      </c>
      <c r="G260" s="1" t="str">
        <f t="shared" si="36"/>
        <v/>
      </c>
      <c r="H260" s="1">
        <v>3</v>
      </c>
      <c r="I260" s="1" t="str">
        <f t="shared" ref="I260:I323" si="40">getMarking(D260,E260,F260,G260)</f>
        <v>,50036,50070,50153</v>
      </c>
      <c r="J260" s="1" t="str">
        <f t="shared" ref="J260:J323" si="41">getString(I260,1,H260)</f>
        <v>50036</v>
      </c>
      <c r="K260" s="1">
        <v>4</v>
      </c>
      <c r="L260" s="1" t="str">
        <f t="shared" ref="L260:L323" si="42">getString(I260,2,H260)</f>
        <v>50070</v>
      </c>
      <c r="M260" s="1">
        <v>2</v>
      </c>
      <c r="N260" s="1" t="str">
        <f t="shared" ref="N260:N323" si="43">getString(I260,3,H260)</f>
        <v>50153</v>
      </c>
      <c r="P260" s="1" t="str">
        <f t="shared" ref="P260:P323" si="44">getString(I260,4,H260)</f>
        <v/>
      </c>
      <c r="R260" s="1">
        <f>VLOOKUP(--J260,test3,11,FALSE)*K260+VLOOKUP(--L260,test3,11,FALSE)*M260+IF(N260="",0,VLOOKUP(--N260,test3,11,FALSE)*O260)+IF(P260="",0,VLOOKUP(--P260,test3,11,FALSE)*Q260)</f>
        <v>66</v>
      </c>
    </row>
    <row r="261" spans="2:18" x14ac:dyDescent="0.15">
      <c r="B261" s="1">
        <f>[1]item!$D260</f>
        <v>100259</v>
      </c>
      <c r="C261" s="1">
        <f>[1]item!$C260</f>
        <v>202071400</v>
      </c>
      <c r="D261" s="1">
        <f t="shared" si="37"/>
        <v>7</v>
      </c>
      <c r="E261" s="1">
        <f t="shared" si="38"/>
        <v>2</v>
      </c>
      <c r="F261" s="1">
        <f t="shared" si="39"/>
        <v>2</v>
      </c>
      <c r="G261" s="1" t="str">
        <f t="shared" si="36"/>
        <v/>
      </c>
      <c r="H261" s="1">
        <v>3</v>
      </c>
      <c r="I261" s="1" t="str">
        <f t="shared" si="40"/>
        <v>,50094,50155,50140</v>
      </c>
      <c r="J261" s="1" t="str">
        <f t="shared" si="41"/>
        <v>50094</v>
      </c>
      <c r="K261" s="1">
        <v>4</v>
      </c>
      <c r="L261" s="1" t="str">
        <f t="shared" si="42"/>
        <v>50155</v>
      </c>
      <c r="M261" s="1">
        <v>2</v>
      </c>
      <c r="N261" s="1" t="str">
        <f t="shared" si="43"/>
        <v>50140</v>
      </c>
      <c r="P261" s="1" t="str">
        <f t="shared" si="44"/>
        <v/>
      </c>
      <c r="R261" s="1">
        <f>VLOOKUP(--J261,test3,11,FALSE)*K261+VLOOKUP(--L261,test3,11,FALSE)*M261+IF(N261="",0,VLOOKUP(--N261,test3,11,FALSE)*O261)+IF(P261="",0,VLOOKUP(--P261,test3,11,FALSE)*Q261)</f>
        <v>51</v>
      </c>
    </row>
    <row r="262" spans="2:18" x14ac:dyDescent="0.15">
      <c r="B262" s="1">
        <f>[1]item!$D261</f>
        <v>100260</v>
      </c>
      <c r="C262" s="1">
        <f>[1]item!$C261</f>
        <v>202081400</v>
      </c>
      <c r="D262" s="1">
        <f t="shared" si="37"/>
        <v>8</v>
      </c>
      <c r="E262" s="1">
        <f t="shared" si="38"/>
        <v>2</v>
      </c>
      <c r="F262" s="1">
        <f t="shared" si="39"/>
        <v>2</v>
      </c>
      <c r="G262" s="1" t="str">
        <f t="shared" si="36"/>
        <v/>
      </c>
      <c r="H262" s="1">
        <v>3</v>
      </c>
      <c r="I262" s="1" t="str">
        <f t="shared" si="40"/>
        <v>,50187,50043,50095</v>
      </c>
      <c r="J262" s="1" t="str">
        <f t="shared" si="41"/>
        <v>50187</v>
      </c>
      <c r="K262" s="1">
        <v>4</v>
      </c>
      <c r="L262" s="1" t="str">
        <f t="shared" si="42"/>
        <v>50043</v>
      </c>
      <c r="M262" s="1">
        <v>2</v>
      </c>
      <c r="N262" s="1" t="str">
        <f t="shared" si="43"/>
        <v>50095</v>
      </c>
      <c r="P262" s="1" t="str">
        <f t="shared" si="44"/>
        <v/>
      </c>
      <c r="R262" s="1">
        <f>VLOOKUP(--J262,test3,11,FALSE)*K262+VLOOKUP(--L262,test3,11,FALSE)*M262+IF(N262="",0,VLOOKUP(--N262,test3,11,FALSE)*O262)+IF(P262="",0,VLOOKUP(--P262,test3,11,FALSE)*Q262)</f>
        <v>51</v>
      </c>
    </row>
    <row r="263" spans="2:18" x14ac:dyDescent="0.15">
      <c r="B263" s="1">
        <f>[1]item!$D262</f>
        <v>100261</v>
      </c>
      <c r="C263" s="1">
        <f>[1]item!$C262</f>
        <v>202091400</v>
      </c>
      <c r="D263" s="1">
        <f t="shared" si="37"/>
        <v>9</v>
      </c>
      <c r="E263" s="1">
        <f t="shared" si="38"/>
        <v>2</v>
      </c>
      <c r="F263" s="1">
        <f t="shared" si="39"/>
        <v>2</v>
      </c>
      <c r="G263" s="1" t="str">
        <f t="shared" si="36"/>
        <v/>
      </c>
      <c r="H263" s="1">
        <v>3</v>
      </c>
      <c r="I263" s="1" t="str">
        <f t="shared" si="40"/>
        <v>,50096,50173,50089</v>
      </c>
      <c r="J263" s="1" t="str">
        <f t="shared" si="41"/>
        <v>50096</v>
      </c>
      <c r="K263" s="1">
        <v>4</v>
      </c>
      <c r="L263" s="1" t="str">
        <f t="shared" si="42"/>
        <v>50173</v>
      </c>
      <c r="M263" s="1">
        <v>2</v>
      </c>
      <c r="N263" s="1" t="str">
        <f t="shared" si="43"/>
        <v>50089</v>
      </c>
      <c r="P263" s="1" t="str">
        <f t="shared" si="44"/>
        <v/>
      </c>
      <c r="R263" s="1">
        <f>VLOOKUP(--J263,test3,11,FALSE)*K263+VLOOKUP(--L263,test3,11,FALSE)*M263+IF(N263="",0,VLOOKUP(--N263,test3,11,FALSE)*O263)+IF(P263="",0,VLOOKUP(--P263,test3,11,FALSE)*Q263)</f>
        <v>51</v>
      </c>
    </row>
    <row r="264" spans="2:18" x14ac:dyDescent="0.15">
      <c r="B264" s="1">
        <f>[1]item!$D263</f>
        <v>100262</v>
      </c>
      <c r="C264" s="1">
        <f>[1]item!$C263</f>
        <v>302011500</v>
      </c>
      <c r="D264" s="1">
        <f t="shared" si="37"/>
        <v>1</v>
      </c>
      <c r="E264" s="1">
        <f t="shared" si="38"/>
        <v>2</v>
      </c>
      <c r="F264" s="1">
        <f t="shared" si="39"/>
        <v>3</v>
      </c>
      <c r="G264" s="1" t="str">
        <f t="shared" si="36"/>
        <v/>
      </c>
      <c r="H264" s="1">
        <v>3</v>
      </c>
      <c r="I264" s="1" t="str">
        <f t="shared" si="40"/>
        <v>,50016,50088,50098</v>
      </c>
      <c r="J264" s="1" t="str">
        <f t="shared" si="41"/>
        <v>50016</v>
      </c>
      <c r="K264" s="1">
        <v>4</v>
      </c>
      <c r="L264" s="1" t="str">
        <f t="shared" si="42"/>
        <v>50088</v>
      </c>
      <c r="M264" s="1">
        <v>2</v>
      </c>
      <c r="N264" s="1" t="str">
        <f t="shared" si="43"/>
        <v>50098</v>
      </c>
      <c r="P264" s="1" t="str">
        <f t="shared" si="44"/>
        <v/>
      </c>
      <c r="R264" s="1">
        <f>VLOOKUP(--J264,test3,11,FALSE)*K264+VLOOKUP(--L264,test3,11,FALSE)*M264+IF(N264="",0,VLOOKUP(--N264,test3,11,FALSE)*O264)+IF(P264="",0,VLOOKUP(--P264,test3,11,FALSE)*Q264)</f>
        <v>66</v>
      </c>
    </row>
    <row r="265" spans="2:18" x14ac:dyDescent="0.15">
      <c r="B265" s="1">
        <f>[1]item!$D264</f>
        <v>100263</v>
      </c>
      <c r="C265" s="1">
        <f>[1]item!$C264</f>
        <v>302021500</v>
      </c>
      <c r="D265" s="1">
        <f t="shared" si="37"/>
        <v>2</v>
      </c>
      <c r="E265" s="1">
        <f t="shared" si="38"/>
        <v>2</v>
      </c>
      <c r="F265" s="1">
        <f t="shared" si="39"/>
        <v>3</v>
      </c>
      <c r="G265" s="1" t="str">
        <f t="shared" si="36"/>
        <v/>
      </c>
      <c r="H265" s="1">
        <v>3</v>
      </c>
      <c r="I265" s="1" t="str">
        <f t="shared" si="40"/>
        <v>,50048,50100,50020</v>
      </c>
      <c r="J265" s="1" t="str">
        <f t="shared" si="41"/>
        <v>50048</v>
      </c>
      <c r="K265" s="1">
        <v>4</v>
      </c>
      <c r="L265" s="1" t="str">
        <f t="shared" si="42"/>
        <v>50100</v>
      </c>
      <c r="M265" s="1">
        <v>2</v>
      </c>
      <c r="N265" s="1" t="str">
        <f t="shared" si="43"/>
        <v>50020</v>
      </c>
      <c r="P265" s="1" t="str">
        <f t="shared" si="44"/>
        <v/>
      </c>
      <c r="R265" s="1">
        <f>VLOOKUP(--J265,test3,11,FALSE)*K265+VLOOKUP(--L265,test3,11,FALSE)*M265+IF(N265="",0,VLOOKUP(--N265,test3,11,FALSE)*O265)+IF(P265="",0,VLOOKUP(--P265,test3,11,FALSE)*Q265)</f>
        <v>81</v>
      </c>
    </row>
    <row r="266" spans="2:18" x14ac:dyDescent="0.15">
      <c r="B266" s="1">
        <f>[1]item!$D265</f>
        <v>100264</v>
      </c>
      <c r="C266" s="1">
        <f>[1]item!$C265</f>
        <v>302031500</v>
      </c>
      <c r="D266" s="1">
        <f t="shared" si="37"/>
        <v>3</v>
      </c>
      <c r="E266" s="1">
        <f t="shared" si="38"/>
        <v>2</v>
      </c>
      <c r="F266" s="1">
        <f t="shared" si="39"/>
        <v>3</v>
      </c>
      <c r="G266" s="1" t="str">
        <f t="shared" si="36"/>
        <v/>
      </c>
      <c r="H266" s="1">
        <v>3</v>
      </c>
      <c r="I266" s="1" t="str">
        <f t="shared" si="40"/>
        <v>,50011,50087,50018</v>
      </c>
      <c r="J266" s="1" t="str">
        <f t="shared" si="41"/>
        <v>50011</v>
      </c>
      <c r="K266" s="1">
        <v>4</v>
      </c>
      <c r="L266" s="1" t="str">
        <f t="shared" si="42"/>
        <v>50087</v>
      </c>
      <c r="M266" s="1">
        <v>2</v>
      </c>
      <c r="N266" s="1" t="str">
        <f t="shared" si="43"/>
        <v>50018</v>
      </c>
      <c r="P266" s="1" t="str">
        <f t="shared" si="44"/>
        <v/>
      </c>
      <c r="R266" s="1">
        <f>VLOOKUP(--J266,test3,11,FALSE)*K266+VLOOKUP(--L266,test3,11,FALSE)*M266+IF(N266="",0,VLOOKUP(--N266,test3,11,FALSE)*O266)+IF(P266="",0,VLOOKUP(--P266,test3,11,FALSE)*Q266)</f>
        <v>66</v>
      </c>
    </row>
    <row r="267" spans="2:18" x14ac:dyDescent="0.15">
      <c r="B267" s="1">
        <f>[1]item!$D266</f>
        <v>100265</v>
      </c>
      <c r="C267" s="1">
        <f>[1]item!$C266</f>
        <v>302041500</v>
      </c>
      <c r="D267" s="1">
        <f t="shared" si="37"/>
        <v>4</v>
      </c>
      <c r="E267" s="1">
        <f t="shared" si="38"/>
        <v>2</v>
      </c>
      <c r="F267" s="1">
        <f t="shared" si="39"/>
        <v>3</v>
      </c>
      <c r="G267" s="1" t="str">
        <f t="shared" si="36"/>
        <v/>
      </c>
      <c r="H267" s="1">
        <v>3</v>
      </c>
      <c r="I267" s="1" t="str">
        <f t="shared" si="40"/>
        <v>,50043,50042,50187</v>
      </c>
      <c r="J267" s="1" t="str">
        <f t="shared" si="41"/>
        <v>50043</v>
      </c>
      <c r="K267" s="1">
        <v>4</v>
      </c>
      <c r="L267" s="1" t="str">
        <f t="shared" si="42"/>
        <v>50042</v>
      </c>
      <c r="M267" s="1">
        <v>2</v>
      </c>
      <c r="N267" s="1" t="str">
        <f t="shared" si="43"/>
        <v>50187</v>
      </c>
      <c r="P267" s="1" t="str">
        <f t="shared" si="44"/>
        <v/>
      </c>
      <c r="R267" s="1">
        <f>VLOOKUP(--J267,test3,11,FALSE)*K267+VLOOKUP(--L267,test3,11,FALSE)*M267+IF(N267="",0,VLOOKUP(--N267,test3,11,FALSE)*O267)+IF(P267="",0,VLOOKUP(--P267,test3,11,FALSE)*Q267)</f>
        <v>66</v>
      </c>
    </row>
    <row r="268" spans="2:18" x14ac:dyDescent="0.15">
      <c r="B268" s="1">
        <f>[1]item!$D267</f>
        <v>100266</v>
      </c>
      <c r="C268" s="1">
        <f>[1]item!$C267</f>
        <v>302051500</v>
      </c>
      <c r="D268" s="1">
        <f t="shared" si="37"/>
        <v>5</v>
      </c>
      <c r="E268" s="1">
        <f t="shared" si="38"/>
        <v>2</v>
      </c>
      <c r="F268" s="1">
        <f t="shared" si="39"/>
        <v>3</v>
      </c>
      <c r="G268" s="1" t="str">
        <f t="shared" si="36"/>
        <v/>
      </c>
      <c r="H268" s="1">
        <v>3</v>
      </c>
      <c r="I268" s="1" t="str">
        <f t="shared" si="40"/>
        <v>,50090,50092,50024</v>
      </c>
      <c r="J268" s="1" t="str">
        <f t="shared" si="41"/>
        <v>50090</v>
      </c>
      <c r="K268" s="1">
        <v>4</v>
      </c>
      <c r="L268" s="1" t="str">
        <f t="shared" si="42"/>
        <v>50092</v>
      </c>
      <c r="M268" s="1">
        <v>2</v>
      </c>
      <c r="N268" s="1" t="str">
        <f t="shared" si="43"/>
        <v>50024</v>
      </c>
      <c r="P268" s="1" t="str">
        <f t="shared" si="44"/>
        <v/>
      </c>
      <c r="R268" s="1">
        <f>VLOOKUP(--J268,test3,11,FALSE)*K268+VLOOKUP(--L268,test3,11,FALSE)*M268+IF(N268="",0,VLOOKUP(--N268,test3,11,FALSE)*O268)+IF(P268="",0,VLOOKUP(--P268,test3,11,FALSE)*Q268)</f>
        <v>36</v>
      </c>
    </row>
    <row r="269" spans="2:18" x14ac:dyDescent="0.15">
      <c r="B269" s="1">
        <f>[1]item!$D268</f>
        <v>100267</v>
      </c>
      <c r="C269" s="1">
        <f>[1]item!$C268</f>
        <v>302061500</v>
      </c>
      <c r="D269" s="1">
        <f t="shared" si="37"/>
        <v>6</v>
      </c>
      <c r="E269" s="1">
        <f t="shared" si="38"/>
        <v>2</v>
      </c>
      <c r="F269" s="1">
        <f t="shared" si="39"/>
        <v>3</v>
      </c>
      <c r="G269" s="1" t="str">
        <f t="shared" si="36"/>
        <v/>
      </c>
      <c r="H269" s="1">
        <v>3</v>
      </c>
      <c r="I269" s="1" t="str">
        <f t="shared" si="40"/>
        <v>,50003,50111,50169</v>
      </c>
      <c r="J269" s="1" t="str">
        <f t="shared" si="41"/>
        <v>50003</v>
      </c>
      <c r="K269" s="1">
        <v>4</v>
      </c>
      <c r="L269" s="1" t="str">
        <f t="shared" si="42"/>
        <v>50111</v>
      </c>
      <c r="M269" s="1">
        <v>2</v>
      </c>
      <c r="N269" s="1" t="str">
        <f t="shared" si="43"/>
        <v>50169</v>
      </c>
      <c r="P269" s="1" t="str">
        <f t="shared" si="44"/>
        <v/>
      </c>
      <c r="R269" s="1">
        <f>VLOOKUP(--J269,test3,11,FALSE)*K269+VLOOKUP(--L269,test3,11,FALSE)*M269+IF(N269="",0,VLOOKUP(--N269,test3,11,FALSE)*O269)+IF(P269="",0,VLOOKUP(--P269,test3,11,FALSE)*Q269)</f>
        <v>81</v>
      </c>
    </row>
    <row r="270" spans="2:18" x14ac:dyDescent="0.15">
      <c r="B270" s="1">
        <f>[1]item!$D269</f>
        <v>100268</v>
      </c>
      <c r="C270" s="1">
        <f>[1]item!$C269</f>
        <v>302071500</v>
      </c>
      <c r="D270" s="1">
        <f t="shared" si="37"/>
        <v>7</v>
      </c>
      <c r="E270" s="1">
        <f t="shared" si="38"/>
        <v>2</v>
      </c>
      <c r="F270" s="1">
        <f t="shared" si="39"/>
        <v>3</v>
      </c>
      <c r="G270" s="1" t="str">
        <f t="shared" si="36"/>
        <v/>
      </c>
      <c r="H270" s="1">
        <v>3</v>
      </c>
      <c r="I270" s="1" t="str">
        <f t="shared" si="40"/>
        <v>,50055,50137,50142</v>
      </c>
      <c r="J270" s="1" t="str">
        <f t="shared" si="41"/>
        <v>50055</v>
      </c>
      <c r="K270" s="1">
        <v>4</v>
      </c>
      <c r="L270" s="1" t="str">
        <f t="shared" si="42"/>
        <v>50137</v>
      </c>
      <c r="M270" s="1">
        <v>2</v>
      </c>
      <c r="N270" s="1" t="str">
        <f t="shared" si="43"/>
        <v>50142</v>
      </c>
      <c r="P270" s="1" t="str">
        <f t="shared" si="44"/>
        <v/>
      </c>
      <c r="R270" s="1">
        <f>VLOOKUP(--J270,test3,11,FALSE)*K270+VLOOKUP(--L270,test3,11,FALSE)*M270+IF(N270="",0,VLOOKUP(--N270,test3,11,FALSE)*O270)+IF(P270="",0,VLOOKUP(--P270,test3,11,FALSE)*Q270)</f>
        <v>36</v>
      </c>
    </row>
    <row r="271" spans="2:18" x14ac:dyDescent="0.15">
      <c r="B271" s="1">
        <f>[1]item!$D270</f>
        <v>100269</v>
      </c>
      <c r="C271" s="1">
        <f>[1]item!$C270</f>
        <v>302081500</v>
      </c>
      <c r="D271" s="1">
        <f t="shared" si="37"/>
        <v>8</v>
      </c>
      <c r="E271" s="1">
        <f t="shared" si="38"/>
        <v>2</v>
      </c>
      <c r="F271" s="1">
        <f t="shared" si="39"/>
        <v>3</v>
      </c>
      <c r="G271" s="1" t="str">
        <f t="shared" si="36"/>
        <v/>
      </c>
      <c r="H271" s="1">
        <v>3</v>
      </c>
      <c r="I271" s="1" t="str">
        <f t="shared" si="40"/>
        <v>,50093,50094,50117</v>
      </c>
      <c r="J271" s="1" t="str">
        <f t="shared" si="41"/>
        <v>50093</v>
      </c>
      <c r="K271" s="1">
        <v>4</v>
      </c>
      <c r="L271" s="1" t="str">
        <f t="shared" si="42"/>
        <v>50094</v>
      </c>
      <c r="M271" s="1">
        <v>2</v>
      </c>
      <c r="N271" s="1" t="str">
        <f t="shared" si="43"/>
        <v>50117</v>
      </c>
      <c r="P271" s="1" t="str">
        <f t="shared" si="44"/>
        <v/>
      </c>
      <c r="R271" s="1">
        <f>VLOOKUP(--J271,test3,11,FALSE)*K271+VLOOKUP(--L271,test3,11,FALSE)*M271+IF(N271="",0,VLOOKUP(--N271,test3,11,FALSE)*O271)+IF(P271="",0,VLOOKUP(--P271,test3,11,FALSE)*Q271)</f>
        <v>36</v>
      </c>
    </row>
    <row r="272" spans="2:18" x14ac:dyDescent="0.15">
      <c r="B272" s="1">
        <f>[1]item!$D271</f>
        <v>100270</v>
      </c>
      <c r="C272" s="1">
        <f>[1]item!$C271</f>
        <v>302091500</v>
      </c>
      <c r="D272" s="1">
        <f t="shared" si="37"/>
        <v>9</v>
      </c>
      <c r="E272" s="1">
        <f t="shared" si="38"/>
        <v>2</v>
      </c>
      <c r="F272" s="1">
        <f t="shared" si="39"/>
        <v>3</v>
      </c>
      <c r="G272" s="1" t="str">
        <f t="shared" si="36"/>
        <v/>
      </c>
      <c r="H272" s="1">
        <v>3</v>
      </c>
      <c r="I272" s="1" t="str">
        <f t="shared" si="40"/>
        <v>,50098,50121,50030</v>
      </c>
      <c r="J272" s="1" t="str">
        <f t="shared" si="41"/>
        <v>50098</v>
      </c>
      <c r="K272" s="1">
        <v>4</v>
      </c>
      <c r="L272" s="1" t="str">
        <f t="shared" si="42"/>
        <v>50121</v>
      </c>
      <c r="M272" s="1">
        <v>2</v>
      </c>
      <c r="N272" s="1" t="str">
        <f t="shared" si="43"/>
        <v>50030</v>
      </c>
      <c r="P272" s="1" t="str">
        <f t="shared" si="44"/>
        <v/>
      </c>
      <c r="R272" s="1">
        <f>VLOOKUP(--J272,test3,11,FALSE)*K272+VLOOKUP(--L272,test3,11,FALSE)*M272+IF(N272="",0,VLOOKUP(--N272,test3,11,FALSE)*O272)+IF(P272="",0,VLOOKUP(--P272,test3,11,FALSE)*Q272)</f>
        <v>81</v>
      </c>
    </row>
    <row r="273" spans="2:18" x14ac:dyDescent="0.15">
      <c r="B273" s="1">
        <f>[1]item!$D272</f>
        <v>100271</v>
      </c>
      <c r="C273" s="1">
        <f>[1]item!$C272</f>
        <v>103010100</v>
      </c>
      <c r="D273" s="1">
        <f t="shared" si="37"/>
        <v>1</v>
      </c>
      <c r="E273" s="1">
        <f t="shared" si="38"/>
        <v>3</v>
      </c>
      <c r="F273" s="1">
        <f t="shared" si="39"/>
        <v>1</v>
      </c>
      <c r="G273" s="1" t="str">
        <f t="shared" si="36"/>
        <v>神圣</v>
      </c>
      <c r="H273" s="1">
        <v>4</v>
      </c>
      <c r="I273" s="1" t="str">
        <f t="shared" si="40"/>
        <v>,50200,50084,50107,50061</v>
      </c>
      <c r="J273" s="1" t="str">
        <f t="shared" si="41"/>
        <v>50200</v>
      </c>
      <c r="K273" s="1">
        <v>1</v>
      </c>
      <c r="L273" s="1" t="str">
        <f t="shared" si="42"/>
        <v>50084</v>
      </c>
      <c r="M273" s="1">
        <v>2</v>
      </c>
      <c r="N273" s="1" t="str">
        <f t="shared" si="43"/>
        <v>50107</v>
      </c>
      <c r="O273" s="1">
        <v>3</v>
      </c>
      <c r="P273" s="1" t="str">
        <f t="shared" si="44"/>
        <v>50061</v>
      </c>
      <c r="Q273" s="1">
        <v>5</v>
      </c>
      <c r="R273" s="1">
        <f>VLOOKUP(--J273,test3,11,FALSE)*K273+VLOOKUP(--L273,test3,11,FALSE)*M273+IF(N273="",0,VLOOKUP(--N273,test3,11,FALSE)*O273)+IF(P273="",0,VLOOKUP(--P273,test3,11,FALSE)*Q273)</f>
        <v>484.5</v>
      </c>
    </row>
    <row r="274" spans="2:18" x14ac:dyDescent="0.15">
      <c r="B274" s="1">
        <f>[1]item!$D273</f>
        <v>100272</v>
      </c>
      <c r="C274" s="1">
        <f>[1]item!$C273</f>
        <v>103020100</v>
      </c>
      <c r="D274" s="1">
        <f t="shared" si="37"/>
        <v>2</v>
      </c>
      <c r="E274" s="1">
        <f t="shared" si="38"/>
        <v>3</v>
      </c>
      <c r="F274" s="1">
        <f t="shared" si="39"/>
        <v>1</v>
      </c>
      <c r="G274" s="1" t="str">
        <f t="shared" si="36"/>
        <v>神圣</v>
      </c>
      <c r="H274" s="1">
        <v>4</v>
      </c>
      <c r="I274" s="1" t="str">
        <f t="shared" si="40"/>
        <v>,50200,50084,50107,50061</v>
      </c>
      <c r="J274" s="1" t="str">
        <f t="shared" si="41"/>
        <v>50200</v>
      </c>
      <c r="K274" s="1">
        <v>1</v>
      </c>
      <c r="L274" s="1" t="str">
        <f t="shared" si="42"/>
        <v>50084</v>
      </c>
      <c r="M274" s="1">
        <v>2</v>
      </c>
      <c r="N274" s="1" t="str">
        <f t="shared" si="43"/>
        <v>50107</v>
      </c>
      <c r="O274" s="1">
        <v>3</v>
      </c>
      <c r="P274" s="1" t="str">
        <f t="shared" si="44"/>
        <v>50061</v>
      </c>
      <c r="Q274" s="1">
        <v>5</v>
      </c>
      <c r="R274" s="1">
        <f>VLOOKUP(--J274,test3,11,FALSE)*K274+VLOOKUP(--L274,test3,11,FALSE)*M274+IF(N274="",0,VLOOKUP(--N274,test3,11,FALSE)*O274)+IF(P274="",0,VLOOKUP(--P274,test3,11,FALSE)*Q274)</f>
        <v>484.5</v>
      </c>
    </row>
    <row r="275" spans="2:18" x14ac:dyDescent="0.15">
      <c r="B275" s="1">
        <f>[1]item!$D274</f>
        <v>100273</v>
      </c>
      <c r="C275" s="1">
        <f>[1]item!$C274</f>
        <v>103030100</v>
      </c>
      <c r="D275" s="1">
        <f t="shared" si="37"/>
        <v>3</v>
      </c>
      <c r="E275" s="1">
        <f t="shared" si="38"/>
        <v>3</v>
      </c>
      <c r="F275" s="1">
        <f t="shared" si="39"/>
        <v>1</v>
      </c>
      <c r="G275" s="1" t="str">
        <f t="shared" si="36"/>
        <v>神圣</v>
      </c>
      <c r="H275" s="1">
        <v>4</v>
      </c>
      <c r="I275" s="1" t="str">
        <f t="shared" si="40"/>
        <v>,50200,50084,50107,50061</v>
      </c>
      <c r="J275" s="1" t="str">
        <f t="shared" si="41"/>
        <v>50200</v>
      </c>
      <c r="K275" s="1">
        <v>1</v>
      </c>
      <c r="L275" s="1" t="str">
        <f t="shared" si="42"/>
        <v>50084</v>
      </c>
      <c r="M275" s="1">
        <v>2</v>
      </c>
      <c r="N275" s="1" t="str">
        <f t="shared" si="43"/>
        <v>50107</v>
      </c>
      <c r="O275" s="1">
        <v>3</v>
      </c>
      <c r="P275" s="1" t="str">
        <f t="shared" si="44"/>
        <v>50061</v>
      </c>
      <c r="Q275" s="1">
        <v>5</v>
      </c>
      <c r="R275" s="1">
        <f>VLOOKUP(--J275,test3,11,FALSE)*K275+VLOOKUP(--L275,test3,11,FALSE)*M275+IF(N275="",0,VLOOKUP(--N275,test3,11,FALSE)*O275)+IF(P275="",0,VLOOKUP(--P275,test3,11,FALSE)*Q275)</f>
        <v>484.5</v>
      </c>
    </row>
    <row r="276" spans="2:18" x14ac:dyDescent="0.15">
      <c r="B276" s="1">
        <f>[1]item!$D275</f>
        <v>100274</v>
      </c>
      <c r="C276" s="1">
        <f>[1]item!$C275</f>
        <v>103040100</v>
      </c>
      <c r="D276" s="1">
        <f t="shared" si="37"/>
        <v>4</v>
      </c>
      <c r="E276" s="1">
        <f t="shared" si="38"/>
        <v>3</v>
      </c>
      <c r="F276" s="1">
        <f t="shared" si="39"/>
        <v>1</v>
      </c>
      <c r="G276" s="1" t="str">
        <f t="shared" si="36"/>
        <v>神圣</v>
      </c>
      <c r="H276" s="1">
        <v>4</v>
      </c>
      <c r="I276" s="1" t="str">
        <f t="shared" si="40"/>
        <v>,50200,50084,50107,50061</v>
      </c>
      <c r="J276" s="1" t="str">
        <f t="shared" si="41"/>
        <v>50200</v>
      </c>
      <c r="K276" s="1">
        <v>1</v>
      </c>
      <c r="L276" s="1" t="str">
        <f t="shared" si="42"/>
        <v>50084</v>
      </c>
      <c r="M276" s="1">
        <v>2</v>
      </c>
      <c r="N276" s="1" t="str">
        <f t="shared" si="43"/>
        <v>50107</v>
      </c>
      <c r="O276" s="1">
        <v>3</v>
      </c>
      <c r="P276" s="1" t="str">
        <f t="shared" si="44"/>
        <v>50061</v>
      </c>
      <c r="Q276" s="1">
        <v>5</v>
      </c>
      <c r="R276" s="1">
        <f>VLOOKUP(--J276,test3,11,FALSE)*K276+VLOOKUP(--L276,test3,11,FALSE)*M276+IF(N276="",0,VLOOKUP(--N276,test3,11,FALSE)*O276)+IF(P276="",0,VLOOKUP(--P276,test3,11,FALSE)*Q276)</f>
        <v>484.5</v>
      </c>
    </row>
    <row r="277" spans="2:18" x14ac:dyDescent="0.15">
      <c r="B277" s="1">
        <f>[1]item!$D276</f>
        <v>100275</v>
      </c>
      <c r="C277" s="1">
        <f>[1]item!$C276</f>
        <v>103050100</v>
      </c>
      <c r="D277" s="1">
        <f t="shared" si="37"/>
        <v>5</v>
      </c>
      <c r="E277" s="1">
        <f t="shared" si="38"/>
        <v>3</v>
      </c>
      <c r="F277" s="1">
        <f t="shared" si="39"/>
        <v>1</v>
      </c>
      <c r="G277" s="1" t="str">
        <f t="shared" si="36"/>
        <v>神圣</v>
      </c>
      <c r="H277" s="1">
        <v>4</v>
      </c>
      <c r="I277" s="1" t="str">
        <f t="shared" si="40"/>
        <v>,50200,50084,50083,50060</v>
      </c>
      <c r="J277" s="1" t="str">
        <f t="shared" si="41"/>
        <v>50200</v>
      </c>
      <c r="K277" s="1">
        <v>1</v>
      </c>
      <c r="L277" s="1" t="str">
        <f t="shared" si="42"/>
        <v>50084</v>
      </c>
      <c r="M277" s="1">
        <v>2</v>
      </c>
      <c r="N277" s="1" t="str">
        <f t="shared" si="43"/>
        <v>50083</v>
      </c>
      <c r="O277" s="1">
        <v>3</v>
      </c>
      <c r="P277" s="1" t="str">
        <f t="shared" si="44"/>
        <v>50060</v>
      </c>
      <c r="Q277" s="1">
        <v>5</v>
      </c>
      <c r="R277" s="1">
        <f>VLOOKUP(--J277,test3,11,FALSE)*K277+VLOOKUP(--L277,test3,11,FALSE)*M277+IF(N277="",0,VLOOKUP(--N277,test3,11,FALSE)*O277)+IF(P277="",0,VLOOKUP(--P277,test3,11,FALSE)*Q277)</f>
        <v>525</v>
      </c>
    </row>
    <row r="278" spans="2:18" x14ac:dyDescent="0.15">
      <c r="B278" s="1">
        <f>[1]item!$D277</f>
        <v>100276</v>
      </c>
      <c r="C278" s="1">
        <f>[1]item!$C277</f>
        <v>103060100</v>
      </c>
      <c r="D278" s="1">
        <f t="shared" si="37"/>
        <v>6</v>
      </c>
      <c r="E278" s="1">
        <f t="shared" si="38"/>
        <v>3</v>
      </c>
      <c r="F278" s="1">
        <f t="shared" si="39"/>
        <v>1</v>
      </c>
      <c r="G278" s="1" t="str">
        <f t="shared" si="36"/>
        <v>神圣</v>
      </c>
      <c r="H278" s="1">
        <v>4</v>
      </c>
      <c r="I278" s="1" t="str">
        <f t="shared" si="40"/>
        <v>,50200,50084,50107,50061</v>
      </c>
      <c r="J278" s="1" t="str">
        <f t="shared" si="41"/>
        <v>50200</v>
      </c>
      <c r="K278" s="1">
        <v>1</v>
      </c>
      <c r="L278" s="1" t="str">
        <f t="shared" si="42"/>
        <v>50084</v>
      </c>
      <c r="M278" s="1">
        <v>2</v>
      </c>
      <c r="N278" s="1" t="str">
        <f t="shared" si="43"/>
        <v>50107</v>
      </c>
      <c r="O278" s="1">
        <v>3</v>
      </c>
      <c r="P278" s="1" t="str">
        <f t="shared" si="44"/>
        <v>50061</v>
      </c>
      <c r="Q278" s="1">
        <v>5</v>
      </c>
      <c r="R278" s="1">
        <f>VLOOKUP(--J278,test3,11,FALSE)*K278+VLOOKUP(--L278,test3,11,FALSE)*M278+IF(N278="",0,VLOOKUP(--N278,test3,11,FALSE)*O278)+IF(P278="",0,VLOOKUP(--P278,test3,11,FALSE)*Q278)</f>
        <v>484.5</v>
      </c>
    </row>
    <row r="279" spans="2:18" x14ac:dyDescent="0.15">
      <c r="B279" s="1">
        <f>[1]item!$D278</f>
        <v>100277</v>
      </c>
      <c r="C279" s="1">
        <f>[1]item!$C278</f>
        <v>103070100</v>
      </c>
      <c r="D279" s="1">
        <f t="shared" si="37"/>
        <v>7</v>
      </c>
      <c r="E279" s="1">
        <f t="shared" si="38"/>
        <v>3</v>
      </c>
      <c r="F279" s="1">
        <f t="shared" si="39"/>
        <v>1</v>
      </c>
      <c r="G279" s="1" t="str">
        <f t="shared" si="36"/>
        <v>神圣</v>
      </c>
      <c r="H279" s="1">
        <v>4</v>
      </c>
      <c r="I279" s="1" t="str">
        <f t="shared" si="40"/>
        <v>,50200,50084,50107,50061</v>
      </c>
      <c r="J279" s="1" t="str">
        <f t="shared" si="41"/>
        <v>50200</v>
      </c>
      <c r="K279" s="1">
        <v>1</v>
      </c>
      <c r="L279" s="1" t="str">
        <f t="shared" si="42"/>
        <v>50084</v>
      </c>
      <c r="M279" s="1">
        <v>2</v>
      </c>
      <c r="N279" s="1" t="str">
        <f t="shared" si="43"/>
        <v>50107</v>
      </c>
      <c r="O279" s="1">
        <v>3</v>
      </c>
      <c r="P279" s="1" t="str">
        <f t="shared" si="44"/>
        <v>50061</v>
      </c>
      <c r="Q279" s="1">
        <v>5</v>
      </c>
      <c r="R279" s="1">
        <f>VLOOKUP(--J279,test3,11,FALSE)*K279+VLOOKUP(--L279,test3,11,FALSE)*M279+IF(N279="",0,VLOOKUP(--N279,test3,11,FALSE)*O279)+IF(P279="",0,VLOOKUP(--P279,test3,11,FALSE)*Q279)</f>
        <v>484.5</v>
      </c>
    </row>
    <row r="280" spans="2:18" x14ac:dyDescent="0.15">
      <c r="B280" s="1">
        <f>[1]item!$D279</f>
        <v>100278</v>
      </c>
      <c r="C280" s="1">
        <f>[1]item!$C279</f>
        <v>103080100</v>
      </c>
      <c r="D280" s="1">
        <f t="shared" si="37"/>
        <v>8</v>
      </c>
      <c r="E280" s="1">
        <f t="shared" si="38"/>
        <v>3</v>
      </c>
      <c r="F280" s="1">
        <f t="shared" si="39"/>
        <v>1</v>
      </c>
      <c r="G280" s="1" t="str">
        <f t="shared" si="36"/>
        <v>神圣</v>
      </c>
      <c r="H280" s="1">
        <v>4</v>
      </c>
      <c r="I280" s="1" t="str">
        <f t="shared" si="40"/>
        <v>,50200,50084,50107,50061</v>
      </c>
      <c r="J280" s="1" t="str">
        <f t="shared" si="41"/>
        <v>50200</v>
      </c>
      <c r="K280" s="1">
        <v>1</v>
      </c>
      <c r="L280" s="1" t="str">
        <f t="shared" si="42"/>
        <v>50084</v>
      </c>
      <c r="M280" s="1">
        <v>2</v>
      </c>
      <c r="N280" s="1" t="str">
        <f t="shared" si="43"/>
        <v>50107</v>
      </c>
      <c r="O280" s="1">
        <v>3</v>
      </c>
      <c r="P280" s="1" t="str">
        <f t="shared" si="44"/>
        <v>50061</v>
      </c>
      <c r="Q280" s="1">
        <v>5</v>
      </c>
      <c r="R280" s="1">
        <f>VLOOKUP(--J280,test3,11,FALSE)*K280+VLOOKUP(--L280,test3,11,FALSE)*M280+IF(N280="",0,VLOOKUP(--N280,test3,11,FALSE)*O280)+IF(P280="",0,VLOOKUP(--P280,test3,11,FALSE)*Q280)</f>
        <v>484.5</v>
      </c>
    </row>
    <row r="281" spans="2:18" x14ac:dyDescent="0.15">
      <c r="B281" s="1">
        <f>[1]item!$D280</f>
        <v>100279</v>
      </c>
      <c r="C281" s="1">
        <f>[1]item!$C280</f>
        <v>103090100</v>
      </c>
      <c r="D281" s="1">
        <f t="shared" si="37"/>
        <v>9</v>
      </c>
      <c r="E281" s="1">
        <f t="shared" si="38"/>
        <v>3</v>
      </c>
      <c r="F281" s="1">
        <f t="shared" si="39"/>
        <v>1</v>
      </c>
      <c r="G281" s="1" t="str">
        <f t="shared" si="36"/>
        <v>神圣</v>
      </c>
      <c r="H281" s="1">
        <v>4</v>
      </c>
      <c r="I281" s="1" t="str">
        <f t="shared" si="40"/>
        <v>,50200,50084,50107,50061</v>
      </c>
      <c r="J281" s="1" t="str">
        <f t="shared" si="41"/>
        <v>50200</v>
      </c>
      <c r="K281" s="1">
        <v>1</v>
      </c>
      <c r="L281" s="1" t="str">
        <f t="shared" si="42"/>
        <v>50084</v>
      </c>
      <c r="M281" s="1">
        <v>2</v>
      </c>
      <c r="N281" s="1" t="str">
        <f t="shared" si="43"/>
        <v>50107</v>
      </c>
      <c r="O281" s="1">
        <v>3</v>
      </c>
      <c r="P281" s="1" t="str">
        <f t="shared" si="44"/>
        <v>50061</v>
      </c>
      <c r="Q281" s="1">
        <v>5</v>
      </c>
      <c r="R281" s="1">
        <f>VLOOKUP(--J281,test3,11,FALSE)*K281+VLOOKUP(--L281,test3,11,FALSE)*M281+IF(N281="",0,VLOOKUP(--N281,test3,11,FALSE)*O281)+IF(P281="",0,VLOOKUP(--P281,test3,11,FALSE)*Q281)</f>
        <v>484.5</v>
      </c>
    </row>
    <row r="282" spans="2:18" x14ac:dyDescent="0.15">
      <c r="B282" s="1">
        <f>[1]item!$D281</f>
        <v>100280</v>
      </c>
      <c r="C282" s="1">
        <f>[1]item!$C281</f>
        <v>103010200</v>
      </c>
      <c r="D282" s="1">
        <f t="shared" si="37"/>
        <v>1</v>
      </c>
      <c r="E282" s="1">
        <f t="shared" si="38"/>
        <v>3</v>
      </c>
      <c r="F282" s="1">
        <f t="shared" si="39"/>
        <v>1</v>
      </c>
      <c r="G282" s="1" t="str">
        <f t="shared" si="36"/>
        <v>地脉</v>
      </c>
      <c r="H282" s="1">
        <v>4</v>
      </c>
      <c r="I282" s="1" t="str">
        <f t="shared" si="40"/>
        <v>,50200,50080,50127,50085</v>
      </c>
      <c r="J282" s="1" t="str">
        <f t="shared" si="41"/>
        <v>50200</v>
      </c>
      <c r="K282" s="1">
        <v>1</v>
      </c>
      <c r="L282" s="1" t="str">
        <f t="shared" si="42"/>
        <v>50080</v>
      </c>
      <c r="M282" s="1">
        <v>2</v>
      </c>
      <c r="N282" s="1" t="str">
        <f t="shared" si="43"/>
        <v>50127</v>
      </c>
      <c r="O282" s="1">
        <v>3</v>
      </c>
      <c r="P282" s="1" t="str">
        <f t="shared" si="44"/>
        <v>50085</v>
      </c>
      <c r="Q282" s="1">
        <v>5</v>
      </c>
      <c r="R282" s="1">
        <f>VLOOKUP(--J282,test3,11,FALSE)*K282+VLOOKUP(--L282,test3,11,FALSE)*M282+IF(N282="",0,VLOOKUP(--N282,test3,11,FALSE)*O282)+IF(P282="",0,VLOOKUP(--P282,test3,11,FALSE)*Q282)</f>
        <v>525</v>
      </c>
    </row>
    <row r="283" spans="2:18" x14ac:dyDescent="0.15">
      <c r="B283" s="1">
        <f>[1]item!$D282</f>
        <v>100281</v>
      </c>
      <c r="C283" s="1">
        <f>[1]item!$C282</f>
        <v>103020200</v>
      </c>
      <c r="D283" s="1">
        <f t="shared" si="37"/>
        <v>2</v>
      </c>
      <c r="E283" s="1">
        <f t="shared" si="38"/>
        <v>3</v>
      </c>
      <c r="F283" s="1">
        <f t="shared" si="39"/>
        <v>1</v>
      </c>
      <c r="G283" s="1" t="str">
        <f t="shared" si="36"/>
        <v>地脉</v>
      </c>
      <c r="H283" s="1">
        <v>4</v>
      </c>
      <c r="I283" s="1" t="str">
        <f t="shared" si="40"/>
        <v>,50200,50080,50127,50085</v>
      </c>
      <c r="J283" s="1" t="str">
        <f t="shared" si="41"/>
        <v>50200</v>
      </c>
      <c r="K283" s="1">
        <v>1</v>
      </c>
      <c r="L283" s="1" t="str">
        <f t="shared" si="42"/>
        <v>50080</v>
      </c>
      <c r="M283" s="1">
        <v>2</v>
      </c>
      <c r="N283" s="1" t="str">
        <f t="shared" si="43"/>
        <v>50127</v>
      </c>
      <c r="O283" s="1">
        <v>3</v>
      </c>
      <c r="P283" s="1" t="str">
        <f t="shared" si="44"/>
        <v>50085</v>
      </c>
      <c r="Q283" s="1">
        <v>5</v>
      </c>
      <c r="R283" s="1">
        <f>VLOOKUP(--J283,test3,11,FALSE)*K283+VLOOKUP(--L283,test3,11,FALSE)*M283+IF(N283="",0,VLOOKUP(--N283,test3,11,FALSE)*O283)+IF(P283="",0,VLOOKUP(--P283,test3,11,FALSE)*Q283)</f>
        <v>525</v>
      </c>
    </row>
    <row r="284" spans="2:18" x14ac:dyDescent="0.15">
      <c r="B284" s="1">
        <f>[1]item!$D283</f>
        <v>100282</v>
      </c>
      <c r="C284" s="1">
        <f>[1]item!$C283</f>
        <v>103030200</v>
      </c>
      <c r="D284" s="1">
        <f t="shared" si="37"/>
        <v>3</v>
      </c>
      <c r="E284" s="1">
        <f t="shared" si="38"/>
        <v>3</v>
      </c>
      <c r="F284" s="1">
        <f t="shared" si="39"/>
        <v>1</v>
      </c>
      <c r="G284" s="1" t="str">
        <f t="shared" si="36"/>
        <v>地脉</v>
      </c>
      <c r="H284" s="1">
        <v>4</v>
      </c>
      <c r="I284" s="1" t="str">
        <f t="shared" si="40"/>
        <v>,50200,50080,50127,50085</v>
      </c>
      <c r="J284" s="1" t="str">
        <f t="shared" si="41"/>
        <v>50200</v>
      </c>
      <c r="K284" s="1">
        <v>1</v>
      </c>
      <c r="L284" s="1" t="str">
        <f t="shared" si="42"/>
        <v>50080</v>
      </c>
      <c r="M284" s="1">
        <v>2</v>
      </c>
      <c r="N284" s="1" t="str">
        <f t="shared" si="43"/>
        <v>50127</v>
      </c>
      <c r="O284" s="1">
        <v>3</v>
      </c>
      <c r="P284" s="1" t="str">
        <f t="shared" si="44"/>
        <v>50085</v>
      </c>
      <c r="Q284" s="1">
        <v>5</v>
      </c>
      <c r="R284" s="1">
        <f>VLOOKUP(--J284,test3,11,FALSE)*K284+VLOOKUP(--L284,test3,11,FALSE)*M284+IF(N284="",0,VLOOKUP(--N284,test3,11,FALSE)*O284)+IF(P284="",0,VLOOKUP(--P284,test3,11,FALSE)*Q284)</f>
        <v>525</v>
      </c>
    </row>
    <row r="285" spans="2:18" x14ac:dyDescent="0.15">
      <c r="B285" s="1">
        <f>[1]item!$D284</f>
        <v>100283</v>
      </c>
      <c r="C285" s="1">
        <f>[1]item!$C284</f>
        <v>103040200</v>
      </c>
      <c r="D285" s="1">
        <f t="shared" si="37"/>
        <v>4</v>
      </c>
      <c r="E285" s="1">
        <f t="shared" si="38"/>
        <v>3</v>
      </c>
      <c r="F285" s="1">
        <f t="shared" si="39"/>
        <v>1</v>
      </c>
      <c r="G285" s="1" t="str">
        <f t="shared" si="36"/>
        <v>地脉</v>
      </c>
      <c r="H285" s="1">
        <v>4</v>
      </c>
      <c r="I285" s="1" t="str">
        <f t="shared" si="40"/>
        <v>,50200,50080,50085,50033</v>
      </c>
      <c r="J285" s="1" t="str">
        <f t="shared" si="41"/>
        <v>50200</v>
      </c>
      <c r="K285" s="1">
        <v>1</v>
      </c>
      <c r="L285" s="1" t="str">
        <f t="shared" si="42"/>
        <v>50080</v>
      </c>
      <c r="M285" s="1">
        <v>2</v>
      </c>
      <c r="N285" s="1" t="str">
        <f t="shared" si="43"/>
        <v>50085</v>
      </c>
      <c r="O285" s="1">
        <v>3</v>
      </c>
      <c r="P285" s="1" t="str">
        <f t="shared" si="44"/>
        <v>50033</v>
      </c>
      <c r="Q285" s="1">
        <v>5</v>
      </c>
      <c r="R285" s="1">
        <f>VLOOKUP(--J285,test3,11,FALSE)*K285+VLOOKUP(--L285,test3,11,FALSE)*M285+IF(N285="",0,VLOOKUP(--N285,test3,11,FALSE)*O285)+IF(P285="",0,VLOOKUP(--P285,test3,11,FALSE)*Q285)</f>
        <v>525</v>
      </c>
    </row>
    <row r="286" spans="2:18" x14ac:dyDescent="0.15">
      <c r="B286" s="1">
        <f>[1]item!$D285</f>
        <v>100284</v>
      </c>
      <c r="C286" s="1">
        <f>[1]item!$C285</f>
        <v>103050200</v>
      </c>
      <c r="D286" s="1">
        <f t="shared" si="37"/>
        <v>5</v>
      </c>
      <c r="E286" s="1">
        <f t="shared" si="38"/>
        <v>3</v>
      </c>
      <c r="F286" s="1">
        <f t="shared" si="39"/>
        <v>1</v>
      </c>
      <c r="G286" s="1" t="str">
        <f t="shared" si="36"/>
        <v>地脉</v>
      </c>
      <c r="H286" s="1">
        <v>4</v>
      </c>
      <c r="I286" s="1" t="str">
        <f t="shared" si="40"/>
        <v>,50200,50080,50085,50033</v>
      </c>
      <c r="J286" s="1" t="str">
        <f t="shared" si="41"/>
        <v>50200</v>
      </c>
      <c r="K286" s="1">
        <v>1</v>
      </c>
      <c r="L286" s="1" t="str">
        <f t="shared" si="42"/>
        <v>50080</v>
      </c>
      <c r="M286" s="1">
        <v>2</v>
      </c>
      <c r="N286" s="1" t="str">
        <f t="shared" si="43"/>
        <v>50085</v>
      </c>
      <c r="O286" s="1">
        <v>3</v>
      </c>
      <c r="P286" s="1" t="str">
        <f t="shared" si="44"/>
        <v>50033</v>
      </c>
      <c r="Q286" s="1">
        <v>5</v>
      </c>
      <c r="R286" s="1">
        <f>VLOOKUP(--J286,test3,11,FALSE)*K286+VLOOKUP(--L286,test3,11,FALSE)*M286+IF(N286="",0,VLOOKUP(--N286,test3,11,FALSE)*O286)+IF(P286="",0,VLOOKUP(--P286,test3,11,FALSE)*Q286)</f>
        <v>525</v>
      </c>
    </row>
    <row r="287" spans="2:18" x14ac:dyDescent="0.15">
      <c r="B287" s="1">
        <f>[1]item!$D286</f>
        <v>100285</v>
      </c>
      <c r="C287" s="1">
        <f>[1]item!$C286</f>
        <v>103060200</v>
      </c>
      <c r="D287" s="1">
        <f t="shared" si="37"/>
        <v>6</v>
      </c>
      <c r="E287" s="1">
        <f t="shared" si="38"/>
        <v>3</v>
      </c>
      <c r="F287" s="1">
        <f t="shared" si="39"/>
        <v>1</v>
      </c>
      <c r="G287" s="1" t="str">
        <f t="shared" si="36"/>
        <v>地脉</v>
      </c>
      <c r="H287" s="1">
        <v>4</v>
      </c>
      <c r="I287" s="1" t="str">
        <f t="shared" si="40"/>
        <v>,50200,50080,50127,50085</v>
      </c>
      <c r="J287" s="1" t="str">
        <f t="shared" si="41"/>
        <v>50200</v>
      </c>
      <c r="K287" s="1">
        <v>1</v>
      </c>
      <c r="L287" s="1" t="str">
        <f t="shared" si="42"/>
        <v>50080</v>
      </c>
      <c r="M287" s="1">
        <v>2</v>
      </c>
      <c r="N287" s="1" t="str">
        <f t="shared" si="43"/>
        <v>50127</v>
      </c>
      <c r="O287" s="1">
        <v>3</v>
      </c>
      <c r="P287" s="1" t="str">
        <f t="shared" si="44"/>
        <v>50085</v>
      </c>
      <c r="Q287" s="1">
        <v>5</v>
      </c>
      <c r="R287" s="1">
        <f>VLOOKUP(--J287,test3,11,FALSE)*K287+VLOOKUP(--L287,test3,11,FALSE)*M287+IF(N287="",0,VLOOKUP(--N287,test3,11,FALSE)*O287)+IF(P287="",0,VLOOKUP(--P287,test3,11,FALSE)*Q287)</f>
        <v>525</v>
      </c>
    </row>
    <row r="288" spans="2:18" x14ac:dyDescent="0.15">
      <c r="B288" s="1">
        <f>[1]item!$D287</f>
        <v>100286</v>
      </c>
      <c r="C288" s="1">
        <f>[1]item!$C287</f>
        <v>103070200</v>
      </c>
      <c r="D288" s="1">
        <f t="shared" si="37"/>
        <v>7</v>
      </c>
      <c r="E288" s="1">
        <f t="shared" si="38"/>
        <v>3</v>
      </c>
      <c r="F288" s="1">
        <f t="shared" si="39"/>
        <v>1</v>
      </c>
      <c r="G288" s="1" t="str">
        <f t="shared" si="36"/>
        <v>地脉</v>
      </c>
      <c r="H288" s="1">
        <v>4</v>
      </c>
      <c r="I288" s="1" t="str">
        <f t="shared" si="40"/>
        <v>,50200,50080,50127,50085</v>
      </c>
      <c r="J288" s="1" t="str">
        <f t="shared" si="41"/>
        <v>50200</v>
      </c>
      <c r="K288" s="1">
        <v>1</v>
      </c>
      <c r="L288" s="1" t="str">
        <f t="shared" si="42"/>
        <v>50080</v>
      </c>
      <c r="M288" s="1">
        <v>2</v>
      </c>
      <c r="N288" s="1" t="str">
        <f t="shared" si="43"/>
        <v>50127</v>
      </c>
      <c r="O288" s="1">
        <v>3</v>
      </c>
      <c r="P288" s="1" t="str">
        <f t="shared" si="44"/>
        <v>50085</v>
      </c>
      <c r="Q288" s="1">
        <v>5</v>
      </c>
      <c r="R288" s="1">
        <f>VLOOKUP(--J288,test3,11,FALSE)*K288+VLOOKUP(--L288,test3,11,FALSE)*M288+IF(N288="",0,VLOOKUP(--N288,test3,11,FALSE)*O288)+IF(P288="",0,VLOOKUP(--P288,test3,11,FALSE)*Q288)</f>
        <v>525</v>
      </c>
    </row>
    <row r="289" spans="2:18" x14ac:dyDescent="0.15">
      <c r="B289" s="1">
        <f>[1]item!$D288</f>
        <v>100287</v>
      </c>
      <c r="C289" s="1">
        <f>[1]item!$C288</f>
        <v>103080200</v>
      </c>
      <c r="D289" s="1">
        <f t="shared" si="37"/>
        <v>8</v>
      </c>
      <c r="E289" s="1">
        <f t="shared" si="38"/>
        <v>3</v>
      </c>
      <c r="F289" s="1">
        <f t="shared" si="39"/>
        <v>1</v>
      </c>
      <c r="G289" s="1" t="str">
        <f t="shared" si="36"/>
        <v>地脉</v>
      </c>
      <c r="H289" s="1">
        <v>4</v>
      </c>
      <c r="I289" s="1" t="str">
        <f t="shared" si="40"/>
        <v>,50200,50080,50127,50085</v>
      </c>
      <c r="J289" s="1" t="str">
        <f t="shared" si="41"/>
        <v>50200</v>
      </c>
      <c r="K289" s="1">
        <v>1</v>
      </c>
      <c r="L289" s="1" t="str">
        <f t="shared" si="42"/>
        <v>50080</v>
      </c>
      <c r="M289" s="1">
        <v>2</v>
      </c>
      <c r="N289" s="1" t="str">
        <f t="shared" si="43"/>
        <v>50127</v>
      </c>
      <c r="O289" s="1">
        <v>3</v>
      </c>
      <c r="P289" s="1" t="str">
        <f t="shared" si="44"/>
        <v>50085</v>
      </c>
      <c r="Q289" s="1">
        <v>5</v>
      </c>
      <c r="R289" s="1">
        <f>VLOOKUP(--J289,test3,11,FALSE)*K289+VLOOKUP(--L289,test3,11,FALSE)*M289+IF(N289="",0,VLOOKUP(--N289,test3,11,FALSE)*O289)+IF(P289="",0,VLOOKUP(--P289,test3,11,FALSE)*Q289)</f>
        <v>525</v>
      </c>
    </row>
    <row r="290" spans="2:18" x14ac:dyDescent="0.15">
      <c r="B290" s="1">
        <f>[1]item!$D289</f>
        <v>100288</v>
      </c>
      <c r="C290" s="1">
        <f>[1]item!$C289</f>
        <v>103090200</v>
      </c>
      <c r="D290" s="1">
        <f t="shared" si="37"/>
        <v>9</v>
      </c>
      <c r="E290" s="1">
        <f t="shared" si="38"/>
        <v>3</v>
      </c>
      <c r="F290" s="1">
        <f t="shared" si="39"/>
        <v>1</v>
      </c>
      <c r="G290" s="1" t="str">
        <f t="shared" si="36"/>
        <v>地脉</v>
      </c>
      <c r="H290" s="1">
        <v>4</v>
      </c>
      <c r="I290" s="1" t="str">
        <f t="shared" si="40"/>
        <v>,50200,50080,50085,50033</v>
      </c>
      <c r="J290" s="1" t="str">
        <f t="shared" si="41"/>
        <v>50200</v>
      </c>
      <c r="K290" s="1">
        <v>1</v>
      </c>
      <c r="L290" s="1" t="str">
        <f t="shared" si="42"/>
        <v>50080</v>
      </c>
      <c r="M290" s="1">
        <v>2</v>
      </c>
      <c r="N290" s="1" t="str">
        <f t="shared" si="43"/>
        <v>50085</v>
      </c>
      <c r="O290" s="1">
        <v>3</v>
      </c>
      <c r="P290" s="1" t="str">
        <f t="shared" si="44"/>
        <v>50033</v>
      </c>
      <c r="Q290" s="1">
        <v>5</v>
      </c>
      <c r="R290" s="1">
        <f>VLOOKUP(--J290,test3,11,FALSE)*K290+VLOOKUP(--L290,test3,11,FALSE)*M290+IF(N290="",0,VLOOKUP(--N290,test3,11,FALSE)*O290)+IF(P290="",0,VLOOKUP(--P290,test3,11,FALSE)*Q290)</f>
        <v>525</v>
      </c>
    </row>
    <row r="291" spans="2:18" x14ac:dyDescent="0.15">
      <c r="B291" s="1">
        <f>[1]item!$D290</f>
        <v>100289</v>
      </c>
      <c r="C291" s="1">
        <f>[1]item!$C290</f>
        <v>103010300</v>
      </c>
      <c r="D291" s="1">
        <f t="shared" si="37"/>
        <v>1</v>
      </c>
      <c r="E291" s="1">
        <f t="shared" si="38"/>
        <v>3</v>
      </c>
      <c r="F291" s="1">
        <f t="shared" si="39"/>
        <v>1</v>
      </c>
      <c r="G291" s="1" t="str">
        <f t="shared" si="36"/>
        <v>神圣</v>
      </c>
      <c r="H291" s="1">
        <v>4</v>
      </c>
      <c r="I291" s="1" t="str">
        <f t="shared" si="40"/>
        <v>,50200,50084,50017,50125</v>
      </c>
      <c r="J291" s="1" t="str">
        <f t="shared" si="41"/>
        <v>50200</v>
      </c>
      <c r="K291" s="1">
        <v>1</v>
      </c>
      <c r="L291" s="1" t="str">
        <f t="shared" si="42"/>
        <v>50084</v>
      </c>
      <c r="M291" s="1">
        <v>2</v>
      </c>
      <c r="N291" s="1" t="str">
        <f t="shared" si="43"/>
        <v>50017</v>
      </c>
      <c r="O291" s="1">
        <v>3</v>
      </c>
      <c r="P291" s="1" t="str">
        <f t="shared" si="44"/>
        <v>50125</v>
      </c>
      <c r="Q291" s="1">
        <v>5</v>
      </c>
      <c r="R291" s="1">
        <f>VLOOKUP(--J291,test3,11,FALSE)*K291+VLOOKUP(--L291,test3,11,FALSE)*M291+IF(N291="",0,VLOOKUP(--N291,test3,11,FALSE)*O291)+IF(P291="",0,VLOOKUP(--P291,test3,11,FALSE)*Q291)</f>
        <v>525</v>
      </c>
    </row>
    <row r="292" spans="2:18" x14ac:dyDescent="0.15">
      <c r="B292" s="1">
        <f>[1]item!$D291</f>
        <v>100290</v>
      </c>
      <c r="C292" s="1">
        <f>[1]item!$C291</f>
        <v>103020300</v>
      </c>
      <c r="D292" s="1">
        <f t="shared" si="37"/>
        <v>2</v>
      </c>
      <c r="E292" s="1">
        <f t="shared" si="38"/>
        <v>3</v>
      </c>
      <c r="F292" s="1">
        <f t="shared" si="39"/>
        <v>1</v>
      </c>
      <c r="G292" s="1" t="str">
        <f t="shared" si="36"/>
        <v>神圣</v>
      </c>
      <c r="H292" s="1">
        <v>4</v>
      </c>
      <c r="I292" s="1" t="str">
        <f t="shared" si="40"/>
        <v>,50200,50084,50107,50061</v>
      </c>
      <c r="J292" s="1" t="str">
        <f t="shared" si="41"/>
        <v>50200</v>
      </c>
      <c r="K292" s="1">
        <v>1</v>
      </c>
      <c r="L292" s="1" t="str">
        <f t="shared" si="42"/>
        <v>50084</v>
      </c>
      <c r="M292" s="1">
        <v>2</v>
      </c>
      <c r="N292" s="1" t="str">
        <f t="shared" si="43"/>
        <v>50107</v>
      </c>
      <c r="O292" s="1">
        <v>3</v>
      </c>
      <c r="P292" s="1" t="str">
        <f t="shared" si="44"/>
        <v>50061</v>
      </c>
      <c r="Q292" s="1">
        <v>5</v>
      </c>
      <c r="R292" s="1">
        <f>VLOOKUP(--J292,test3,11,FALSE)*K292+VLOOKUP(--L292,test3,11,FALSE)*M292+IF(N292="",0,VLOOKUP(--N292,test3,11,FALSE)*O292)+IF(P292="",0,VLOOKUP(--P292,test3,11,FALSE)*Q292)</f>
        <v>484.5</v>
      </c>
    </row>
    <row r="293" spans="2:18" x14ac:dyDescent="0.15">
      <c r="B293" s="1">
        <f>[1]item!$D292</f>
        <v>100291</v>
      </c>
      <c r="C293" s="1">
        <f>[1]item!$C292</f>
        <v>103030300</v>
      </c>
      <c r="D293" s="1">
        <f t="shared" si="37"/>
        <v>3</v>
      </c>
      <c r="E293" s="1">
        <f t="shared" si="38"/>
        <v>3</v>
      </c>
      <c r="F293" s="1">
        <f t="shared" si="39"/>
        <v>1</v>
      </c>
      <c r="G293" s="1" t="str">
        <f t="shared" si="36"/>
        <v>神圣</v>
      </c>
      <c r="H293" s="1">
        <v>4</v>
      </c>
      <c r="I293" s="1" t="str">
        <f t="shared" si="40"/>
        <v>,50200,50084,50017,50125</v>
      </c>
      <c r="J293" s="1" t="str">
        <f t="shared" si="41"/>
        <v>50200</v>
      </c>
      <c r="K293" s="1">
        <v>1</v>
      </c>
      <c r="L293" s="1" t="str">
        <f t="shared" si="42"/>
        <v>50084</v>
      </c>
      <c r="M293" s="1">
        <v>2</v>
      </c>
      <c r="N293" s="1" t="str">
        <f t="shared" si="43"/>
        <v>50017</v>
      </c>
      <c r="O293" s="1">
        <v>3</v>
      </c>
      <c r="P293" s="1" t="str">
        <f t="shared" si="44"/>
        <v>50125</v>
      </c>
      <c r="Q293" s="1">
        <v>5</v>
      </c>
      <c r="R293" s="1">
        <f>VLOOKUP(--J293,test3,11,FALSE)*K293+VLOOKUP(--L293,test3,11,FALSE)*M293+IF(N293="",0,VLOOKUP(--N293,test3,11,FALSE)*O293)+IF(P293="",0,VLOOKUP(--P293,test3,11,FALSE)*Q293)</f>
        <v>525</v>
      </c>
    </row>
    <row r="294" spans="2:18" x14ac:dyDescent="0.15">
      <c r="B294" s="1">
        <f>[1]item!$D293</f>
        <v>100292</v>
      </c>
      <c r="C294" s="1">
        <f>[1]item!$C293</f>
        <v>103040300</v>
      </c>
      <c r="D294" s="1">
        <f t="shared" si="37"/>
        <v>4</v>
      </c>
      <c r="E294" s="1">
        <f t="shared" si="38"/>
        <v>3</v>
      </c>
      <c r="F294" s="1">
        <f t="shared" si="39"/>
        <v>1</v>
      </c>
      <c r="G294" s="1" t="str">
        <f t="shared" si="36"/>
        <v>神圣</v>
      </c>
      <c r="H294" s="1">
        <v>4</v>
      </c>
      <c r="I294" s="1" t="str">
        <f t="shared" si="40"/>
        <v>,50200,50084,50107,50061</v>
      </c>
      <c r="J294" s="1" t="str">
        <f t="shared" si="41"/>
        <v>50200</v>
      </c>
      <c r="K294" s="1">
        <v>1</v>
      </c>
      <c r="L294" s="1" t="str">
        <f t="shared" si="42"/>
        <v>50084</v>
      </c>
      <c r="M294" s="1">
        <v>2</v>
      </c>
      <c r="N294" s="1" t="str">
        <f t="shared" si="43"/>
        <v>50107</v>
      </c>
      <c r="O294" s="1">
        <v>3</v>
      </c>
      <c r="P294" s="1" t="str">
        <f t="shared" si="44"/>
        <v>50061</v>
      </c>
      <c r="Q294" s="1">
        <v>5</v>
      </c>
      <c r="R294" s="1">
        <f>VLOOKUP(--J294,test3,11,FALSE)*K294+VLOOKUP(--L294,test3,11,FALSE)*M294+IF(N294="",0,VLOOKUP(--N294,test3,11,FALSE)*O294)+IF(P294="",0,VLOOKUP(--P294,test3,11,FALSE)*Q294)</f>
        <v>484.5</v>
      </c>
    </row>
    <row r="295" spans="2:18" x14ac:dyDescent="0.15">
      <c r="B295" s="1">
        <f>[1]item!$D294</f>
        <v>100293</v>
      </c>
      <c r="C295" s="1">
        <f>[1]item!$C294</f>
        <v>103050300</v>
      </c>
      <c r="D295" s="1">
        <f t="shared" si="37"/>
        <v>5</v>
      </c>
      <c r="E295" s="1">
        <f t="shared" si="38"/>
        <v>3</v>
      </c>
      <c r="F295" s="1">
        <f t="shared" si="39"/>
        <v>1</v>
      </c>
      <c r="G295" s="1" t="str">
        <f t="shared" si="36"/>
        <v>神圣</v>
      </c>
      <c r="H295" s="1">
        <v>4</v>
      </c>
      <c r="I295" s="1" t="str">
        <f t="shared" si="40"/>
        <v>,50200,50084,50083,50060</v>
      </c>
      <c r="J295" s="1" t="str">
        <f t="shared" si="41"/>
        <v>50200</v>
      </c>
      <c r="K295" s="1">
        <v>1</v>
      </c>
      <c r="L295" s="1" t="str">
        <f t="shared" si="42"/>
        <v>50084</v>
      </c>
      <c r="M295" s="1">
        <v>2</v>
      </c>
      <c r="N295" s="1" t="str">
        <f t="shared" si="43"/>
        <v>50083</v>
      </c>
      <c r="O295" s="1">
        <v>3</v>
      </c>
      <c r="P295" s="1" t="str">
        <f t="shared" si="44"/>
        <v>50060</v>
      </c>
      <c r="Q295" s="1">
        <v>5</v>
      </c>
      <c r="R295" s="1">
        <f>VLOOKUP(--J295,test3,11,FALSE)*K295+VLOOKUP(--L295,test3,11,FALSE)*M295+IF(N295="",0,VLOOKUP(--N295,test3,11,FALSE)*O295)+IF(P295="",0,VLOOKUP(--P295,test3,11,FALSE)*Q295)</f>
        <v>525</v>
      </c>
    </row>
    <row r="296" spans="2:18" x14ac:dyDescent="0.15">
      <c r="B296" s="1">
        <f>[1]item!$D295</f>
        <v>100294</v>
      </c>
      <c r="C296" s="1">
        <f>[1]item!$C295</f>
        <v>103060300</v>
      </c>
      <c r="D296" s="1">
        <f t="shared" si="37"/>
        <v>6</v>
      </c>
      <c r="E296" s="1">
        <f t="shared" si="38"/>
        <v>3</v>
      </c>
      <c r="F296" s="1">
        <f t="shared" si="39"/>
        <v>1</v>
      </c>
      <c r="G296" s="1" t="str">
        <f t="shared" si="36"/>
        <v>神圣</v>
      </c>
      <c r="H296" s="1">
        <v>4</v>
      </c>
      <c r="I296" s="1" t="str">
        <f t="shared" si="40"/>
        <v>,50200,50084,50017,50125</v>
      </c>
      <c r="J296" s="1" t="str">
        <f t="shared" si="41"/>
        <v>50200</v>
      </c>
      <c r="K296" s="1">
        <v>1</v>
      </c>
      <c r="L296" s="1" t="str">
        <f t="shared" si="42"/>
        <v>50084</v>
      </c>
      <c r="M296" s="1">
        <v>2</v>
      </c>
      <c r="N296" s="1" t="str">
        <f t="shared" si="43"/>
        <v>50017</v>
      </c>
      <c r="O296" s="1">
        <v>3</v>
      </c>
      <c r="P296" s="1" t="str">
        <f t="shared" si="44"/>
        <v>50125</v>
      </c>
      <c r="Q296" s="1">
        <v>5</v>
      </c>
      <c r="R296" s="1">
        <f>VLOOKUP(--J296,test3,11,FALSE)*K296+VLOOKUP(--L296,test3,11,FALSE)*M296+IF(N296="",0,VLOOKUP(--N296,test3,11,FALSE)*O296)+IF(P296="",0,VLOOKUP(--P296,test3,11,FALSE)*Q296)</f>
        <v>525</v>
      </c>
    </row>
    <row r="297" spans="2:18" x14ac:dyDescent="0.15">
      <c r="B297" s="1">
        <f>[1]item!$D296</f>
        <v>100295</v>
      </c>
      <c r="C297" s="1">
        <f>[1]item!$C296</f>
        <v>103070300</v>
      </c>
      <c r="D297" s="1">
        <f t="shared" si="37"/>
        <v>7</v>
      </c>
      <c r="E297" s="1">
        <f t="shared" si="38"/>
        <v>3</v>
      </c>
      <c r="F297" s="1">
        <f t="shared" si="39"/>
        <v>1</v>
      </c>
      <c r="G297" s="1" t="str">
        <f t="shared" si="36"/>
        <v>神圣</v>
      </c>
      <c r="H297" s="1">
        <v>4</v>
      </c>
      <c r="I297" s="1" t="str">
        <f t="shared" si="40"/>
        <v>,50200,50084,50017,50125</v>
      </c>
      <c r="J297" s="1" t="str">
        <f t="shared" si="41"/>
        <v>50200</v>
      </c>
      <c r="K297" s="1">
        <v>1</v>
      </c>
      <c r="L297" s="1" t="str">
        <f t="shared" si="42"/>
        <v>50084</v>
      </c>
      <c r="M297" s="1">
        <v>2</v>
      </c>
      <c r="N297" s="1" t="str">
        <f t="shared" si="43"/>
        <v>50017</v>
      </c>
      <c r="O297" s="1">
        <v>3</v>
      </c>
      <c r="P297" s="1" t="str">
        <f t="shared" si="44"/>
        <v>50125</v>
      </c>
      <c r="Q297" s="1">
        <v>5</v>
      </c>
      <c r="R297" s="1">
        <f>VLOOKUP(--J297,test3,11,FALSE)*K297+VLOOKUP(--L297,test3,11,FALSE)*M297+IF(N297="",0,VLOOKUP(--N297,test3,11,FALSE)*O297)+IF(P297="",0,VLOOKUP(--P297,test3,11,FALSE)*Q297)</f>
        <v>525</v>
      </c>
    </row>
    <row r="298" spans="2:18" x14ac:dyDescent="0.15">
      <c r="B298" s="1">
        <f>[1]item!$D297</f>
        <v>100296</v>
      </c>
      <c r="C298" s="1">
        <f>[1]item!$C297</f>
        <v>103080300</v>
      </c>
      <c r="D298" s="1">
        <f t="shared" si="37"/>
        <v>8</v>
      </c>
      <c r="E298" s="1">
        <f t="shared" si="38"/>
        <v>3</v>
      </c>
      <c r="F298" s="1">
        <f t="shared" si="39"/>
        <v>1</v>
      </c>
      <c r="G298" s="1" t="str">
        <f t="shared" si="36"/>
        <v>神圣</v>
      </c>
      <c r="H298" s="1">
        <v>4</v>
      </c>
      <c r="I298" s="1" t="str">
        <f t="shared" si="40"/>
        <v>,50200,50084,50107,50061</v>
      </c>
      <c r="J298" s="1" t="str">
        <f t="shared" si="41"/>
        <v>50200</v>
      </c>
      <c r="K298" s="1">
        <v>1</v>
      </c>
      <c r="L298" s="1" t="str">
        <f t="shared" si="42"/>
        <v>50084</v>
      </c>
      <c r="M298" s="1">
        <v>2</v>
      </c>
      <c r="N298" s="1" t="str">
        <f t="shared" si="43"/>
        <v>50107</v>
      </c>
      <c r="O298" s="1">
        <v>3</v>
      </c>
      <c r="P298" s="1" t="str">
        <f t="shared" si="44"/>
        <v>50061</v>
      </c>
      <c r="Q298" s="1">
        <v>5</v>
      </c>
      <c r="R298" s="1">
        <f>VLOOKUP(--J298,test3,11,FALSE)*K298+VLOOKUP(--L298,test3,11,FALSE)*M298+IF(N298="",0,VLOOKUP(--N298,test3,11,FALSE)*O298)+IF(P298="",0,VLOOKUP(--P298,test3,11,FALSE)*Q298)</f>
        <v>484.5</v>
      </c>
    </row>
    <row r="299" spans="2:18" x14ac:dyDescent="0.15">
      <c r="B299" s="1">
        <f>[1]item!$D298</f>
        <v>100297</v>
      </c>
      <c r="C299" s="1">
        <f>[1]item!$C298</f>
        <v>103090300</v>
      </c>
      <c r="D299" s="1">
        <f t="shared" si="37"/>
        <v>9</v>
      </c>
      <c r="E299" s="1">
        <f t="shared" si="38"/>
        <v>3</v>
      </c>
      <c r="F299" s="1">
        <f t="shared" si="39"/>
        <v>1</v>
      </c>
      <c r="G299" s="1" t="str">
        <f t="shared" si="36"/>
        <v>神圣</v>
      </c>
      <c r="H299" s="1">
        <v>4</v>
      </c>
      <c r="I299" s="1" t="str">
        <f t="shared" si="40"/>
        <v>,50200,50084,50083,50060</v>
      </c>
      <c r="J299" s="1" t="str">
        <f t="shared" si="41"/>
        <v>50200</v>
      </c>
      <c r="K299" s="1">
        <v>1</v>
      </c>
      <c r="L299" s="1" t="str">
        <f t="shared" si="42"/>
        <v>50084</v>
      </c>
      <c r="M299" s="1">
        <v>2</v>
      </c>
      <c r="N299" s="1" t="str">
        <f t="shared" si="43"/>
        <v>50083</v>
      </c>
      <c r="O299" s="1">
        <v>3</v>
      </c>
      <c r="P299" s="1" t="str">
        <f t="shared" si="44"/>
        <v>50060</v>
      </c>
      <c r="Q299" s="1">
        <v>5</v>
      </c>
      <c r="R299" s="1">
        <f>VLOOKUP(--J299,test3,11,FALSE)*K299+VLOOKUP(--L299,test3,11,FALSE)*M299+IF(N299="",0,VLOOKUP(--N299,test3,11,FALSE)*O299)+IF(P299="",0,VLOOKUP(--P299,test3,11,FALSE)*Q299)</f>
        <v>525</v>
      </c>
    </row>
    <row r="300" spans="2:18" x14ac:dyDescent="0.15">
      <c r="B300" s="1">
        <f>[1]item!$D299</f>
        <v>100298</v>
      </c>
      <c r="C300" s="1">
        <f>[1]item!$C299</f>
        <v>103010400</v>
      </c>
      <c r="D300" s="1">
        <f t="shared" si="37"/>
        <v>1</v>
      </c>
      <c r="E300" s="1">
        <f t="shared" si="38"/>
        <v>3</v>
      </c>
      <c r="F300" s="1">
        <f t="shared" si="39"/>
        <v>1</v>
      </c>
      <c r="G300" s="1" t="str">
        <f t="shared" si="36"/>
        <v>电击</v>
      </c>
      <c r="H300" s="1">
        <v>4</v>
      </c>
      <c r="I300" s="1" t="str">
        <f t="shared" si="40"/>
        <v>,50200,50083,50082,50049</v>
      </c>
      <c r="J300" s="1" t="str">
        <f t="shared" si="41"/>
        <v>50200</v>
      </c>
      <c r="K300" s="1">
        <v>1</v>
      </c>
      <c r="L300" s="1" t="str">
        <f t="shared" si="42"/>
        <v>50083</v>
      </c>
      <c r="M300" s="1">
        <v>2</v>
      </c>
      <c r="N300" s="1" t="str">
        <f t="shared" si="43"/>
        <v>50082</v>
      </c>
      <c r="O300" s="1">
        <v>3</v>
      </c>
      <c r="P300" s="1" t="str">
        <f t="shared" si="44"/>
        <v>50049</v>
      </c>
      <c r="Q300" s="1">
        <v>5</v>
      </c>
      <c r="R300" s="1">
        <f>VLOOKUP(--J300,test3,11,FALSE)*K300+VLOOKUP(--L300,test3,11,FALSE)*M300+IF(N300="",0,VLOOKUP(--N300,test3,11,FALSE)*O300)+IF(P300="",0,VLOOKUP(--P300,test3,11,FALSE)*Q300)</f>
        <v>525</v>
      </c>
    </row>
    <row r="301" spans="2:18" x14ac:dyDescent="0.15">
      <c r="B301" s="1">
        <f>[1]item!$D300</f>
        <v>100299</v>
      </c>
      <c r="C301" s="1">
        <f>[1]item!$C300</f>
        <v>103020400</v>
      </c>
      <c r="D301" s="1">
        <f t="shared" si="37"/>
        <v>2</v>
      </c>
      <c r="E301" s="1">
        <f t="shared" si="38"/>
        <v>3</v>
      </c>
      <c r="F301" s="1">
        <f t="shared" si="39"/>
        <v>1</v>
      </c>
      <c r="G301" s="1" t="str">
        <f t="shared" si="36"/>
        <v>电击</v>
      </c>
      <c r="H301" s="1">
        <v>4</v>
      </c>
      <c r="I301" s="1" t="str">
        <f t="shared" si="40"/>
        <v>,50200,50083,50082,50049</v>
      </c>
      <c r="J301" s="1" t="str">
        <f t="shared" si="41"/>
        <v>50200</v>
      </c>
      <c r="K301" s="1">
        <v>1</v>
      </c>
      <c r="L301" s="1" t="str">
        <f t="shared" si="42"/>
        <v>50083</v>
      </c>
      <c r="M301" s="1">
        <v>2</v>
      </c>
      <c r="N301" s="1" t="str">
        <f t="shared" si="43"/>
        <v>50082</v>
      </c>
      <c r="O301" s="1">
        <v>3</v>
      </c>
      <c r="P301" s="1" t="str">
        <f t="shared" si="44"/>
        <v>50049</v>
      </c>
      <c r="Q301" s="1">
        <v>5</v>
      </c>
      <c r="R301" s="1">
        <f>VLOOKUP(--J301,test3,11,FALSE)*K301+VLOOKUP(--L301,test3,11,FALSE)*M301+IF(N301="",0,VLOOKUP(--N301,test3,11,FALSE)*O301)+IF(P301="",0,VLOOKUP(--P301,test3,11,FALSE)*Q301)</f>
        <v>525</v>
      </c>
    </row>
    <row r="302" spans="2:18" x14ac:dyDescent="0.15">
      <c r="B302" s="1">
        <f>[1]item!$D301</f>
        <v>100300</v>
      </c>
      <c r="C302" s="1">
        <f>[1]item!$C301</f>
        <v>103030400</v>
      </c>
      <c r="D302" s="1">
        <f t="shared" si="37"/>
        <v>3</v>
      </c>
      <c r="E302" s="1">
        <f t="shared" si="38"/>
        <v>3</v>
      </c>
      <c r="F302" s="1">
        <f t="shared" si="39"/>
        <v>1</v>
      </c>
      <c r="G302" s="1" t="str">
        <f t="shared" si="36"/>
        <v>电击</v>
      </c>
      <c r="H302" s="1">
        <v>4</v>
      </c>
      <c r="I302" s="1" t="str">
        <f t="shared" si="40"/>
        <v>,50200,50083,50082,50049</v>
      </c>
      <c r="J302" s="1" t="str">
        <f t="shared" si="41"/>
        <v>50200</v>
      </c>
      <c r="K302" s="1">
        <v>1</v>
      </c>
      <c r="L302" s="1" t="str">
        <f t="shared" si="42"/>
        <v>50083</v>
      </c>
      <c r="M302" s="1">
        <v>2</v>
      </c>
      <c r="N302" s="1" t="str">
        <f t="shared" si="43"/>
        <v>50082</v>
      </c>
      <c r="O302" s="1">
        <v>3</v>
      </c>
      <c r="P302" s="1" t="str">
        <f t="shared" si="44"/>
        <v>50049</v>
      </c>
      <c r="Q302" s="1">
        <v>5</v>
      </c>
      <c r="R302" s="1">
        <f>VLOOKUP(--J302,test3,11,FALSE)*K302+VLOOKUP(--L302,test3,11,FALSE)*M302+IF(N302="",0,VLOOKUP(--N302,test3,11,FALSE)*O302)+IF(P302="",0,VLOOKUP(--P302,test3,11,FALSE)*Q302)</f>
        <v>525</v>
      </c>
    </row>
    <row r="303" spans="2:18" x14ac:dyDescent="0.15">
      <c r="B303" s="1">
        <f>[1]item!$D302</f>
        <v>100301</v>
      </c>
      <c r="C303" s="1">
        <f>[1]item!$C302</f>
        <v>103040400</v>
      </c>
      <c r="D303" s="1">
        <f t="shared" si="37"/>
        <v>4</v>
      </c>
      <c r="E303" s="1">
        <f t="shared" si="38"/>
        <v>3</v>
      </c>
      <c r="F303" s="1">
        <f t="shared" si="39"/>
        <v>1</v>
      </c>
      <c r="G303" s="1" t="str">
        <f t="shared" si="36"/>
        <v>电击</v>
      </c>
      <c r="H303" s="1">
        <v>4</v>
      </c>
      <c r="I303" s="1" t="str">
        <f t="shared" si="40"/>
        <v>,50200,50083,50082,50049</v>
      </c>
      <c r="J303" s="1" t="str">
        <f t="shared" si="41"/>
        <v>50200</v>
      </c>
      <c r="K303" s="1">
        <v>1</v>
      </c>
      <c r="L303" s="1" t="str">
        <f t="shared" si="42"/>
        <v>50083</v>
      </c>
      <c r="M303" s="1">
        <v>2</v>
      </c>
      <c r="N303" s="1" t="str">
        <f t="shared" si="43"/>
        <v>50082</v>
      </c>
      <c r="O303" s="1">
        <v>3</v>
      </c>
      <c r="P303" s="1" t="str">
        <f t="shared" si="44"/>
        <v>50049</v>
      </c>
      <c r="Q303" s="1">
        <v>5</v>
      </c>
      <c r="R303" s="1">
        <f>VLOOKUP(--J303,test3,11,FALSE)*K303+VLOOKUP(--L303,test3,11,FALSE)*M303+IF(N303="",0,VLOOKUP(--N303,test3,11,FALSE)*O303)+IF(P303="",0,VLOOKUP(--P303,test3,11,FALSE)*Q303)</f>
        <v>525</v>
      </c>
    </row>
    <row r="304" spans="2:18" x14ac:dyDescent="0.15">
      <c r="B304" s="1">
        <f>[1]item!$D303</f>
        <v>100302</v>
      </c>
      <c r="C304" s="1">
        <f>[1]item!$C303</f>
        <v>103050400</v>
      </c>
      <c r="D304" s="1">
        <f t="shared" si="37"/>
        <v>5</v>
      </c>
      <c r="E304" s="1">
        <f t="shared" si="38"/>
        <v>3</v>
      </c>
      <c r="F304" s="1">
        <f t="shared" si="39"/>
        <v>1</v>
      </c>
      <c r="G304" s="1" t="str">
        <f t="shared" si="36"/>
        <v>电击</v>
      </c>
      <c r="H304" s="1">
        <v>4</v>
      </c>
      <c r="I304" s="1" t="str">
        <f t="shared" si="40"/>
        <v>,50200,50083,50082,50049</v>
      </c>
      <c r="J304" s="1" t="str">
        <f t="shared" si="41"/>
        <v>50200</v>
      </c>
      <c r="K304" s="1">
        <v>1</v>
      </c>
      <c r="L304" s="1" t="str">
        <f t="shared" si="42"/>
        <v>50083</v>
      </c>
      <c r="M304" s="1">
        <v>2</v>
      </c>
      <c r="N304" s="1" t="str">
        <f t="shared" si="43"/>
        <v>50082</v>
      </c>
      <c r="O304" s="1">
        <v>3</v>
      </c>
      <c r="P304" s="1" t="str">
        <f t="shared" si="44"/>
        <v>50049</v>
      </c>
      <c r="Q304" s="1">
        <v>5</v>
      </c>
      <c r="R304" s="1">
        <f>VLOOKUP(--J304,test3,11,FALSE)*K304+VLOOKUP(--L304,test3,11,FALSE)*M304+IF(N304="",0,VLOOKUP(--N304,test3,11,FALSE)*O304)+IF(P304="",0,VLOOKUP(--P304,test3,11,FALSE)*Q304)</f>
        <v>525</v>
      </c>
    </row>
    <row r="305" spans="2:18" x14ac:dyDescent="0.15">
      <c r="B305" s="1">
        <f>[1]item!$D304</f>
        <v>100303</v>
      </c>
      <c r="C305" s="1">
        <f>[1]item!$C304</f>
        <v>103060400</v>
      </c>
      <c r="D305" s="1">
        <f t="shared" si="37"/>
        <v>6</v>
      </c>
      <c r="E305" s="1">
        <f t="shared" si="38"/>
        <v>3</v>
      </c>
      <c r="F305" s="1">
        <f t="shared" si="39"/>
        <v>1</v>
      </c>
      <c r="G305" s="1" t="str">
        <f t="shared" si="36"/>
        <v>电击</v>
      </c>
      <c r="H305" s="1">
        <v>4</v>
      </c>
      <c r="I305" s="1" t="str">
        <f t="shared" si="40"/>
        <v>,50200,50083,50082,50049</v>
      </c>
      <c r="J305" s="1" t="str">
        <f t="shared" si="41"/>
        <v>50200</v>
      </c>
      <c r="K305" s="1">
        <v>1</v>
      </c>
      <c r="L305" s="1" t="str">
        <f t="shared" si="42"/>
        <v>50083</v>
      </c>
      <c r="M305" s="1">
        <v>2</v>
      </c>
      <c r="N305" s="1" t="str">
        <f t="shared" si="43"/>
        <v>50082</v>
      </c>
      <c r="O305" s="1">
        <v>3</v>
      </c>
      <c r="P305" s="1" t="str">
        <f t="shared" si="44"/>
        <v>50049</v>
      </c>
      <c r="Q305" s="1">
        <v>5</v>
      </c>
      <c r="R305" s="1">
        <f>VLOOKUP(--J305,test3,11,FALSE)*K305+VLOOKUP(--L305,test3,11,FALSE)*M305+IF(N305="",0,VLOOKUP(--N305,test3,11,FALSE)*O305)+IF(P305="",0,VLOOKUP(--P305,test3,11,FALSE)*Q305)</f>
        <v>525</v>
      </c>
    </row>
    <row r="306" spans="2:18" x14ac:dyDescent="0.15">
      <c r="B306" s="1">
        <f>[1]item!$D305</f>
        <v>100304</v>
      </c>
      <c r="C306" s="1">
        <f>[1]item!$C305</f>
        <v>103070400</v>
      </c>
      <c r="D306" s="1">
        <f t="shared" si="37"/>
        <v>7</v>
      </c>
      <c r="E306" s="1">
        <f t="shared" si="38"/>
        <v>3</v>
      </c>
      <c r="F306" s="1">
        <f t="shared" si="39"/>
        <v>1</v>
      </c>
      <c r="G306" s="1" t="str">
        <f t="shared" si="36"/>
        <v>电击</v>
      </c>
      <c r="H306" s="1">
        <v>4</v>
      </c>
      <c r="I306" s="1" t="str">
        <f t="shared" si="40"/>
        <v>,50200,50083,50082,50049</v>
      </c>
      <c r="J306" s="1" t="str">
        <f t="shared" si="41"/>
        <v>50200</v>
      </c>
      <c r="K306" s="1">
        <v>1</v>
      </c>
      <c r="L306" s="1" t="str">
        <f t="shared" si="42"/>
        <v>50083</v>
      </c>
      <c r="M306" s="1">
        <v>2</v>
      </c>
      <c r="N306" s="1" t="str">
        <f t="shared" si="43"/>
        <v>50082</v>
      </c>
      <c r="O306" s="1">
        <v>3</v>
      </c>
      <c r="P306" s="1" t="str">
        <f t="shared" si="44"/>
        <v>50049</v>
      </c>
      <c r="Q306" s="1">
        <v>5</v>
      </c>
      <c r="R306" s="1">
        <f>VLOOKUP(--J306,test3,11,FALSE)*K306+VLOOKUP(--L306,test3,11,FALSE)*M306+IF(N306="",0,VLOOKUP(--N306,test3,11,FALSE)*O306)+IF(P306="",0,VLOOKUP(--P306,test3,11,FALSE)*Q306)</f>
        <v>525</v>
      </c>
    </row>
    <row r="307" spans="2:18" x14ac:dyDescent="0.15">
      <c r="B307" s="1">
        <f>[1]item!$D306</f>
        <v>100305</v>
      </c>
      <c r="C307" s="1">
        <f>[1]item!$C306</f>
        <v>103080400</v>
      </c>
      <c r="D307" s="1">
        <f t="shared" si="37"/>
        <v>8</v>
      </c>
      <c r="E307" s="1">
        <f t="shared" si="38"/>
        <v>3</v>
      </c>
      <c r="F307" s="1">
        <f t="shared" si="39"/>
        <v>1</v>
      </c>
      <c r="G307" s="1" t="str">
        <f t="shared" si="36"/>
        <v>电击</v>
      </c>
      <c r="H307" s="1">
        <v>4</v>
      </c>
      <c r="I307" s="1" t="str">
        <f t="shared" si="40"/>
        <v>,50200,50083,50039,50012</v>
      </c>
      <c r="J307" s="1" t="str">
        <f t="shared" si="41"/>
        <v>50200</v>
      </c>
      <c r="K307" s="1">
        <v>1</v>
      </c>
      <c r="L307" s="1" t="str">
        <f t="shared" si="42"/>
        <v>50083</v>
      </c>
      <c r="M307" s="1">
        <v>2</v>
      </c>
      <c r="N307" s="1" t="str">
        <f t="shared" si="43"/>
        <v>50039</v>
      </c>
      <c r="O307" s="1">
        <v>3</v>
      </c>
      <c r="P307" s="1" t="str">
        <f t="shared" si="44"/>
        <v>50012</v>
      </c>
      <c r="Q307" s="1">
        <v>5</v>
      </c>
      <c r="R307" s="1">
        <f>VLOOKUP(--J307,test3,11,FALSE)*K307+VLOOKUP(--L307,test3,11,FALSE)*M307+IF(N307="",0,VLOOKUP(--N307,test3,11,FALSE)*O307)+IF(P307="",0,VLOOKUP(--P307,test3,11,FALSE)*Q307)</f>
        <v>457.5</v>
      </c>
    </row>
    <row r="308" spans="2:18" x14ac:dyDescent="0.15">
      <c r="B308" s="1">
        <f>[1]item!$D307</f>
        <v>100306</v>
      </c>
      <c r="C308" s="1">
        <f>[1]item!$C307</f>
        <v>103090400</v>
      </c>
      <c r="D308" s="1">
        <f t="shared" si="37"/>
        <v>9</v>
      </c>
      <c r="E308" s="1">
        <f t="shared" si="38"/>
        <v>3</v>
      </c>
      <c r="F308" s="1">
        <f t="shared" si="39"/>
        <v>1</v>
      </c>
      <c r="G308" s="1" t="str">
        <f t="shared" si="36"/>
        <v>电击</v>
      </c>
      <c r="H308" s="1">
        <v>4</v>
      </c>
      <c r="I308" s="1" t="str">
        <f t="shared" si="40"/>
        <v>,50200,50083,50082,50049</v>
      </c>
      <c r="J308" s="1" t="str">
        <f t="shared" si="41"/>
        <v>50200</v>
      </c>
      <c r="K308" s="1">
        <v>1</v>
      </c>
      <c r="L308" s="1" t="str">
        <f t="shared" si="42"/>
        <v>50083</v>
      </c>
      <c r="M308" s="1">
        <v>2</v>
      </c>
      <c r="N308" s="1" t="str">
        <f t="shared" si="43"/>
        <v>50082</v>
      </c>
      <c r="O308" s="1">
        <v>3</v>
      </c>
      <c r="P308" s="1" t="str">
        <f t="shared" si="44"/>
        <v>50049</v>
      </c>
      <c r="Q308" s="1">
        <v>5</v>
      </c>
      <c r="R308" s="1">
        <f>VLOOKUP(--J308,test3,11,FALSE)*K308+VLOOKUP(--L308,test3,11,FALSE)*M308+IF(N308="",0,VLOOKUP(--N308,test3,11,FALSE)*O308)+IF(P308="",0,VLOOKUP(--P308,test3,11,FALSE)*Q308)</f>
        <v>525</v>
      </c>
    </row>
    <row r="309" spans="2:18" x14ac:dyDescent="0.15">
      <c r="B309" s="1">
        <f>[1]item!$D308</f>
        <v>100307</v>
      </c>
      <c r="C309" s="1">
        <f>[1]item!$C308</f>
        <v>103010500</v>
      </c>
      <c r="D309" s="1">
        <f t="shared" si="37"/>
        <v>1</v>
      </c>
      <c r="E309" s="1">
        <f t="shared" si="38"/>
        <v>3</v>
      </c>
      <c r="F309" s="1">
        <f t="shared" si="39"/>
        <v>1</v>
      </c>
      <c r="G309" s="1" t="str">
        <f t="shared" si="36"/>
        <v>黑暗</v>
      </c>
      <c r="H309" s="1">
        <v>4</v>
      </c>
      <c r="I309" s="1" t="str">
        <f t="shared" si="40"/>
        <v>,50200,50085,50017,50061</v>
      </c>
      <c r="J309" s="1" t="str">
        <f t="shared" si="41"/>
        <v>50200</v>
      </c>
      <c r="K309" s="1">
        <v>1</v>
      </c>
      <c r="L309" s="1" t="str">
        <f t="shared" si="42"/>
        <v>50085</v>
      </c>
      <c r="M309" s="1">
        <v>2</v>
      </c>
      <c r="N309" s="1" t="str">
        <f t="shared" si="43"/>
        <v>50017</v>
      </c>
      <c r="O309" s="1">
        <v>3</v>
      </c>
      <c r="P309" s="1" t="str">
        <f t="shared" si="44"/>
        <v>50061</v>
      </c>
      <c r="Q309" s="1">
        <v>5</v>
      </c>
      <c r="R309" s="1">
        <f>VLOOKUP(--J309,test3,11,FALSE)*K309+VLOOKUP(--L309,test3,11,FALSE)*M309+IF(N309="",0,VLOOKUP(--N309,test3,11,FALSE)*O309)+IF(P309="",0,VLOOKUP(--P309,test3,11,FALSE)*Q309)</f>
        <v>525</v>
      </c>
    </row>
    <row r="310" spans="2:18" x14ac:dyDescent="0.15">
      <c r="B310" s="1">
        <f>[1]item!$D309</f>
        <v>100308</v>
      </c>
      <c r="C310" s="1">
        <f>[1]item!$C309</f>
        <v>103020500</v>
      </c>
      <c r="D310" s="1">
        <f t="shared" si="37"/>
        <v>2</v>
      </c>
      <c r="E310" s="1">
        <f t="shared" si="38"/>
        <v>3</v>
      </c>
      <c r="F310" s="1">
        <f t="shared" si="39"/>
        <v>1</v>
      </c>
      <c r="G310" s="1" t="str">
        <f t="shared" si="36"/>
        <v>黑暗</v>
      </c>
      <c r="H310" s="1">
        <v>4</v>
      </c>
      <c r="I310" s="1" t="str">
        <f t="shared" si="40"/>
        <v>,50200,50085,50170,50081</v>
      </c>
      <c r="J310" s="1" t="str">
        <f t="shared" si="41"/>
        <v>50200</v>
      </c>
      <c r="K310" s="1">
        <v>1</v>
      </c>
      <c r="L310" s="1" t="str">
        <f t="shared" si="42"/>
        <v>50085</v>
      </c>
      <c r="M310" s="1">
        <v>2</v>
      </c>
      <c r="N310" s="1" t="str">
        <f t="shared" si="43"/>
        <v>50170</v>
      </c>
      <c r="O310" s="1">
        <v>3</v>
      </c>
      <c r="P310" s="1" t="str">
        <f t="shared" si="44"/>
        <v>50081</v>
      </c>
      <c r="Q310" s="1">
        <v>5</v>
      </c>
      <c r="R310" s="1">
        <f>VLOOKUP(--J310,test3,11,FALSE)*K310+VLOOKUP(--L310,test3,11,FALSE)*M310+IF(N310="",0,VLOOKUP(--N310,test3,11,FALSE)*O310)+IF(P310="",0,VLOOKUP(--P310,test3,11,FALSE)*Q310)</f>
        <v>525</v>
      </c>
    </row>
    <row r="311" spans="2:18" x14ac:dyDescent="0.15">
      <c r="B311" s="1">
        <f>[1]item!$D310</f>
        <v>100309</v>
      </c>
      <c r="C311" s="1">
        <f>[1]item!$C310</f>
        <v>103030500</v>
      </c>
      <c r="D311" s="1">
        <f t="shared" si="37"/>
        <v>3</v>
      </c>
      <c r="E311" s="1">
        <f t="shared" si="38"/>
        <v>3</v>
      </c>
      <c r="F311" s="1">
        <f t="shared" si="39"/>
        <v>1</v>
      </c>
      <c r="G311" s="1" t="str">
        <f t="shared" si="36"/>
        <v>黑暗</v>
      </c>
      <c r="H311" s="1">
        <v>4</v>
      </c>
      <c r="I311" s="1" t="str">
        <f t="shared" si="40"/>
        <v>,50200,50085,50170,50081</v>
      </c>
      <c r="J311" s="1" t="str">
        <f t="shared" si="41"/>
        <v>50200</v>
      </c>
      <c r="K311" s="1">
        <v>1</v>
      </c>
      <c r="L311" s="1" t="str">
        <f t="shared" si="42"/>
        <v>50085</v>
      </c>
      <c r="M311" s="1">
        <v>2</v>
      </c>
      <c r="N311" s="1" t="str">
        <f t="shared" si="43"/>
        <v>50170</v>
      </c>
      <c r="O311" s="1">
        <v>3</v>
      </c>
      <c r="P311" s="1" t="str">
        <f t="shared" si="44"/>
        <v>50081</v>
      </c>
      <c r="Q311" s="1">
        <v>5</v>
      </c>
      <c r="R311" s="1">
        <f>VLOOKUP(--J311,test3,11,FALSE)*K311+VLOOKUP(--L311,test3,11,FALSE)*M311+IF(N311="",0,VLOOKUP(--N311,test3,11,FALSE)*O311)+IF(P311="",0,VLOOKUP(--P311,test3,11,FALSE)*Q311)</f>
        <v>525</v>
      </c>
    </row>
    <row r="312" spans="2:18" x14ac:dyDescent="0.15">
      <c r="B312" s="1">
        <f>[1]item!$D311</f>
        <v>100310</v>
      </c>
      <c r="C312" s="1">
        <f>[1]item!$C311</f>
        <v>103040500</v>
      </c>
      <c r="D312" s="1">
        <f t="shared" si="37"/>
        <v>4</v>
      </c>
      <c r="E312" s="1">
        <f t="shared" si="38"/>
        <v>3</v>
      </c>
      <c r="F312" s="1">
        <f t="shared" si="39"/>
        <v>1</v>
      </c>
      <c r="G312" s="1" t="str">
        <f t="shared" si="36"/>
        <v>黑暗</v>
      </c>
      <c r="H312" s="1">
        <v>4</v>
      </c>
      <c r="I312" s="1" t="str">
        <f t="shared" si="40"/>
        <v>,50200,50085,50170,50081</v>
      </c>
      <c r="J312" s="1" t="str">
        <f t="shared" si="41"/>
        <v>50200</v>
      </c>
      <c r="K312" s="1">
        <v>1</v>
      </c>
      <c r="L312" s="1" t="str">
        <f t="shared" si="42"/>
        <v>50085</v>
      </c>
      <c r="M312" s="1">
        <v>2</v>
      </c>
      <c r="N312" s="1" t="str">
        <f t="shared" si="43"/>
        <v>50170</v>
      </c>
      <c r="O312" s="1">
        <v>3</v>
      </c>
      <c r="P312" s="1" t="str">
        <f t="shared" si="44"/>
        <v>50081</v>
      </c>
      <c r="Q312" s="1">
        <v>5</v>
      </c>
      <c r="R312" s="1">
        <f>VLOOKUP(--J312,test3,11,FALSE)*K312+VLOOKUP(--L312,test3,11,FALSE)*M312+IF(N312="",0,VLOOKUP(--N312,test3,11,FALSE)*O312)+IF(P312="",0,VLOOKUP(--P312,test3,11,FALSE)*Q312)</f>
        <v>525</v>
      </c>
    </row>
    <row r="313" spans="2:18" x14ac:dyDescent="0.15">
      <c r="B313" s="1">
        <f>[1]item!$D312</f>
        <v>100311</v>
      </c>
      <c r="C313" s="1">
        <f>[1]item!$C312</f>
        <v>103050500</v>
      </c>
      <c r="D313" s="1">
        <f t="shared" si="37"/>
        <v>5</v>
      </c>
      <c r="E313" s="1">
        <f t="shared" si="38"/>
        <v>3</v>
      </c>
      <c r="F313" s="1">
        <f t="shared" si="39"/>
        <v>1</v>
      </c>
      <c r="G313" s="1" t="str">
        <f t="shared" si="36"/>
        <v>黑暗</v>
      </c>
      <c r="H313" s="1">
        <v>4</v>
      </c>
      <c r="I313" s="1" t="str">
        <f t="shared" si="40"/>
        <v>,50200,50085,50105,50083</v>
      </c>
      <c r="J313" s="1" t="str">
        <f t="shared" si="41"/>
        <v>50200</v>
      </c>
      <c r="K313" s="1">
        <v>1</v>
      </c>
      <c r="L313" s="1" t="str">
        <f t="shared" si="42"/>
        <v>50085</v>
      </c>
      <c r="M313" s="1">
        <v>2</v>
      </c>
      <c r="N313" s="1" t="str">
        <f t="shared" si="43"/>
        <v>50105</v>
      </c>
      <c r="O313" s="1">
        <v>3</v>
      </c>
      <c r="P313" s="1" t="str">
        <f t="shared" si="44"/>
        <v>50083</v>
      </c>
      <c r="Q313" s="1">
        <v>5</v>
      </c>
      <c r="R313" s="1">
        <f>VLOOKUP(--J313,test3,11,FALSE)*K313+VLOOKUP(--L313,test3,11,FALSE)*M313+IF(N313="",0,VLOOKUP(--N313,test3,11,FALSE)*O313)+IF(P313="",0,VLOOKUP(--P313,test3,11,FALSE)*Q313)</f>
        <v>484.5</v>
      </c>
    </row>
    <row r="314" spans="2:18" x14ac:dyDescent="0.15">
      <c r="B314" s="1">
        <f>[1]item!$D313</f>
        <v>100312</v>
      </c>
      <c r="C314" s="1">
        <f>[1]item!$C313</f>
        <v>103060500</v>
      </c>
      <c r="D314" s="1">
        <f t="shared" si="37"/>
        <v>6</v>
      </c>
      <c r="E314" s="1">
        <f t="shared" si="38"/>
        <v>3</v>
      </c>
      <c r="F314" s="1">
        <f t="shared" si="39"/>
        <v>1</v>
      </c>
      <c r="G314" s="1" t="str">
        <f t="shared" si="36"/>
        <v>黑暗</v>
      </c>
      <c r="H314" s="1">
        <v>4</v>
      </c>
      <c r="I314" s="1" t="str">
        <f t="shared" si="40"/>
        <v>,50200,50085,50105,50083</v>
      </c>
      <c r="J314" s="1" t="str">
        <f t="shared" si="41"/>
        <v>50200</v>
      </c>
      <c r="K314" s="1">
        <v>1</v>
      </c>
      <c r="L314" s="1" t="str">
        <f t="shared" si="42"/>
        <v>50085</v>
      </c>
      <c r="M314" s="1">
        <v>2</v>
      </c>
      <c r="N314" s="1" t="str">
        <f t="shared" si="43"/>
        <v>50105</v>
      </c>
      <c r="O314" s="1">
        <v>3</v>
      </c>
      <c r="P314" s="1" t="str">
        <f t="shared" si="44"/>
        <v>50083</v>
      </c>
      <c r="Q314" s="1">
        <v>5</v>
      </c>
      <c r="R314" s="1">
        <f>VLOOKUP(--J314,test3,11,FALSE)*K314+VLOOKUP(--L314,test3,11,FALSE)*M314+IF(N314="",0,VLOOKUP(--N314,test3,11,FALSE)*O314)+IF(P314="",0,VLOOKUP(--P314,test3,11,FALSE)*Q314)</f>
        <v>484.5</v>
      </c>
    </row>
    <row r="315" spans="2:18" x14ac:dyDescent="0.15">
      <c r="B315" s="1">
        <f>[1]item!$D314</f>
        <v>100313</v>
      </c>
      <c r="C315" s="1">
        <f>[1]item!$C314</f>
        <v>103070500</v>
      </c>
      <c r="D315" s="1">
        <f t="shared" si="37"/>
        <v>7</v>
      </c>
      <c r="E315" s="1">
        <f t="shared" si="38"/>
        <v>3</v>
      </c>
      <c r="F315" s="1">
        <f t="shared" si="39"/>
        <v>1</v>
      </c>
      <c r="G315" s="1" t="str">
        <f t="shared" si="36"/>
        <v>黑暗</v>
      </c>
      <c r="H315" s="1">
        <v>4</v>
      </c>
      <c r="I315" s="1" t="str">
        <f t="shared" si="40"/>
        <v>,50200,50085,50017,50061</v>
      </c>
      <c r="J315" s="1" t="str">
        <f t="shared" si="41"/>
        <v>50200</v>
      </c>
      <c r="K315" s="1">
        <v>1</v>
      </c>
      <c r="L315" s="1" t="str">
        <f t="shared" si="42"/>
        <v>50085</v>
      </c>
      <c r="M315" s="1">
        <v>2</v>
      </c>
      <c r="N315" s="1" t="str">
        <f t="shared" si="43"/>
        <v>50017</v>
      </c>
      <c r="O315" s="1">
        <v>3</v>
      </c>
      <c r="P315" s="1" t="str">
        <f t="shared" si="44"/>
        <v>50061</v>
      </c>
      <c r="Q315" s="1">
        <v>5</v>
      </c>
      <c r="R315" s="1">
        <f>VLOOKUP(--J315,test3,11,FALSE)*K315+VLOOKUP(--L315,test3,11,FALSE)*M315+IF(N315="",0,VLOOKUP(--N315,test3,11,FALSE)*O315)+IF(P315="",0,VLOOKUP(--P315,test3,11,FALSE)*Q315)</f>
        <v>525</v>
      </c>
    </row>
    <row r="316" spans="2:18" x14ac:dyDescent="0.15">
      <c r="B316" s="1">
        <f>[1]item!$D315</f>
        <v>100314</v>
      </c>
      <c r="C316" s="1">
        <f>[1]item!$C315</f>
        <v>103080500</v>
      </c>
      <c r="D316" s="1">
        <f t="shared" si="37"/>
        <v>8</v>
      </c>
      <c r="E316" s="1">
        <f t="shared" si="38"/>
        <v>3</v>
      </c>
      <c r="F316" s="1">
        <f t="shared" si="39"/>
        <v>1</v>
      </c>
      <c r="G316" s="1" t="str">
        <f t="shared" si="36"/>
        <v>黑暗</v>
      </c>
      <c r="H316" s="1">
        <v>4</v>
      </c>
      <c r="I316" s="1" t="str">
        <f t="shared" si="40"/>
        <v>,50200,50085,50170,50081</v>
      </c>
      <c r="J316" s="1" t="str">
        <f t="shared" si="41"/>
        <v>50200</v>
      </c>
      <c r="K316" s="1">
        <v>1</v>
      </c>
      <c r="L316" s="1" t="str">
        <f t="shared" si="42"/>
        <v>50085</v>
      </c>
      <c r="M316" s="1">
        <v>2</v>
      </c>
      <c r="N316" s="1" t="str">
        <f t="shared" si="43"/>
        <v>50170</v>
      </c>
      <c r="O316" s="1">
        <v>3</v>
      </c>
      <c r="P316" s="1" t="str">
        <f t="shared" si="44"/>
        <v>50081</v>
      </c>
      <c r="Q316" s="1">
        <v>5</v>
      </c>
      <c r="R316" s="1">
        <f>VLOOKUP(--J316,test3,11,FALSE)*K316+VLOOKUP(--L316,test3,11,FALSE)*M316+IF(N316="",0,VLOOKUP(--N316,test3,11,FALSE)*O316)+IF(P316="",0,VLOOKUP(--P316,test3,11,FALSE)*Q316)</f>
        <v>525</v>
      </c>
    </row>
    <row r="317" spans="2:18" x14ac:dyDescent="0.15">
      <c r="B317" s="1">
        <f>[1]item!$D316</f>
        <v>100315</v>
      </c>
      <c r="C317" s="1">
        <f>[1]item!$C316</f>
        <v>103090500</v>
      </c>
      <c r="D317" s="1">
        <f t="shared" si="37"/>
        <v>9</v>
      </c>
      <c r="E317" s="1">
        <f t="shared" si="38"/>
        <v>3</v>
      </c>
      <c r="F317" s="1">
        <f t="shared" si="39"/>
        <v>1</v>
      </c>
      <c r="G317" s="1" t="str">
        <f t="shared" si="36"/>
        <v>黑暗</v>
      </c>
      <c r="H317" s="1">
        <v>4</v>
      </c>
      <c r="I317" s="1" t="str">
        <f t="shared" si="40"/>
        <v>,50200,50085,50105,50083</v>
      </c>
      <c r="J317" s="1" t="str">
        <f t="shared" si="41"/>
        <v>50200</v>
      </c>
      <c r="K317" s="1">
        <v>1</v>
      </c>
      <c r="L317" s="1" t="str">
        <f t="shared" si="42"/>
        <v>50085</v>
      </c>
      <c r="M317" s="1">
        <v>2</v>
      </c>
      <c r="N317" s="1" t="str">
        <f t="shared" si="43"/>
        <v>50105</v>
      </c>
      <c r="O317" s="1">
        <v>3</v>
      </c>
      <c r="P317" s="1" t="str">
        <f t="shared" si="44"/>
        <v>50083</v>
      </c>
      <c r="Q317" s="1">
        <v>5</v>
      </c>
      <c r="R317" s="1">
        <f>VLOOKUP(--J317,test3,11,FALSE)*K317+VLOOKUP(--L317,test3,11,FALSE)*M317+IF(N317="",0,VLOOKUP(--N317,test3,11,FALSE)*O317)+IF(P317="",0,VLOOKUP(--P317,test3,11,FALSE)*Q317)</f>
        <v>484.5</v>
      </c>
    </row>
    <row r="318" spans="2:18" x14ac:dyDescent="0.15">
      <c r="B318" s="1">
        <f>[1]item!$D317</f>
        <v>100316</v>
      </c>
      <c r="C318" s="1">
        <f>[1]item!$C317</f>
        <v>103010600</v>
      </c>
      <c r="D318" s="1">
        <f t="shared" si="37"/>
        <v>1</v>
      </c>
      <c r="E318" s="1">
        <f t="shared" si="38"/>
        <v>3</v>
      </c>
      <c r="F318" s="1">
        <f t="shared" si="39"/>
        <v>1</v>
      </c>
      <c r="G318" s="1" t="str">
        <f t="shared" si="36"/>
        <v>电击</v>
      </c>
      <c r="H318" s="1">
        <v>4</v>
      </c>
      <c r="I318" s="1" t="str">
        <f t="shared" si="40"/>
        <v>,50200,50083,50084,50107</v>
      </c>
      <c r="J318" s="1" t="str">
        <f t="shared" si="41"/>
        <v>50200</v>
      </c>
      <c r="K318" s="1">
        <v>1</v>
      </c>
      <c r="L318" s="1" t="str">
        <f t="shared" si="42"/>
        <v>50083</v>
      </c>
      <c r="M318" s="1">
        <v>2</v>
      </c>
      <c r="N318" s="1" t="str">
        <f t="shared" si="43"/>
        <v>50084</v>
      </c>
      <c r="O318" s="1">
        <v>3</v>
      </c>
      <c r="P318" s="1" t="str">
        <f t="shared" si="44"/>
        <v>50107</v>
      </c>
      <c r="Q318" s="1">
        <v>5</v>
      </c>
      <c r="R318" s="1">
        <f>VLOOKUP(--J318,test3,11,FALSE)*K318+VLOOKUP(--L318,test3,11,FALSE)*M318+IF(N318="",0,VLOOKUP(--N318,test3,11,FALSE)*O318)+IF(P318="",0,VLOOKUP(--P318,test3,11,FALSE)*Q318)</f>
        <v>457.5</v>
      </c>
    </row>
    <row r="319" spans="2:18" x14ac:dyDescent="0.15">
      <c r="B319" s="1">
        <f>[1]item!$D318</f>
        <v>100317</v>
      </c>
      <c r="C319" s="1">
        <f>[1]item!$C318</f>
        <v>103020600</v>
      </c>
      <c r="D319" s="1">
        <f t="shared" si="37"/>
        <v>2</v>
      </c>
      <c r="E319" s="1">
        <f t="shared" si="38"/>
        <v>3</v>
      </c>
      <c r="F319" s="1">
        <f t="shared" si="39"/>
        <v>1</v>
      </c>
      <c r="G319" s="1" t="str">
        <f t="shared" si="36"/>
        <v>电击</v>
      </c>
      <c r="H319" s="1">
        <v>4</v>
      </c>
      <c r="I319" s="1" t="str">
        <f t="shared" si="40"/>
        <v>,50200,50083,50130,50044</v>
      </c>
      <c r="J319" s="1" t="str">
        <f t="shared" si="41"/>
        <v>50200</v>
      </c>
      <c r="K319" s="1">
        <v>1</v>
      </c>
      <c r="L319" s="1" t="str">
        <f t="shared" si="42"/>
        <v>50083</v>
      </c>
      <c r="M319" s="1">
        <v>2</v>
      </c>
      <c r="N319" s="1" t="str">
        <f t="shared" si="43"/>
        <v>50130</v>
      </c>
      <c r="O319" s="1">
        <v>3</v>
      </c>
      <c r="P319" s="1" t="str">
        <f t="shared" si="44"/>
        <v>50044</v>
      </c>
      <c r="Q319" s="1">
        <v>5</v>
      </c>
      <c r="R319" s="1">
        <f>VLOOKUP(--J319,test3,11,FALSE)*K319+VLOOKUP(--L319,test3,11,FALSE)*M319+IF(N319="",0,VLOOKUP(--N319,test3,11,FALSE)*O319)+IF(P319="",0,VLOOKUP(--P319,test3,11,FALSE)*Q319)</f>
        <v>457.5</v>
      </c>
    </row>
    <row r="320" spans="2:18" x14ac:dyDescent="0.15">
      <c r="B320" s="1">
        <f>[1]item!$D319</f>
        <v>100318</v>
      </c>
      <c r="C320" s="1">
        <f>[1]item!$C319</f>
        <v>103030600</v>
      </c>
      <c r="D320" s="1">
        <f t="shared" si="37"/>
        <v>3</v>
      </c>
      <c r="E320" s="1">
        <f t="shared" si="38"/>
        <v>3</v>
      </c>
      <c r="F320" s="1">
        <f t="shared" si="39"/>
        <v>1</v>
      </c>
      <c r="G320" s="1" t="str">
        <f t="shared" si="36"/>
        <v>电击</v>
      </c>
      <c r="H320" s="1">
        <v>4</v>
      </c>
      <c r="I320" s="1" t="str">
        <f t="shared" si="40"/>
        <v>,50200,50083,50130,50044</v>
      </c>
      <c r="J320" s="1" t="str">
        <f t="shared" si="41"/>
        <v>50200</v>
      </c>
      <c r="K320" s="1">
        <v>1</v>
      </c>
      <c r="L320" s="1" t="str">
        <f t="shared" si="42"/>
        <v>50083</v>
      </c>
      <c r="M320" s="1">
        <v>2</v>
      </c>
      <c r="N320" s="1" t="str">
        <f t="shared" si="43"/>
        <v>50130</v>
      </c>
      <c r="O320" s="1">
        <v>3</v>
      </c>
      <c r="P320" s="1" t="str">
        <f t="shared" si="44"/>
        <v>50044</v>
      </c>
      <c r="Q320" s="1">
        <v>5</v>
      </c>
      <c r="R320" s="1">
        <f>VLOOKUP(--J320,test3,11,FALSE)*K320+VLOOKUP(--L320,test3,11,FALSE)*M320+IF(N320="",0,VLOOKUP(--N320,test3,11,FALSE)*O320)+IF(P320="",0,VLOOKUP(--P320,test3,11,FALSE)*Q320)</f>
        <v>457.5</v>
      </c>
    </row>
    <row r="321" spans="2:18" x14ac:dyDescent="0.15">
      <c r="B321" s="1">
        <f>[1]item!$D320</f>
        <v>100319</v>
      </c>
      <c r="C321" s="1">
        <f>[1]item!$C320</f>
        <v>103040600</v>
      </c>
      <c r="D321" s="1">
        <f t="shared" si="37"/>
        <v>4</v>
      </c>
      <c r="E321" s="1">
        <f t="shared" si="38"/>
        <v>3</v>
      </c>
      <c r="F321" s="1">
        <f t="shared" si="39"/>
        <v>1</v>
      </c>
      <c r="G321" s="1" t="str">
        <f t="shared" si="36"/>
        <v>电击</v>
      </c>
      <c r="H321" s="1">
        <v>4</v>
      </c>
      <c r="I321" s="1" t="str">
        <f t="shared" si="40"/>
        <v>,50200,50083,50012,50058</v>
      </c>
      <c r="J321" s="1" t="str">
        <f t="shared" si="41"/>
        <v>50200</v>
      </c>
      <c r="K321" s="1">
        <v>1</v>
      </c>
      <c r="L321" s="1" t="str">
        <f t="shared" si="42"/>
        <v>50083</v>
      </c>
      <c r="M321" s="1">
        <v>2</v>
      </c>
      <c r="N321" s="1" t="str">
        <f t="shared" si="43"/>
        <v>50012</v>
      </c>
      <c r="O321" s="1">
        <v>3</v>
      </c>
      <c r="P321" s="1" t="str">
        <f t="shared" si="44"/>
        <v>50058</v>
      </c>
      <c r="Q321" s="1">
        <v>5</v>
      </c>
      <c r="R321" s="1">
        <f>VLOOKUP(--J321,test3,11,FALSE)*K321+VLOOKUP(--L321,test3,11,FALSE)*M321+IF(N321="",0,VLOOKUP(--N321,test3,11,FALSE)*O321)+IF(P321="",0,VLOOKUP(--P321,test3,11,FALSE)*Q321)</f>
        <v>417</v>
      </c>
    </row>
    <row r="322" spans="2:18" x14ac:dyDescent="0.15">
      <c r="B322" s="1">
        <f>[1]item!$D321</f>
        <v>100320</v>
      </c>
      <c r="C322" s="1">
        <f>[1]item!$C321</f>
        <v>103050600</v>
      </c>
      <c r="D322" s="1">
        <f t="shared" si="37"/>
        <v>5</v>
      </c>
      <c r="E322" s="1">
        <f t="shared" si="38"/>
        <v>3</v>
      </c>
      <c r="F322" s="1">
        <f t="shared" si="39"/>
        <v>1</v>
      </c>
      <c r="G322" s="1" t="str">
        <f t="shared" si="36"/>
        <v>电击</v>
      </c>
      <c r="H322" s="1">
        <v>4</v>
      </c>
      <c r="I322" s="1" t="str">
        <f t="shared" si="40"/>
        <v>,50200,50083,50130,50044</v>
      </c>
      <c r="J322" s="1" t="str">
        <f t="shared" si="41"/>
        <v>50200</v>
      </c>
      <c r="K322" s="1">
        <v>1</v>
      </c>
      <c r="L322" s="1" t="str">
        <f t="shared" si="42"/>
        <v>50083</v>
      </c>
      <c r="M322" s="1">
        <v>2</v>
      </c>
      <c r="N322" s="1" t="str">
        <f t="shared" si="43"/>
        <v>50130</v>
      </c>
      <c r="O322" s="1">
        <v>3</v>
      </c>
      <c r="P322" s="1" t="str">
        <f t="shared" si="44"/>
        <v>50044</v>
      </c>
      <c r="Q322" s="1">
        <v>5</v>
      </c>
      <c r="R322" s="1">
        <f>VLOOKUP(--J322,test3,11,FALSE)*K322+VLOOKUP(--L322,test3,11,FALSE)*M322+IF(N322="",0,VLOOKUP(--N322,test3,11,FALSE)*O322)+IF(P322="",0,VLOOKUP(--P322,test3,11,FALSE)*Q322)</f>
        <v>457.5</v>
      </c>
    </row>
    <row r="323" spans="2:18" x14ac:dyDescent="0.15">
      <c r="B323" s="1">
        <f>[1]item!$D322</f>
        <v>100321</v>
      </c>
      <c r="C323" s="1">
        <f>[1]item!$C322</f>
        <v>103060600</v>
      </c>
      <c r="D323" s="1">
        <f t="shared" si="37"/>
        <v>6</v>
      </c>
      <c r="E323" s="1">
        <f t="shared" si="38"/>
        <v>3</v>
      </c>
      <c r="F323" s="1">
        <f t="shared" si="39"/>
        <v>1</v>
      </c>
      <c r="G323" s="1" t="str">
        <f t="shared" ref="G323:G386" si="45">IF(--MID(C323,6,2)&lt;14,VLOOKUP(--MID(C323,6,2),test2,3,FALSE),"")</f>
        <v>电击</v>
      </c>
      <c r="H323" s="1">
        <v>4</v>
      </c>
      <c r="I323" s="1" t="str">
        <f t="shared" si="40"/>
        <v>,50200,50083,50084,50107</v>
      </c>
      <c r="J323" s="1" t="str">
        <f t="shared" si="41"/>
        <v>50200</v>
      </c>
      <c r="K323" s="1">
        <v>1</v>
      </c>
      <c r="L323" s="1" t="str">
        <f t="shared" si="42"/>
        <v>50083</v>
      </c>
      <c r="M323" s="1">
        <v>2</v>
      </c>
      <c r="N323" s="1" t="str">
        <f t="shared" si="43"/>
        <v>50084</v>
      </c>
      <c r="O323" s="1">
        <v>3</v>
      </c>
      <c r="P323" s="1" t="str">
        <f t="shared" si="44"/>
        <v>50107</v>
      </c>
      <c r="Q323" s="1">
        <v>5</v>
      </c>
      <c r="R323" s="1">
        <f>VLOOKUP(--J323,test3,11,FALSE)*K323+VLOOKUP(--L323,test3,11,FALSE)*M323+IF(N323="",0,VLOOKUP(--N323,test3,11,FALSE)*O323)+IF(P323="",0,VLOOKUP(--P323,test3,11,FALSE)*Q323)</f>
        <v>457.5</v>
      </c>
    </row>
    <row r="324" spans="2:18" x14ac:dyDescent="0.15">
      <c r="B324" s="1">
        <f>[1]item!$D323</f>
        <v>100322</v>
      </c>
      <c r="C324" s="1">
        <f>[1]item!$C323</f>
        <v>103070600</v>
      </c>
      <c r="D324" s="1">
        <f t="shared" ref="D324:D387" si="46">--MID(C324,4,2)</f>
        <v>7</v>
      </c>
      <c r="E324" s="1">
        <f t="shared" ref="E324:E387" si="47">--MID(C324,2,2)</f>
        <v>3</v>
      </c>
      <c r="F324" s="1">
        <f t="shared" ref="F324:F387" si="48">--MID(C324,1,1)</f>
        <v>1</v>
      </c>
      <c r="G324" s="1" t="str">
        <f t="shared" si="45"/>
        <v>电击</v>
      </c>
      <c r="H324" s="1">
        <v>4</v>
      </c>
      <c r="I324" s="1" t="str">
        <f t="shared" ref="I324:I387" si="49">getMarking(D324,E324,F324,G324)</f>
        <v>,50200,50083,50130,50044</v>
      </c>
      <c r="J324" s="1" t="str">
        <f t="shared" ref="J324:J387" si="50">getString(I324,1,H324)</f>
        <v>50200</v>
      </c>
      <c r="K324" s="1">
        <v>1</v>
      </c>
      <c r="L324" s="1" t="str">
        <f t="shared" ref="L324:L387" si="51">getString(I324,2,H324)</f>
        <v>50083</v>
      </c>
      <c r="M324" s="1">
        <v>2</v>
      </c>
      <c r="N324" s="1" t="str">
        <f t="shared" ref="N324:N387" si="52">getString(I324,3,H324)</f>
        <v>50130</v>
      </c>
      <c r="O324" s="1">
        <v>3</v>
      </c>
      <c r="P324" s="1" t="str">
        <f t="shared" ref="P324:P387" si="53">getString(I324,4,H324)</f>
        <v>50044</v>
      </c>
      <c r="Q324" s="1">
        <v>5</v>
      </c>
      <c r="R324" s="1">
        <f>VLOOKUP(--J324,test3,11,FALSE)*K324+VLOOKUP(--L324,test3,11,FALSE)*M324+IF(N324="",0,VLOOKUP(--N324,test3,11,FALSE)*O324)+IF(P324="",0,VLOOKUP(--P324,test3,11,FALSE)*Q324)</f>
        <v>457.5</v>
      </c>
    </row>
    <row r="325" spans="2:18" x14ac:dyDescent="0.15">
      <c r="B325" s="1">
        <f>[1]item!$D324</f>
        <v>100323</v>
      </c>
      <c r="C325" s="1">
        <f>[1]item!$C324</f>
        <v>103080600</v>
      </c>
      <c r="D325" s="1">
        <f t="shared" si="46"/>
        <v>8</v>
      </c>
      <c r="E325" s="1">
        <f t="shared" si="47"/>
        <v>3</v>
      </c>
      <c r="F325" s="1">
        <f t="shared" si="48"/>
        <v>1</v>
      </c>
      <c r="G325" s="1" t="str">
        <f t="shared" si="45"/>
        <v>电击</v>
      </c>
      <c r="H325" s="1">
        <v>4</v>
      </c>
      <c r="I325" s="1" t="str">
        <f t="shared" si="49"/>
        <v>,50200,50083,50130,50044</v>
      </c>
      <c r="J325" s="1" t="str">
        <f t="shared" si="50"/>
        <v>50200</v>
      </c>
      <c r="K325" s="1">
        <v>1</v>
      </c>
      <c r="L325" s="1" t="str">
        <f t="shared" si="51"/>
        <v>50083</v>
      </c>
      <c r="M325" s="1">
        <v>2</v>
      </c>
      <c r="N325" s="1" t="str">
        <f t="shared" si="52"/>
        <v>50130</v>
      </c>
      <c r="O325" s="1">
        <v>3</v>
      </c>
      <c r="P325" s="1" t="str">
        <f t="shared" si="53"/>
        <v>50044</v>
      </c>
      <c r="Q325" s="1">
        <v>5</v>
      </c>
      <c r="R325" s="1">
        <f>VLOOKUP(--J325,test3,11,FALSE)*K325+VLOOKUP(--L325,test3,11,FALSE)*M325+IF(N325="",0,VLOOKUP(--N325,test3,11,FALSE)*O325)+IF(P325="",0,VLOOKUP(--P325,test3,11,FALSE)*Q325)</f>
        <v>457.5</v>
      </c>
    </row>
    <row r="326" spans="2:18" x14ac:dyDescent="0.15">
      <c r="B326" s="1">
        <f>[1]item!$D325</f>
        <v>100324</v>
      </c>
      <c r="C326" s="1">
        <f>[1]item!$C325</f>
        <v>103090600</v>
      </c>
      <c r="D326" s="1">
        <f t="shared" si="46"/>
        <v>9</v>
      </c>
      <c r="E326" s="1">
        <f t="shared" si="47"/>
        <v>3</v>
      </c>
      <c r="F326" s="1">
        <f t="shared" si="48"/>
        <v>1</v>
      </c>
      <c r="G326" s="1" t="str">
        <f t="shared" si="45"/>
        <v>电击</v>
      </c>
      <c r="H326" s="1">
        <v>4</v>
      </c>
      <c r="I326" s="1" t="str">
        <f t="shared" si="49"/>
        <v>,50200,50083,50012,50058</v>
      </c>
      <c r="J326" s="1" t="str">
        <f t="shared" si="50"/>
        <v>50200</v>
      </c>
      <c r="K326" s="1">
        <v>1</v>
      </c>
      <c r="L326" s="1" t="str">
        <f t="shared" si="51"/>
        <v>50083</v>
      </c>
      <c r="M326" s="1">
        <v>2</v>
      </c>
      <c r="N326" s="1" t="str">
        <f t="shared" si="52"/>
        <v>50012</v>
      </c>
      <c r="O326" s="1">
        <v>3</v>
      </c>
      <c r="P326" s="1" t="str">
        <f t="shared" si="53"/>
        <v>50058</v>
      </c>
      <c r="Q326" s="1">
        <v>5</v>
      </c>
      <c r="R326" s="1">
        <f>VLOOKUP(--J326,test3,11,FALSE)*K326+VLOOKUP(--L326,test3,11,FALSE)*M326+IF(N326="",0,VLOOKUP(--N326,test3,11,FALSE)*O326)+IF(P326="",0,VLOOKUP(--P326,test3,11,FALSE)*Q326)</f>
        <v>417</v>
      </c>
    </row>
    <row r="327" spans="2:18" x14ac:dyDescent="0.15">
      <c r="B327" s="1">
        <f>[1]item!$D326</f>
        <v>100325</v>
      </c>
      <c r="C327" s="1">
        <f>[1]item!$C326</f>
        <v>103010700</v>
      </c>
      <c r="D327" s="1">
        <f t="shared" si="46"/>
        <v>1</v>
      </c>
      <c r="E327" s="1">
        <f t="shared" si="47"/>
        <v>3</v>
      </c>
      <c r="F327" s="1">
        <f t="shared" si="48"/>
        <v>1</v>
      </c>
      <c r="G327" s="1" t="str">
        <f t="shared" si="45"/>
        <v>地脉</v>
      </c>
      <c r="H327" s="1">
        <v>4</v>
      </c>
      <c r="I327" s="1" t="str">
        <f t="shared" si="49"/>
        <v>,50200,50080,50082,50040</v>
      </c>
      <c r="J327" s="1" t="str">
        <f t="shared" si="50"/>
        <v>50200</v>
      </c>
      <c r="K327" s="1">
        <v>1</v>
      </c>
      <c r="L327" s="1" t="str">
        <f t="shared" si="51"/>
        <v>50080</v>
      </c>
      <c r="M327" s="1">
        <v>2</v>
      </c>
      <c r="N327" s="1" t="str">
        <f t="shared" si="52"/>
        <v>50082</v>
      </c>
      <c r="O327" s="1">
        <v>3</v>
      </c>
      <c r="P327" s="1" t="str">
        <f t="shared" si="53"/>
        <v>50040</v>
      </c>
      <c r="Q327" s="1">
        <v>5</v>
      </c>
      <c r="R327" s="1">
        <f>VLOOKUP(--J327,test3,11,FALSE)*K327+VLOOKUP(--L327,test3,11,FALSE)*M327+IF(N327="",0,VLOOKUP(--N327,test3,11,FALSE)*O327)+IF(P327="",0,VLOOKUP(--P327,test3,11,FALSE)*Q327)</f>
        <v>525</v>
      </c>
    </row>
    <row r="328" spans="2:18" x14ac:dyDescent="0.15">
      <c r="B328" s="1">
        <f>[1]item!$D327</f>
        <v>100326</v>
      </c>
      <c r="C328" s="1">
        <f>[1]item!$C327</f>
        <v>103020700</v>
      </c>
      <c r="D328" s="1">
        <f t="shared" si="46"/>
        <v>2</v>
      </c>
      <c r="E328" s="1">
        <f t="shared" si="47"/>
        <v>3</v>
      </c>
      <c r="F328" s="1">
        <f t="shared" si="48"/>
        <v>1</v>
      </c>
      <c r="G328" s="1" t="str">
        <f t="shared" si="45"/>
        <v>地脉</v>
      </c>
      <c r="H328" s="1">
        <v>4</v>
      </c>
      <c r="I328" s="1" t="str">
        <f t="shared" si="49"/>
        <v>,50200,50080,50081,50049</v>
      </c>
      <c r="J328" s="1" t="str">
        <f t="shared" si="50"/>
        <v>50200</v>
      </c>
      <c r="K328" s="1">
        <v>1</v>
      </c>
      <c r="L328" s="1" t="str">
        <f t="shared" si="51"/>
        <v>50080</v>
      </c>
      <c r="M328" s="1">
        <v>2</v>
      </c>
      <c r="N328" s="1" t="str">
        <f t="shared" si="52"/>
        <v>50081</v>
      </c>
      <c r="O328" s="1">
        <v>3</v>
      </c>
      <c r="P328" s="1" t="str">
        <f t="shared" si="53"/>
        <v>50049</v>
      </c>
      <c r="Q328" s="1">
        <v>5</v>
      </c>
      <c r="R328" s="1">
        <f>VLOOKUP(--J328,test3,11,FALSE)*K328+VLOOKUP(--L328,test3,11,FALSE)*M328+IF(N328="",0,VLOOKUP(--N328,test3,11,FALSE)*O328)+IF(P328="",0,VLOOKUP(--P328,test3,11,FALSE)*Q328)</f>
        <v>525</v>
      </c>
    </row>
    <row r="329" spans="2:18" x14ac:dyDescent="0.15">
      <c r="B329" s="1">
        <f>[1]item!$D328</f>
        <v>100327</v>
      </c>
      <c r="C329" s="1">
        <f>[1]item!$C328</f>
        <v>103030700</v>
      </c>
      <c r="D329" s="1">
        <f t="shared" si="46"/>
        <v>3</v>
      </c>
      <c r="E329" s="1">
        <f t="shared" si="47"/>
        <v>3</v>
      </c>
      <c r="F329" s="1">
        <f t="shared" si="48"/>
        <v>1</v>
      </c>
      <c r="G329" s="1" t="str">
        <f t="shared" si="45"/>
        <v>地脉</v>
      </c>
      <c r="H329" s="1">
        <v>4</v>
      </c>
      <c r="I329" s="1" t="str">
        <f t="shared" si="49"/>
        <v>,50200,50080,50082,50040</v>
      </c>
      <c r="J329" s="1" t="str">
        <f t="shared" si="50"/>
        <v>50200</v>
      </c>
      <c r="K329" s="1">
        <v>1</v>
      </c>
      <c r="L329" s="1" t="str">
        <f t="shared" si="51"/>
        <v>50080</v>
      </c>
      <c r="M329" s="1">
        <v>2</v>
      </c>
      <c r="N329" s="1" t="str">
        <f t="shared" si="52"/>
        <v>50082</v>
      </c>
      <c r="O329" s="1">
        <v>3</v>
      </c>
      <c r="P329" s="1" t="str">
        <f t="shared" si="53"/>
        <v>50040</v>
      </c>
      <c r="Q329" s="1">
        <v>5</v>
      </c>
      <c r="R329" s="1">
        <f>VLOOKUP(--J329,test3,11,FALSE)*K329+VLOOKUP(--L329,test3,11,FALSE)*M329+IF(N329="",0,VLOOKUP(--N329,test3,11,FALSE)*O329)+IF(P329="",0,VLOOKUP(--P329,test3,11,FALSE)*Q329)</f>
        <v>525</v>
      </c>
    </row>
    <row r="330" spans="2:18" x14ac:dyDescent="0.15">
      <c r="B330" s="1">
        <f>[1]item!$D329</f>
        <v>100328</v>
      </c>
      <c r="C330" s="1">
        <f>[1]item!$C329</f>
        <v>103040700</v>
      </c>
      <c r="D330" s="1">
        <f t="shared" si="46"/>
        <v>4</v>
      </c>
      <c r="E330" s="1">
        <f t="shared" si="47"/>
        <v>3</v>
      </c>
      <c r="F330" s="1">
        <f t="shared" si="48"/>
        <v>1</v>
      </c>
      <c r="G330" s="1" t="str">
        <f t="shared" si="45"/>
        <v>地脉</v>
      </c>
      <c r="H330" s="1">
        <v>4</v>
      </c>
      <c r="I330" s="1" t="str">
        <f t="shared" si="49"/>
        <v>,50200,50080,50082,50040</v>
      </c>
      <c r="J330" s="1" t="str">
        <f t="shared" si="50"/>
        <v>50200</v>
      </c>
      <c r="K330" s="1">
        <v>1</v>
      </c>
      <c r="L330" s="1" t="str">
        <f t="shared" si="51"/>
        <v>50080</v>
      </c>
      <c r="M330" s="1">
        <v>2</v>
      </c>
      <c r="N330" s="1" t="str">
        <f t="shared" si="52"/>
        <v>50082</v>
      </c>
      <c r="O330" s="1">
        <v>3</v>
      </c>
      <c r="P330" s="1" t="str">
        <f t="shared" si="53"/>
        <v>50040</v>
      </c>
      <c r="Q330" s="1">
        <v>5</v>
      </c>
      <c r="R330" s="1">
        <f>VLOOKUP(--J330,test3,11,FALSE)*K330+VLOOKUP(--L330,test3,11,FALSE)*M330+IF(N330="",0,VLOOKUP(--N330,test3,11,FALSE)*O330)+IF(P330="",0,VLOOKUP(--P330,test3,11,FALSE)*Q330)</f>
        <v>525</v>
      </c>
    </row>
    <row r="331" spans="2:18" x14ac:dyDescent="0.15">
      <c r="B331" s="1">
        <f>[1]item!$D330</f>
        <v>100329</v>
      </c>
      <c r="C331" s="1">
        <f>[1]item!$C330</f>
        <v>103050700</v>
      </c>
      <c r="D331" s="1">
        <f t="shared" si="46"/>
        <v>5</v>
      </c>
      <c r="E331" s="1">
        <f t="shared" si="47"/>
        <v>3</v>
      </c>
      <c r="F331" s="1">
        <f t="shared" si="48"/>
        <v>1</v>
      </c>
      <c r="G331" s="1" t="str">
        <f t="shared" si="45"/>
        <v>地脉</v>
      </c>
      <c r="H331" s="1">
        <v>4</v>
      </c>
      <c r="I331" s="1" t="str">
        <f t="shared" si="49"/>
        <v>,50200,50080,50084,50017</v>
      </c>
      <c r="J331" s="1" t="str">
        <f t="shared" si="50"/>
        <v>50200</v>
      </c>
      <c r="K331" s="1">
        <v>1</v>
      </c>
      <c r="L331" s="1" t="str">
        <f t="shared" si="51"/>
        <v>50080</v>
      </c>
      <c r="M331" s="1">
        <v>2</v>
      </c>
      <c r="N331" s="1" t="str">
        <f t="shared" si="52"/>
        <v>50084</v>
      </c>
      <c r="O331" s="1">
        <v>3</v>
      </c>
      <c r="P331" s="1" t="str">
        <f t="shared" si="53"/>
        <v>50017</v>
      </c>
      <c r="Q331" s="1">
        <v>5</v>
      </c>
      <c r="R331" s="1">
        <f>VLOOKUP(--J331,test3,11,FALSE)*K331+VLOOKUP(--L331,test3,11,FALSE)*M331+IF(N331="",0,VLOOKUP(--N331,test3,11,FALSE)*O331)+IF(P331="",0,VLOOKUP(--P331,test3,11,FALSE)*Q331)</f>
        <v>525</v>
      </c>
    </row>
    <row r="332" spans="2:18" x14ac:dyDescent="0.15">
      <c r="B332" s="1">
        <f>[1]item!$D331</f>
        <v>100330</v>
      </c>
      <c r="C332" s="1">
        <f>[1]item!$C331</f>
        <v>103060700</v>
      </c>
      <c r="D332" s="1">
        <f t="shared" si="46"/>
        <v>6</v>
      </c>
      <c r="E332" s="1">
        <f t="shared" si="47"/>
        <v>3</v>
      </c>
      <c r="F332" s="1">
        <f t="shared" si="48"/>
        <v>1</v>
      </c>
      <c r="G332" s="1" t="str">
        <f t="shared" si="45"/>
        <v>地脉</v>
      </c>
      <c r="H332" s="1">
        <v>4</v>
      </c>
      <c r="I332" s="1" t="str">
        <f t="shared" si="49"/>
        <v>,50200,50080,50008,50107</v>
      </c>
      <c r="J332" s="1" t="str">
        <f t="shared" si="50"/>
        <v>50200</v>
      </c>
      <c r="K332" s="1">
        <v>1</v>
      </c>
      <c r="L332" s="1" t="str">
        <f t="shared" si="51"/>
        <v>50080</v>
      </c>
      <c r="M332" s="1">
        <v>2</v>
      </c>
      <c r="N332" s="1" t="str">
        <f t="shared" si="52"/>
        <v>50008</v>
      </c>
      <c r="O332" s="1">
        <v>3</v>
      </c>
      <c r="P332" s="1" t="str">
        <f t="shared" si="53"/>
        <v>50107</v>
      </c>
      <c r="Q332" s="1">
        <v>5</v>
      </c>
      <c r="R332" s="1">
        <f>VLOOKUP(--J332,test3,11,FALSE)*K332+VLOOKUP(--L332,test3,11,FALSE)*M332+IF(N332="",0,VLOOKUP(--N332,test3,11,FALSE)*O332)+IF(P332="",0,VLOOKUP(--P332,test3,11,FALSE)*Q332)</f>
        <v>417</v>
      </c>
    </row>
    <row r="333" spans="2:18" x14ac:dyDescent="0.15">
      <c r="B333" s="1">
        <f>[1]item!$D332</f>
        <v>100331</v>
      </c>
      <c r="C333" s="1">
        <f>[1]item!$C332</f>
        <v>103070700</v>
      </c>
      <c r="D333" s="1">
        <f t="shared" si="46"/>
        <v>7</v>
      </c>
      <c r="E333" s="1">
        <f t="shared" si="47"/>
        <v>3</v>
      </c>
      <c r="F333" s="1">
        <f t="shared" si="48"/>
        <v>1</v>
      </c>
      <c r="G333" s="1" t="str">
        <f t="shared" si="45"/>
        <v>地脉</v>
      </c>
      <c r="H333" s="1">
        <v>4</v>
      </c>
      <c r="I333" s="1" t="str">
        <f t="shared" si="49"/>
        <v>,50200,50080,50084,50017</v>
      </c>
      <c r="J333" s="1" t="str">
        <f t="shared" si="50"/>
        <v>50200</v>
      </c>
      <c r="K333" s="1">
        <v>1</v>
      </c>
      <c r="L333" s="1" t="str">
        <f t="shared" si="51"/>
        <v>50080</v>
      </c>
      <c r="M333" s="1">
        <v>2</v>
      </c>
      <c r="N333" s="1" t="str">
        <f t="shared" si="52"/>
        <v>50084</v>
      </c>
      <c r="O333" s="1">
        <v>3</v>
      </c>
      <c r="P333" s="1" t="str">
        <f t="shared" si="53"/>
        <v>50017</v>
      </c>
      <c r="Q333" s="1">
        <v>5</v>
      </c>
      <c r="R333" s="1">
        <f>VLOOKUP(--J333,test3,11,FALSE)*K333+VLOOKUP(--L333,test3,11,FALSE)*M333+IF(N333="",0,VLOOKUP(--N333,test3,11,FALSE)*O333)+IF(P333="",0,VLOOKUP(--P333,test3,11,FALSE)*Q333)</f>
        <v>525</v>
      </c>
    </row>
    <row r="334" spans="2:18" x14ac:dyDescent="0.15">
      <c r="B334" s="1">
        <f>[1]item!$D333</f>
        <v>100332</v>
      </c>
      <c r="C334" s="1">
        <f>[1]item!$C333</f>
        <v>103080700</v>
      </c>
      <c r="D334" s="1">
        <f t="shared" si="46"/>
        <v>8</v>
      </c>
      <c r="E334" s="1">
        <f t="shared" si="47"/>
        <v>3</v>
      </c>
      <c r="F334" s="1">
        <f t="shared" si="48"/>
        <v>1</v>
      </c>
      <c r="G334" s="1" t="str">
        <f t="shared" si="45"/>
        <v>地脉</v>
      </c>
      <c r="H334" s="1">
        <v>4</v>
      </c>
      <c r="I334" s="1" t="str">
        <f t="shared" si="49"/>
        <v>,50200,50080,50049,50082</v>
      </c>
      <c r="J334" s="1" t="str">
        <f t="shared" si="50"/>
        <v>50200</v>
      </c>
      <c r="K334" s="1">
        <v>1</v>
      </c>
      <c r="L334" s="1" t="str">
        <f t="shared" si="51"/>
        <v>50080</v>
      </c>
      <c r="M334" s="1">
        <v>2</v>
      </c>
      <c r="N334" s="1" t="str">
        <f t="shared" si="52"/>
        <v>50049</v>
      </c>
      <c r="O334" s="1">
        <v>3</v>
      </c>
      <c r="P334" s="1" t="str">
        <f t="shared" si="53"/>
        <v>50082</v>
      </c>
      <c r="Q334" s="1">
        <v>5</v>
      </c>
      <c r="R334" s="1">
        <f>VLOOKUP(--J334,test3,11,FALSE)*K334+VLOOKUP(--L334,test3,11,FALSE)*M334+IF(N334="",0,VLOOKUP(--N334,test3,11,FALSE)*O334)+IF(P334="",0,VLOOKUP(--P334,test3,11,FALSE)*Q334)</f>
        <v>525</v>
      </c>
    </row>
    <row r="335" spans="2:18" x14ac:dyDescent="0.15">
      <c r="B335" s="1">
        <f>[1]item!$D334</f>
        <v>100333</v>
      </c>
      <c r="C335" s="1">
        <f>[1]item!$C334</f>
        <v>103090700</v>
      </c>
      <c r="D335" s="1">
        <f t="shared" si="46"/>
        <v>9</v>
      </c>
      <c r="E335" s="1">
        <f t="shared" si="47"/>
        <v>3</v>
      </c>
      <c r="F335" s="1">
        <f t="shared" si="48"/>
        <v>1</v>
      </c>
      <c r="G335" s="1" t="str">
        <f t="shared" si="45"/>
        <v>地脉</v>
      </c>
      <c r="H335" s="1">
        <v>4</v>
      </c>
      <c r="I335" s="1" t="str">
        <f t="shared" si="49"/>
        <v>,50200,50080,50008,50107</v>
      </c>
      <c r="J335" s="1" t="str">
        <f t="shared" si="50"/>
        <v>50200</v>
      </c>
      <c r="K335" s="1">
        <v>1</v>
      </c>
      <c r="L335" s="1" t="str">
        <f t="shared" si="51"/>
        <v>50080</v>
      </c>
      <c r="M335" s="1">
        <v>2</v>
      </c>
      <c r="N335" s="1" t="str">
        <f t="shared" si="52"/>
        <v>50008</v>
      </c>
      <c r="O335" s="1">
        <v>3</v>
      </c>
      <c r="P335" s="1" t="str">
        <f t="shared" si="53"/>
        <v>50107</v>
      </c>
      <c r="Q335" s="1">
        <v>5</v>
      </c>
      <c r="R335" s="1">
        <f>VLOOKUP(--J335,test3,11,FALSE)*K335+VLOOKUP(--L335,test3,11,FALSE)*M335+IF(N335="",0,VLOOKUP(--N335,test3,11,FALSE)*O335)+IF(P335="",0,VLOOKUP(--P335,test3,11,FALSE)*Q335)</f>
        <v>417</v>
      </c>
    </row>
    <row r="336" spans="2:18" x14ac:dyDescent="0.15">
      <c r="B336" s="1">
        <f>[1]item!$D335</f>
        <v>100334</v>
      </c>
      <c r="C336" s="1">
        <f>[1]item!$C335</f>
        <v>103010800</v>
      </c>
      <c r="D336" s="1">
        <f t="shared" si="46"/>
        <v>1</v>
      </c>
      <c r="E336" s="1">
        <f t="shared" si="47"/>
        <v>3</v>
      </c>
      <c r="F336" s="1">
        <f t="shared" si="48"/>
        <v>1</v>
      </c>
      <c r="G336" s="1" t="str">
        <f t="shared" si="45"/>
        <v>物理</v>
      </c>
      <c r="H336" s="1">
        <v>4</v>
      </c>
      <c r="I336" s="1" t="str">
        <f t="shared" si="49"/>
        <v>,50200,50086,50125,50127</v>
      </c>
      <c r="J336" s="1" t="str">
        <f t="shared" si="50"/>
        <v>50200</v>
      </c>
      <c r="K336" s="1">
        <v>1</v>
      </c>
      <c r="L336" s="1" t="str">
        <f t="shared" si="51"/>
        <v>50086</v>
      </c>
      <c r="M336" s="1">
        <v>2</v>
      </c>
      <c r="N336" s="1" t="str">
        <f t="shared" si="52"/>
        <v>50125</v>
      </c>
      <c r="O336" s="1">
        <v>3</v>
      </c>
      <c r="P336" s="1" t="str">
        <f t="shared" si="53"/>
        <v>50127</v>
      </c>
      <c r="Q336" s="1">
        <v>5</v>
      </c>
      <c r="R336" s="1">
        <f>VLOOKUP(--J336,test3,11,FALSE)*K336+VLOOKUP(--L336,test3,11,FALSE)*M336+IF(N336="",0,VLOOKUP(--N336,test3,11,FALSE)*O336)+IF(P336="",0,VLOOKUP(--P336,test3,11,FALSE)*Q336)</f>
        <v>525</v>
      </c>
    </row>
    <row r="337" spans="2:18" x14ac:dyDescent="0.15">
      <c r="B337" s="1">
        <f>[1]item!$D336</f>
        <v>100335</v>
      </c>
      <c r="C337" s="1">
        <f>[1]item!$C336</f>
        <v>103020800</v>
      </c>
      <c r="D337" s="1">
        <f t="shared" si="46"/>
        <v>2</v>
      </c>
      <c r="E337" s="1">
        <f t="shared" si="47"/>
        <v>3</v>
      </c>
      <c r="F337" s="1">
        <f t="shared" si="48"/>
        <v>1</v>
      </c>
      <c r="G337" s="1" t="str">
        <f t="shared" si="45"/>
        <v>物理</v>
      </c>
      <c r="H337" s="1">
        <v>4</v>
      </c>
      <c r="I337" s="1" t="str">
        <f t="shared" si="49"/>
        <v>,50200,50086,50125,50127</v>
      </c>
      <c r="J337" s="1" t="str">
        <f t="shared" si="50"/>
        <v>50200</v>
      </c>
      <c r="K337" s="1">
        <v>1</v>
      </c>
      <c r="L337" s="1" t="str">
        <f t="shared" si="51"/>
        <v>50086</v>
      </c>
      <c r="M337" s="1">
        <v>2</v>
      </c>
      <c r="N337" s="1" t="str">
        <f t="shared" si="52"/>
        <v>50125</v>
      </c>
      <c r="O337" s="1">
        <v>3</v>
      </c>
      <c r="P337" s="1" t="str">
        <f t="shared" si="53"/>
        <v>50127</v>
      </c>
      <c r="Q337" s="1">
        <v>5</v>
      </c>
      <c r="R337" s="1">
        <f>VLOOKUP(--J337,test3,11,FALSE)*K337+VLOOKUP(--L337,test3,11,FALSE)*M337+IF(N337="",0,VLOOKUP(--N337,test3,11,FALSE)*O337)+IF(P337="",0,VLOOKUP(--P337,test3,11,FALSE)*Q337)</f>
        <v>525</v>
      </c>
    </row>
    <row r="338" spans="2:18" x14ac:dyDescent="0.15">
      <c r="B338" s="1">
        <f>[1]item!$D337</f>
        <v>100336</v>
      </c>
      <c r="C338" s="1">
        <f>[1]item!$C337</f>
        <v>103030800</v>
      </c>
      <c r="D338" s="1">
        <f t="shared" si="46"/>
        <v>3</v>
      </c>
      <c r="E338" s="1">
        <f t="shared" si="47"/>
        <v>3</v>
      </c>
      <c r="F338" s="1">
        <f t="shared" si="48"/>
        <v>1</v>
      </c>
      <c r="G338" s="1" t="str">
        <f t="shared" si="45"/>
        <v>物理</v>
      </c>
      <c r="H338" s="1">
        <v>4</v>
      </c>
      <c r="I338" s="1" t="str">
        <f t="shared" si="49"/>
        <v>,50200,50086,50125,50127</v>
      </c>
      <c r="J338" s="1" t="str">
        <f t="shared" si="50"/>
        <v>50200</v>
      </c>
      <c r="K338" s="1">
        <v>1</v>
      </c>
      <c r="L338" s="1" t="str">
        <f t="shared" si="51"/>
        <v>50086</v>
      </c>
      <c r="M338" s="1">
        <v>2</v>
      </c>
      <c r="N338" s="1" t="str">
        <f t="shared" si="52"/>
        <v>50125</v>
      </c>
      <c r="O338" s="1">
        <v>3</v>
      </c>
      <c r="P338" s="1" t="str">
        <f t="shared" si="53"/>
        <v>50127</v>
      </c>
      <c r="Q338" s="1">
        <v>5</v>
      </c>
      <c r="R338" s="1">
        <f>VLOOKUP(--J338,test3,11,FALSE)*K338+VLOOKUP(--L338,test3,11,FALSE)*M338+IF(N338="",0,VLOOKUP(--N338,test3,11,FALSE)*O338)+IF(P338="",0,VLOOKUP(--P338,test3,11,FALSE)*Q338)</f>
        <v>525</v>
      </c>
    </row>
    <row r="339" spans="2:18" x14ac:dyDescent="0.15">
      <c r="B339" s="1">
        <f>[1]item!$D338</f>
        <v>100337</v>
      </c>
      <c r="C339" s="1">
        <f>[1]item!$C338</f>
        <v>103040800</v>
      </c>
      <c r="D339" s="1">
        <f t="shared" si="46"/>
        <v>4</v>
      </c>
      <c r="E339" s="1">
        <f t="shared" si="47"/>
        <v>3</v>
      </c>
      <c r="F339" s="1">
        <f t="shared" si="48"/>
        <v>1</v>
      </c>
      <c r="G339" s="1" t="str">
        <f t="shared" si="45"/>
        <v>物理</v>
      </c>
      <c r="H339" s="1">
        <v>4</v>
      </c>
      <c r="I339" s="1" t="str">
        <f t="shared" si="49"/>
        <v>,50200,50086,50125,50127</v>
      </c>
      <c r="J339" s="1" t="str">
        <f t="shared" si="50"/>
        <v>50200</v>
      </c>
      <c r="K339" s="1">
        <v>1</v>
      </c>
      <c r="L339" s="1" t="str">
        <f t="shared" si="51"/>
        <v>50086</v>
      </c>
      <c r="M339" s="1">
        <v>2</v>
      </c>
      <c r="N339" s="1" t="str">
        <f t="shared" si="52"/>
        <v>50125</v>
      </c>
      <c r="O339" s="1">
        <v>3</v>
      </c>
      <c r="P339" s="1" t="str">
        <f t="shared" si="53"/>
        <v>50127</v>
      </c>
      <c r="Q339" s="1">
        <v>5</v>
      </c>
      <c r="R339" s="1">
        <f>VLOOKUP(--J339,test3,11,FALSE)*K339+VLOOKUP(--L339,test3,11,FALSE)*M339+IF(N339="",0,VLOOKUP(--N339,test3,11,FALSE)*O339)+IF(P339="",0,VLOOKUP(--P339,test3,11,FALSE)*Q339)</f>
        <v>525</v>
      </c>
    </row>
    <row r="340" spans="2:18" x14ac:dyDescent="0.15">
      <c r="B340" s="1">
        <f>[1]item!$D339</f>
        <v>100338</v>
      </c>
      <c r="C340" s="1">
        <f>[1]item!$C339</f>
        <v>103050800</v>
      </c>
      <c r="D340" s="1">
        <f t="shared" si="46"/>
        <v>5</v>
      </c>
      <c r="E340" s="1">
        <f t="shared" si="47"/>
        <v>3</v>
      </c>
      <c r="F340" s="1">
        <f t="shared" si="48"/>
        <v>1</v>
      </c>
      <c r="G340" s="1" t="str">
        <f t="shared" si="45"/>
        <v>物理</v>
      </c>
      <c r="H340" s="1">
        <v>4</v>
      </c>
      <c r="I340" s="1" t="str">
        <f t="shared" si="49"/>
        <v>,50200,50086,50125,50127</v>
      </c>
      <c r="J340" s="1" t="str">
        <f t="shared" si="50"/>
        <v>50200</v>
      </c>
      <c r="K340" s="1">
        <v>1</v>
      </c>
      <c r="L340" s="1" t="str">
        <f t="shared" si="51"/>
        <v>50086</v>
      </c>
      <c r="M340" s="1">
        <v>2</v>
      </c>
      <c r="N340" s="1" t="str">
        <f t="shared" si="52"/>
        <v>50125</v>
      </c>
      <c r="O340" s="1">
        <v>3</v>
      </c>
      <c r="P340" s="1" t="str">
        <f t="shared" si="53"/>
        <v>50127</v>
      </c>
      <c r="Q340" s="1">
        <v>5</v>
      </c>
      <c r="R340" s="1">
        <f>VLOOKUP(--J340,test3,11,FALSE)*K340+VLOOKUP(--L340,test3,11,FALSE)*M340+IF(N340="",0,VLOOKUP(--N340,test3,11,FALSE)*O340)+IF(P340="",0,VLOOKUP(--P340,test3,11,FALSE)*Q340)</f>
        <v>525</v>
      </c>
    </row>
    <row r="341" spans="2:18" x14ac:dyDescent="0.15">
      <c r="B341" s="1">
        <f>[1]item!$D340</f>
        <v>100339</v>
      </c>
      <c r="C341" s="1">
        <f>[1]item!$C340</f>
        <v>103060800</v>
      </c>
      <c r="D341" s="1">
        <f t="shared" si="46"/>
        <v>6</v>
      </c>
      <c r="E341" s="1">
        <f t="shared" si="47"/>
        <v>3</v>
      </c>
      <c r="F341" s="1">
        <f t="shared" si="48"/>
        <v>1</v>
      </c>
      <c r="G341" s="1" t="str">
        <f t="shared" si="45"/>
        <v>物理</v>
      </c>
      <c r="H341" s="1">
        <v>4</v>
      </c>
      <c r="I341" s="1" t="str">
        <f t="shared" si="49"/>
        <v>,50200,50086,50125,50127</v>
      </c>
      <c r="J341" s="1" t="str">
        <f t="shared" si="50"/>
        <v>50200</v>
      </c>
      <c r="K341" s="1">
        <v>1</v>
      </c>
      <c r="L341" s="1" t="str">
        <f t="shared" si="51"/>
        <v>50086</v>
      </c>
      <c r="M341" s="1">
        <v>2</v>
      </c>
      <c r="N341" s="1" t="str">
        <f t="shared" si="52"/>
        <v>50125</v>
      </c>
      <c r="O341" s="1">
        <v>3</v>
      </c>
      <c r="P341" s="1" t="str">
        <f t="shared" si="53"/>
        <v>50127</v>
      </c>
      <c r="Q341" s="1">
        <v>5</v>
      </c>
      <c r="R341" s="1">
        <f>VLOOKUP(--J341,test3,11,FALSE)*K341+VLOOKUP(--L341,test3,11,FALSE)*M341+IF(N341="",0,VLOOKUP(--N341,test3,11,FALSE)*O341)+IF(P341="",0,VLOOKUP(--P341,test3,11,FALSE)*Q341)</f>
        <v>525</v>
      </c>
    </row>
    <row r="342" spans="2:18" x14ac:dyDescent="0.15">
      <c r="B342" s="1">
        <f>[1]item!$D341</f>
        <v>100340</v>
      </c>
      <c r="C342" s="1">
        <f>[1]item!$C341</f>
        <v>103070800</v>
      </c>
      <c r="D342" s="1">
        <f t="shared" si="46"/>
        <v>7</v>
      </c>
      <c r="E342" s="1">
        <f t="shared" si="47"/>
        <v>3</v>
      </c>
      <c r="F342" s="1">
        <f t="shared" si="48"/>
        <v>1</v>
      </c>
      <c r="G342" s="1" t="str">
        <f t="shared" si="45"/>
        <v>物理</v>
      </c>
      <c r="H342" s="1">
        <v>4</v>
      </c>
      <c r="I342" s="1" t="str">
        <f t="shared" si="49"/>
        <v>,50200,50086,50125,50127</v>
      </c>
      <c r="J342" s="1" t="str">
        <f t="shared" si="50"/>
        <v>50200</v>
      </c>
      <c r="K342" s="1">
        <v>1</v>
      </c>
      <c r="L342" s="1" t="str">
        <f t="shared" si="51"/>
        <v>50086</v>
      </c>
      <c r="M342" s="1">
        <v>2</v>
      </c>
      <c r="N342" s="1" t="str">
        <f t="shared" si="52"/>
        <v>50125</v>
      </c>
      <c r="O342" s="1">
        <v>3</v>
      </c>
      <c r="P342" s="1" t="str">
        <f t="shared" si="53"/>
        <v>50127</v>
      </c>
      <c r="Q342" s="1">
        <v>5</v>
      </c>
      <c r="R342" s="1">
        <f>VLOOKUP(--J342,test3,11,FALSE)*K342+VLOOKUP(--L342,test3,11,FALSE)*M342+IF(N342="",0,VLOOKUP(--N342,test3,11,FALSE)*O342)+IF(P342="",0,VLOOKUP(--P342,test3,11,FALSE)*Q342)</f>
        <v>525</v>
      </c>
    </row>
    <row r="343" spans="2:18" x14ac:dyDescent="0.15">
      <c r="B343" s="1">
        <f>[1]item!$D342</f>
        <v>100341</v>
      </c>
      <c r="C343" s="1">
        <f>[1]item!$C342</f>
        <v>103080800</v>
      </c>
      <c r="D343" s="1">
        <f t="shared" si="46"/>
        <v>8</v>
      </c>
      <c r="E343" s="1">
        <f t="shared" si="47"/>
        <v>3</v>
      </c>
      <c r="F343" s="1">
        <f t="shared" si="48"/>
        <v>1</v>
      </c>
      <c r="G343" s="1" t="str">
        <f t="shared" si="45"/>
        <v>物理</v>
      </c>
      <c r="H343" s="1">
        <v>4</v>
      </c>
      <c r="I343" s="1" t="str">
        <f t="shared" si="49"/>
        <v>,50200,50086,50104,50049</v>
      </c>
      <c r="J343" s="1" t="str">
        <f t="shared" si="50"/>
        <v>50200</v>
      </c>
      <c r="K343" s="1">
        <v>1</v>
      </c>
      <c r="L343" s="1" t="str">
        <f t="shared" si="51"/>
        <v>50086</v>
      </c>
      <c r="M343" s="1">
        <v>2</v>
      </c>
      <c r="N343" s="1" t="str">
        <f t="shared" si="52"/>
        <v>50104</v>
      </c>
      <c r="O343" s="1">
        <v>3</v>
      </c>
      <c r="P343" s="1" t="str">
        <f t="shared" si="53"/>
        <v>50049</v>
      </c>
      <c r="Q343" s="1">
        <v>5</v>
      </c>
      <c r="R343" s="1">
        <f>VLOOKUP(--J343,test3,11,FALSE)*K343+VLOOKUP(--L343,test3,11,FALSE)*M343+IF(N343="",0,VLOOKUP(--N343,test3,11,FALSE)*O343)+IF(P343="",0,VLOOKUP(--P343,test3,11,FALSE)*Q343)</f>
        <v>484.5</v>
      </c>
    </row>
    <row r="344" spans="2:18" x14ac:dyDescent="0.15">
      <c r="B344" s="1">
        <f>[1]item!$D343</f>
        <v>100342</v>
      </c>
      <c r="C344" s="1">
        <f>[1]item!$C343</f>
        <v>103090800</v>
      </c>
      <c r="D344" s="1">
        <f t="shared" si="46"/>
        <v>9</v>
      </c>
      <c r="E344" s="1">
        <f t="shared" si="47"/>
        <v>3</v>
      </c>
      <c r="F344" s="1">
        <f t="shared" si="48"/>
        <v>1</v>
      </c>
      <c r="G344" s="1" t="str">
        <f t="shared" si="45"/>
        <v>物理</v>
      </c>
      <c r="H344" s="1">
        <v>4</v>
      </c>
      <c r="I344" s="1" t="str">
        <f t="shared" si="49"/>
        <v>,50200,50086,50125,50127</v>
      </c>
      <c r="J344" s="1" t="str">
        <f t="shared" si="50"/>
        <v>50200</v>
      </c>
      <c r="K344" s="1">
        <v>1</v>
      </c>
      <c r="L344" s="1" t="str">
        <f t="shared" si="51"/>
        <v>50086</v>
      </c>
      <c r="M344" s="1">
        <v>2</v>
      </c>
      <c r="N344" s="1" t="str">
        <f t="shared" si="52"/>
        <v>50125</v>
      </c>
      <c r="O344" s="1">
        <v>3</v>
      </c>
      <c r="P344" s="1" t="str">
        <f t="shared" si="53"/>
        <v>50127</v>
      </c>
      <c r="Q344" s="1">
        <v>5</v>
      </c>
      <c r="R344" s="1">
        <f>VLOOKUP(--J344,test3,11,FALSE)*K344+VLOOKUP(--L344,test3,11,FALSE)*M344+IF(N344="",0,VLOOKUP(--N344,test3,11,FALSE)*O344)+IF(P344="",0,VLOOKUP(--P344,test3,11,FALSE)*Q344)</f>
        <v>525</v>
      </c>
    </row>
    <row r="345" spans="2:18" x14ac:dyDescent="0.15">
      <c r="B345" s="1">
        <f>[1]item!$D344</f>
        <v>100343</v>
      </c>
      <c r="C345" s="1">
        <f>[1]item!$C344</f>
        <v>103010900</v>
      </c>
      <c r="D345" s="1">
        <f t="shared" si="46"/>
        <v>1</v>
      </c>
      <c r="E345" s="1">
        <f t="shared" si="47"/>
        <v>3</v>
      </c>
      <c r="F345" s="1">
        <f t="shared" si="48"/>
        <v>1</v>
      </c>
      <c r="G345" s="1" t="str">
        <f t="shared" si="45"/>
        <v>火炎</v>
      </c>
      <c r="H345" s="1">
        <v>4</v>
      </c>
      <c r="I345" s="1" t="str">
        <f t="shared" si="49"/>
        <v>,50200,50082,50105,50004</v>
      </c>
      <c r="J345" s="1" t="str">
        <f t="shared" si="50"/>
        <v>50200</v>
      </c>
      <c r="K345" s="1">
        <v>1</v>
      </c>
      <c r="L345" s="1" t="str">
        <f t="shared" si="51"/>
        <v>50082</v>
      </c>
      <c r="M345" s="1">
        <v>2</v>
      </c>
      <c r="N345" s="1" t="str">
        <f t="shared" si="52"/>
        <v>50105</v>
      </c>
      <c r="O345" s="1">
        <v>3</v>
      </c>
      <c r="P345" s="1" t="str">
        <f t="shared" si="53"/>
        <v>50004</v>
      </c>
      <c r="Q345" s="1">
        <v>5</v>
      </c>
      <c r="R345" s="1">
        <f>VLOOKUP(--J345,test3,11,FALSE)*K345+VLOOKUP(--L345,test3,11,FALSE)*M345+IF(N345="",0,VLOOKUP(--N345,test3,11,FALSE)*O345)+IF(P345="",0,VLOOKUP(--P345,test3,11,FALSE)*Q345)</f>
        <v>417</v>
      </c>
    </row>
    <row r="346" spans="2:18" x14ac:dyDescent="0.15">
      <c r="B346" s="1">
        <f>[1]item!$D345</f>
        <v>100344</v>
      </c>
      <c r="C346" s="1">
        <f>[1]item!$C345</f>
        <v>103020900</v>
      </c>
      <c r="D346" s="1">
        <f t="shared" si="46"/>
        <v>2</v>
      </c>
      <c r="E346" s="1">
        <f t="shared" si="47"/>
        <v>3</v>
      </c>
      <c r="F346" s="1">
        <f t="shared" si="48"/>
        <v>1</v>
      </c>
      <c r="G346" s="1" t="str">
        <f t="shared" si="45"/>
        <v>火炎</v>
      </c>
      <c r="H346" s="1">
        <v>4</v>
      </c>
      <c r="I346" s="1" t="str">
        <f t="shared" si="49"/>
        <v>,50200,50082,50040,50130</v>
      </c>
      <c r="J346" s="1" t="str">
        <f t="shared" si="50"/>
        <v>50200</v>
      </c>
      <c r="K346" s="1">
        <v>1</v>
      </c>
      <c r="L346" s="1" t="str">
        <f t="shared" si="51"/>
        <v>50082</v>
      </c>
      <c r="M346" s="1">
        <v>2</v>
      </c>
      <c r="N346" s="1" t="str">
        <f t="shared" si="52"/>
        <v>50040</v>
      </c>
      <c r="O346" s="1">
        <v>3</v>
      </c>
      <c r="P346" s="1" t="str">
        <f t="shared" si="53"/>
        <v>50130</v>
      </c>
      <c r="Q346" s="1">
        <v>5</v>
      </c>
      <c r="R346" s="1">
        <f>VLOOKUP(--J346,test3,11,FALSE)*K346+VLOOKUP(--L346,test3,11,FALSE)*M346+IF(N346="",0,VLOOKUP(--N346,test3,11,FALSE)*O346)+IF(P346="",0,VLOOKUP(--P346,test3,11,FALSE)*Q346)</f>
        <v>525</v>
      </c>
    </row>
    <row r="347" spans="2:18" x14ac:dyDescent="0.15">
      <c r="B347" s="1">
        <f>[1]item!$D346</f>
        <v>100345</v>
      </c>
      <c r="C347" s="1">
        <f>[1]item!$C346</f>
        <v>103030900</v>
      </c>
      <c r="D347" s="1">
        <f t="shared" si="46"/>
        <v>3</v>
      </c>
      <c r="E347" s="1">
        <f t="shared" si="47"/>
        <v>3</v>
      </c>
      <c r="F347" s="1">
        <f t="shared" si="48"/>
        <v>1</v>
      </c>
      <c r="G347" s="1" t="str">
        <f t="shared" si="45"/>
        <v>火炎</v>
      </c>
      <c r="H347" s="1">
        <v>4</v>
      </c>
      <c r="I347" s="1" t="str">
        <f t="shared" si="49"/>
        <v>,50200,50082,50040,50130</v>
      </c>
      <c r="J347" s="1" t="str">
        <f t="shared" si="50"/>
        <v>50200</v>
      </c>
      <c r="K347" s="1">
        <v>1</v>
      </c>
      <c r="L347" s="1" t="str">
        <f t="shared" si="51"/>
        <v>50082</v>
      </c>
      <c r="M347" s="1">
        <v>2</v>
      </c>
      <c r="N347" s="1" t="str">
        <f t="shared" si="52"/>
        <v>50040</v>
      </c>
      <c r="O347" s="1">
        <v>3</v>
      </c>
      <c r="P347" s="1" t="str">
        <f t="shared" si="53"/>
        <v>50130</v>
      </c>
      <c r="Q347" s="1">
        <v>5</v>
      </c>
      <c r="R347" s="1">
        <f>VLOOKUP(--J347,test3,11,FALSE)*K347+VLOOKUP(--L347,test3,11,FALSE)*M347+IF(N347="",0,VLOOKUP(--N347,test3,11,FALSE)*O347)+IF(P347="",0,VLOOKUP(--P347,test3,11,FALSE)*Q347)</f>
        <v>525</v>
      </c>
    </row>
    <row r="348" spans="2:18" x14ac:dyDescent="0.15">
      <c r="B348" s="1">
        <f>[1]item!$D347</f>
        <v>100346</v>
      </c>
      <c r="C348" s="1">
        <f>[1]item!$C347</f>
        <v>103040900</v>
      </c>
      <c r="D348" s="1">
        <f t="shared" si="46"/>
        <v>4</v>
      </c>
      <c r="E348" s="1">
        <f t="shared" si="47"/>
        <v>3</v>
      </c>
      <c r="F348" s="1">
        <f t="shared" si="48"/>
        <v>1</v>
      </c>
      <c r="G348" s="1" t="str">
        <f t="shared" si="45"/>
        <v>火炎</v>
      </c>
      <c r="H348" s="1">
        <v>4</v>
      </c>
      <c r="I348" s="1" t="str">
        <f t="shared" si="49"/>
        <v>,50200,50082,50040,50130</v>
      </c>
      <c r="J348" s="1" t="str">
        <f t="shared" si="50"/>
        <v>50200</v>
      </c>
      <c r="K348" s="1">
        <v>1</v>
      </c>
      <c r="L348" s="1" t="str">
        <f t="shared" si="51"/>
        <v>50082</v>
      </c>
      <c r="M348" s="1">
        <v>2</v>
      </c>
      <c r="N348" s="1" t="str">
        <f t="shared" si="52"/>
        <v>50040</v>
      </c>
      <c r="O348" s="1">
        <v>3</v>
      </c>
      <c r="P348" s="1" t="str">
        <f t="shared" si="53"/>
        <v>50130</v>
      </c>
      <c r="Q348" s="1">
        <v>5</v>
      </c>
      <c r="R348" s="1">
        <f>VLOOKUP(--J348,test3,11,FALSE)*K348+VLOOKUP(--L348,test3,11,FALSE)*M348+IF(N348="",0,VLOOKUP(--N348,test3,11,FALSE)*O348)+IF(P348="",0,VLOOKUP(--P348,test3,11,FALSE)*Q348)</f>
        <v>525</v>
      </c>
    </row>
    <row r="349" spans="2:18" x14ac:dyDescent="0.15">
      <c r="B349" s="1">
        <f>[1]item!$D348</f>
        <v>100347</v>
      </c>
      <c r="C349" s="1">
        <f>[1]item!$C348</f>
        <v>103050900</v>
      </c>
      <c r="D349" s="1">
        <f t="shared" si="46"/>
        <v>5</v>
      </c>
      <c r="E349" s="1">
        <f t="shared" si="47"/>
        <v>3</v>
      </c>
      <c r="F349" s="1">
        <f t="shared" si="48"/>
        <v>1</v>
      </c>
      <c r="G349" s="1" t="str">
        <f t="shared" si="45"/>
        <v>火炎</v>
      </c>
      <c r="H349" s="1">
        <v>4</v>
      </c>
      <c r="I349" s="1" t="str">
        <f t="shared" si="49"/>
        <v>,50200,50082,50040,50130</v>
      </c>
      <c r="J349" s="1" t="str">
        <f t="shared" si="50"/>
        <v>50200</v>
      </c>
      <c r="K349" s="1">
        <v>1</v>
      </c>
      <c r="L349" s="1" t="str">
        <f t="shared" si="51"/>
        <v>50082</v>
      </c>
      <c r="M349" s="1">
        <v>2</v>
      </c>
      <c r="N349" s="1" t="str">
        <f t="shared" si="52"/>
        <v>50040</v>
      </c>
      <c r="O349" s="1">
        <v>3</v>
      </c>
      <c r="P349" s="1" t="str">
        <f t="shared" si="53"/>
        <v>50130</v>
      </c>
      <c r="Q349" s="1">
        <v>5</v>
      </c>
      <c r="R349" s="1">
        <f>VLOOKUP(--J349,test3,11,FALSE)*K349+VLOOKUP(--L349,test3,11,FALSE)*M349+IF(N349="",0,VLOOKUP(--N349,test3,11,FALSE)*O349)+IF(P349="",0,VLOOKUP(--P349,test3,11,FALSE)*Q349)</f>
        <v>525</v>
      </c>
    </row>
    <row r="350" spans="2:18" x14ac:dyDescent="0.15">
      <c r="B350" s="1">
        <f>[1]item!$D349</f>
        <v>100348</v>
      </c>
      <c r="C350" s="1">
        <f>[1]item!$C349</f>
        <v>103060900</v>
      </c>
      <c r="D350" s="1">
        <f t="shared" si="46"/>
        <v>6</v>
      </c>
      <c r="E350" s="1">
        <f t="shared" si="47"/>
        <v>3</v>
      </c>
      <c r="F350" s="1">
        <f t="shared" si="48"/>
        <v>1</v>
      </c>
      <c r="G350" s="1" t="str">
        <f t="shared" si="45"/>
        <v>火炎</v>
      </c>
      <c r="H350" s="1">
        <v>4</v>
      </c>
      <c r="I350" s="1" t="str">
        <f t="shared" si="49"/>
        <v>,50200,50082,50105,50004</v>
      </c>
      <c r="J350" s="1" t="str">
        <f t="shared" si="50"/>
        <v>50200</v>
      </c>
      <c r="K350" s="1">
        <v>1</v>
      </c>
      <c r="L350" s="1" t="str">
        <f t="shared" si="51"/>
        <v>50082</v>
      </c>
      <c r="M350" s="1">
        <v>2</v>
      </c>
      <c r="N350" s="1" t="str">
        <f t="shared" si="52"/>
        <v>50105</v>
      </c>
      <c r="O350" s="1">
        <v>3</v>
      </c>
      <c r="P350" s="1" t="str">
        <f t="shared" si="53"/>
        <v>50004</v>
      </c>
      <c r="Q350" s="1">
        <v>5</v>
      </c>
      <c r="R350" s="1">
        <f>VLOOKUP(--J350,test3,11,FALSE)*K350+VLOOKUP(--L350,test3,11,FALSE)*M350+IF(N350="",0,VLOOKUP(--N350,test3,11,FALSE)*O350)+IF(P350="",0,VLOOKUP(--P350,test3,11,FALSE)*Q350)</f>
        <v>417</v>
      </c>
    </row>
    <row r="351" spans="2:18" x14ac:dyDescent="0.15">
      <c r="B351" s="1">
        <f>[1]item!$D350</f>
        <v>100349</v>
      </c>
      <c r="C351" s="1">
        <f>[1]item!$C350</f>
        <v>103070900</v>
      </c>
      <c r="D351" s="1">
        <f t="shared" si="46"/>
        <v>7</v>
      </c>
      <c r="E351" s="1">
        <f t="shared" si="47"/>
        <v>3</v>
      </c>
      <c r="F351" s="1">
        <f t="shared" si="48"/>
        <v>1</v>
      </c>
      <c r="G351" s="1" t="str">
        <f t="shared" si="45"/>
        <v>火炎</v>
      </c>
      <c r="H351" s="1">
        <v>4</v>
      </c>
      <c r="I351" s="1" t="str">
        <f t="shared" si="49"/>
        <v>,50200,50082,50040,50130</v>
      </c>
      <c r="J351" s="1" t="str">
        <f t="shared" si="50"/>
        <v>50200</v>
      </c>
      <c r="K351" s="1">
        <v>1</v>
      </c>
      <c r="L351" s="1" t="str">
        <f t="shared" si="51"/>
        <v>50082</v>
      </c>
      <c r="M351" s="1">
        <v>2</v>
      </c>
      <c r="N351" s="1" t="str">
        <f t="shared" si="52"/>
        <v>50040</v>
      </c>
      <c r="O351" s="1">
        <v>3</v>
      </c>
      <c r="P351" s="1" t="str">
        <f t="shared" si="53"/>
        <v>50130</v>
      </c>
      <c r="Q351" s="1">
        <v>5</v>
      </c>
      <c r="R351" s="1">
        <f>VLOOKUP(--J351,test3,11,FALSE)*K351+VLOOKUP(--L351,test3,11,FALSE)*M351+IF(N351="",0,VLOOKUP(--N351,test3,11,FALSE)*O351)+IF(P351="",0,VLOOKUP(--P351,test3,11,FALSE)*Q351)</f>
        <v>525</v>
      </c>
    </row>
    <row r="352" spans="2:18" x14ac:dyDescent="0.15">
      <c r="B352" s="1">
        <f>[1]item!$D351</f>
        <v>100350</v>
      </c>
      <c r="C352" s="1">
        <f>[1]item!$C351</f>
        <v>103080900</v>
      </c>
      <c r="D352" s="1">
        <f t="shared" si="46"/>
        <v>8</v>
      </c>
      <c r="E352" s="1">
        <f t="shared" si="47"/>
        <v>3</v>
      </c>
      <c r="F352" s="1">
        <f t="shared" si="48"/>
        <v>1</v>
      </c>
      <c r="G352" s="1" t="str">
        <f t="shared" si="45"/>
        <v>火炎</v>
      </c>
      <c r="H352" s="1">
        <v>4</v>
      </c>
      <c r="I352" s="1" t="str">
        <f t="shared" si="49"/>
        <v>,50200,50082,50040,50130</v>
      </c>
      <c r="J352" s="1" t="str">
        <f t="shared" si="50"/>
        <v>50200</v>
      </c>
      <c r="K352" s="1">
        <v>1</v>
      </c>
      <c r="L352" s="1" t="str">
        <f t="shared" si="51"/>
        <v>50082</v>
      </c>
      <c r="M352" s="1">
        <v>2</v>
      </c>
      <c r="N352" s="1" t="str">
        <f t="shared" si="52"/>
        <v>50040</v>
      </c>
      <c r="O352" s="1">
        <v>3</v>
      </c>
      <c r="P352" s="1" t="str">
        <f t="shared" si="53"/>
        <v>50130</v>
      </c>
      <c r="Q352" s="1">
        <v>5</v>
      </c>
      <c r="R352" s="1">
        <f>VLOOKUP(--J352,test3,11,FALSE)*K352+VLOOKUP(--L352,test3,11,FALSE)*M352+IF(N352="",0,VLOOKUP(--N352,test3,11,FALSE)*O352)+IF(P352="",0,VLOOKUP(--P352,test3,11,FALSE)*Q352)</f>
        <v>525</v>
      </c>
    </row>
    <row r="353" spans="2:18" x14ac:dyDescent="0.15">
      <c r="B353" s="1">
        <f>[1]item!$D352</f>
        <v>100351</v>
      </c>
      <c r="C353" s="1">
        <f>[1]item!$C352</f>
        <v>103090900</v>
      </c>
      <c r="D353" s="1">
        <f t="shared" si="46"/>
        <v>9</v>
      </c>
      <c r="E353" s="1">
        <f t="shared" si="47"/>
        <v>3</v>
      </c>
      <c r="F353" s="1">
        <f t="shared" si="48"/>
        <v>1</v>
      </c>
      <c r="G353" s="1" t="str">
        <f t="shared" si="45"/>
        <v>火炎</v>
      </c>
      <c r="H353" s="1">
        <v>4</v>
      </c>
      <c r="I353" s="1" t="str">
        <f t="shared" si="49"/>
        <v>,50200,50082,50105,50004</v>
      </c>
      <c r="J353" s="1" t="str">
        <f t="shared" si="50"/>
        <v>50200</v>
      </c>
      <c r="K353" s="1">
        <v>1</v>
      </c>
      <c r="L353" s="1" t="str">
        <f t="shared" si="51"/>
        <v>50082</v>
      </c>
      <c r="M353" s="1">
        <v>2</v>
      </c>
      <c r="N353" s="1" t="str">
        <f t="shared" si="52"/>
        <v>50105</v>
      </c>
      <c r="O353" s="1">
        <v>3</v>
      </c>
      <c r="P353" s="1" t="str">
        <f t="shared" si="53"/>
        <v>50004</v>
      </c>
      <c r="Q353" s="1">
        <v>5</v>
      </c>
      <c r="R353" s="1">
        <f>VLOOKUP(--J353,test3,11,FALSE)*K353+VLOOKUP(--L353,test3,11,FALSE)*M353+IF(N353="",0,VLOOKUP(--N353,test3,11,FALSE)*O353)+IF(P353="",0,VLOOKUP(--P353,test3,11,FALSE)*Q353)</f>
        <v>417</v>
      </c>
    </row>
    <row r="354" spans="2:18" x14ac:dyDescent="0.15">
      <c r="B354" s="1">
        <f>[1]item!$D353</f>
        <v>100352</v>
      </c>
      <c r="C354" s="1">
        <f>[1]item!$C353</f>
        <v>103011000</v>
      </c>
      <c r="D354" s="1">
        <f t="shared" si="46"/>
        <v>1</v>
      </c>
      <c r="E354" s="1">
        <f t="shared" si="47"/>
        <v>3</v>
      </c>
      <c r="F354" s="1">
        <f t="shared" si="48"/>
        <v>1</v>
      </c>
      <c r="G354" s="1" t="str">
        <f t="shared" si="45"/>
        <v>黑暗</v>
      </c>
      <c r="H354" s="1">
        <v>4</v>
      </c>
      <c r="I354" s="1" t="str">
        <f t="shared" si="49"/>
        <v>,50200,50085,50012,50104</v>
      </c>
      <c r="J354" s="1" t="str">
        <f t="shared" si="50"/>
        <v>50200</v>
      </c>
      <c r="K354" s="1">
        <v>1</v>
      </c>
      <c r="L354" s="1" t="str">
        <f t="shared" si="51"/>
        <v>50085</v>
      </c>
      <c r="M354" s="1">
        <v>2</v>
      </c>
      <c r="N354" s="1" t="str">
        <f t="shared" si="52"/>
        <v>50012</v>
      </c>
      <c r="O354" s="1">
        <v>3</v>
      </c>
      <c r="P354" s="1" t="str">
        <f t="shared" si="53"/>
        <v>50104</v>
      </c>
      <c r="Q354" s="1">
        <v>5</v>
      </c>
      <c r="R354" s="1">
        <f>VLOOKUP(--J354,test3,11,FALSE)*K354+VLOOKUP(--L354,test3,11,FALSE)*M354+IF(N354="",0,VLOOKUP(--N354,test3,11,FALSE)*O354)+IF(P354="",0,VLOOKUP(--P354,test3,11,FALSE)*Q354)</f>
        <v>417</v>
      </c>
    </row>
    <row r="355" spans="2:18" x14ac:dyDescent="0.15">
      <c r="B355" s="1">
        <f>[1]item!$D354</f>
        <v>100353</v>
      </c>
      <c r="C355" s="1">
        <f>[1]item!$C354</f>
        <v>103021000</v>
      </c>
      <c r="D355" s="1">
        <f t="shared" si="46"/>
        <v>2</v>
      </c>
      <c r="E355" s="1">
        <f t="shared" si="47"/>
        <v>3</v>
      </c>
      <c r="F355" s="1">
        <f t="shared" si="48"/>
        <v>1</v>
      </c>
      <c r="G355" s="1" t="str">
        <f t="shared" si="45"/>
        <v>黑暗</v>
      </c>
      <c r="H355" s="1">
        <v>4</v>
      </c>
      <c r="I355" s="1" t="str">
        <f t="shared" si="49"/>
        <v>,50200,50085,50012,50104</v>
      </c>
      <c r="J355" s="1" t="str">
        <f t="shared" si="50"/>
        <v>50200</v>
      </c>
      <c r="K355" s="1">
        <v>1</v>
      </c>
      <c r="L355" s="1" t="str">
        <f t="shared" si="51"/>
        <v>50085</v>
      </c>
      <c r="M355" s="1">
        <v>2</v>
      </c>
      <c r="N355" s="1" t="str">
        <f t="shared" si="52"/>
        <v>50012</v>
      </c>
      <c r="O355" s="1">
        <v>3</v>
      </c>
      <c r="P355" s="1" t="str">
        <f t="shared" si="53"/>
        <v>50104</v>
      </c>
      <c r="Q355" s="1">
        <v>5</v>
      </c>
      <c r="R355" s="1">
        <f>VLOOKUP(--J355,test3,11,FALSE)*K355+VLOOKUP(--L355,test3,11,FALSE)*M355+IF(N355="",0,VLOOKUP(--N355,test3,11,FALSE)*O355)+IF(P355="",0,VLOOKUP(--P355,test3,11,FALSE)*Q355)</f>
        <v>417</v>
      </c>
    </row>
    <row r="356" spans="2:18" x14ac:dyDescent="0.15">
      <c r="B356" s="1">
        <f>[1]item!$D355</f>
        <v>100354</v>
      </c>
      <c r="C356" s="1">
        <f>[1]item!$C355</f>
        <v>103031000</v>
      </c>
      <c r="D356" s="1">
        <f t="shared" si="46"/>
        <v>3</v>
      </c>
      <c r="E356" s="1">
        <f t="shared" si="47"/>
        <v>3</v>
      </c>
      <c r="F356" s="1">
        <f t="shared" si="48"/>
        <v>1</v>
      </c>
      <c r="G356" s="1" t="str">
        <f t="shared" si="45"/>
        <v>黑暗</v>
      </c>
      <c r="H356" s="1">
        <v>4</v>
      </c>
      <c r="I356" s="1" t="str">
        <f t="shared" si="49"/>
        <v>,50200,50085,50106,50061</v>
      </c>
      <c r="J356" s="1" t="str">
        <f t="shared" si="50"/>
        <v>50200</v>
      </c>
      <c r="K356" s="1">
        <v>1</v>
      </c>
      <c r="L356" s="1" t="str">
        <f t="shared" si="51"/>
        <v>50085</v>
      </c>
      <c r="M356" s="1">
        <v>2</v>
      </c>
      <c r="N356" s="1" t="str">
        <f t="shared" si="52"/>
        <v>50106</v>
      </c>
      <c r="O356" s="1">
        <v>3</v>
      </c>
      <c r="P356" s="1" t="str">
        <f t="shared" si="53"/>
        <v>50061</v>
      </c>
      <c r="Q356" s="1">
        <v>5</v>
      </c>
      <c r="R356" s="1">
        <f>VLOOKUP(--J356,test3,11,FALSE)*K356+VLOOKUP(--L356,test3,11,FALSE)*M356+IF(N356="",0,VLOOKUP(--N356,test3,11,FALSE)*O356)+IF(P356="",0,VLOOKUP(--P356,test3,11,FALSE)*Q356)</f>
        <v>484.5</v>
      </c>
    </row>
    <row r="357" spans="2:18" x14ac:dyDescent="0.15">
      <c r="B357" s="1">
        <f>[1]item!$D356</f>
        <v>100355</v>
      </c>
      <c r="C357" s="1">
        <f>[1]item!$C356</f>
        <v>103041000</v>
      </c>
      <c r="D357" s="1">
        <f t="shared" si="46"/>
        <v>4</v>
      </c>
      <c r="E357" s="1">
        <f t="shared" si="47"/>
        <v>3</v>
      </c>
      <c r="F357" s="1">
        <f t="shared" si="48"/>
        <v>1</v>
      </c>
      <c r="G357" s="1" t="str">
        <f t="shared" si="45"/>
        <v>黑暗</v>
      </c>
      <c r="H357" s="1">
        <v>4</v>
      </c>
      <c r="I357" s="1" t="str">
        <f t="shared" si="49"/>
        <v>,50200,50085,50106,50061</v>
      </c>
      <c r="J357" s="1" t="str">
        <f t="shared" si="50"/>
        <v>50200</v>
      </c>
      <c r="K357" s="1">
        <v>1</v>
      </c>
      <c r="L357" s="1" t="str">
        <f t="shared" si="51"/>
        <v>50085</v>
      </c>
      <c r="M357" s="1">
        <v>2</v>
      </c>
      <c r="N357" s="1" t="str">
        <f t="shared" si="52"/>
        <v>50106</v>
      </c>
      <c r="O357" s="1">
        <v>3</v>
      </c>
      <c r="P357" s="1" t="str">
        <f t="shared" si="53"/>
        <v>50061</v>
      </c>
      <c r="Q357" s="1">
        <v>5</v>
      </c>
      <c r="R357" s="1">
        <f>VLOOKUP(--J357,test3,11,FALSE)*K357+VLOOKUP(--L357,test3,11,FALSE)*M357+IF(N357="",0,VLOOKUP(--N357,test3,11,FALSE)*O357)+IF(P357="",0,VLOOKUP(--P357,test3,11,FALSE)*Q357)</f>
        <v>484.5</v>
      </c>
    </row>
    <row r="358" spans="2:18" x14ac:dyDescent="0.15">
      <c r="B358" s="1">
        <f>[1]item!$D357</f>
        <v>100356</v>
      </c>
      <c r="C358" s="1">
        <f>[1]item!$C357</f>
        <v>103051000</v>
      </c>
      <c r="D358" s="1">
        <f t="shared" si="46"/>
        <v>5</v>
      </c>
      <c r="E358" s="1">
        <f t="shared" si="47"/>
        <v>3</v>
      </c>
      <c r="F358" s="1">
        <f t="shared" si="48"/>
        <v>1</v>
      </c>
      <c r="G358" s="1" t="str">
        <f t="shared" si="45"/>
        <v>黑暗</v>
      </c>
      <c r="H358" s="1">
        <v>4</v>
      </c>
      <c r="I358" s="1" t="str">
        <f t="shared" si="49"/>
        <v>,50200,50085,50106,50061</v>
      </c>
      <c r="J358" s="1" t="str">
        <f t="shared" si="50"/>
        <v>50200</v>
      </c>
      <c r="K358" s="1">
        <v>1</v>
      </c>
      <c r="L358" s="1" t="str">
        <f t="shared" si="51"/>
        <v>50085</v>
      </c>
      <c r="M358" s="1">
        <v>2</v>
      </c>
      <c r="N358" s="1" t="str">
        <f t="shared" si="52"/>
        <v>50106</v>
      </c>
      <c r="O358" s="1">
        <v>3</v>
      </c>
      <c r="P358" s="1" t="str">
        <f t="shared" si="53"/>
        <v>50061</v>
      </c>
      <c r="Q358" s="1">
        <v>5</v>
      </c>
      <c r="R358" s="1">
        <f>VLOOKUP(--J358,test3,11,FALSE)*K358+VLOOKUP(--L358,test3,11,FALSE)*M358+IF(N358="",0,VLOOKUP(--N358,test3,11,FALSE)*O358)+IF(P358="",0,VLOOKUP(--P358,test3,11,FALSE)*Q358)</f>
        <v>484.5</v>
      </c>
    </row>
    <row r="359" spans="2:18" x14ac:dyDescent="0.15">
      <c r="B359" s="1">
        <f>[1]item!$D358</f>
        <v>100357</v>
      </c>
      <c r="C359" s="1">
        <f>[1]item!$C358</f>
        <v>103061000</v>
      </c>
      <c r="D359" s="1">
        <f t="shared" si="46"/>
        <v>6</v>
      </c>
      <c r="E359" s="1">
        <f t="shared" si="47"/>
        <v>3</v>
      </c>
      <c r="F359" s="1">
        <f t="shared" si="48"/>
        <v>1</v>
      </c>
      <c r="G359" s="1" t="str">
        <f t="shared" si="45"/>
        <v>黑暗</v>
      </c>
      <c r="H359" s="1">
        <v>4</v>
      </c>
      <c r="I359" s="1" t="str">
        <f t="shared" si="49"/>
        <v>,50200,50085,50012,50104</v>
      </c>
      <c r="J359" s="1" t="str">
        <f t="shared" si="50"/>
        <v>50200</v>
      </c>
      <c r="K359" s="1">
        <v>1</v>
      </c>
      <c r="L359" s="1" t="str">
        <f t="shared" si="51"/>
        <v>50085</v>
      </c>
      <c r="M359" s="1">
        <v>2</v>
      </c>
      <c r="N359" s="1" t="str">
        <f t="shared" si="52"/>
        <v>50012</v>
      </c>
      <c r="O359" s="1">
        <v>3</v>
      </c>
      <c r="P359" s="1" t="str">
        <f t="shared" si="53"/>
        <v>50104</v>
      </c>
      <c r="Q359" s="1">
        <v>5</v>
      </c>
      <c r="R359" s="1">
        <f>VLOOKUP(--J359,test3,11,FALSE)*K359+VLOOKUP(--L359,test3,11,FALSE)*M359+IF(N359="",0,VLOOKUP(--N359,test3,11,FALSE)*O359)+IF(P359="",0,VLOOKUP(--P359,test3,11,FALSE)*Q359)</f>
        <v>417</v>
      </c>
    </row>
    <row r="360" spans="2:18" x14ac:dyDescent="0.15">
      <c r="B360" s="1">
        <f>[1]item!$D359</f>
        <v>100358</v>
      </c>
      <c r="C360" s="1">
        <f>[1]item!$C359</f>
        <v>103071000</v>
      </c>
      <c r="D360" s="1">
        <f t="shared" si="46"/>
        <v>7</v>
      </c>
      <c r="E360" s="1">
        <f t="shared" si="47"/>
        <v>3</v>
      </c>
      <c r="F360" s="1">
        <f t="shared" si="48"/>
        <v>1</v>
      </c>
      <c r="G360" s="1" t="str">
        <f t="shared" si="45"/>
        <v>黑暗</v>
      </c>
      <c r="H360" s="1">
        <v>4</v>
      </c>
      <c r="I360" s="1" t="str">
        <f t="shared" si="49"/>
        <v>,50200,50085,50106,50061</v>
      </c>
      <c r="J360" s="1" t="str">
        <f t="shared" si="50"/>
        <v>50200</v>
      </c>
      <c r="K360" s="1">
        <v>1</v>
      </c>
      <c r="L360" s="1" t="str">
        <f t="shared" si="51"/>
        <v>50085</v>
      </c>
      <c r="M360" s="1">
        <v>2</v>
      </c>
      <c r="N360" s="1" t="str">
        <f t="shared" si="52"/>
        <v>50106</v>
      </c>
      <c r="O360" s="1">
        <v>3</v>
      </c>
      <c r="P360" s="1" t="str">
        <f t="shared" si="53"/>
        <v>50061</v>
      </c>
      <c r="Q360" s="1">
        <v>5</v>
      </c>
      <c r="R360" s="1">
        <f>VLOOKUP(--J360,test3,11,FALSE)*K360+VLOOKUP(--L360,test3,11,FALSE)*M360+IF(N360="",0,VLOOKUP(--N360,test3,11,FALSE)*O360)+IF(P360="",0,VLOOKUP(--P360,test3,11,FALSE)*Q360)</f>
        <v>484.5</v>
      </c>
    </row>
    <row r="361" spans="2:18" x14ac:dyDescent="0.15">
      <c r="B361" s="1">
        <f>[1]item!$D360</f>
        <v>100359</v>
      </c>
      <c r="C361" s="1">
        <f>[1]item!$C360</f>
        <v>103081000</v>
      </c>
      <c r="D361" s="1">
        <f t="shared" si="46"/>
        <v>8</v>
      </c>
      <c r="E361" s="1">
        <f t="shared" si="47"/>
        <v>3</v>
      </c>
      <c r="F361" s="1">
        <f t="shared" si="48"/>
        <v>1</v>
      </c>
      <c r="G361" s="1" t="str">
        <f t="shared" si="45"/>
        <v>黑暗</v>
      </c>
      <c r="H361" s="1">
        <v>4</v>
      </c>
      <c r="I361" s="1" t="str">
        <f t="shared" si="49"/>
        <v>,50200,50085,50012,50104</v>
      </c>
      <c r="J361" s="1" t="str">
        <f t="shared" si="50"/>
        <v>50200</v>
      </c>
      <c r="K361" s="1">
        <v>1</v>
      </c>
      <c r="L361" s="1" t="str">
        <f t="shared" si="51"/>
        <v>50085</v>
      </c>
      <c r="M361" s="1">
        <v>2</v>
      </c>
      <c r="N361" s="1" t="str">
        <f t="shared" si="52"/>
        <v>50012</v>
      </c>
      <c r="O361" s="1">
        <v>3</v>
      </c>
      <c r="P361" s="1" t="str">
        <f t="shared" si="53"/>
        <v>50104</v>
      </c>
      <c r="Q361" s="1">
        <v>5</v>
      </c>
      <c r="R361" s="1">
        <f>VLOOKUP(--J361,test3,11,FALSE)*K361+VLOOKUP(--L361,test3,11,FALSE)*M361+IF(N361="",0,VLOOKUP(--N361,test3,11,FALSE)*O361)+IF(P361="",0,VLOOKUP(--P361,test3,11,FALSE)*Q361)</f>
        <v>417</v>
      </c>
    </row>
    <row r="362" spans="2:18" x14ac:dyDescent="0.15">
      <c r="B362" s="1">
        <f>[1]item!$D361</f>
        <v>100360</v>
      </c>
      <c r="C362" s="1">
        <f>[1]item!$C361</f>
        <v>103091000</v>
      </c>
      <c r="D362" s="1">
        <f t="shared" si="46"/>
        <v>9</v>
      </c>
      <c r="E362" s="1">
        <f t="shared" si="47"/>
        <v>3</v>
      </c>
      <c r="F362" s="1">
        <f t="shared" si="48"/>
        <v>1</v>
      </c>
      <c r="G362" s="1" t="str">
        <f t="shared" si="45"/>
        <v>黑暗</v>
      </c>
      <c r="H362" s="1">
        <v>4</v>
      </c>
      <c r="I362" s="1" t="str">
        <f t="shared" si="49"/>
        <v>,50200,50085,50012,50104</v>
      </c>
      <c r="J362" s="1" t="str">
        <f t="shared" si="50"/>
        <v>50200</v>
      </c>
      <c r="K362" s="1">
        <v>1</v>
      </c>
      <c r="L362" s="1" t="str">
        <f t="shared" si="51"/>
        <v>50085</v>
      </c>
      <c r="M362" s="1">
        <v>2</v>
      </c>
      <c r="N362" s="1" t="str">
        <f t="shared" si="52"/>
        <v>50012</v>
      </c>
      <c r="O362" s="1">
        <v>3</v>
      </c>
      <c r="P362" s="1" t="str">
        <f t="shared" si="53"/>
        <v>50104</v>
      </c>
      <c r="Q362" s="1">
        <v>5</v>
      </c>
      <c r="R362" s="1">
        <f>VLOOKUP(--J362,test3,11,FALSE)*K362+VLOOKUP(--L362,test3,11,FALSE)*M362+IF(N362="",0,VLOOKUP(--N362,test3,11,FALSE)*O362)+IF(P362="",0,VLOOKUP(--P362,test3,11,FALSE)*Q362)</f>
        <v>417</v>
      </c>
    </row>
    <row r="363" spans="2:18" x14ac:dyDescent="0.15">
      <c r="B363" s="1">
        <f>[1]item!$D362</f>
        <v>100361</v>
      </c>
      <c r="C363" s="1">
        <f>[1]item!$C362</f>
        <v>103011100</v>
      </c>
      <c r="D363" s="1">
        <f t="shared" si="46"/>
        <v>1</v>
      </c>
      <c r="E363" s="1">
        <f t="shared" si="47"/>
        <v>3</v>
      </c>
      <c r="F363" s="1">
        <f t="shared" si="48"/>
        <v>1</v>
      </c>
      <c r="G363" s="1" t="str">
        <f t="shared" si="45"/>
        <v>电击</v>
      </c>
      <c r="H363" s="1">
        <v>4</v>
      </c>
      <c r="I363" s="1" t="str">
        <f t="shared" si="49"/>
        <v>,50200,50083,50105,50085</v>
      </c>
      <c r="J363" s="1" t="str">
        <f t="shared" si="50"/>
        <v>50200</v>
      </c>
      <c r="K363" s="1">
        <v>1</v>
      </c>
      <c r="L363" s="1" t="str">
        <f t="shared" si="51"/>
        <v>50083</v>
      </c>
      <c r="M363" s="1">
        <v>2</v>
      </c>
      <c r="N363" s="1" t="str">
        <f t="shared" si="52"/>
        <v>50105</v>
      </c>
      <c r="O363" s="1">
        <v>3</v>
      </c>
      <c r="P363" s="1" t="str">
        <f t="shared" si="53"/>
        <v>50085</v>
      </c>
      <c r="Q363" s="1">
        <v>5</v>
      </c>
      <c r="R363" s="1">
        <f>VLOOKUP(--J363,test3,11,FALSE)*K363+VLOOKUP(--L363,test3,11,FALSE)*M363+IF(N363="",0,VLOOKUP(--N363,test3,11,FALSE)*O363)+IF(P363="",0,VLOOKUP(--P363,test3,11,FALSE)*Q363)</f>
        <v>484.5</v>
      </c>
    </row>
    <row r="364" spans="2:18" x14ac:dyDescent="0.15">
      <c r="B364" s="1">
        <f>[1]item!$D363</f>
        <v>100362</v>
      </c>
      <c r="C364" s="1">
        <f>[1]item!$C363</f>
        <v>103021100</v>
      </c>
      <c r="D364" s="1">
        <f t="shared" si="46"/>
        <v>2</v>
      </c>
      <c r="E364" s="1">
        <f t="shared" si="47"/>
        <v>3</v>
      </c>
      <c r="F364" s="1">
        <f t="shared" si="48"/>
        <v>1</v>
      </c>
      <c r="G364" s="1" t="str">
        <f t="shared" si="45"/>
        <v>电击</v>
      </c>
      <c r="H364" s="1">
        <v>4</v>
      </c>
      <c r="I364" s="1" t="str">
        <f t="shared" si="49"/>
        <v>,50200,50083,50105,50085</v>
      </c>
      <c r="J364" s="1" t="str">
        <f t="shared" si="50"/>
        <v>50200</v>
      </c>
      <c r="K364" s="1">
        <v>1</v>
      </c>
      <c r="L364" s="1" t="str">
        <f t="shared" si="51"/>
        <v>50083</v>
      </c>
      <c r="M364" s="1">
        <v>2</v>
      </c>
      <c r="N364" s="1" t="str">
        <f t="shared" si="52"/>
        <v>50105</v>
      </c>
      <c r="O364" s="1">
        <v>3</v>
      </c>
      <c r="P364" s="1" t="str">
        <f t="shared" si="53"/>
        <v>50085</v>
      </c>
      <c r="Q364" s="1">
        <v>5</v>
      </c>
      <c r="R364" s="1">
        <f>VLOOKUP(--J364,test3,11,FALSE)*K364+VLOOKUP(--L364,test3,11,FALSE)*M364+IF(N364="",0,VLOOKUP(--N364,test3,11,FALSE)*O364)+IF(P364="",0,VLOOKUP(--P364,test3,11,FALSE)*Q364)</f>
        <v>484.5</v>
      </c>
    </row>
    <row r="365" spans="2:18" x14ac:dyDescent="0.15">
      <c r="B365" s="1">
        <f>[1]item!$D364</f>
        <v>100363</v>
      </c>
      <c r="C365" s="1">
        <f>[1]item!$C364</f>
        <v>103031100</v>
      </c>
      <c r="D365" s="1">
        <f t="shared" si="46"/>
        <v>3</v>
      </c>
      <c r="E365" s="1">
        <f t="shared" si="47"/>
        <v>3</v>
      </c>
      <c r="F365" s="1">
        <f t="shared" si="48"/>
        <v>1</v>
      </c>
      <c r="G365" s="1" t="str">
        <f t="shared" si="45"/>
        <v>电击</v>
      </c>
      <c r="H365" s="1">
        <v>4</v>
      </c>
      <c r="I365" s="1" t="str">
        <f t="shared" si="49"/>
        <v>,50200,50083,50105,50085</v>
      </c>
      <c r="J365" s="1" t="str">
        <f t="shared" si="50"/>
        <v>50200</v>
      </c>
      <c r="K365" s="1">
        <v>1</v>
      </c>
      <c r="L365" s="1" t="str">
        <f t="shared" si="51"/>
        <v>50083</v>
      </c>
      <c r="M365" s="1">
        <v>2</v>
      </c>
      <c r="N365" s="1" t="str">
        <f t="shared" si="52"/>
        <v>50105</v>
      </c>
      <c r="O365" s="1">
        <v>3</v>
      </c>
      <c r="P365" s="1" t="str">
        <f t="shared" si="53"/>
        <v>50085</v>
      </c>
      <c r="Q365" s="1">
        <v>5</v>
      </c>
      <c r="R365" s="1">
        <f>VLOOKUP(--J365,test3,11,FALSE)*K365+VLOOKUP(--L365,test3,11,FALSE)*M365+IF(N365="",0,VLOOKUP(--N365,test3,11,FALSE)*O365)+IF(P365="",0,VLOOKUP(--P365,test3,11,FALSE)*Q365)</f>
        <v>484.5</v>
      </c>
    </row>
    <row r="366" spans="2:18" x14ac:dyDescent="0.15">
      <c r="B366" s="1">
        <f>[1]item!$D365</f>
        <v>100364</v>
      </c>
      <c r="C366" s="1">
        <f>[1]item!$C365</f>
        <v>103041100</v>
      </c>
      <c r="D366" s="1">
        <f t="shared" si="46"/>
        <v>4</v>
      </c>
      <c r="E366" s="1">
        <f t="shared" si="47"/>
        <v>3</v>
      </c>
      <c r="F366" s="1">
        <f t="shared" si="48"/>
        <v>1</v>
      </c>
      <c r="G366" s="1" t="str">
        <f t="shared" si="45"/>
        <v>电击</v>
      </c>
      <c r="H366" s="1">
        <v>4</v>
      </c>
      <c r="I366" s="1" t="str">
        <f t="shared" si="49"/>
        <v>,50200,50083,50105,50085</v>
      </c>
      <c r="J366" s="1" t="str">
        <f t="shared" si="50"/>
        <v>50200</v>
      </c>
      <c r="K366" s="1">
        <v>1</v>
      </c>
      <c r="L366" s="1" t="str">
        <f t="shared" si="51"/>
        <v>50083</v>
      </c>
      <c r="M366" s="1">
        <v>2</v>
      </c>
      <c r="N366" s="1" t="str">
        <f t="shared" si="52"/>
        <v>50105</v>
      </c>
      <c r="O366" s="1">
        <v>3</v>
      </c>
      <c r="P366" s="1" t="str">
        <f t="shared" si="53"/>
        <v>50085</v>
      </c>
      <c r="Q366" s="1">
        <v>5</v>
      </c>
      <c r="R366" s="1">
        <f>VLOOKUP(--J366,test3,11,FALSE)*K366+VLOOKUP(--L366,test3,11,FALSE)*M366+IF(N366="",0,VLOOKUP(--N366,test3,11,FALSE)*O366)+IF(P366="",0,VLOOKUP(--P366,test3,11,FALSE)*Q366)</f>
        <v>484.5</v>
      </c>
    </row>
    <row r="367" spans="2:18" x14ac:dyDescent="0.15">
      <c r="B367" s="1">
        <f>[1]item!$D366</f>
        <v>100365</v>
      </c>
      <c r="C367" s="1">
        <f>[1]item!$C366</f>
        <v>103051100</v>
      </c>
      <c r="D367" s="1">
        <f t="shared" si="46"/>
        <v>5</v>
      </c>
      <c r="E367" s="1">
        <f t="shared" si="47"/>
        <v>3</v>
      </c>
      <c r="F367" s="1">
        <f t="shared" si="48"/>
        <v>1</v>
      </c>
      <c r="G367" s="1" t="str">
        <f t="shared" si="45"/>
        <v>电击</v>
      </c>
      <c r="H367" s="1">
        <v>4</v>
      </c>
      <c r="I367" s="1" t="str">
        <f t="shared" si="49"/>
        <v>,50200,50083,50105,50085</v>
      </c>
      <c r="J367" s="1" t="str">
        <f t="shared" si="50"/>
        <v>50200</v>
      </c>
      <c r="K367" s="1">
        <v>1</v>
      </c>
      <c r="L367" s="1" t="str">
        <f t="shared" si="51"/>
        <v>50083</v>
      </c>
      <c r="M367" s="1">
        <v>2</v>
      </c>
      <c r="N367" s="1" t="str">
        <f t="shared" si="52"/>
        <v>50105</v>
      </c>
      <c r="O367" s="1">
        <v>3</v>
      </c>
      <c r="P367" s="1" t="str">
        <f t="shared" si="53"/>
        <v>50085</v>
      </c>
      <c r="Q367" s="1">
        <v>5</v>
      </c>
      <c r="R367" s="1">
        <f>VLOOKUP(--J367,test3,11,FALSE)*K367+VLOOKUP(--L367,test3,11,FALSE)*M367+IF(N367="",0,VLOOKUP(--N367,test3,11,FALSE)*O367)+IF(P367="",0,VLOOKUP(--P367,test3,11,FALSE)*Q367)</f>
        <v>484.5</v>
      </c>
    </row>
    <row r="368" spans="2:18" x14ac:dyDescent="0.15">
      <c r="B368" s="1">
        <f>[1]item!$D367</f>
        <v>100366</v>
      </c>
      <c r="C368" s="1">
        <f>[1]item!$C367</f>
        <v>103061100</v>
      </c>
      <c r="D368" s="1">
        <f t="shared" si="46"/>
        <v>6</v>
      </c>
      <c r="E368" s="1">
        <f t="shared" si="47"/>
        <v>3</v>
      </c>
      <c r="F368" s="1">
        <f t="shared" si="48"/>
        <v>1</v>
      </c>
      <c r="G368" s="1" t="str">
        <f t="shared" si="45"/>
        <v>电击</v>
      </c>
      <c r="H368" s="1">
        <v>4</v>
      </c>
      <c r="I368" s="1" t="str">
        <f t="shared" si="49"/>
        <v>,50200,50083,50105,50085</v>
      </c>
      <c r="J368" s="1" t="str">
        <f t="shared" si="50"/>
        <v>50200</v>
      </c>
      <c r="K368" s="1">
        <v>1</v>
      </c>
      <c r="L368" s="1" t="str">
        <f t="shared" si="51"/>
        <v>50083</v>
      </c>
      <c r="M368" s="1">
        <v>2</v>
      </c>
      <c r="N368" s="1" t="str">
        <f t="shared" si="52"/>
        <v>50105</v>
      </c>
      <c r="O368" s="1">
        <v>3</v>
      </c>
      <c r="P368" s="1" t="str">
        <f t="shared" si="53"/>
        <v>50085</v>
      </c>
      <c r="Q368" s="1">
        <v>5</v>
      </c>
      <c r="R368" s="1">
        <f>VLOOKUP(--J368,test3,11,FALSE)*K368+VLOOKUP(--L368,test3,11,FALSE)*M368+IF(N368="",0,VLOOKUP(--N368,test3,11,FALSE)*O368)+IF(P368="",0,VLOOKUP(--P368,test3,11,FALSE)*Q368)</f>
        <v>484.5</v>
      </c>
    </row>
    <row r="369" spans="2:18" x14ac:dyDescent="0.15">
      <c r="B369" s="1">
        <f>[1]item!$D368</f>
        <v>100367</v>
      </c>
      <c r="C369" s="1">
        <f>[1]item!$C368</f>
        <v>103071100</v>
      </c>
      <c r="D369" s="1">
        <f t="shared" si="46"/>
        <v>7</v>
      </c>
      <c r="E369" s="1">
        <f t="shared" si="47"/>
        <v>3</v>
      </c>
      <c r="F369" s="1">
        <f t="shared" si="48"/>
        <v>1</v>
      </c>
      <c r="G369" s="1" t="str">
        <f t="shared" si="45"/>
        <v>电击</v>
      </c>
      <c r="H369" s="1">
        <v>4</v>
      </c>
      <c r="I369" s="1" t="str">
        <f t="shared" si="49"/>
        <v>,50200,50083,50105,50085</v>
      </c>
      <c r="J369" s="1" t="str">
        <f t="shared" si="50"/>
        <v>50200</v>
      </c>
      <c r="K369" s="1">
        <v>1</v>
      </c>
      <c r="L369" s="1" t="str">
        <f t="shared" si="51"/>
        <v>50083</v>
      </c>
      <c r="M369" s="1">
        <v>2</v>
      </c>
      <c r="N369" s="1" t="str">
        <f t="shared" si="52"/>
        <v>50105</v>
      </c>
      <c r="O369" s="1">
        <v>3</v>
      </c>
      <c r="P369" s="1" t="str">
        <f t="shared" si="53"/>
        <v>50085</v>
      </c>
      <c r="Q369" s="1">
        <v>5</v>
      </c>
      <c r="R369" s="1">
        <f>VLOOKUP(--J369,test3,11,FALSE)*K369+VLOOKUP(--L369,test3,11,FALSE)*M369+IF(N369="",0,VLOOKUP(--N369,test3,11,FALSE)*O369)+IF(P369="",0,VLOOKUP(--P369,test3,11,FALSE)*Q369)</f>
        <v>484.5</v>
      </c>
    </row>
    <row r="370" spans="2:18" x14ac:dyDescent="0.15">
      <c r="B370" s="1">
        <f>[1]item!$D369</f>
        <v>100368</v>
      </c>
      <c r="C370" s="1">
        <f>[1]item!$C369</f>
        <v>103081100</v>
      </c>
      <c r="D370" s="1">
        <f t="shared" si="46"/>
        <v>8</v>
      </c>
      <c r="E370" s="1">
        <f t="shared" si="47"/>
        <v>3</v>
      </c>
      <c r="F370" s="1">
        <f t="shared" si="48"/>
        <v>1</v>
      </c>
      <c r="G370" s="1" t="str">
        <f t="shared" si="45"/>
        <v>电击</v>
      </c>
      <c r="H370" s="1">
        <v>4</v>
      </c>
      <c r="I370" s="1" t="str">
        <f t="shared" si="49"/>
        <v>,50200,50083,50105,50085</v>
      </c>
      <c r="J370" s="1" t="str">
        <f t="shared" si="50"/>
        <v>50200</v>
      </c>
      <c r="K370" s="1">
        <v>1</v>
      </c>
      <c r="L370" s="1" t="str">
        <f t="shared" si="51"/>
        <v>50083</v>
      </c>
      <c r="M370" s="1">
        <v>2</v>
      </c>
      <c r="N370" s="1" t="str">
        <f t="shared" si="52"/>
        <v>50105</v>
      </c>
      <c r="O370" s="1">
        <v>3</v>
      </c>
      <c r="P370" s="1" t="str">
        <f t="shared" si="53"/>
        <v>50085</v>
      </c>
      <c r="Q370" s="1">
        <v>5</v>
      </c>
      <c r="R370" s="1">
        <f>VLOOKUP(--J370,test3,11,FALSE)*K370+VLOOKUP(--L370,test3,11,FALSE)*M370+IF(N370="",0,VLOOKUP(--N370,test3,11,FALSE)*O370)+IF(P370="",0,VLOOKUP(--P370,test3,11,FALSE)*Q370)</f>
        <v>484.5</v>
      </c>
    </row>
    <row r="371" spans="2:18" x14ac:dyDescent="0.15">
      <c r="B371" s="1">
        <f>[1]item!$D370</f>
        <v>100369</v>
      </c>
      <c r="C371" s="1">
        <f>[1]item!$C370</f>
        <v>103091100</v>
      </c>
      <c r="D371" s="1">
        <f t="shared" si="46"/>
        <v>9</v>
      </c>
      <c r="E371" s="1">
        <f t="shared" si="47"/>
        <v>3</v>
      </c>
      <c r="F371" s="1">
        <f t="shared" si="48"/>
        <v>1</v>
      </c>
      <c r="G371" s="1" t="str">
        <f t="shared" si="45"/>
        <v>电击</v>
      </c>
      <c r="H371" s="1">
        <v>4</v>
      </c>
      <c r="I371" s="1" t="str">
        <f t="shared" si="49"/>
        <v>,50200,50083,50105,50085</v>
      </c>
      <c r="J371" s="1" t="str">
        <f t="shared" si="50"/>
        <v>50200</v>
      </c>
      <c r="K371" s="1">
        <v>1</v>
      </c>
      <c r="L371" s="1" t="str">
        <f t="shared" si="51"/>
        <v>50083</v>
      </c>
      <c r="M371" s="1">
        <v>2</v>
      </c>
      <c r="N371" s="1" t="str">
        <f t="shared" si="52"/>
        <v>50105</v>
      </c>
      <c r="O371" s="1">
        <v>3</v>
      </c>
      <c r="P371" s="1" t="str">
        <f t="shared" si="53"/>
        <v>50085</v>
      </c>
      <c r="Q371" s="1">
        <v>5</v>
      </c>
      <c r="R371" s="1">
        <f>VLOOKUP(--J371,test3,11,FALSE)*K371+VLOOKUP(--L371,test3,11,FALSE)*M371+IF(N371="",0,VLOOKUP(--N371,test3,11,FALSE)*O371)+IF(P371="",0,VLOOKUP(--P371,test3,11,FALSE)*Q371)</f>
        <v>484.5</v>
      </c>
    </row>
    <row r="372" spans="2:18" x14ac:dyDescent="0.15">
      <c r="B372" s="1">
        <f>[1]item!$D371</f>
        <v>100370</v>
      </c>
      <c r="C372" s="1">
        <f>[1]item!$C371</f>
        <v>103011200</v>
      </c>
      <c r="D372" s="1">
        <f t="shared" si="46"/>
        <v>1</v>
      </c>
      <c r="E372" s="1">
        <f t="shared" si="47"/>
        <v>3</v>
      </c>
      <c r="F372" s="1">
        <f t="shared" si="48"/>
        <v>1</v>
      </c>
      <c r="G372" s="1" t="str">
        <f t="shared" si="45"/>
        <v>冷却</v>
      </c>
      <c r="H372" s="1">
        <v>4</v>
      </c>
      <c r="I372" s="1" t="str">
        <f t="shared" si="49"/>
        <v>,50200,50081,50082,50106</v>
      </c>
      <c r="J372" s="1" t="str">
        <f t="shared" si="50"/>
        <v>50200</v>
      </c>
      <c r="K372" s="1">
        <v>1</v>
      </c>
      <c r="L372" s="1" t="str">
        <f t="shared" si="51"/>
        <v>50081</v>
      </c>
      <c r="M372" s="1">
        <v>2</v>
      </c>
      <c r="N372" s="1" t="str">
        <f t="shared" si="52"/>
        <v>50082</v>
      </c>
      <c r="O372" s="1">
        <v>3</v>
      </c>
      <c r="P372" s="1" t="str">
        <f t="shared" si="53"/>
        <v>50106</v>
      </c>
      <c r="Q372" s="1">
        <v>5</v>
      </c>
      <c r="R372" s="1">
        <f>VLOOKUP(--J372,test3,11,FALSE)*K372+VLOOKUP(--L372,test3,11,FALSE)*M372+IF(N372="",0,VLOOKUP(--N372,test3,11,FALSE)*O372)+IF(P372="",0,VLOOKUP(--P372,test3,11,FALSE)*Q372)</f>
        <v>457.5</v>
      </c>
    </row>
    <row r="373" spans="2:18" x14ac:dyDescent="0.15">
      <c r="B373" s="1">
        <f>[1]item!$D372</f>
        <v>100371</v>
      </c>
      <c r="C373" s="1">
        <f>[1]item!$C372</f>
        <v>103021200</v>
      </c>
      <c r="D373" s="1">
        <f t="shared" si="46"/>
        <v>2</v>
      </c>
      <c r="E373" s="1">
        <f t="shared" si="47"/>
        <v>3</v>
      </c>
      <c r="F373" s="1">
        <f t="shared" si="48"/>
        <v>1</v>
      </c>
      <c r="G373" s="1" t="str">
        <f t="shared" si="45"/>
        <v>冷却</v>
      </c>
      <c r="H373" s="1">
        <v>4</v>
      </c>
      <c r="I373" s="1" t="str">
        <f t="shared" si="49"/>
        <v>,50200,50081,50080,50084</v>
      </c>
      <c r="J373" s="1" t="str">
        <f t="shared" si="50"/>
        <v>50200</v>
      </c>
      <c r="K373" s="1">
        <v>1</v>
      </c>
      <c r="L373" s="1" t="str">
        <f t="shared" si="51"/>
        <v>50081</v>
      </c>
      <c r="M373" s="1">
        <v>2</v>
      </c>
      <c r="N373" s="1" t="str">
        <f t="shared" si="52"/>
        <v>50080</v>
      </c>
      <c r="O373" s="1">
        <v>3</v>
      </c>
      <c r="P373" s="1" t="str">
        <f t="shared" si="53"/>
        <v>50084</v>
      </c>
      <c r="Q373" s="1">
        <v>5</v>
      </c>
      <c r="R373" s="1">
        <f>VLOOKUP(--J373,test3,11,FALSE)*K373+VLOOKUP(--L373,test3,11,FALSE)*M373+IF(N373="",0,VLOOKUP(--N373,test3,11,FALSE)*O373)+IF(P373="",0,VLOOKUP(--P373,test3,11,FALSE)*Q373)</f>
        <v>525</v>
      </c>
    </row>
    <row r="374" spans="2:18" x14ac:dyDescent="0.15">
      <c r="B374" s="1">
        <f>[1]item!$D373</f>
        <v>100372</v>
      </c>
      <c r="C374" s="1">
        <f>[1]item!$C373</f>
        <v>103031200</v>
      </c>
      <c r="D374" s="1">
        <f t="shared" si="46"/>
        <v>3</v>
      </c>
      <c r="E374" s="1">
        <f t="shared" si="47"/>
        <v>3</v>
      </c>
      <c r="F374" s="1">
        <f t="shared" si="48"/>
        <v>1</v>
      </c>
      <c r="G374" s="1" t="str">
        <f t="shared" si="45"/>
        <v>冷却</v>
      </c>
      <c r="H374" s="1">
        <v>4</v>
      </c>
      <c r="I374" s="1" t="str">
        <f t="shared" si="49"/>
        <v>,50200,50081,50080,50084</v>
      </c>
      <c r="J374" s="1" t="str">
        <f t="shared" si="50"/>
        <v>50200</v>
      </c>
      <c r="K374" s="1">
        <v>1</v>
      </c>
      <c r="L374" s="1" t="str">
        <f t="shared" si="51"/>
        <v>50081</v>
      </c>
      <c r="M374" s="1">
        <v>2</v>
      </c>
      <c r="N374" s="1" t="str">
        <f t="shared" si="52"/>
        <v>50080</v>
      </c>
      <c r="O374" s="1">
        <v>3</v>
      </c>
      <c r="P374" s="1" t="str">
        <f t="shared" si="53"/>
        <v>50084</v>
      </c>
      <c r="Q374" s="1">
        <v>5</v>
      </c>
      <c r="R374" s="1">
        <f>VLOOKUP(--J374,test3,11,FALSE)*K374+VLOOKUP(--L374,test3,11,FALSE)*M374+IF(N374="",0,VLOOKUP(--N374,test3,11,FALSE)*O374)+IF(P374="",0,VLOOKUP(--P374,test3,11,FALSE)*Q374)</f>
        <v>525</v>
      </c>
    </row>
    <row r="375" spans="2:18" x14ac:dyDescent="0.15">
      <c r="B375" s="1">
        <f>[1]item!$D374</f>
        <v>100373</v>
      </c>
      <c r="C375" s="1">
        <f>[1]item!$C374</f>
        <v>103041200</v>
      </c>
      <c r="D375" s="1">
        <f t="shared" si="46"/>
        <v>4</v>
      </c>
      <c r="E375" s="1">
        <f t="shared" si="47"/>
        <v>3</v>
      </c>
      <c r="F375" s="1">
        <f t="shared" si="48"/>
        <v>1</v>
      </c>
      <c r="G375" s="1" t="str">
        <f t="shared" si="45"/>
        <v>冷却</v>
      </c>
      <c r="H375" s="1">
        <v>4</v>
      </c>
      <c r="I375" s="1" t="str">
        <f t="shared" si="49"/>
        <v>,50200,50081,50080,50084</v>
      </c>
      <c r="J375" s="1" t="str">
        <f t="shared" si="50"/>
        <v>50200</v>
      </c>
      <c r="K375" s="1">
        <v>1</v>
      </c>
      <c r="L375" s="1" t="str">
        <f t="shared" si="51"/>
        <v>50081</v>
      </c>
      <c r="M375" s="1">
        <v>2</v>
      </c>
      <c r="N375" s="1" t="str">
        <f t="shared" si="52"/>
        <v>50080</v>
      </c>
      <c r="O375" s="1">
        <v>3</v>
      </c>
      <c r="P375" s="1" t="str">
        <f t="shared" si="53"/>
        <v>50084</v>
      </c>
      <c r="Q375" s="1">
        <v>5</v>
      </c>
      <c r="R375" s="1">
        <f>VLOOKUP(--J375,test3,11,FALSE)*K375+VLOOKUP(--L375,test3,11,FALSE)*M375+IF(N375="",0,VLOOKUP(--N375,test3,11,FALSE)*O375)+IF(P375="",0,VLOOKUP(--P375,test3,11,FALSE)*Q375)</f>
        <v>525</v>
      </c>
    </row>
    <row r="376" spans="2:18" x14ac:dyDescent="0.15">
      <c r="B376" s="1">
        <f>[1]item!$D375</f>
        <v>100374</v>
      </c>
      <c r="C376" s="1">
        <f>[1]item!$C375</f>
        <v>103051200</v>
      </c>
      <c r="D376" s="1">
        <f t="shared" si="46"/>
        <v>5</v>
      </c>
      <c r="E376" s="1">
        <f t="shared" si="47"/>
        <v>3</v>
      </c>
      <c r="F376" s="1">
        <f t="shared" si="48"/>
        <v>1</v>
      </c>
      <c r="G376" s="1" t="str">
        <f t="shared" si="45"/>
        <v>冷却</v>
      </c>
      <c r="H376" s="1">
        <v>4</v>
      </c>
      <c r="I376" s="1" t="str">
        <f t="shared" si="49"/>
        <v>,50200,50081,50044,50106</v>
      </c>
      <c r="J376" s="1" t="str">
        <f t="shared" si="50"/>
        <v>50200</v>
      </c>
      <c r="K376" s="1">
        <v>1</v>
      </c>
      <c r="L376" s="1" t="str">
        <f t="shared" si="51"/>
        <v>50081</v>
      </c>
      <c r="M376" s="1">
        <v>2</v>
      </c>
      <c r="N376" s="1" t="str">
        <f t="shared" si="52"/>
        <v>50044</v>
      </c>
      <c r="O376" s="1">
        <v>3</v>
      </c>
      <c r="P376" s="1" t="str">
        <f t="shared" si="53"/>
        <v>50106</v>
      </c>
      <c r="Q376" s="1">
        <v>5</v>
      </c>
      <c r="R376" s="1">
        <f>VLOOKUP(--J376,test3,11,FALSE)*K376+VLOOKUP(--L376,test3,11,FALSE)*M376+IF(N376="",0,VLOOKUP(--N376,test3,11,FALSE)*O376)+IF(P376="",0,VLOOKUP(--P376,test3,11,FALSE)*Q376)</f>
        <v>417</v>
      </c>
    </row>
    <row r="377" spans="2:18" x14ac:dyDescent="0.15">
      <c r="B377" s="1">
        <f>[1]item!$D376</f>
        <v>100375</v>
      </c>
      <c r="C377" s="1">
        <f>[1]item!$C376</f>
        <v>103061200</v>
      </c>
      <c r="D377" s="1">
        <f t="shared" si="46"/>
        <v>6</v>
      </c>
      <c r="E377" s="1">
        <f t="shared" si="47"/>
        <v>3</v>
      </c>
      <c r="F377" s="1">
        <f t="shared" si="48"/>
        <v>1</v>
      </c>
      <c r="G377" s="1" t="str">
        <f t="shared" si="45"/>
        <v>冷却</v>
      </c>
      <c r="H377" s="1">
        <v>4</v>
      </c>
      <c r="I377" s="1" t="str">
        <f t="shared" si="49"/>
        <v>,50200,50081,50044,50106</v>
      </c>
      <c r="J377" s="1" t="str">
        <f t="shared" si="50"/>
        <v>50200</v>
      </c>
      <c r="K377" s="1">
        <v>1</v>
      </c>
      <c r="L377" s="1" t="str">
        <f t="shared" si="51"/>
        <v>50081</v>
      </c>
      <c r="M377" s="1">
        <v>2</v>
      </c>
      <c r="N377" s="1" t="str">
        <f t="shared" si="52"/>
        <v>50044</v>
      </c>
      <c r="O377" s="1">
        <v>3</v>
      </c>
      <c r="P377" s="1" t="str">
        <f t="shared" si="53"/>
        <v>50106</v>
      </c>
      <c r="Q377" s="1">
        <v>5</v>
      </c>
      <c r="R377" s="1">
        <f>VLOOKUP(--J377,test3,11,FALSE)*K377+VLOOKUP(--L377,test3,11,FALSE)*M377+IF(N377="",0,VLOOKUP(--N377,test3,11,FALSE)*O377)+IF(P377="",0,VLOOKUP(--P377,test3,11,FALSE)*Q377)</f>
        <v>417</v>
      </c>
    </row>
    <row r="378" spans="2:18" x14ac:dyDescent="0.15">
      <c r="B378" s="1">
        <f>[1]item!$D377</f>
        <v>100376</v>
      </c>
      <c r="C378" s="1">
        <f>[1]item!$C377</f>
        <v>103071200</v>
      </c>
      <c r="D378" s="1">
        <f t="shared" si="46"/>
        <v>7</v>
      </c>
      <c r="E378" s="1">
        <f t="shared" si="47"/>
        <v>3</v>
      </c>
      <c r="F378" s="1">
        <f t="shared" si="48"/>
        <v>1</v>
      </c>
      <c r="G378" s="1" t="str">
        <f t="shared" si="45"/>
        <v>冷却</v>
      </c>
      <c r="H378" s="1">
        <v>4</v>
      </c>
      <c r="I378" s="1" t="str">
        <f t="shared" si="49"/>
        <v>,50200,50081,50044,50106</v>
      </c>
      <c r="J378" s="1" t="str">
        <f t="shared" si="50"/>
        <v>50200</v>
      </c>
      <c r="K378" s="1">
        <v>1</v>
      </c>
      <c r="L378" s="1" t="str">
        <f t="shared" si="51"/>
        <v>50081</v>
      </c>
      <c r="M378" s="1">
        <v>2</v>
      </c>
      <c r="N378" s="1" t="str">
        <f t="shared" si="52"/>
        <v>50044</v>
      </c>
      <c r="O378" s="1">
        <v>3</v>
      </c>
      <c r="P378" s="1" t="str">
        <f t="shared" si="53"/>
        <v>50106</v>
      </c>
      <c r="Q378" s="1">
        <v>5</v>
      </c>
      <c r="R378" s="1">
        <f>VLOOKUP(--J378,test3,11,FALSE)*K378+VLOOKUP(--L378,test3,11,FALSE)*M378+IF(N378="",0,VLOOKUP(--N378,test3,11,FALSE)*O378)+IF(P378="",0,VLOOKUP(--P378,test3,11,FALSE)*Q378)</f>
        <v>417</v>
      </c>
    </row>
    <row r="379" spans="2:18" x14ac:dyDescent="0.15">
      <c r="B379" s="1">
        <f>[1]item!$D378</f>
        <v>100377</v>
      </c>
      <c r="C379" s="1">
        <f>[1]item!$C378</f>
        <v>103081200</v>
      </c>
      <c r="D379" s="1">
        <f t="shared" si="46"/>
        <v>8</v>
      </c>
      <c r="E379" s="1">
        <f t="shared" si="47"/>
        <v>3</v>
      </c>
      <c r="F379" s="1">
        <f t="shared" si="48"/>
        <v>1</v>
      </c>
      <c r="G379" s="1" t="str">
        <f t="shared" si="45"/>
        <v>冷却</v>
      </c>
      <c r="H379" s="1">
        <v>4</v>
      </c>
      <c r="I379" s="1" t="str">
        <f t="shared" si="49"/>
        <v>,50200,50081,50080,50084</v>
      </c>
      <c r="J379" s="1" t="str">
        <f t="shared" si="50"/>
        <v>50200</v>
      </c>
      <c r="K379" s="1">
        <v>1</v>
      </c>
      <c r="L379" s="1" t="str">
        <f t="shared" si="51"/>
        <v>50081</v>
      </c>
      <c r="M379" s="1">
        <v>2</v>
      </c>
      <c r="N379" s="1" t="str">
        <f t="shared" si="52"/>
        <v>50080</v>
      </c>
      <c r="O379" s="1">
        <v>3</v>
      </c>
      <c r="P379" s="1" t="str">
        <f t="shared" si="53"/>
        <v>50084</v>
      </c>
      <c r="Q379" s="1">
        <v>5</v>
      </c>
      <c r="R379" s="1">
        <f>VLOOKUP(--J379,test3,11,FALSE)*K379+VLOOKUP(--L379,test3,11,FALSE)*M379+IF(N379="",0,VLOOKUP(--N379,test3,11,FALSE)*O379)+IF(P379="",0,VLOOKUP(--P379,test3,11,FALSE)*Q379)</f>
        <v>525</v>
      </c>
    </row>
    <row r="380" spans="2:18" x14ac:dyDescent="0.15">
      <c r="B380" s="1">
        <f>[1]item!$D379</f>
        <v>100378</v>
      </c>
      <c r="C380" s="1">
        <f>[1]item!$C379</f>
        <v>103091200</v>
      </c>
      <c r="D380" s="1">
        <f t="shared" si="46"/>
        <v>9</v>
      </c>
      <c r="E380" s="1">
        <f t="shared" si="47"/>
        <v>3</v>
      </c>
      <c r="F380" s="1">
        <f t="shared" si="48"/>
        <v>1</v>
      </c>
      <c r="G380" s="1" t="str">
        <f t="shared" si="45"/>
        <v>冷却</v>
      </c>
      <c r="H380" s="1">
        <v>4</v>
      </c>
      <c r="I380" s="1" t="str">
        <f t="shared" si="49"/>
        <v>,50200,50081,50044,50106</v>
      </c>
      <c r="J380" s="1" t="str">
        <f t="shared" si="50"/>
        <v>50200</v>
      </c>
      <c r="K380" s="1">
        <v>1</v>
      </c>
      <c r="L380" s="1" t="str">
        <f t="shared" si="51"/>
        <v>50081</v>
      </c>
      <c r="M380" s="1">
        <v>2</v>
      </c>
      <c r="N380" s="1" t="str">
        <f t="shared" si="52"/>
        <v>50044</v>
      </c>
      <c r="O380" s="1">
        <v>3</v>
      </c>
      <c r="P380" s="1" t="str">
        <f t="shared" si="53"/>
        <v>50106</v>
      </c>
      <c r="Q380" s="1">
        <v>5</v>
      </c>
      <c r="R380" s="1">
        <f>VLOOKUP(--J380,test3,11,FALSE)*K380+VLOOKUP(--L380,test3,11,FALSE)*M380+IF(N380="",0,VLOOKUP(--N380,test3,11,FALSE)*O380)+IF(P380="",0,VLOOKUP(--P380,test3,11,FALSE)*Q380)</f>
        <v>417</v>
      </c>
    </row>
    <row r="381" spans="2:18" x14ac:dyDescent="0.15">
      <c r="B381" s="1">
        <f>[1]item!$D380</f>
        <v>100379</v>
      </c>
      <c r="C381" s="1">
        <f>[1]item!$C380</f>
        <v>103011300</v>
      </c>
      <c r="D381" s="1">
        <f t="shared" si="46"/>
        <v>1</v>
      </c>
      <c r="E381" s="1">
        <f t="shared" si="47"/>
        <v>3</v>
      </c>
      <c r="F381" s="1">
        <f t="shared" si="48"/>
        <v>1</v>
      </c>
      <c r="G381" s="1" t="str">
        <f t="shared" si="45"/>
        <v>地脉</v>
      </c>
      <c r="H381" s="1">
        <v>4</v>
      </c>
      <c r="I381" s="1" t="str">
        <f t="shared" si="49"/>
        <v>,50200,50080,50081,50082</v>
      </c>
      <c r="J381" s="1" t="str">
        <f t="shared" si="50"/>
        <v>50200</v>
      </c>
      <c r="K381" s="1">
        <v>1</v>
      </c>
      <c r="L381" s="1" t="str">
        <f t="shared" si="51"/>
        <v>50080</v>
      </c>
      <c r="M381" s="1">
        <v>2</v>
      </c>
      <c r="N381" s="1" t="str">
        <f t="shared" si="52"/>
        <v>50081</v>
      </c>
      <c r="O381" s="1">
        <v>3</v>
      </c>
      <c r="P381" s="1" t="str">
        <f t="shared" si="53"/>
        <v>50082</v>
      </c>
      <c r="Q381" s="1">
        <v>5</v>
      </c>
      <c r="R381" s="1">
        <f>VLOOKUP(--J381,test3,11,FALSE)*K381+VLOOKUP(--L381,test3,11,FALSE)*M381+IF(N381="",0,VLOOKUP(--N381,test3,11,FALSE)*O381)+IF(P381="",0,VLOOKUP(--P381,test3,11,FALSE)*Q381)</f>
        <v>525</v>
      </c>
    </row>
    <row r="382" spans="2:18" x14ac:dyDescent="0.15">
      <c r="B382" s="1">
        <f>[1]item!$D381</f>
        <v>100380</v>
      </c>
      <c r="C382" s="1">
        <f>[1]item!$C381</f>
        <v>103021300</v>
      </c>
      <c r="D382" s="1">
        <f t="shared" si="46"/>
        <v>2</v>
      </c>
      <c r="E382" s="1">
        <f t="shared" si="47"/>
        <v>3</v>
      </c>
      <c r="F382" s="1">
        <f t="shared" si="48"/>
        <v>1</v>
      </c>
      <c r="G382" s="1" t="str">
        <f t="shared" si="45"/>
        <v>地脉</v>
      </c>
      <c r="H382" s="1">
        <v>4</v>
      </c>
      <c r="I382" s="1" t="str">
        <f t="shared" si="49"/>
        <v>,50200,50080,50081,50082</v>
      </c>
      <c r="J382" s="1" t="str">
        <f t="shared" si="50"/>
        <v>50200</v>
      </c>
      <c r="K382" s="1">
        <v>1</v>
      </c>
      <c r="L382" s="1" t="str">
        <f t="shared" si="51"/>
        <v>50080</v>
      </c>
      <c r="M382" s="1">
        <v>2</v>
      </c>
      <c r="N382" s="1" t="str">
        <f t="shared" si="52"/>
        <v>50081</v>
      </c>
      <c r="O382" s="1">
        <v>3</v>
      </c>
      <c r="P382" s="1" t="str">
        <f t="shared" si="53"/>
        <v>50082</v>
      </c>
      <c r="Q382" s="1">
        <v>5</v>
      </c>
      <c r="R382" s="1">
        <f>VLOOKUP(--J382,test3,11,FALSE)*K382+VLOOKUP(--L382,test3,11,FALSE)*M382+IF(N382="",0,VLOOKUP(--N382,test3,11,FALSE)*O382)+IF(P382="",0,VLOOKUP(--P382,test3,11,FALSE)*Q382)</f>
        <v>525</v>
      </c>
    </row>
    <row r="383" spans="2:18" x14ac:dyDescent="0.15">
      <c r="B383" s="1">
        <f>[1]item!$D382</f>
        <v>100381</v>
      </c>
      <c r="C383" s="1">
        <f>[1]item!$C382</f>
        <v>103031300</v>
      </c>
      <c r="D383" s="1">
        <f t="shared" si="46"/>
        <v>3</v>
      </c>
      <c r="E383" s="1">
        <f t="shared" si="47"/>
        <v>3</v>
      </c>
      <c r="F383" s="1">
        <f t="shared" si="48"/>
        <v>1</v>
      </c>
      <c r="G383" s="1" t="str">
        <f t="shared" si="45"/>
        <v>地脉</v>
      </c>
      <c r="H383" s="1">
        <v>4</v>
      </c>
      <c r="I383" s="1" t="str">
        <f t="shared" si="49"/>
        <v>,50200,50080,50081,50082</v>
      </c>
      <c r="J383" s="1" t="str">
        <f t="shared" si="50"/>
        <v>50200</v>
      </c>
      <c r="K383" s="1">
        <v>1</v>
      </c>
      <c r="L383" s="1" t="str">
        <f t="shared" si="51"/>
        <v>50080</v>
      </c>
      <c r="M383" s="1">
        <v>2</v>
      </c>
      <c r="N383" s="1" t="str">
        <f t="shared" si="52"/>
        <v>50081</v>
      </c>
      <c r="O383" s="1">
        <v>3</v>
      </c>
      <c r="P383" s="1" t="str">
        <f t="shared" si="53"/>
        <v>50082</v>
      </c>
      <c r="Q383" s="1">
        <v>5</v>
      </c>
      <c r="R383" s="1">
        <f>VLOOKUP(--J383,test3,11,FALSE)*K383+VLOOKUP(--L383,test3,11,FALSE)*M383+IF(N383="",0,VLOOKUP(--N383,test3,11,FALSE)*O383)+IF(P383="",0,VLOOKUP(--P383,test3,11,FALSE)*Q383)</f>
        <v>525</v>
      </c>
    </row>
    <row r="384" spans="2:18" x14ac:dyDescent="0.15">
      <c r="B384" s="1">
        <f>[1]item!$D383</f>
        <v>100382</v>
      </c>
      <c r="C384" s="1">
        <f>[1]item!$C383</f>
        <v>103041300</v>
      </c>
      <c r="D384" s="1">
        <f t="shared" si="46"/>
        <v>4</v>
      </c>
      <c r="E384" s="1">
        <f t="shared" si="47"/>
        <v>3</v>
      </c>
      <c r="F384" s="1">
        <f t="shared" si="48"/>
        <v>1</v>
      </c>
      <c r="G384" s="1" t="str">
        <f t="shared" si="45"/>
        <v>地脉</v>
      </c>
      <c r="H384" s="1">
        <v>4</v>
      </c>
      <c r="I384" s="1" t="str">
        <f t="shared" si="49"/>
        <v>,50200,50080,50081,50082</v>
      </c>
      <c r="J384" s="1" t="str">
        <f t="shared" si="50"/>
        <v>50200</v>
      </c>
      <c r="K384" s="1">
        <v>1</v>
      </c>
      <c r="L384" s="1" t="str">
        <f t="shared" si="51"/>
        <v>50080</v>
      </c>
      <c r="M384" s="1">
        <v>2</v>
      </c>
      <c r="N384" s="1" t="str">
        <f t="shared" si="52"/>
        <v>50081</v>
      </c>
      <c r="O384" s="1">
        <v>3</v>
      </c>
      <c r="P384" s="1" t="str">
        <f t="shared" si="53"/>
        <v>50082</v>
      </c>
      <c r="Q384" s="1">
        <v>5</v>
      </c>
      <c r="R384" s="1">
        <f>VLOOKUP(--J384,test3,11,FALSE)*K384+VLOOKUP(--L384,test3,11,FALSE)*M384+IF(N384="",0,VLOOKUP(--N384,test3,11,FALSE)*O384)+IF(P384="",0,VLOOKUP(--P384,test3,11,FALSE)*Q384)</f>
        <v>525</v>
      </c>
    </row>
    <row r="385" spans="2:18" x14ac:dyDescent="0.15">
      <c r="B385" s="1">
        <f>[1]item!$D384</f>
        <v>100383</v>
      </c>
      <c r="C385" s="1">
        <f>[1]item!$C384</f>
        <v>103051300</v>
      </c>
      <c r="D385" s="1">
        <f t="shared" si="46"/>
        <v>5</v>
      </c>
      <c r="E385" s="1">
        <f t="shared" si="47"/>
        <v>3</v>
      </c>
      <c r="F385" s="1">
        <f t="shared" si="48"/>
        <v>1</v>
      </c>
      <c r="G385" s="1" t="str">
        <f t="shared" si="45"/>
        <v>地脉</v>
      </c>
      <c r="H385" s="1">
        <v>4</v>
      </c>
      <c r="I385" s="1" t="str">
        <f t="shared" si="49"/>
        <v>,50200,50080,50081,50082</v>
      </c>
      <c r="J385" s="1" t="str">
        <f t="shared" si="50"/>
        <v>50200</v>
      </c>
      <c r="K385" s="1">
        <v>1</v>
      </c>
      <c r="L385" s="1" t="str">
        <f t="shared" si="51"/>
        <v>50080</v>
      </c>
      <c r="M385" s="1">
        <v>2</v>
      </c>
      <c r="N385" s="1" t="str">
        <f t="shared" si="52"/>
        <v>50081</v>
      </c>
      <c r="O385" s="1">
        <v>3</v>
      </c>
      <c r="P385" s="1" t="str">
        <f t="shared" si="53"/>
        <v>50082</v>
      </c>
      <c r="Q385" s="1">
        <v>5</v>
      </c>
      <c r="R385" s="1">
        <f>VLOOKUP(--J385,test3,11,FALSE)*K385+VLOOKUP(--L385,test3,11,FALSE)*M385+IF(N385="",0,VLOOKUP(--N385,test3,11,FALSE)*O385)+IF(P385="",0,VLOOKUP(--P385,test3,11,FALSE)*Q385)</f>
        <v>525</v>
      </c>
    </row>
    <row r="386" spans="2:18" x14ac:dyDescent="0.15">
      <c r="B386" s="1">
        <f>[1]item!$D385</f>
        <v>100384</v>
      </c>
      <c r="C386" s="1">
        <f>[1]item!$C385</f>
        <v>103061300</v>
      </c>
      <c r="D386" s="1">
        <f t="shared" si="46"/>
        <v>6</v>
      </c>
      <c r="E386" s="1">
        <f t="shared" si="47"/>
        <v>3</v>
      </c>
      <c r="F386" s="1">
        <f t="shared" si="48"/>
        <v>1</v>
      </c>
      <c r="G386" s="1" t="str">
        <f t="shared" si="45"/>
        <v>地脉</v>
      </c>
      <c r="H386" s="1">
        <v>4</v>
      </c>
      <c r="I386" s="1" t="str">
        <f t="shared" si="49"/>
        <v>,50200,50080,50081,50082</v>
      </c>
      <c r="J386" s="1" t="str">
        <f t="shared" si="50"/>
        <v>50200</v>
      </c>
      <c r="K386" s="1">
        <v>1</v>
      </c>
      <c r="L386" s="1" t="str">
        <f t="shared" si="51"/>
        <v>50080</v>
      </c>
      <c r="M386" s="1">
        <v>2</v>
      </c>
      <c r="N386" s="1" t="str">
        <f t="shared" si="52"/>
        <v>50081</v>
      </c>
      <c r="O386" s="1">
        <v>3</v>
      </c>
      <c r="P386" s="1" t="str">
        <f t="shared" si="53"/>
        <v>50082</v>
      </c>
      <c r="Q386" s="1">
        <v>5</v>
      </c>
      <c r="R386" s="1">
        <f>VLOOKUP(--J386,test3,11,FALSE)*K386+VLOOKUP(--L386,test3,11,FALSE)*M386+IF(N386="",0,VLOOKUP(--N386,test3,11,FALSE)*O386)+IF(P386="",0,VLOOKUP(--P386,test3,11,FALSE)*Q386)</f>
        <v>525</v>
      </c>
    </row>
    <row r="387" spans="2:18" x14ac:dyDescent="0.15">
      <c r="B387" s="1">
        <f>[1]item!$D386</f>
        <v>100385</v>
      </c>
      <c r="C387" s="1">
        <f>[1]item!$C386</f>
        <v>103071300</v>
      </c>
      <c r="D387" s="1">
        <f t="shared" si="46"/>
        <v>7</v>
      </c>
      <c r="E387" s="1">
        <f t="shared" si="47"/>
        <v>3</v>
      </c>
      <c r="F387" s="1">
        <f t="shared" si="48"/>
        <v>1</v>
      </c>
      <c r="G387" s="1" t="str">
        <f t="shared" ref="G387:G408" si="54">IF(--MID(C387,6,2)&lt;14,VLOOKUP(--MID(C387,6,2),test2,3,FALSE),"")</f>
        <v>地脉</v>
      </c>
      <c r="H387" s="1">
        <v>4</v>
      </c>
      <c r="I387" s="1" t="str">
        <f t="shared" si="49"/>
        <v>,50200,50080,50081,50082</v>
      </c>
      <c r="J387" s="1" t="str">
        <f t="shared" si="50"/>
        <v>50200</v>
      </c>
      <c r="K387" s="1">
        <v>1</v>
      </c>
      <c r="L387" s="1" t="str">
        <f t="shared" si="51"/>
        <v>50080</v>
      </c>
      <c r="M387" s="1">
        <v>2</v>
      </c>
      <c r="N387" s="1" t="str">
        <f t="shared" si="52"/>
        <v>50081</v>
      </c>
      <c r="O387" s="1">
        <v>3</v>
      </c>
      <c r="P387" s="1" t="str">
        <f t="shared" si="53"/>
        <v>50082</v>
      </c>
      <c r="Q387" s="1">
        <v>5</v>
      </c>
      <c r="R387" s="1">
        <f>VLOOKUP(--J387,test3,11,FALSE)*K387+VLOOKUP(--L387,test3,11,FALSE)*M387+IF(N387="",0,VLOOKUP(--N387,test3,11,FALSE)*O387)+IF(P387="",0,VLOOKUP(--P387,test3,11,FALSE)*Q387)</f>
        <v>525</v>
      </c>
    </row>
    <row r="388" spans="2:18" x14ac:dyDescent="0.15">
      <c r="B388" s="1">
        <f>[1]item!$D387</f>
        <v>100386</v>
      </c>
      <c r="C388" s="1">
        <f>[1]item!$C387</f>
        <v>103081300</v>
      </c>
      <c r="D388" s="1">
        <f t="shared" ref="D388:D446" si="55">--MID(C388,4,2)</f>
        <v>8</v>
      </c>
      <c r="E388" s="1">
        <f t="shared" ref="E388:E446" si="56">--MID(C388,2,2)</f>
        <v>3</v>
      </c>
      <c r="F388" s="1">
        <f t="shared" ref="F388:F446" si="57">--MID(C388,1,1)</f>
        <v>1</v>
      </c>
      <c r="G388" s="1" t="str">
        <f t="shared" si="54"/>
        <v>地脉</v>
      </c>
      <c r="H388" s="1">
        <v>4</v>
      </c>
      <c r="I388" s="1" t="str">
        <f t="shared" ref="I388:I446" si="58">getMarking(D388,E388,F388,G388)</f>
        <v>,50200,50080,50081,50082</v>
      </c>
      <c r="J388" s="1" t="str">
        <f t="shared" ref="J388:J446" si="59">getString(I388,1,H388)</f>
        <v>50200</v>
      </c>
      <c r="K388" s="1">
        <v>1</v>
      </c>
      <c r="L388" s="1" t="str">
        <f t="shared" ref="L388:L446" si="60">getString(I388,2,H388)</f>
        <v>50080</v>
      </c>
      <c r="M388" s="1">
        <v>2</v>
      </c>
      <c r="N388" s="1" t="str">
        <f t="shared" ref="N388:N446" si="61">getString(I388,3,H388)</f>
        <v>50081</v>
      </c>
      <c r="O388" s="1">
        <v>3</v>
      </c>
      <c r="P388" s="1" t="str">
        <f t="shared" ref="P388:P446" si="62">getString(I388,4,H388)</f>
        <v>50082</v>
      </c>
      <c r="Q388" s="1">
        <v>5</v>
      </c>
      <c r="R388" s="1">
        <f>VLOOKUP(--J388,test3,11,FALSE)*K388+VLOOKUP(--L388,test3,11,FALSE)*M388+IF(N388="",0,VLOOKUP(--N388,test3,11,FALSE)*O388)+IF(P388="",0,VLOOKUP(--P388,test3,11,FALSE)*Q388)</f>
        <v>525</v>
      </c>
    </row>
    <row r="389" spans="2:18" x14ac:dyDescent="0.15">
      <c r="B389" s="1">
        <f>[1]item!$D388</f>
        <v>100387</v>
      </c>
      <c r="C389" s="1">
        <f>[1]item!$C388</f>
        <v>103091300</v>
      </c>
      <c r="D389" s="1">
        <f t="shared" si="55"/>
        <v>9</v>
      </c>
      <c r="E389" s="1">
        <f t="shared" si="56"/>
        <v>3</v>
      </c>
      <c r="F389" s="1">
        <f t="shared" si="57"/>
        <v>1</v>
      </c>
      <c r="G389" s="1" t="str">
        <f t="shared" si="54"/>
        <v>地脉</v>
      </c>
      <c r="H389" s="1">
        <v>4</v>
      </c>
      <c r="I389" s="1" t="str">
        <f t="shared" si="58"/>
        <v>,50200,50080,50081,50082</v>
      </c>
      <c r="J389" s="1" t="str">
        <f t="shared" si="59"/>
        <v>50200</v>
      </c>
      <c r="K389" s="1">
        <v>1</v>
      </c>
      <c r="L389" s="1" t="str">
        <f t="shared" si="60"/>
        <v>50080</v>
      </c>
      <c r="M389" s="1">
        <v>2</v>
      </c>
      <c r="N389" s="1" t="str">
        <f t="shared" si="61"/>
        <v>50081</v>
      </c>
      <c r="O389" s="1">
        <v>3</v>
      </c>
      <c r="P389" s="1" t="str">
        <f t="shared" si="62"/>
        <v>50082</v>
      </c>
      <c r="Q389" s="1">
        <v>5</v>
      </c>
      <c r="R389" s="1">
        <f>VLOOKUP(--J389,test3,11,FALSE)*K389+VLOOKUP(--L389,test3,11,FALSE)*M389+IF(N389="",0,VLOOKUP(--N389,test3,11,FALSE)*O389)+IF(P389="",0,VLOOKUP(--P389,test3,11,FALSE)*Q389)</f>
        <v>525</v>
      </c>
    </row>
    <row r="390" spans="2:18" x14ac:dyDescent="0.15">
      <c r="B390" s="1">
        <f>[1]item!$D389</f>
        <v>100388</v>
      </c>
      <c r="C390" s="1">
        <f>[1]item!$C389</f>
        <v>203011400</v>
      </c>
      <c r="D390" s="1">
        <f t="shared" si="55"/>
        <v>1</v>
      </c>
      <c r="E390" s="1">
        <f t="shared" si="56"/>
        <v>3</v>
      </c>
      <c r="F390" s="1">
        <f t="shared" si="57"/>
        <v>2</v>
      </c>
      <c r="G390" s="1" t="str">
        <f t="shared" si="54"/>
        <v/>
      </c>
      <c r="H390" s="1">
        <v>4</v>
      </c>
      <c r="I390" s="1" t="str">
        <f t="shared" si="58"/>
        <v>,50200,50106,50170,50040</v>
      </c>
      <c r="J390" s="1" t="str">
        <f t="shared" si="59"/>
        <v>50200</v>
      </c>
      <c r="K390" s="1">
        <v>1</v>
      </c>
      <c r="L390" s="1" t="str">
        <f t="shared" si="60"/>
        <v>50106</v>
      </c>
      <c r="M390" s="1">
        <v>2</v>
      </c>
      <c r="N390" s="1" t="str">
        <f t="shared" si="61"/>
        <v>50170</v>
      </c>
      <c r="O390" s="1">
        <v>3</v>
      </c>
      <c r="P390" s="1" t="str">
        <f t="shared" si="62"/>
        <v>50040</v>
      </c>
      <c r="Q390" s="1">
        <v>5</v>
      </c>
      <c r="R390" s="1">
        <f>VLOOKUP(--J390,test3,11,FALSE)*K390+VLOOKUP(--L390,test3,11,FALSE)*M390+IF(N390="",0,VLOOKUP(--N390,test3,11,FALSE)*O390)+IF(P390="",0,VLOOKUP(--P390,test3,11,FALSE)*Q390)</f>
        <v>498</v>
      </c>
    </row>
    <row r="391" spans="2:18" x14ac:dyDescent="0.15">
      <c r="B391" s="1">
        <f>[1]item!$D390</f>
        <v>100389</v>
      </c>
      <c r="C391" s="1">
        <f>[1]item!$C390</f>
        <v>203021400</v>
      </c>
      <c r="D391" s="1">
        <f t="shared" si="55"/>
        <v>2</v>
      </c>
      <c r="E391" s="1">
        <f t="shared" si="56"/>
        <v>3</v>
      </c>
      <c r="F391" s="1">
        <f t="shared" si="57"/>
        <v>2</v>
      </c>
      <c r="G391" s="1" t="str">
        <f t="shared" si="54"/>
        <v/>
      </c>
      <c r="H391" s="1">
        <v>4</v>
      </c>
      <c r="I391" s="1" t="str">
        <f t="shared" si="58"/>
        <v>,50200,50106,50170,50040</v>
      </c>
      <c r="J391" s="1" t="str">
        <f t="shared" si="59"/>
        <v>50200</v>
      </c>
      <c r="K391" s="1">
        <v>1</v>
      </c>
      <c r="L391" s="1" t="str">
        <f t="shared" si="60"/>
        <v>50106</v>
      </c>
      <c r="M391" s="1">
        <v>2</v>
      </c>
      <c r="N391" s="1" t="str">
        <f t="shared" si="61"/>
        <v>50170</v>
      </c>
      <c r="O391" s="1">
        <v>3</v>
      </c>
      <c r="P391" s="1" t="str">
        <f t="shared" si="62"/>
        <v>50040</v>
      </c>
      <c r="Q391" s="1">
        <v>5</v>
      </c>
      <c r="R391" s="1">
        <f>VLOOKUP(--J391,test3,11,FALSE)*K391+VLOOKUP(--L391,test3,11,FALSE)*M391+IF(N391="",0,VLOOKUP(--N391,test3,11,FALSE)*O391)+IF(P391="",0,VLOOKUP(--P391,test3,11,FALSE)*Q391)</f>
        <v>498</v>
      </c>
    </row>
    <row r="392" spans="2:18" x14ac:dyDescent="0.15">
      <c r="B392" s="1">
        <f>[1]item!$D391</f>
        <v>100390</v>
      </c>
      <c r="C392" s="1">
        <f>[1]item!$C391</f>
        <v>203031400</v>
      </c>
      <c r="D392" s="1">
        <f t="shared" si="55"/>
        <v>3</v>
      </c>
      <c r="E392" s="1">
        <f t="shared" si="56"/>
        <v>3</v>
      </c>
      <c r="F392" s="1">
        <f t="shared" si="57"/>
        <v>2</v>
      </c>
      <c r="G392" s="1" t="str">
        <f t="shared" si="54"/>
        <v/>
      </c>
      <c r="H392" s="1">
        <v>4</v>
      </c>
      <c r="I392" s="1" t="str">
        <f t="shared" si="58"/>
        <v>,50200,50105,50080,50081</v>
      </c>
      <c r="J392" s="1" t="str">
        <f t="shared" si="59"/>
        <v>50200</v>
      </c>
      <c r="K392" s="1">
        <v>1</v>
      </c>
      <c r="L392" s="1" t="str">
        <f t="shared" si="60"/>
        <v>50105</v>
      </c>
      <c r="M392" s="1">
        <v>2</v>
      </c>
      <c r="N392" s="1" t="str">
        <f t="shared" si="61"/>
        <v>50080</v>
      </c>
      <c r="O392" s="1">
        <v>3</v>
      </c>
      <c r="P392" s="1" t="str">
        <f t="shared" si="62"/>
        <v>50081</v>
      </c>
      <c r="Q392" s="1">
        <v>5</v>
      </c>
      <c r="R392" s="1">
        <f>VLOOKUP(--J392,test3,11,FALSE)*K392+VLOOKUP(--L392,test3,11,FALSE)*M392+IF(N392="",0,VLOOKUP(--N392,test3,11,FALSE)*O392)+IF(P392="",0,VLOOKUP(--P392,test3,11,FALSE)*Q392)</f>
        <v>498</v>
      </c>
    </row>
    <row r="393" spans="2:18" x14ac:dyDescent="0.15">
      <c r="B393" s="1">
        <f>[1]item!$D392</f>
        <v>100391</v>
      </c>
      <c r="C393" s="1">
        <f>[1]item!$C392</f>
        <v>203041400</v>
      </c>
      <c r="D393" s="1">
        <f t="shared" si="55"/>
        <v>4</v>
      </c>
      <c r="E393" s="1">
        <f t="shared" si="56"/>
        <v>3</v>
      </c>
      <c r="F393" s="1">
        <f t="shared" si="57"/>
        <v>2</v>
      </c>
      <c r="G393" s="1" t="str">
        <f t="shared" si="54"/>
        <v/>
      </c>
      <c r="H393" s="1">
        <v>4</v>
      </c>
      <c r="I393" s="1" t="str">
        <f t="shared" si="58"/>
        <v>,50200,50040,50084,50037</v>
      </c>
      <c r="J393" s="1" t="str">
        <f t="shared" si="59"/>
        <v>50200</v>
      </c>
      <c r="K393" s="1">
        <v>1</v>
      </c>
      <c r="L393" s="1" t="str">
        <f t="shared" si="60"/>
        <v>50040</v>
      </c>
      <c r="M393" s="1">
        <v>2</v>
      </c>
      <c r="N393" s="1" t="str">
        <f t="shared" si="61"/>
        <v>50084</v>
      </c>
      <c r="O393" s="1">
        <v>3</v>
      </c>
      <c r="P393" s="1" t="str">
        <f t="shared" si="62"/>
        <v>50037</v>
      </c>
      <c r="Q393" s="1">
        <v>5</v>
      </c>
      <c r="R393" s="1">
        <f>VLOOKUP(--J393,test3,11,FALSE)*K393+VLOOKUP(--L393,test3,11,FALSE)*M393+IF(N393="",0,VLOOKUP(--N393,test3,11,FALSE)*O393)+IF(P393="",0,VLOOKUP(--P393,test3,11,FALSE)*Q393)</f>
        <v>525</v>
      </c>
    </row>
    <row r="394" spans="2:18" x14ac:dyDescent="0.15">
      <c r="B394" s="1">
        <f>[1]item!$D393</f>
        <v>100392</v>
      </c>
      <c r="C394" s="1">
        <f>[1]item!$C393</f>
        <v>203051400</v>
      </c>
      <c r="D394" s="1">
        <f t="shared" si="55"/>
        <v>5</v>
      </c>
      <c r="E394" s="1">
        <f t="shared" si="56"/>
        <v>3</v>
      </c>
      <c r="F394" s="1">
        <f t="shared" si="57"/>
        <v>2</v>
      </c>
      <c r="G394" s="1" t="str">
        <f t="shared" si="54"/>
        <v/>
      </c>
      <c r="H394" s="1">
        <v>4</v>
      </c>
      <c r="I394" s="1" t="str">
        <f t="shared" si="58"/>
        <v>,50200,50104,50061,50108</v>
      </c>
      <c r="J394" s="1" t="str">
        <f t="shared" si="59"/>
        <v>50200</v>
      </c>
      <c r="K394" s="1">
        <v>1</v>
      </c>
      <c r="L394" s="1" t="str">
        <f t="shared" si="60"/>
        <v>50104</v>
      </c>
      <c r="M394" s="1">
        <v>2</v>
      </c>
      <c r="N394" s="1" t="str">
        <f t="shared" si="61"/>
        <v>50061</v>
      </c>
      <c r="O394" s="1">
        <v>3</v>
      </c>
      <c r="P394" s="1" t="str">
        <f t="shared" si="62"/>
        <v>50108</v>
      </c>
      <c r="Q394" s="1">
        <v>5</v>
      </c>
      <c r="R394" s="1">
        <f>VLOOKUP(--J394,test3,11,FALSE)*K394+VLOOKUP(--L394,test3,11,FALSE)*M394+IF(N394="",0,VLOOKUP(--N394,test3,11,FALSE)*O394)+IF(P394="",0,VLOOKUP(--P394,test3,11,FALSE)*Q394)</f>
        <v>430.5</v>
      </c>
    </row>
    <row r="395" spans="2:18" x14ac:dyDescent="0.15">
      <c r="B395" s="1">
        <f>[1]item!$D394</f>
        <v>100393</v>
      </c>
      <c r="C395" s="1">
        <f>[1]item!$C394</f>
        <v>203061400</v>
      </c>
      <c r="D395" s="1">
        <f t="shared" si="55"/>
        <v>6</v>
      </c>
      <c r="E395" s="1">
        <f t="shared" si="56"/>
        <v>3</v>
      </c>
      <c r="F395" s="1">
        <f t="shared" si="57"/>
        <v>2</v>
      </c>
      <c r="G395" s="1" t="str">
        <f t="shared" si="54"/>
        <v/>
      </c>
      <c r="H395" s="1">
        <v>4</v>
      </c>
      <c r="I395" s="1" t="str">
        <f t="shared" si="58"/>
        <v>,50200,50058,50085,50037</v>
      </c>
      <c r="J395" s="1" t="str">
        <f t="shared" si="59"/>
        <v>50200</v>
      </c>
      <c r="K395" s="1">
        <v>1</v>
      </c>
      <c r="L395" s="1" t="str">
        <f t="shared" si="60"/>
        <v>50058</v>
      </c>
      <c r="M395" s="1">
        <v>2</v>
      </c>
      <c r="N395" s="1" t="str">
        <f t="shared" si="61"/>
        <v>50085</v>
      </c>
      <c r="O395" s="1">
        <v>3</v>
      </c>
      <c r="P395" s="1" t="str">
        <f t="shared" si="62"/>
        <v>50037</v>
      </c>
      <c r="Q395" s="1">
        <v>5</v>
      </c>
      <c r="R395" s="1">
        <f>VLOOKUP(--J395,test3,11,FALSE)*K395+VLOOKUP(--L395,test3,11,FALSE)*M395+IF(N395="",0,VLOOKUP(--N395,test3,11,FALSE)*O395)+IF(P395="",0,VLOOKUP(--P395,test3,11,FALSE)*Q395)</f>
        <v>498</v>
      </c>
    </row>
    <row r="396" spans="2:18" x14ac:dyDescent="0.15">
      <c r="B396" s="1">
        <f>[1]item!$D395</f>
        <v>100394</v>
      </c>
      <c r="C396" s="1">
        <f>[1]item!$C395</f>
        <v>203071400</v>
      </c>
      <c r="D396" s="1">
        <f t="shared" si="55"/>
        <v>7</v>
      </c>
      <c r="E396" s="1">
        <f t="shared" si="56"/>
        <v>3</v>
      </c>
      <c r="F396" s="1">
        <f t="shared" si="57"/>
        <v>2</v>
      </c>
      <c r="G396" s="1" t="str">
        <f t="shared" si="54"/>
        <v/>
      </c>
      <c r="H396" s="1">
        <v>4</v>
      </c>
      <c r="I396" s="1" t="str">
        <f t="shared" si="58"/>
        <v>,50200,50188,50086,50049</v>
      </c>
      <c r="J396" s="1" t="str">
        <f t="shared" si="59"/>
        <v>50200</v>
      </c>
      <c r="K396" s="1">
        <v>1</v>
      </c>
      <c r="L396" s="1" t="str">
        <f t="shared" si="60"/>
        <v>50188</v>
      </c>
      <c r="M396" s="1">
        <v>2</v>
      </c>
      <c r="N396" s="1" t="str">
        <f t="shared" si="61"/>
        <v>50086</v>
      </c>
      <c r="O396" s="1">
        <v>3</v>
      </c>
      <c r="P396" s="1" t="str">
        <f t="shared" si="62"/>
        <v>50049</v>
      </c>
      <c r="Q396" s="1">
        <v>5</v>
      </c>
      <c r="R396" s="1">
        <f>VLOOKUP(--J396,test3,11,FALSE)*K396+VLOOKUP(--L396,test3,11,FALSE)*M396+IF(N396="",0,VLOOKUP(--N396,test3,11,FALSE)*O396)+IF(P396="",0,VLOOKUP(--P396,test3,11,FALSE)*Q396)</f>
        <v>525</v>
      </c>
    </row>
    <row r="397" spans="2:18" x14ac:dyDescent="0.15">
      <c r="B397" s="1">
        <f>[1]item!$D396</f>
        <v>100395</v>
      </c>
      <c r="C397" s="1">
        <f>[1]item!$C396</f>
        <v>203081400</v>
      </c>
      <c r="D397" s="1">
        <f t="shared" si="55"/>
        <v>8</v>
      </c>
      <c r="E397" s="1">
        <f t="shared" si="56"/>
        <v>3</v>
      </c>
      <c r="F397" s="1">
        <f t="shared" si="57"/>
        <v>2</v>
      </c>
      <c r="G397" s="1" t="str">
        <f t="shared" si="54"/>
        <v/>
      </c>
      <c r="H397" s="1">
        <v>4</v>
      </c>
      <c r="I397" s="1" t="str">
        <f t="shared" si="58"/>
        <v>,50200,50082,50106,50170</v>
      </c>
      <c r="J397" s="1" t="str">
        <f t="shared" si="59"/>
        <v>50200</v>
      </c>
      <c r="K397" s="1">
        <v>1</v>
      </c>
      <c r="L397" s="1" t="str">
        <f t="shared" si="60"/>
        <v>50082</v>
      </c>
      <c r="M397" s="1">
        <v>2</v>
      </c>
      <c r="N397" s="1" t="str">
        <f t="shared" si="61"/>
        <v>50106</v>
      </c>
      <c r="O397" s="1">
        <v>3</v>
      </c>
      <c r="P397" s="1" t="str">
        <f t="shared" si="62"/>
        <v>50170</v>
      </c>
      <c r="Q397" s="1">
        <v>5</v>
      </c>
      <c r="R397" s="1">
        <f>VLOOKUP(--J397,test3,11,FALSE)*K397+VLOOKUP(--L397,test3,11,FALSE)*M397+IF(N397="",0,VLOOKUP(--N397,test3,11,FALSE)*O397)+IF(P397="",0,VLOOKUP(--P397,test3,11,FALSE)*Q397)</f>
        <v>484.5</v>
      </c>
    </row>
    <row r="398" spans="2:18" x14ac:dyDescent="0.15">
      <c r="B398" s="1">
        <f>[1]item!$D397</f>
        <v>100396</v>
      </c>
      <c r="C398" s="1">
        <f>[1]item!$C397</f>
        <v>203091400</v>
      </c>
      <c r="D398" s="1">
        <f t="shared" si="55"/>
        <v>9</v>
      </c>
      <c r="E398" s="1">
        <f t="shared" si="56"/>
        <v>3</v>
      </c>
      <c r="F398" s="1">
        <f t="shared" si="57"/>
        <v>2</v>
      </c>
      <c r="G398" s="1" t="str">
        <f t="shared" si="54"/>
        <v/>
      </c>
      <c r="H398" s="1">
        <v>4</v>
      </c>
      <c r="I398" s="1" t="str">
        <f t="shared" si="58"/>
        <v>,50200,50033,50060,50039</v>
      </c>
      <c r="J398" s="1" t="str">
        <f t="shared" si="59"/>
        <v>50200</v>
      </c>
      <c r="K398" s="1">
        <v>1</v>
      </c>
      <c r="L398" s="1" t="str">
        <f t="shared" si="60"/>
        <v>50033</v>
      </c>
      <c r="M398" s="1">
        <v>2</v>
      </c>
      <c r="N398" s="1" t="str">
        <f t="shared" si="61"/>
        <v>50060</v>
      </c>
      <c r="O398" s="1">
        <v>3</v>
      </c>
      <c r="P398" s="1" t="str">
        <f t="shared" si="62"/>
        <v>50039</v>
      </c>
      <c r="Q398" s="1">
        <v>5</v>
      </c>
      <c r="R398" s="1">
        <f>VLOOKUP(--J398,test3,11,FALSE)*K398+VLOOKUP(--L398,test3,11,FALSE)*M398+IF(N398="",0,VLOOKUP(--N398,test3,11,FALSE)*O398)+IF(P398="",0,VLOOKUP(--P398,test3,11,FALSE)*Q398)</f>
        <v>525</v>
      </c>
    </row>
    <row r="399" spans="2:18" x14ac:dyDescent="0.15">
      <c r="B399" s="1">
        <f>[1]item!$D398</f>
        <v>100397</v>
      </c>
      <c r="C399" s="1">
        <f>[1]item!$C398</f>
        <v>303011500</v>
      </c>
      <c r="D399" s="1">
        <f t="shared" si="55"/>
        <v>1</v>
      </c>
      <c r="E399" s="1">
        <f t="shared" si="56"/>
        <v>3</v>
      </c>
      <c r="F399" s="1">
        <f t="shared" si="57"/>
        <v>3</v>
      </c>
      <c r="G399" s="1" t="str">
        <f t="shared" si="54"/>
        <v/>
      </c>
      <c r="H399" s="1">
        <v>4</v>
      </c>
      <c r="I399" s="1" t="str">
        <f t="shared" si="58"/>
        <v>,50200,50107,50008,50017</v>
      </c>
      <c r="J399" s="1" t="str">
        <f t="shared" si="59"/>
        <v>50200</v>
      </c>
      <c r="K399" s="1">
        <v>1</v>
      </c>
      <c r="L399" s="1" t="str">
        <f t="shared" si="60"/>
        <v>50107</v>
      </c>
      <c r="M399" s="1">
        <v>2</v>
      </c>
      <c r="N399" s="1" t="str">
        <f t="shared" si="61"/>
        <v>50008</v>
      </c>
      <c r="O399" s="1">
        <v>3</v>
      </c>
      <c r="P399" s="1" t="str">
        <f t="shared" si="62"/>
        <v>50017</v>
      </c>
      <c r="Q399" s="1">
        <v>5</v>
      </c>
      <c r="R399" s="1">
        <f>VLOOKUP(--J399,test3,11,FALSE)*K399+VLOOKUP(--L399,test3,11,FALSE)*M399+IF(N399="",0,VLOOKUP(--N399,test3,11,FALSE)*O399)+IF(P399="",0,VLOOKUP(--P399,test3,11,FALSE)*Q399)</f>
        <v>457.5</v>
      </c>
    </row>
    <row r="400" spans="2:18" x14ac:dyDescent="0.15">
      <c r="B400" s="1">
        <f>[1]item!$D399</f>
        <v>100398</v>
      </c>
      <c r="C400" s="1">
        <f>[1]item!$C399</f>
        <v>303021500</v>
      </c>
      <c r="D400" s="1">
        <f t="shared" si="55"/>
        <v>2</v>
      </c>
      <c r="E400" s="1">
        <f t="shared" si="56"/>
        <v>3</v>
      </c>
      <c r="F400" s="1">
        <f t="shared" si="57"/>
        <v>3</v>
      </c>
      <c r="G400" s="1" t="str">
        <f t="shared" si="54"/>
        <v/>
      </c>
      <c r="H400" s="1">
        <v>4</v>
      </c>
      <c r="I400" s="1" t="str">
        <f t="shared" si="58"/>
        <v>,50200,50086,50060,50125</v>
      </c>
      <c r="J400" s="1" t="str">
        <f t="shared" si="59"/>
        <v>50200</v>
      </c>
      <c r="K400" s="1">
        <v>1</v>
      </c>
      <c r="L400" s="1" t="str">
        <f t="shared" si="60"/>
        <v>50086</v>
      </c>
      <c r="M400" s="1">
        <v>2</v>
      </c>
      <c r="N400" s="1" t="str">
        <f t="shared" si="61"/>
        <v>50060</v>
      </c>
      <c r="O400" s="1">
        <v>3</v>
      </c>
      <c r="P400" s="1" t="str">
        <f t="shared" si="62"/>
        <v>50125</v>
      </c>
      <c r="Q400" s="1">
        <v>5</v>
      </c>
      <c r="R400" s="1">
        <f>VLOOKUP(--J400,test3,11,FALSE)*K400+VLOOKUP(--L400,test3,11,FALSE)*M400+IF(N400="",0,VLOOKUP(--N400,test3,11,FALSE)*O400)+IF(P400="",0,VLOOKUP(--P400,test3,11,FALSE)*Q400)</f>
        <v>525</v>
      </c>
    </row>
    <row r="401" spans="2:18" x14ac:dyDescent="0.15">
      <c r="B401" s="1">
        <f>[1]item!$D400</f>
        <v>100399</v>
      </c>
      <c r="C401" s="1">
        <f>[1]item!$C400</f>
        <v>303031500</v>
      </c>
      <c r="D401" s="1">
        <f t="shared" si="55"/>
        <v>3</v>
      </c>
      <c r="E401" s="1">
        <f t="shared" si="56"/>
        <v>3</v>
      </c>
      <c r="F401" s="1">
        <f t="shared" si="57"/>
        <v>3</v>
      </c>
      <c r="G401" s="1" t="str">
        <f t="shared" si="54"/>
        <v/>
      </c>
      <c r="H401" s="1">
        <v>4</v>
      </c>
      <c r="I401" s="1" t="str">
        <f t="shared" si="58"/>
        <v>,50200,50038,50068,50004</v>
      </c>
      <c r="J401" s="1" t="str">
        <f t="shared" si="59"/>
        <v>50200</v>
      </c>
      <c r="K401" s="1">
        <v>1</v>
      </c>
      <c r="L401" s="1" t="str">
        <f t="shared" si="60"/>
        <v>50038</v>
      </c>
      <c r="M401" s="1">
        <v>2</v>
      </c>
      <c r="N401" s="1" t="str">
        <f t="shared" si="61"/>
        <v>50068</v>
      </c>
      <c r="O401" s="1">
        <v>3</v>
      </c>
      <c r="P401" s="1" t="str">
        <f t="shared" si="62"/>
        <v>50004</v>
      </c>
      <c r="Q401" s="1">
        <v>5</v>
      </c>
      <c r="R401" s="1">
        <f>VLOOKUP(--J401,test3,11,FALSE)*K401+VLOOKUP(--L401,test3,11,FALSE)*M401+IF(N401="",0,VLOOKUP(--N401,test3,11,FALSE)*O401)+IF(P401="",0,VLOOKUP(--P401,test3,11,FALSE)*Q401)</f>
        <v>457.5</v>
      </c>
    </row>
    <row r="402" spans="2:18" x14ac:dyDescent="0.15">
      <c r="B402" s="1">
        <f>[1]item!$D401</f>
        <v>100400</v>
      </c>
      <c r="C402" s="1">
        <f>[1]item!$C401</f>
        <v>303041500</v>
      </c>
      <c r="D402" s="1">
        <f t="shared" si="55"/>
        <v>4</v>
      </c>
      <c r="E402" s="1">
        <f t="shared" si="56"/>
        <v>3</v>
      </c>
      <c r="F402" s="1">
        <f t="shared" si="57"/>
        <v>3</v>
      </c>
      <c r="G402" s="1" t="str">
        <f t="shared" si="54"/>
        <v/>
      </c>
      <c r="H402" s="1">
        <v>4</v>
      </c>
      <c r="I402" s="1" t="str">
        <f t="shared" si="58"/>
        <v>,50200,50039,50033,50017</v>
      </c>
      <c r="J402" s="1" t="str">
        <f t="shared" si="59"/>
        <v>50200</v>
      </c>
      <c r="K402" s="1">
        <v>1</v>
      </c>
      <c r="L402" s="1" t="str">
        <f t="shared" si="60"/>
        <v>50039</v>
      </c>
      <c r="M402" s="1">
        <v>2</v>
      </c>
      <c r="N402" s="1" t="str">
        <f t="shared" si="61"/>
        <v>50033</v>
      </c>
      <c r="O402" s="1">
        <v>3</v>
      </c>
      <c r="P402" s="1" t="str">
        <f t="shared" si="62"/>
        <v>50017</v>
      </c>
      <c r="Q402" s="1">
        <v>5</v>
      </c>
      <c r="R402" s="1">
        <f>VLOOKUP(--J402,test3,11,FALSE)*K402+VLOOKUP(--L402,test3,11,FALSE)*M402+IF(N402="",0,VLOOKUP(--N402,test3,11,FALSE)*O402)+IF(P402="",0,VLOOKUP(--P402,test3,11,FALSE)*Q402)</f>
        <v>525</v>
      </c>
    </row>
    <row r="403" spans="2:18" x14ac:dyDescent="0.15">
      <c r="B403" s="1">
        <f>[1]item!$D402</f>
        <v>100401</v>
      </c>
      <c r="C403" s="1">
        <f>[1]item!$C402</f>
        <v>303051500</v>
      </c>
      <c r="D403" s="1">
        <f t="shared" si="55"/>
        <v>5</v>
      </c>
      <c r="E403" s="1">
        <f t="shared" si="56"/>
        <v>3</v>
      </c>
      <c r="F403" s="1">
        <f t="shared" si="57"/>
        <v>3</v>
      </c>
      <c r="G403" s="1" t="str">
        <f t="shared" si="54"/>
        <v/>
      </c>
      <c r="H403" s="1">
        <v>4</v>
      </c>
      <c r="I403" s="1" t="str">
        <f t="shared" si="58"/>
        <v>,50200,50062,50012,50130</v>
      </c>
      <c r="J403" s="1" t="str">
        <f t="shared" si="59"/>
        <v>50200</v>
      </c>
      <c r="K403" s="1">
        <v>1</v>
      </c>
      <c r="L403" s="1" t="str">
        <f t="shared" si="60"/>
        <v>50062</v>
      </c>
      <c r="M403" s="1">
        <v>2</v>
      </c>
      <c r="N403" s="1" t="str">
        <f t="shared" si="61"/>
        <v>50012</v>
      </c>
      <c r="O403" s="1">
        <v>3</v>
      </c>
      <c r="P403" s="1" t="str">
        <f t="shared" si="62"/>
        <v>50130</v>
      </c>
      <c r="Q403" s="1">
        <v>5</v>
      </c>
      <c r="R403" s="1">
        <f>VLOOKUP(--J403,test3,11,FALSE)*K403+VLOOKUP(--L403,test3,11,FALSE)*M403+IF(N403="",0,VLOOKUP(--N403,test3,11,FALSE)*O403)+IF(P403="",0,VLOOKUP(--P403,test3,11,FALSE)*Q403)</f>
        <v>484.5</v>
      </c>
    </row>
    <row r="404" spans="2:18" x14ac:dyDescent="0.15">
      <c r="B404" s="1">
        <f>[1]item!$D403</f>
        <v>100402</v>
      </c>
      <c r="C404" s="1">
        <f>[1]item!$C403</f>
        <v>303061500</v>
      </c>
      <c r="D404" s="1">
        <f t="shared" si="55"/>
        <v>6</v>
      </c>
      <c r="E404" s="1">
        <f t="shared" si="56"/>
        <v>3</v>
      </c>
      <c r="F404" s="1">
        <f t="shared" si="57"/>
        <v>3</v>
      </c>
      <c r="G404" s="1" t="str">
        <f t="shared" si="54"/>
        <v/>
      </c>
      <c r="H404" s="1">
        <v>4</v>
      </c>
      <c r="I404" s="1" t="str">
        <f t="shared" si="58"/>
        <v>,50200,50068,50062,50081</v>
      </c>
      <c r="J404" s="1" t="str">
        <f t="shared" si="59"/>
        <v>50200</v>
      </c>
      <c r="K404" s="1">
        <v>1</v>
      </c>
      <c r="L404" s="1" t="str">
        <f t="shared" si="60"/>
        <v>50068</v>
      </c>
      <c r="M404" s="1">
        <v>2</v>
      </c>
      <c r="N404" s="1" t="str">
        <f t="shared" si="61"/>
        <v>50062</v>
      </c>
      <c r="O404" s="1">
        <v>3</v>
      </c>
      <c r="P404" s="1" t="str">
        <f t="shared" si="62"/>
        <v>50081</v>
      </c>
      <c r="Q404" s="1">
        <v>5</v>
      </c>
      <c r="R404" s="1">
        <f>VLOOKUP(--J404,test3,11,FALSE)*K404+VLOOKUP(--L404,test3,11,FALSE)*M404+IF(N404="",0,VLOOKUP(--N404,test3,11,FALSE)*O404)+IF(P404="",0,VLOOKUP(--P404,test3,11,FALSE)*Q404)</f>
        <v>525</v>
      </c>
    </row>
    <row r="405" spans="2:18" x14ac:dyDescent="0.15">
      <c r="B405" s="1">
        <f>[1]item!$D404</f>
        <v>100403</v>
      </c>
      <c r="C405" s="1">
        <f>[1]item!$C404</f>
        <v>303071500</v>
      </c>
      <c r="D405" s="1">
        <f t="shared" si="55"/>
        <v>7</v>
      </c>
      <c r="E405" s="1">
        <f t="shared" si="56"/>
        <v>3</v>
      </c>
      <c r="F405" s="1">
        <f t="shared" si="57"/>
        <v>3</v>
      </c>
      <c r="G405" s="1" t="str">
        <f t="shared" si="54"/>
        <v/>
      </c>
      <c r="H405" s="1">
        <v>4</v>
      </c>
      <c r="I405" s="1" t="str">
        <f t="shared" si="58"/>
        <v>,50200,50049,50170,50084</v>
      </c>
      <c r="J405" s="1" t="str">
        <f t="shared" si="59"/>
        <v>50200</v>
      </c>
      <c r="K405" s="1">
        <v>1</v>
      </c>
      <c r="L405" s="1" t="str">
        <f t="shared" si="60"/>
        <v>50049</v>
      </c>
      <c r="M405" s="1">
        <v>2</v>
      </c>
      <c r="N405" s="1" t="str">
        <f t="shared" si="61"/>
        <v>50170</v>
      </c>
      <c r="O405" s="1">
        <v>3</v>
      </c>
      <c r="P405" s="1" t="str">
        <f t="shared" si="62"/>
        <v>50084</v>
      </c>
      <c r="Q405" s="1">
        <v>5</v>
      </c>
      <c r="R405" s="1">
        <f>VLOOKUP(--J405,test3,11,FALSE)*K405+VLOOKUP(--L405,test3,11,FALSE)*M405+IF(N405="",0,VLOOKUP(--N405,test3,11,FALSE)*O405)+IF(P405="",0,VLOOKUP(--P405,test3,11,FALSE)*Q405)</f>
        <v>525</v>
      </c>
    </row>
    <row r="406" spans="2:18" x14ac:dyDescent="0.15">
      <c r="B406" s="1">
        <f>[1]item!$D405</f>
        <v>100404</v>
      </c>
      <c r="C406" s="1">
        <f>[1]item!$C405</f>
        <v>303081500</v>
      </c>
      <c r="D406" s="1">
        <f t="shared" si="55"/>
        <v>8</v>
      </c>
      <c r="E406" s="1">
        <f t="shared" si="56"/>
        <v>3</v>
      </c>
      <c r="F406" s="1">
        <f t="shared" si="57"/>
        <v>3</v>
      </c>
      <c r="G406" s="1" t="str">
        <f t="shared" si="54"/>
        <v/>
      </c>
      <c r="H406" s="1">
        <v>4</v>
      </c>
      <c r="I406" s="1" t="str">
        <f t="shared" si="58"/>
        <v>,50200,50084,50037,50127</v>
      </c>
      <c r="J406" s="1" t="str">
        <f t="shared" si="59"/>
        <v>50200</v>
      </c>
      <c r="K406" s="1">
        <v>1</v>
      </c>
      <c r="L406" s="1" t="str">
        <f t="shared" si="60"/>
        <v>50084</v>
      </c>
      <c r="M406" s="1">
        <v>2</v>
      </c>
      <c r="N406" s="1" t="str">
        <f t="shared" si="61"/>
        <v>50037</v>
      </c>
      <c r="O406" s="1">
        <v>3</v>
      </c>
      <c r="P406" s="1" t="str">
        <f t="shared" si="62"/>
        <v>50127</v>
      </c>
      <c r="Q406" s="1">
        <v>5</v>
      </c>
      <c r="R406" s="1">
        <f>VLOOKUP(--J406,test3,11,FALSE)*K406+VLOOKUP(--L406,test3,11,FALSE)*M406+IF(N406="",0,VLOOKUP(--N406,test3,11,FALSE)*O406)+IF(P406="",0,VLOOKUP(--P406,test3,11,FALSE)*Q406)</f>
        <v>525</v>
      </c>
    </row>
    <row r="407" spans="2:18" x14ac:dyDescent="0.15">
      <c r="B407" s="1">
        <f>[1]item!$D406</f>
        <v>100405</v>
      </c>
      <c r="C407" s="1">
        <f>[1]item!$C406</f>
        <v>303091500</v>
      </c>
      <c r="D407" s="1">
        <f t="shared" si="55"/>
        <v>9</v>
      </c>
      <c r="E407" s="1">
        <f t="shared" si="56"/>
        <v>3</v>
      </c>
      <c r="F407" s="1">
        <f t="shared" si="57"/>
        <v>3</v>
      </c>
      <c r="G407" s="1" t="str">
        <f t="shared" si="54"/>
        <v/>
      </c>
      <c r="H407" s="1">
        <v>4</v>
      </c>
      <c r="I407" s="1" t="str">
        <f t="shared" si="58"/>
        <v>,50200,50004,50104,50083</v>
      </c>
      <c r="J407" s="1" t="str">
        <f t="shared" si="59"/>
        <v>50200</v>
      </c>
      <c r="K407" s="1">
        <v>1</v>
      </c>
      <c r="L407" s="1" t="str">
        <f t="shared" si="60"/>
        <v>50004</v>
      </c>
      <c r="M407" s="1">
        <v>2</v>
      </c>
      <c r="N407" s="1" t="str">
        <f t="shared" si="61"/>
        <v>50104</v>
      </c>
      <c r="O407" s="1">
        <v>3</v>
      </c>
      <c r="P407" s="1" t="str">
        <f t="shared" si="62"/>
        <v>50083</v>
      </c>
      <c r="Q407" s="1">
        <v>5</v>
      </c>
      <c r="R407" s="1">
        <f>VLOOKUP(--J407,test3,11,FALSE)*K407+VLOOKUP(--L407,test3,11,FALSE)*M407+IF(N407="",0,VLOOKUP(--N407,test3,11,FALSE)*O407)+IF(P407="",0,VLOOKUP(--P407,test3,11,FALSE)*Q407)</f>
        <v>457.5</v>
      </c>
    </row>
    <row r="408" spans="2:18" x14ac:dyDescent="0.15">
      <c r="B408" s="1">
        <f>[1]item!$D407</f>
        <v>100406</v>
      </c>
      <c r="C408" s="1">
        <f>[1]item!$C407</f>
        <v>104090101</v>
      </c>
      <c r="D408" s="1">
        <f t="shared" si="55"/>
        <v>9</v>
      </c>
      <c r="E408" s="1">
        <f t="shared" si="56"/>
        <v>4</v>
      </c>
      <c r="F408" s="1">
        <f t="shared" si="57"/>
        <v>1</v>
      </c>
      <c r="G408" s="1" t="str">
        <f t="shared" si="54"/>
        <v>神圣</v>
      </c>
      <c r="H408" s="1">
        <v>4</v>
      </c>
      <c r="I408" s="1" t="str">
        <f t="shared" si="58"/>
        <v>,50200,50075,50071,50073</v>
      </c>
      <c r="J408" s="1" t="str">
        <f t="shared" si="59"/>
        <v>50200</v>
      </c>
      <c r="K408" s="1">
        <v>1</v>
      </c>
      <c r="L408" s="1" t="str">
        <f t="shared" si="60"/>
        <v>50075</v>
      </c>
      <c r="M408" s="1">
        <v>2</v>
      </c>
      <c r="N408" s="1" t="str">
        <f t="shared" si="61"/>
        <v>50071</v>
      </c>
      <c r="O408" s="1">
        <v>3</v>
      </c>
      <c r="P408" s="1" t="str">
        <f t="shared" si="62"/>
        <v>50073</v>
      </c>
      <c r="Q408" s="1">
        <v>5</v>
      </c>
      <c r="R408" s="1">
        <f>VLOOKUP(--J408,test3,11,FALSE)*K408+VLOOKUP(--L408,test3,11,FALSE)*M408+IF(N408="",0,VLOOKUP(--N408,test3,11,FALSE)*O408)+IF(P408="",0,VLOOKUP(--P408,test3,11,FALSE)*Q408)</f>
        <v>1110</v>
      </c>
    </row>
    <row r="409" spans="2:18" x14ac:dyDescent="0.15">
      <c r="B409" s="1">
        <f>[1]item!$D408</f>
        <v>100407</v>
      </c>
      <c r="C409" s="1">
        <f>[1]item!$C408</f>
        <v>204091401</v>
      </c>
      <c r="D409" s="1">
        <f t="shared" si="55"/>
        <v>9</v>
      </c>
      <c r="E409" s="1">
        <f t="shared" si="56"/>
        <v>4</v>
      </c>
      <c r="F409" s="1">
        <f t="shared" si="57"/>
        <v>2</v>
      </c>
      <c r="G409" s="15" t="s">
        <v>606</v>
      </c>
      <c r="H409" s="1">
        <v>4</v>
      </c>
      <c r="I409" s="1" t="str">
        <f t="shared" si="58"/>
        <v>,50200,50075,50073,50077</v>
      </c>
      <c r="J409" s="1" t="str">
        <f t="shared" si="59"/>
        <v>50200</v>
      </c>
      <c r="K409" s="1">
        <v>1</v>
      </c>
      <c r="L409" s="1" t="str">
        <f t="shared" si="60"/>
        <v>50075</v>
      </c>
      <c r="M409" s="1">
        <v>2</v>
      </c>
      <c r="N409" s="1" t="str">
        <f t="shared" si="61"/>
        <v>50073</v>
      </c>
      <c r="O409" s="1">
        <v>3</v>
      </c>
      <c r="P409" s="1" t="str">
        <f t="shared" si="62"/>
        <v>50077</v>
      </c>
      <c r="Q409" s="1">
        <v>5</v>
      </c>
      <c r="R409" s="1">
        <f>VLOOKUP(--J409,test3,11,FALSE)*K409+VLOOKUP(--L409,test3,11,FALSE)*M409+IF(N409="",0,VLOOKUP(--N409,test3,11,FALSE)*O409)+IF(P409="",0,VLOOKUP(--P409,test3,11,FALSE)*Q409)</f>
        <v>1110</v>
      </c>
    </row>
    <row r="410" spans="2:18" x14ac:dyDescent="0.15">
      <c r="B410" s="1">
        <f>[1]item!$D409</f>
        <v>100408</v>
      </c>
      <c r="C410" s="1">
        <f>[1]item!$C409</f>
        <v>304091501</v>
      </c>
      <c r="D410" s="1">
        <f t="shared" si="55"/>
        <v>9</v>
      </c>
      <c r="E410" s="1">
        <f t="shared" si="56"/>
        <v>4</v>
      </c>
      <c r="F410" s="1">
        <f t="shared" si="57"/>
        <v>3</v>
      </c>
      <c r="G410" s="15" t="s">
        <v>606</v>
      </c>
      <c r="H410" s="1">
        <v>4</v>
      </c>
      <c r="I410" s="1" t="str">
        <f t="shared" si="58"/>
        <v>,50200,50075,50073,50077</v>
      </c>
      <c r="J410" s="1" t="str">
        <f t="shared" si="59"/>
        <v>50200</v>
      </c>
      <c r="K410" s="1">
        <v>1</v>
      </c>
      <c r="L410" s="1" t="str">
        <f t="shared" si="60"/>
        <v>50075</v>
      </c>
      <c r="M410" s="1">
        <v>2</v>
      </c>
      <c r="N410" s="1" t="str">
        <f t="shared" si="61"/>
        <v>50073</v>
      </c>
      <c r="O410" s="1">
        <v>3</v>
      </c>
      <c r="P410" s="1" t="str">
        <f t="shared" si="62"/>
        <v>50077</v>
      </c>
      <c r="Q410" s="1">
        <v>5</v>
      </c>
      <c r="R410" s="1">
        <f>VLOOKUP(--J410,test3,11,FALSE)*K410+VLOOKUP(--L410,test3,11,FALSE)*M410+IF(N410="",0,VLOOKUP(--N410,test3,11,FALSE)*O410)+IF(P410="",0,VLOOKUP(--P410,test3,11,FALSE)*Q410)</f>
        <v>1110</v>
      </c>
    </row>
    <row r="411" spans="2:18" x14ac:dyDescent="0.15">
      <c r="B411" s="1">
        <f>[1]item!$D410</f>
        <v>100409</v>
      </c>
      <c r="C411" s="1">
        <f>[1]item!$C410</f>
        <v>104090202</v>
      </c>
      <c r="D411" s="1">
        <f t="shared" si="55"/>
        <v>9</v>
      </c>
      <c r="E411" s="1">
        <f t="shared" si="56"/>
        <v>4</v>
      </c>
      <c r="F411" s="1">
        <f t="shared" si="57"/>
        <v>1</v>
      </c>
      <c r="G411" s="1" t="str">
        <f>IF(--MID(C411,6,2)&lt;14,VLOOKUP(--MID(C411,6,2),test2,3,FALSE),"")</f>
        <v>地脉</v>
      </c>
      <c r="H411" s="1">
        <v>4</v>
      </c>
      <c r="I411" s="1" t="str">
        <f t="shared" si="58"/>
        <v>,50200,50074,50076,50071</v>
      </c>
      <c r="J411" s="1" t="str">
        <f t="shared" si="59"/>
        <v>50200</v>
      </c>
      <c r="K411" s="1">
        <v>1</v>
      </c>
      <c r="L411" s="1" t="str">
        <f t="shared" si="60"/>
        <v>50074</v>
      </c>
      <c r="M411" s="1">
        <v>2</v>
      </c>
      <c r="N411" s="1" t="str">
        <f t="shared" si="61"/>
        <v>50076</v>
      </c>
      <c r="O411" s="1">
        <v>3</v>
      </c>
      <c r="P411" s="1" t="str">
        <f t="shared" si="62"/>
        <v>50071</v>
      </c>
      <c r="Q411" s="1">
        <v>5</v>
      </c>
      <c r="R411" s="1">
        <f>VLOOKUP(--J411,test3,11,FALSE)*K411+VLOOKUP(--L411,test3,11,FALSE)*M411+IF(N411="",0,VLOOKUP(--N411,test3,11,FALSE)*O411)+IF(P411="",0,VLOOKUP(--P411,test3,11,FALSE)*Q411)</f>
        <v>1110</v>
      </c>
    </row>
    <row r="412" spans="2:18" x14ac:dyDescent="0.15">
      <c r="B412" s="1">
        <f>[1]item!$D411</f>
        <v>100410</v>
      </c>
      <c r="C412" s="1">
        <f>[1]item!$C411</f>
        <v>204091402</v>
      </c>
      <c r="D412" s="1">
        <f t="shared" si="55"/>
        <v>9</v>
      </c>
      <c r="E412" s="1">
        <f t="shared" si="56"/>
        <v>4</v>
      </c>
      <c r="F412" s="1">
        <f t="shared" si="57"/>
        <v>2</v>
      </c>
      <c r="G412" s="15" t="s">
        <v>607</v>
      </c>
      <c r="H412" s="1">
        <v>4</v>
      </c>
      <c r="I412" s="1" t="str">
        <f t="shared" si="58"/>
        <v>,50200,50074,50076,50071</v>
      </c>
      <c r="J412" s="1" t="str">
        <f t="shared" si="59"/>
        <v>50200</v>
      </c>
      <c r="K412" s="1">
        <v>1</v>
      </c>
      <c r="L412" s="1" t="str">
        <f t="shared" si="60"/>
        <v>50074</v>
      </c>
      <c r="M412" s="1">
        <v>2</v>
      </c>
      <c r="N412" s="1" t="str">
        <f t="shared" si="61"/>
        <v>50076</v>
      </c>
      <c r="O412" s="1">
        <v>3</v>
      </c>
      <c r="P412" s="1" t="str">
        <f t="shared" si="62"/>
        <v>50071</v>
      </c>
      <c r="Q412" s="1">
        <v>5</v>
      </c>
      <c r="R412" s="1">
        <f>VLOOKUP(--J412,test3,11,FALSE)*K412+VLOOKUP(--L412,test3,11,FALSE)*M412+IF(N412="",0,VLOOKUP(--N412,test3,11,FALSE)*O412)+IF(P412="",0,VLOOKUP(--P412,test3,11,FALSE)*Q412)</f>
        <v>1110</v>
      </c>
    </row>
    <row r="413" spans="2:18" x14ac:dyDescent="0.15">
      <c r="B413" s="1">
        <f>[1]item!$D412</f>
        <v>100411</v>
      </c>
      <c r="C413" s="1">
        <f>[1]item!$C412</f>
        <v>304091502</v>
      </c>
      <c r="D413" s="1">
        <f t="shared" si="55"/>
        <v>9</v>
      </c>
      <c r="E413" s="1">
        <f t="shared" si="56"/>
        <v>4</v>
      </c>
      <c r="F413" s="1">
        <f t="shared" si="57"/>
        <v>3</v>
      </c>
      <c r="G413" s="15" t="s">
        <v>608</v>
      </c>
      <c r="H413" s="1">
        <v>4</v>
      </c>
      <c r="I413" s="1" t="str">
        <f t="shared" si="58"/>
        <v>,50200,50074,50076,50071</v>
      </c>
      <c r="J413" s="1" t="str">
        <f t="shared" si="59"/>
        <v>50200</v>
      </c>
      <c r="K413" s="1">
        <v>1</v>
      </c>
      <c r="L413" s="1" t="str">
        <f t="shared" si="60"/>
        <v>50074</v>
      </c>
      <c r="M413" s="1">
        <v>2</v>
      </c>
      <c r="N413" s="1" t="str">
        <f t="shared" si="61"/>
        <v>50076</v>
      </c>
      <c r="O413" s="1">
        <v>3</v>
      </c>
      <c r="P413" s="1" t="str">
        <f t="shared" si="62"/>
        <v>50071</v>
      </c>
      <c r="Q413" s="1">
        <v>5</v>
      </c>
      <c r="R413" s="1">
        <f>VLOOKUP(--J413,test3,11,FALSE)*K413+VLOOKUP(--L413,test3,11,FALSE)*M413+IF(N413="",0,VLOOKUP(--N413,test3,11,FALSE)*O413)+IF(P413="",0,VLOOKUP(--P413,test3,11,FALSE)*Q413)</f>
        <v>1110</v>
      </c>
    </row>
    <row r="414" spans="2:18" x14ac:dyDescent="0.15">
      <c r="B414" s="1">
        <f>[1]item!$D413</f>
        <v>100412</v>
      </c>
      <c r="C414" s="1">
        <f>[1]item!$C413</f>
        <v>104090303</v>
      </c>
      <c r="D414" s="1">
        <f t="shared" si="55"/>
        <v>9</v>
      </c>
      <c r="E414" s="1">
        <f t="shared" si="56"/>
        <v>4</v>
      </c>
      <c r="F414" s="1">
        <f t="shared" si="57"/>
        <v>1</v>
      </c>
      <c r="G414" s="1" t="str">
        <f>IF(--MID(C414,6,2)&lt;14,VLOOKUP(--MID(C414,6,2),test2,3,FALSE),"")</f>
        <v>神圣</v>
      </c>
      <c r="H414" s="1">
        <v>4</v>
      </c>
      <c r="I414" s="1" t="str">
        <f t="shared" si="58"/>
        <v>,50200,50075,50073,50077</v>
      </c>
      <c r="J414" s="1" t="str">
        <f t="shared" si="59"/>
        <v>50200</v>
      </c>
      <c r="K414" s="1">
        <v>1</v>
      </c>
      <c r="L414" s="1" t="str">
        <f t="shared" si="60"/>
        <v>50075</v>
      </c>
      <c r="M414" s="1">
        <v>2</v>
      </c>
      <c r="N414" s="1" t="str">
        <f t="shared" si="61"/>
        <v>50073</v>
      </c>
      <c r="O414" s="1">
        <v>3</v>
      </c>
      <c r="P414" s="1" t="str">
        <f t="shared" si="62"/>
        <v>50077</v>
      </c>
      <c r="Q414" s="1">
        <v>5</v>
      </c>
      <c r="R414" s="1">
        <f>VLOOKUP(--J414,test3,11,FALSE)*K414+VLOOKUP(--L414,test3,11,FALSE)*M414+IF(N414="",0,VLOOKUP(--N414,test3,11,FALSE)*O414)+IF(P414="",0,VLOOKUP(--P414,test3,11,FALSE)*Q414)</f>
        <v>1110</v>
      </c>
    </row>
    <row r="415" spans="2:18" x14ac:dyDescent="0.15">
      <c r="B415" s="1">
        <f>[1]item!$D414</f>
        <v>100413</v>
      </c>
      <c r="C415" s="1">
        <f>[1]item!$C414</f>
        <v>204091403</v>
      </c>
      <c r="D415" s="1">
        <f t="shared" si="55"/>
        <v>9</v>
      </c>
      <c r="E415" s="1">
        <f t="shared" si="56"/>
        <v>4</v>
      </c>
      <c r="F415" s="1">
        <f t="shared" si="57"/>
        <v>2</v>
      </c>
      <c r="G415" s="15" t="s">
        <v>606</v>
      </c>
      <c r="H415" s="1">
        <v>4</v>
      </c>
      <c r="I415" s="1" t="str">
        <f t="shared" si="58"/>
        <v>,50200,50075,50073,50077</v>
      </c>
      <c r="J415" s="1" t="str">
        <f t="shared" si="59"/>
        <v>50200</v>
      </c>
      <c r="K415" s="1">
        <v>1</v>
      </c>
      <c r="L415" s="1" t="str">
        <f t="shared" si="60"/>
        <v>50075</v>
      </c>
      <c r="M415" s="1">
        <v>2</v>
      </c>
      <c r="N415" s="1" t="str">
        <f t="shared" si="61"/>
        <v>50073</v>
      </c>
      <c r="O415" s="1">
        <v>3</v>
      </c>
      <c r="P415" s="1" t="str">
        <f t="shared" si="62"/>
        <v>50077</v>
      </c>
      <c r="Q415" s="1">
        <v>5</v>
      </c>
      <c r="R415" s="1">
        <f>VLOOKUP(--J415,test3,11,FALSE)*K415+VLOOKUP(--L415,test3,11,FALSE)*M415+IF(N415="",0,VLOOKUP(--N415,test3,11,FALSE)*O415)+IF(P415="",0,VLOOKUP(--P415,test3,11,FALSE)*Q415)</f>
        <v>1110</v>
      </c>
    </row>
    <row r="416" spans="2:18" x14ac:dyDescent="0.15">
      <c r="B416" s="1">
        <f>[1]item!$D415</f>
        <v>100414</v>
      </c>
      <c r="C416" s="1">
        <f>[1]item!$C415</f>
        <v>304091503</v>
      </c>
      <c r="D416" s="1">
        <f t="shared" si="55"/>
        <v>9</v>
      </c>
      <c r="E416" s="1">
        <f t="shared" si="56"/>
        <v>4</v>
      </c>
      <c r="F416" s="1">
        <f t="shared" si="57"/>
        <v>3</v>
      </c>
      <c r="G416" s="15" t="s">
        <v>609</v>
      </c>
      <c r="H416" s="1">
        <v>4</v>
      </c>
      <c r="I416" s="1" t="str">
        <f t="shared" si="58"/>
        <v>,50200,50075,50073,50077</v>
      </c>
      <c r="J416" s="1" t="str">
        <f t="shared" si="59"/>
        <v>50200</v>
      </c>
      <c r="K416" s="1">
        <v>1</v>
      </c>
      <c r="L416" s="1" t="str">
        <f t="shared" si="60"/>
        <v>50075</v>
      </c>
      <c r="M416" s="1">
        <v>2</v>
      </c>
      <c r="N416" s="1" t="str">
        <f t="shared" si="61"/>
        <v>50073</v>
      </c>
      <c r="O416" s="1">
        <v>3</v>
      </c>
      <c r="P416" s="1" t="str">
        <f t="shared" si="62"/>
        <v>50077</v>
      </c>
      <c r="Q416" s="1">
        <v>5</v>
      </c>
      <c r="R416" s="1">
        <f>VLOOKUP(--J416,test3,11,FALSE)*K416+VLOOKUP(--L416,test3,11,FALSE)*M416+IF(N416="",0,VLOOKUP(--N416,test3,11,FALSE)*O416)+IF(P416="",0,VLOOKUP(--P416,test3,11,FALSE)*Q416)</f>
        <v>1110</v>
      </c>
    </row>
    <row r="417" spans="2:18" x14ac:dyDescent="0.15">
      <c r="B417" s="1">
        <f>[1]item!$D416</f>
        <v>100415</v>
      </c>
      <c r="C417" s="1">
        <f>[1]item!$C416</f>
        <v>104090404</v>
      </c>
      <c r="D417" s="1">
        <f t="shared" si="55"/>
        <v>9</v>
      </c>
      <c r="E417" s="1">
        <f t="shared" si="56"/>
        <v>4</v>
      </c>
      <c r="F417" s="1">
        <f t="shared" si="57"/>
        <v>1</v>
      </c>
      <c r="G417" s="1" t="str">
        <f>IF(--MID(C417,6,2)&lt;14,VLOOKUP(--MID(C417,6,2),test2,3,FALSE),"")</f>
        <v>电击</v>
      </c>
      <c r="H417" s="1">
        <v>4</v>
      </c>
      <c r="I417" s="1" t="str">
        <f t="shared" si="58"/>
        <v>,50200,50073,50076,50190</v>
      </c>
      <c r="J417" s="1" t="str">
        <f t="shared" si="59"/>
        <v>50200</v>
      </c>
      <c r="K417" s="1">
        <v>1</v>
      </c>
      <c r="L417" s="1" t="str">
        <f t="shared" si="60"/>
        <v>50073</v>
      </c>
      <c r="M417" s="1">
        <v>2</v>
      </c>
      <c r="N417" s="1" t="str">
        <f t="shared" si="61"/>
        <v>50076</v>
      </c>
      <c r="O417" s="1">
        <v>3</v>
      </c>
      <c r="P417" s="1" t="str">
        <f t="shared" si="62"/>
        <v>50190</v>
      </c>
      <c r="Q417" s="1">
        <v>5</v>
      </c>
      <c r="R417" s="1">
        <f>VLOOKUP(--J417,test3,11,FALSE)*K417+VLOOKUP(--L417,test3,11,FALSE)*M417+IF(N417="",0,VLOOKUP(--N417,test3,11,FALSE)*O417)+IF(P417="",0,VLOOKUP(--P417,test3,11,FALSE)*Q417)</f>
        <v>1110</v>
      </c>
    </row>
    <row r="418" spans="2:18" x14ac:dyDescent="0.15">
      <c r="B418" s="1">
        <f>[1]item!$D417</f>
        <v>100416</v>
      </c>
      <c r="C418" s="1">
        <f>[1]item!$C417</f>
        <v>204091404</v>
      </c>
      <c r="D418" s="1">
        <f t="shared" si="55"/>
        <v>9</v>
      </c>
      <c r="E418" s="1">
        <f t="shared" si="56"/>
        <v>4</v>
      </c>
      <c r="F418" s="1">
        <f t="shared" si="57"/>
        <v>2</v>
      </c>
      <c r="G418" s="15" t="s">
        <v>610</v>
      </c>
      <c r="H418" s="1">
        <v>4</v>
      </c>
      <c r="I418" s="1" t="str">
        <f t="shared" si="58"/>
        <v>,50200,50073,50076,50190</v>
      </c>
      <c r="J418" s="1" t="str">
        <f t="shared" si="59"/>
        <v>50200</v>
      </c>
      <c r="K418" s="1">
        <v>1</v>
      </c>
      <c r="L418" s="1" t="str">
        <f t="shared" si="60"/>
        <v>50073</v>
      </c>
      <c r="M418" s="1">
        <v>2</v>
      </c>
      <c r="N418" s="1" t="str">
        <f t="shared" si="61"/>
        <v>50076</v>
      </c>
      <c r="O418" s="1">
        <v>3</v>
      </c>
      <c r="P418" s="1" t="str">
        <f t="shared" si="62"/>
        <v>50190</v>
      </c>
      <c r="Q418" s="1">
        <v>5</v>
      </c>
      <c r="R418" s="1">
        <f>VLOOKUP(--J418,test3,11,FALSE)*K418+VLOOKUP(--L418,test3,11,FALSE)*M418+IF(N418="",0,VLOOKUP(--N418,test3,11,FALSE)*O418)+IF(P418="",0,VLOOKUP(--P418,test3,11,FALSE)*Q418)</f>
        <v>1110</v>
      </c>
    </row>
    <row r="419" spans="2:18" x14ac:dyDescent="0.15">
      <c r="B419" s="1">
        <f>[1]item!$D418</f>
        <v>100417</v>
      </c>
      <c r="C419" s="1">
        <f>[1]item!$C418</f>
        <v>304091504</v>
      </c>
      <c r="D419" s="1">
        <f t="shared" si="55"/>
        <v>9</v>
      </c>
      <c r="E419" s="1">
        <f t="shared" si="56"/>
        <v>4</v>
      </c>
      <c r="F419" s="1">
        <f t="shared" si="57"/>
        <v>3</v>
      </c>
      <c r="G419" s="15" t="s">
        <v>611</v>
      </c>
      <c r="H419" s="1">
        <v>4</v>
      </c>
      <c r="I419" s="1" t="str">
        <f t="shared" si="58"/>
        <v>,50200,50073,50077,50131</v>
      </c>
      <c r="J419" s="1" t="str">
        <f t="shared" si="59"/>
        <v>50200</v>
      </c>
      <c r="K419" s="1">
        <v>1</v>
      </c>
      <c r="L419" s="1" t="str">
        <f t="shared" si="60"/>
        <v>50073</v>
      </c>
      <c r="M419" s="1">
        <v>2</v>
      </c>
      <c r="N419" s="1" t="str">
        <f t="shared" si="61"/>
        <v>50077</v>
      </c>
      <c r="O419" s="1">
        <v>3</v>
      </c>
      <c r="P419" s="1" t="str">
        <f t="shared" si="62"/>
        <v>50131</v>
      </c>
      <c r="Q419" s="1">
        <v>5</v>
      </c>
      <c r="R419" s="1">
        <f>VLOOKUP(--J419,test3,11,FALSE)*K419+VLOOKUP(--L419,test3,11,FALSE)*M419+IF(N419="",0,VLOOKUP(--N419,test3,11,FALSE)*O419)+IF(P419="",0,VLOOKUP(--P419,test3,11,FALSE)*Q419)</f>
        <v>900</v>
      </c>
    </row>
    <row r="420" spans="2:18" x14ac:dyDescent="0.15">
      <c r="B420" s="1">
        <f>[1]item!$D419</f>
        <v>100418</v>
      </c>
      <c r="C420" s="1">
        <f>[1]item!$C419</f>
        <v>104090505</v>
      </c>
      <c r="D420" s="1">
        <f t="shared" si="55"/>
        <v>9</v>
      </c>
      <c r="E420" s="1">
        <f t="shared" si="56"/>
        <v>4</v>
      </c>
      <c r="F420" s="1">
        <f t="shared" si="57"/>
        <v>1</v>
      </c>
      <c r="G420" s="1" t="str">
        <f>IF(--MID(C420,6,2)&lt;14,VLOOKUP(--MID(C420,6,2),test2,3,FALSE),"")</f>
        <v>黑暗</v>
      </c>
      <c r="H420" s="1">
        <v>4</v>
      </c>
      <c r="I420" s="1" t="str">
        <f t="shared" si="58"/>
        <v>,50200,50076,50190,50071</v>
      </c>
      <c r="J420" s="1" t="str">
        <f t="shared" si="59"/>
        <v>50200</v>
      </c>
      <c r="K420" s="1">
        <v>1</v>
      </c>
      <c r="L420" s="1" t="str">
        <f t="shared" si="60"/>
        <v>50076</v>
      </c>
      <c r="M420" s="1">
        <v>2</v>
      </c>
      <c r="N420" s="1" t="str">
        <f t="shared" si="61"/>
        <v>50190</v>
      </c>
      <c r="O420" s="1">
        <v>3</v>
      </c>
      <c r="P420" s="1" t="str">
        <f t="shared" si="62"/>
        <v>50071</v>
      </c>
      <c r="Q420" s="1">
        <v>5</v>
      </c>
      <c r="R420" s="1">
        <f>VLOOKUP(--J420,test3,11,FALSE)*K420+VLOOKUP(--L420,test3,11,FALSE)*M420+IF(N420="",0,VLOOKUP(--N420,test3,11,FALSE)*O420)+IF(P420="",0,VLOOKUP(--P420,test3,11,FALSE)*Q420)</f>
        <v>1110</v>
      </c>
    </row>
    <row r="421" spans="2:18" x14ac:dyDescent="0.15">
      <c r="B421" s="1">
        <f>[1]item!$D420</f>
        <v>100419</v>
      </c>
      <c r="C421" s="1">
        <f>[1]item!$C420</f>
        <v>204091405</v>
      </c>
      <c r="D421" s="1">
        <f t="shared" si="55"/>
        <v>9</v>
      </c>
      <c r="E421" s="1">
        <f t="shared" si="56"/>
        <v>4</v>
      </c>
      <c r="F421" s="1">
        <f t="shared" si="57"/>
        <v>2</v>
      </c>
      <c r="G421" s="15" t="s">
        <v>612</v>
      </c>
      <c r="H421" s="1">
        <v>4</v>
      </c>
      <c r="I421" s="1" t="str">
        <f t="shared" si="58"/>
        <v>,50200,50076,50190,50071</v>
      </c>
      <c r="J421" s="1" t="str">
        <f t="shared" si="59"/>
        <v>50200</v>
      </c>
      <c r="K421" s="1">
        <v>1</v>
      </c>
      <c r="L421" s="1" t="str">
        <f t="shared" si="60"/>
        <v>50076</v>
      </c>
      <c r="M421" s="1">
        <v>2</v>
      </c>
      <c r="N421" s="1" t="str">
        <f t="shared" si="61"/>
        <v>50190</v>
      </c>
      <c r="O421" s="1">
        <v>3</v>
      </c>
      <c r="P421" s="1" t="str">
        <f t="shared" si="62"/>
        <v>50071</v>
      </c>
      <c r="Q421" s="1">
        <v>5</v>
      </c>
      <c r="R421" s="1">
        <f>VLOOKUP(--J421,test3,11,FALSE)*K421+VLOOKUP(--L421,test3,11,FALSE)*M421+IF(N421="",0,VLOOKUP(--N421,test3,11,FALSE)*O421)+IF(P421="",0,VLOOKUP(--P421,test3,11,FALSE)*Q421)</f>
        <v>1110</v>
      </c>
    </row>
    <row r="422" spans="2:18" x14ac:dyDescent="0.15">
      <c r="B422" s="1">
        <f>[1]item!$D421</f>
        <v>100420</v>
      </c>
      <c r="C422" s="1">
        <f>[1]item!$C421</f>
        <v>304091505</v>
      </c>
      <c r="D422" s="1">
        <f t="shared" si="55"/>
        <v>9</v>
      </c>
      <c r="E422" s="1">
        <f t="shared" si="56"/>
        <v>4</v>
      </c>
      <c r="F422" s="1">
        <f t="shared" si="57"/>
        <v>3</v>
      </c>
      <c r="G422" s="15" t="s">
        <v>613</v>
      </c>
      <c r="H422" s="1">
        <v>4</v>
      </c>
      <c r="I422" s="1" t="str">
        <f t="shared" si="58"/>
        <v>,50200,50076,50071,50072</v>
      </c>
      <c r="J422" s="1" t="str">
        <f t="shared" si="59"/>
        <v>50200</v>
      </c>
      <c r="K422" s="1">
        <v>1</v>
      </c>
      <c r="L422" s="1" t="str">
        <f t="shared" si="60"/>
        <v>50076</v>
      </c>
      <c r="M422" s="1">
        <v>2</v>
      </c>
      <c r="N422" s="1" t="str">
        <f t="shared" si="61"/>
        <v>50071</v>
      </c>
      <c r="O422" s="1">
        <v>3</v>
      </c>
      <c r="P422" s="1" t="str">
        <f t="shared" si="62"/>
        <v>50072</v>
      </c>
      <c r="Q422" s="1">
        <v>5</v>
      </c>
      <c r="R422" s="1">
        <f>VLOOKUP(--J422,test3,11,FALSE)*K422+VLOOKUP(--L422,test3,11,FALSE)*M422+IF(N422="",0,VLOOKUP(--N422,test3,11,FALSE)*O422)+IF(P422="",0,VLOOKUP(--P422,test3,11,FALSE)*Q422)</f>
        <v>1110</v>
      </c>
    </row>
    <row r="423" spans="2:18" x14ac:dyDescent="0.15">
      <c r="B423" s="1">
        <f>[1]item!$D422</f>
        <v>100421</v>
      </c>
      <c r="C423" s="1">
        <f>[1]item!$C422</f>
        <v>104090606</v>
      </c>
      <c r="D423" s="1">
        <f t="shared" si="55"/>
        <v>9</v>
      </c>
      <c r="E423" s="1">
        <f t="shared" si="56"/>
        <v>4</v>
      </c>
      <c r="F423" s="1">
        <f t="shared" si="57"/>
        <v>1</v>
      </c>
      <c r="G423" s="1" t="str">
        <f>IF(--MID(C423,6,2)&lt;14,VLOOKUP(--MID(C423,6,2),test2,3,FALSE),"")</f>
        <v>电击</v>
      </c>
      <c r="H423" s="1">
        <v>4</v>
      </c>
      <c r="I423" s="1" t="str">
        <f t="shared" si="58"/>
        <v>,50200,50073,50076,50190</v>
      </c>
      <c r="J423" s="1" t="str">
        <f t="shared" si="59"/>
        <v>50200</v>
      </c>
      <c r="K423" s="1">
        <v>1</v>
      </c>
      <c r="L423" s="1" t="str">
        <f t="shared" si="60"/>
        <v>50073</v>
      </c>
      <c r="M423" s="1">
        <v>2</v>
      </c>
      <c r="N423" s="1" t="str">
        <f t="shared" si="61"/>
        <v>50076</v>
      </c>
      <c r="O423" s="1">
        <v>3</v>
      </c>
      <c r="P423" s="1" t="str">
        <f t="shared" si="62"/>
        <v>50190</v>
      </c>
      <c r="Q423" s="1">
        <v>5</v>
      </c>
      <c r="R423" s="1">
        <f>VLOOKUP(--J423,test3,11,FALSE)*K423+VLOOKUP(--L423,test3,11,FALSE)*M423+IF(N423="",0,VLOOKUP(--N423,test3,11,FALSE)*O423)+IF(P423="",0,VLOOKUP(--P423,test3,11,FALSE)*Q423)</f>
        <v>1110</v>
      </c>
    </row>
    <row r="424" spans="2:18" x14ac:dyDescent="0.15">
      <c r="B424" s="1">
        <f>[1]item!$D423</f>
        <v>100422</v>
      </c>
      <c r="C424" s="1">
        <f>[1]item!$C423</f>
        <v>204091406</v>
      </c>
      <c r="D424" s="1">
        <f t="shared" si="55"/>
        <v>9</v>
      </c>
      <c r="E424" s="1">
        <f t="shared" si="56"/>
        <v>4</v>
      </c>
      <c r="F424" s="1">
        <f t="shared" si="57"/>
        <v>2</v>
      </c>
      <c r="G424" s="15" t="s">
        <v>614</v>
      </c>
      <c r="H424" s="1">
        <v>4</v>
      </c>
      <c r="I424" s="1" t="str">
        <f t="shared" si="58"/>
        <v>,50200,50073,50076,50190</v>
      </c>
      <c r="J424" s="1" t="str">
        <f t="shared" si="59"/>
        <v>50200</v>
      </c>
      <c r="K424" s="1">
        <v>1</v>
      </c>
      <c r="L424" s="1" t="str">
        <f t="shared" si="60"/>
        <v>50073</v>
      </c>
      <c r="M424" s="1">
        <v>2</v>
      </c>
      <c r="N424" s="1" t="str">
        <f t="shared" si="61"/>
        <v>50076</v>
      </c>
      <c r="O424" s="1">
        <v>3</v>
      </c>
      <c r="P424" s="1" t="str">
        <f t="shared" si="62"/>
        <v>50190</v>
      </c>
      <c r="Q424" s="1">
        <v>5</v>
      </c>
      <c r="R424" s="1">
        <f>VLOOKUP(--J424,test3,11,FALSE)*K424+VLOOKUP(--L424,test3,11,FALSE)*M424+IF(N424="",0,VLOOKUP(--N424,test3,11,FALSE)*O424)+IF(P424="",0,VLOOKUP(--P424,test3,11,FALSE)*Q424)</f>
        <v>1110</v>
      </c>
    </row>
    <row r="425" spans="2:18" x14ac:dyDescent="0.15">
      <c r="B425" s="1">
        <f>[1]item!$D424</f>
        <v>100423</v>
      </c>
      <c r="C425" s="1">
        <f>[1]item!$C424</f>
        <v>304091506</v>
      </c>
      <c r="D425" s="1">
        <f t="shared" si="55"/>
        <v>9</v>
      </c>
      <c r="E425" s="1">
        <f t="shared" si="56"/>
        <v>4</v>
      </c>
      <c r="F425" s="1">
        <f t="shared" si="57"/>
        <v>3</v>
      </c>
      <c r="G425" s="15" t="s">
        <v>610</v>
      </c>
      <c r="H425" s="1">
        <v>4</v>
      </c>
      <c r="I425" s="1" t="str">
        <f t="shared" si="58"/>
        <v>,50200,50073,50076,50190</v>
      </c>
      <c r="J425" s="1" t="str">
        <f t="shared" si="59"/>
        <v>50200</v>
      </c>
      <c r="K425" s="1">
        <v>1</v>
      </c>
      <c r="L425" s="1" t="str">
        <f t="shared" si="60"/>
        <v>50073</v>
      </c>
      <c r="M425" s="1">
        <v>2</v>
      </c>
      <c r="N425" s="1" t="str">
        <f t="shared" si="61"/>
        <v>50076</v>
      </c>
      <c r="O425" s="1">
        <v>3</v>
      </c>
      <c r="P425" s="1" t="str">
        <f t="shared" si="62"/>
        <v>50190</v>
      </c>
      <c r="Q425" s="1">
        <v>5</v>
      </c>
      <c r="R425" s="1">
        <f>VLOOKUP(--J425,test3,11,FALSE)*K425+VLOOKUP(--L425,test3,11,FALSE)*M425+IF(N425="",0,VLOOKUP(--N425,test3,11,FALSE)*O425)+IF(P425="",0,VLOOKUP(--P425,test3,11,FALSE)*Q425)</f>
        <v>1110</v>
      </c>
    </row>
    <row r="426" spans="2:18" x14ac:dyDescent="0.15">
      <c r="B426" s="1">
        <f>[1]item!$D425</f>
        <v>100424</v>
      </c>
      <c r="C426" s="1">
        <f>[1]item!$C425</f>
        <v>104090707</v>
      </c>
      <c r="D426" s="1">
        <f t="shared" si="55"/>
        <v>9</v>
      </c>
      <c r="E426" s="1">
        <f t="shared" si="56"/>
        <v>4</v>
      </c>
      <c r="F426" s="1">
        <f t="shared" si="57"/>
        <v>1</v>
      </c>
      <c r="G426" s="1" t="str">
        <f>IF(--MID(C426,6,2)&lt;14,VLOOKUP(--MID(C426,6,2),test2,3,FALSE),"")</f>
        <v>地脉</v>
      </c>
      <c r="H426" s="1">
        <v>4</v>
      </c>
      <c r="I426" s="1" t="str">
        <f t="shared" si="58"/>
        <v>,50200,50074,50076,50071</v>
      </c>
      <c r="J426" s="1" t="str">
        <f t="shared" si="59"/>
        <v>50200</v>
      </c>
      <c r="K426" s="1">
        <v>1</v>
      </c>
      <c r="L426" s="1" t="str">
        <f t="shared" si="60"/>
        <v>50074</v>
      </c>
      <c r="M426" s="1">
        <v>2</v>
      </c>
      <c r="N426" s="1" t="str">
        <f t="shared" si="61"/>
        <v>50076</v>
      </c>
      <c r="O426" s="1">
        <v>3</v>
      </c>
      <c r="P426" s="1" t="str">
        <f t="shared" si="62"/>
        <v>50071</v>
      </c>
      <c r="Q426" s="1">
        <v>5</v>
      </c>
      <c r="R426" s="1">
        <f>VLOOKUP(--J426,test3,11,FALSE)*K426+VLOOKUP(--L426,test3,11,FALSE)*M426+IF(N426="",0,VLOOKUP(--N426,test3,11,FALSE)*O426)+IF(P426="",0,VLOOKUP(--P426,test3,11,FALSE)*Q426)</f>
        <v>1110</v>
      </c>
    </row>
    <row r="427" spans="2:18" x14ac:dyDescent="0.15">
      <c r="B427" s="1">
        <f>[1]item!$D426</f>
        <v>100425</v>
      </c>
      <c r="C427" s="1">
        <f>[1]item!$C426</f>
        <v>204091407</v>
      </c>
      <c r="D427" s="1">
        <f t="shared" si="55"/>
        <v>9</v>
      </c>
      <c r="E427" s="1">
        <f t="shared" si="56"/>
        <v>4</v>
      </c>
      <c r="F427" s="1">
        <f t="shared" si="57"/>
        <v>2</v>
      </c>
      <c r="G427" s="15" t="s">
        <v>607</v>
      </c>
      <c r="H427" s="1">
        <v>4</v>
      </c>
      <c r="I427" s="1" t="str">
        <f t="shared" si="58"/>
        <v>,50200,50074,50076,50071</v>
      </c>
      <c r="J427" s="1" t="str">
        <f t="shared" si="59"/>
        <v>50200</v>
      </c>
      <c r="K427" s="1">
        <v>1</v>
      </c>
      <c r="L427" s="1" t="str">
        <f t="shared" si="60"/>
        <v>50074</v>
      </c>
      <c r="M427" s="1">
        <v>2</v>
      </c>
      <c r="N427" s="1" t="str">
        <f t="shared" si="61"/>
        <v>50076</v>
      </c>
      <c r="O427" s="1">
        <v>3</v>
      </c>
      <c r="P427" s="1" t="str">
        <f t="shared" si="62"/>
        <v>50071</v>
      </c>
      <c r="Q427" s="1">
        <v>5</v>
      </c>
      <c r="R427" s="1">
        <f>VLOOKUP(--J427,test3,11,FALSE)*K427+VLOOKUP(--L427,test3,11,FALSE)*M427+IF(N427="",0,VLOOKUP(--N427,test3,11,FALSE)*O427)+IF(P427="",0,VLOOKUP(--P427,test3,11,FALSE)*Q427)</f>
        <v>1110</v>
      </c>
    </row>
    <row r="428" spans="2:18" x14ac:dyDescent="0.15">
      <c r="B428" s="1">
        <f>[1]item!$D427</f>
        <v>100426</v>
      </c>
      <c r="C428" s="1">
        <f>[1]item!$C427</f>
        <v>304091507</v>
      </c>
      <c r="D428" s="1">
        <f t="shared" si="55"/>
        <v>9</v>
      </c>
      <c r="E428" s="1">
        <f t="shared" si="56"/>
        <v>4</v>
      </c>
      <c r="F428" s="1">
        <f t="shared" si="57"/>
        <v>3</v>
      </c>
      <c r="G428" s="15" t="s">
        <v>607</v>
      </c>
      <c r="H428" s="1">
        <v>4</v>
      </c>
      <c r="I428" s="1" t="str">
        <f t="shared" si="58"/>
        <v>,50200,50074,50076,50071</v>
      </c>
      <c r="J428" s="1" t="str">
        <f t="shared" si="59"/>
        <v>50200</v>
      </c>
      <c r="K428" s="1">
        <v>1</v>
      </c>
      <c r="L428" s="1" t="str">
        <f t="shared" si="60"/>
        <v>50074</v>
      </c>
      <c r="M428" s="1">
        <v>2</v>
      </c>
      <c r="N428" s="1" t="str">
        <f t="shared" si="61"/>
        <v>50076</v>
      </c>
      <c r="O428" s="1">
        <v>3</v>
      </c>
      <c r="P428" s="1" t="str">
        <f t="shared" si="62"/>
        <v>50071</v>
      </c>
      <c r="Q428" s="1">
        <v>5</v>
      </c>
      <c r="R428" s="1">
        <f>VLOOKUP(--J428,test3,11,FALSE)*K428+VLOOKUP(--L428,test3,11,FALSE)*M428+IF(N428="",0,VLOOKUP(--N428,test3,11,FALSE)*O428)+IF(P428="",0,VLOOKUP(--P428,test3,11,FALSE)*Q428)</f>
        <v>1110</v>
      </c>
    </row>
    <row r="429" spans="2:18" x14ac:dyDescent="0.15">
      <c r="B429" s="1">
        <f>[1]item!$D428</f>
        <v>100427</v>
      </c>
      <c r="C429" s="1">
        <f>[1]item!$C428</f>
        <v>104090808</v>
      </c>
      <c r="D429" s="1">
        <f t="shared" si="55"/>
        <v>9</v>
      </c>
      <c r="E429" s="1">
        <f t="shared" si="56"/>
        <v>4</v>
      </c>
      <c r="F429" s="1">
        <f t="shared" si="57"/>
        <v>1</v>
      </c>
      <c r="G429" s="1" t="str">
        <f>IF(--MID(C429,6,2)&lt;14,VLOOKUP(--MID(C429,6,2),test2,3,FALSE),"")</f>
        <v>物理</v>
      </c>
      <c r="H429" s="1">
        <v>4</v>
      </c>
      <c r="I429" s="1" t="str">
        <f t="shared" si="58"/>
        <v>,50200,50077,50131,50109</v>
      </c>
      <c r="J429" s="1" t="str">
        <f t="shared" si="59"/>
        <v>50200</v>
      </c>
      <c r="K429" s="1">
        <v>1</v>
      </c>
      <c r="L429" s="1" t="str">
        <f t="shared" si="60"/>
        <v>50077</v>
      </c>
      <c r="M429" s="1">
        <v>2</v>
      </c>
      <c r="N429" s="1" t="str">
        <f t="shared" si="61"/>
        <v>50131</v>
      </c>
      <c r="O429" s="1">
        <v>3</v>
      </c>
      <c r="P429" s="1" t="str">
        <f t="shared" si="62"/>
        <v>50109</v>
      </c>
      <c r="Q429" s="1">
        <v>5</v>
      </c>
      <c r="R429" s="1">
        <f>VLOOKUP(--J429,test3,11,FALSE)*K429+VLOOKUP(--L429,test3,11,FALSE)*M429+IF(N429="",0,VLOOKUP(--N429,test3,11,FALSE)*O429)+IF(P429="",0,VLOOKUP(--P429,test3,11,FALSE)*Q429)</f>
        <v>871.5</v>
      </c>
    </row>
    <row r="430" spans="2:18" x14ac:dyDescent="0.15">
      <c r="B430" s="1">
        <f>[1]item!$D429</f>
        <v>100428</v>
      </c>
      <c r="C430" s="1">
        <f>[1]item!$C429</f>
        <v>204091408</v>
      </c>
      <c r="D430" s="1">
        <f t="shared" si="55"/>
        <v>9</v>
      </c>
      <c r="E430" s="1">
        <f t="shared" si="56"/>
        <v>4</v>
      </c>
      <c r="F430" s="1">
        <f t="shared" si="57"/>
        <v>2</v>
      </c>
      <c r="G430" s="15" t="s">
        <v>615</v>
      </c>
      <c r="H430" s="1">
        <v>4</v>
      </c>
      <c r="I430" s="1" t="str">
        <f t="shared" si="58"/>
        <v>,50200,50077,50131,50109</v>
      </c>
      <c r="J430" s="1" t="str">
        <f t="shared" si="59"/>
        <v>50200</v>
      </c>
      <c r="K430" s="1">
        <v>1</v>
      </c>
      <c r="L430" s="1" t="str">
        <f t="shared" si="60"/>
        <v>50077</v>
      </c>
      <c r="M430" s="1">
        <v>2</v>
      </c>
      <c r="N430" s="1" t="str">
        <f t="shared" si="61"/>
        <v>50131</v>
      </c>
      <c r="O430" s="1">
        <v>3</v>
      </c>
      <c r="P430" s="1" t="str">
        <f t="shared" si="62"/>
        <v>50109</v>
      </c>
      <c r="Q430" s="1">
        <v>5</v>
      </c>
      <c r="R430" s="1">
        <f>VLOOKUP(--J430,test3,11,FALSE)*K430+VLOOKUP(--L430,test3,11,FALSE)*M430+IF(N430="",0,VLOOKUP(--N430,test3,11,FALSE)*O430)+IF(P430="",0,VLOOKUP(--P430,test3,11,FALSE)*Q430)</f>
        <v>871.5</v>
      </c>
    </row>
    <row r="431" spans="2:18" x14ac:dyDescent="0.15">
      <c r="B431" s="1">
        <f>[1]item!$D430</f>
        <v>100429</v>
      </c>
      <c r="C431" s="1">
        <f>[1]item!$C430</f>
        <v>304091508</v>
      </c>
      <c r="D431" s="1">
        <f t="shared" si="55"/>
        <v>9</v>
      </c>
      <c r="E431" s="1">
        <f t="shared" si="56"/>
        <v>4</v>
      </c>
      <c r="F431" s="1">
        <f t="shared" si="57"/>
        <v>3</v>
      </c>
      <c r="G431" s="15" t="s">
        <v>615</v>
      </c>
      <c r="H431" s="1">
        <v>4</v>
      </c>
      <c r="I431" s="1" t="str">
        <f t="shared" si="58"/>
        <v>,50200,50077,50131,50109</v>
      </c>
      <c r="J431" s="1" t="str">
        <f t="shared" si="59"/>
        <v>50200</v>
      </c>
      <c r="K431" s="1">
        <v>1</v>
      </c>
      <c r="L431" s="1" t="str">
        <f t="shared" si="60"/>
        <v>50077</v>
      </c>
      <c r="M431" s="1">
        <v>2</v>
      </c>
      <c r="N431" s="1" t="str">
        <f t="shared" si="61"/>
        <v>50131</v>
      </c>
      <c r="O431" s="1">
        <v>3</v>
      </c>
      <c r="P431" s="1" t="str">
        <f t="shared" si="62"/>
        <v>50109</v>
      </c>
      <c r="Q431" s="1">
        <v>5</v>
      </c>
      <c r="R431" s="1">
        <f>VLOOKUP(--J431,test3,11,FALSE)*K431+VLOOKUP(--L431,test3,11,FALSE)*M431+IF(N431="",0,VLOOKUP(--N431,test3,11,FALSE)*O431)+IF(P431="",0,VLOOKUP(--P431,test3,11,FALSE)*Q431)</f>
        <v>871.5</v>
      </c>
    </row>
    <row r="432" spans="2:18" x14ac:dyDescent="0.15">
      <c r="B432" s="1">
        <f>[1]item!$D431</f>
        <v>100430</v>
      </c>
      <c r="C432" s="1">
        <f>[1]item!$C431</f>
        <v>104090909</v>
      </c>
      <c r="D432" s="1">
        <f t="shared" si="55"/>
        <v>9</v>
      </c>
      <c r="E432" s="1">
        <f t="shared" si="56"/>
        <v>4</v>
      </c>
      <c r="F432" s="1">
        <f t="shared" si="57"/>
        <v>1</v>
      </c>
      <c r="G432" s="1" t="str">
        <f>IF(--MID(C432,6,2)&lt;14,VLOOKUP(--MID(C432,6,2),test2,3,FALSE),"")</f>
        <v>火炎</v>
      </c>
      <c r="H432" s="1">
        <v>4</v>
      </c>
      <c r="I432" s="1" t="str">
        <f t="shared" si="58"/>
        <v>,50200,50071,50131,50059</v>
      </c>
      <c r="J432" s="1" t="str">
        <f t="shared" si="59"/>
        <v>50200</v>
      </c>
      <c r="K432" s="1">
        <v>1</v>
      </c>
      <c r="L432" s="1" t="str">
        <f t="shared" si="60"/>
        <v>50071</v>
      </c>
      <c r="M432" s="1">
        <v>2</v>
      </c>
      <c r="N432" s="1" t="str">
        <f t="shared" si="61"/>
        <v>50131</v>
      </c>
      <c r="O432" s="1">
        <v>3</v>
      </c>
      <c r="P432" s="1" t="str">
        <f t="shared" si="62"/>
        <v>50059</v>
      </c>
      <c r="Q432" s="1">
        <v>5</v>
      </c>
      <c r="R432" s="1">
        <f>VLOOKUP(--J432,test3,11,FALSE)*K432+VLOOKUP(--L432,test3,11,FALSE)*M432+IF(N432="",0,VLOOKUP(--N432,test3,11,FALSE)*O432)+IF(P432="",0,VLOOKUP(--P432,test3,11,FALSE)*Q432)</f>
        <v>871.5</v>
      </c>
    </row>
    <row r="433" spans="2:18" x14ac:dyDescent="0.15">
      <c r="B433" s="1">
        <f>[1]item!$D432</f>
        <v>100431</v>
      </c>
      <c r="C433" s="1">
        <f>[1]item!$C432</f>
        <v>204091409</v>
      </c>
      <c r="D433" s="1">
        <f t="shared" si="55"/>
        <v>9</v>
      </c>
      <c r="E433" s="1">
        <f t="shared" si="56"/>
        <v>4</v>
      </c>
      <c r="F433" s="1">
        <f t="shared" si="57"/>
        <v>2</v>
      </c>
      <c r="G433" s="15" t="s">
        <v>616</v>
      </c>
      <c r="H433" s="1">
        <v>4</v>
      </c>
      <c r="I433" s="1" t="str">
        <f t="shared" si="58"/>
        <v>,50200,50071,50072,50123</v>
      </c>
      <c r="J433" s="1" t="str">
        <f t="shared" si="59"/>
        <v>50200</v>
      </c>
      <c r="K433" s="1">
        <v>1</v>
      </c>
      <c r="L433" s="1" t="str">
        <f t="shared" si="60"/>
        <v>50071</v>
      </c>
      <c r="M433" s="1">
        <v>2</v>
      </c>
      <c r="N433" s="1" t="str">
        <f t="shared" si="61"/>
        <v>50072</v>
      </c>
      <c r="O433" s="1">
        <v>3</v>
      </c>
      <c r="P433" s="1" t="str">
        <f t="shared" si="62"/>
        <v>50123</v>
      </c>
      <c r="Q433" s="1">
        <v>5</v>
      </c>
      <c r="R433" s="1">
        <f>VLOOKUP(--J433,test3,11,FALSE)*K433+VLOOKUP(--L433,test3,11,FALSE)*M433+IF(N433="",0,VLOOKUP(--N433,test3,11,FALSE)*O433)+IF(P433="",0,VLOOKUP(--P433,test3,11,FALSE)*Q433)</f>
        <v>997.5</v>
      </c>
    </row>
    <row r="434" spans="2:18" x14ac:dyDescent="0.15">
      <c r="B434" s="1">
        <f>[1]item!$D433</f>
        <v>100432</v>
      </c>
      <c r="C434" s="1">
        <f>[1]item!$C433</f>
        <v>304091509</v>
      </c>
      <c r="D434" s="1">
        <f t="shared" si="55"/>
        <v>9</v>
      </c>
      <c r="E434" s="1">
        <f t="shared" si="56"/>
        <v>4</v>
      </c>
      <c r="F434" s="1">
        <f t="shared" si="57"/>
        <v>3</v>
      </c>
      <c r="G434" s="15" t="s">
        <v>616</v>
      </c>
      <c r="H434" s="1">
        <v>4</v>
      </c>
      <c r="I434" s="1" t="str">
        <f t="shared" si="58"/>
        <v>,50200,50071,50131,50059</v>
      </c>
      <c r="J434" s="1" t="str">
        <f t="shared" si="59"/>
        <v>50200</v>
      </c>
      <c r="K434" s="1">
        <v>1</v>
      </c>
      <c r="L434" s="1" t="str">
        <f t="shared" si="60"/>
        <v>50071</v>
      </c>
      <c r="M434" s="1">
        <v>2</v>
      </c>
      <c r="N434" s="1" t="str">
        <f t="shared" si="61"/>
        <v>50131</v>
      </c>
      <c r="O434" s="1">
        <v>3</v>
      </c>
      <c r="P434" s="1" t="str">
        <f t="shared" si="62"/>
        <v>50059</v>
      </c>
      <c r="Q434" s="1">
        <v>5</v>
      </c>
      <c r="R434" s="1">
        <f>VLOOKUP(--J434,test3,11,FALSE)*K434+VLOOKUP(--L434,test3,11,FALSE)*M434+IF(N434="",0,VLOOKUP(--N434,test3,11,FALSE)*O434)+IF(P434="",0,VLOOKUP(--P434,test3,11,FALSE)*Q434)</f>
        <v>871.5</v>
      </c>
    </row>
    <row r="435" spans="2:18" x14ac:dyDescent="0.15">
      <c r="B435" s="1">
        <f>[1]item!$D434</f>
        <v>100433</v>
      </c>
      <c r="C435" s="1">
        <f>[1]item!$C434</f>
        <v>104091010</v>
      </c>
      <c r="D435" s="1">
        <f t="shared" si="55"/>
        <v>9</v>
      </c>
      <c r="E435" s="1">
        <f t="shared" si="56"/>
        <v>4</v>
      </c>
      <c r="F435" s="1">
        <f t="shared" si="57"/>
        <v>1</v>
      </c>
      <c r="G435" s="1" t="str">
        <f>IF(--MID(C435,6,2)&lt;14,VLOOKUP(--MID(C435,6,2),test2,3,FALSE),"")</f>
        <v>黑暗</v>
      </c>
      <c r="H435" s="1">
        <v>4</v>
      </c>
      <c r="I435" s="1" t="str">
        <f t="shared" si="58"/>
        <v>,50200,50076,50190,50071</v>
      </c>
      <c r="J435" s="1" t="str">
        <f t="shared" si="59"/>
        <v>50200</v>
      </c>
      <c r="K435" s="1">
        <v>1</v>
      </c>
      <c r="L435" s="1" t="str">
        <f t="shared" si="60"/>
        <v>50076</v>
      </c>
      <c r="M435" s="1">
        <v>2</v>
      </c>
      <c r="N435" s="1" t="str">
        <f t="shared" si="61"/>
        <v>50190</v>
      </c>
      <c r="O435" s="1">
        <v>3</v>
      </c>
      <c r="P435" s="1" t="str">
        <f t="shared" si="62"/>
        <v>50071</v>
      </c>
      <c r="Q435" s="1">
        <v>5</v>
      </c>
      <c r="R435" s="1">
        <f>VLOOKUP(--J435,test3,11,FALSE)*K435+VLOOKUP(--L435,test3,11,FALSE)*M435+IF(N435="",0,VLOOKUP(--N435,test3,11,FALSE)*O435)+IF(P435="",0,VLOOKUP(--P435,test3,11,FALSE)*Q435)</f>
        <v>1110</v>
      </c>
    </row>
    <row r="436" spans="2:18" x14ac:dyDescent="0.15">
      <c r="B436" s="1">
        <f>[1]item!$D435</f>
        <v>100434</v>
      </c>
      <c r="C436" s="1">
        <f>[1]item!$C435</f>
        <v>204091410</v>
      </c>
      <c r="D436" s="1">
        <f t="shared" si="55"/>
        <v>9</v>
      </c>
      <c r="E436" s="1">
        <f t="shared" si="56"/>
        <v>4</v>
      </c>
      <c r="F436" s="1">
        <f t="shared" si="57"/>
        <v>2</v>
      </c>
      <c r="G436" s="15" t="s">
        <v>612</v>
      </c>
      <c r="H436" s="1">
        <v>4</v>
      </c>
      <c r="I436" s="1" t="str">
        <f t="shared" si="58"/>
        <v>,50200,50076,50071,50072</v>
      </c>
      <c r="J436" s="1" t="str">
        <f t="shared" si="59"/>
        <v>50200</v>
      </c>
      <c r="K436" s="1">
        <v>1</v>
      </c>
      <c r="L436" s="1" t="str">
        <f t="shared" si="60"/>
        <v>50076</v>
      </c>
      <c r="M436" s="1">
        <v>2</v>
      </c>
      <c r="N436" s="1" t="str">
        <f t="shared" si="61"/>
        <v>50071</v>
      </c>
      <c r="O436" s="1">
        <v>3</v>
      </c>
      <c r="P436" s="1" t="str">
        <f t="shared" si="62"/>
        <v>50072</v>
      </c>
      <c r="Q436" s="1">
        <v>5</v>
      </c>
      <c r="R436" s="1">
        <f>VLOOKUP(--J436,test3,11,FALSE)*K436+VLOOKUP(--L436,test3,11,FALSE)*M436+IF(N436="",0,VLOOKUP(--N436,test3,11,FALSE)*O436)+IF(P436="",0,VLOOKUP(--P436,test3,11,FALSE)*Q436)</f>
        <v>1110</v>
      </c>
    </row>
    <row r="437" spans="2:18" x14ac:dyDescent="0.15">
      <c r="B437" s="1">
        <f>[1]item!$D436</f>
        <v>100435</v>
      </c>
      <c r="C437" s="1">
        <f>[1]item!$C436</f>
        <v>304091510</v>
      </c>
      <c r="D437" s="1">
        <f t="shared" si="55"/>
        <v>9</v>
      </c>
      <c r="E437" s="1">
        <f t="shared" si="56"/>
        <v>4</v>
      </c>
      <c r="F437" s="1">
        <f t="shared" si="57"/>
        <v>3</v>
      </c>
      <c r="G437" s="15" t="s">
        <v>617</v>
      </c>
      <c r="H437" s="1">
        <v>4</v>
      </c>
      <c r="I437" s="1" t="str">
        <f t="shared" si="58"/>
        <v>,50200,50076,50071,50072</v>
      </c>
      <c r="J437" s="1" t="str">
        <f t="shared" si="59"/>
        <v>50200</v>
      </c>
      <c r="K437" s="1">
        <v>1</v>
      </c>
      <c r="L437" s="1" t="str">
        <f t="shared" si="60"/>
        <v>50076</v>
      </c>
      <c r="M437" s="1">
        <v>2</v>
      </c>
      <c r="N437" s="1" t="str">
        <f t="shared" si="61"/>
        <v>50071</v>
      </c>
      <c r="O437" s="1">
        <v>3</v>
      </c>
      <c r="P437" s="1" t="str">
        <f t="shared" si="62"/>
        <v>50072</v>
      </c>
      <c r="Q437" s="1">
        <v>5</v>
      </c>
      <c r="R437" s="1">
        <f>VLOOKUP(--J437,test3,11,FALSE)*K437+VLOOKUP(--L437,test3,11,FALSE)*M437+IF(N437="",0,VLOOKUP(--N437,test3,11,FALSE)*O437)+IF(P437="",0,VLOOKUP(--P437,test3,11,FALSE)*Q437)</f>
        <v>1110</v>
      </c>
    </row>
    <row r="438" spans="2:18" x14ac:dyDescent="0.15">
      <c r="B438" s="1">
        <f>[1]item!$D437</f>
        <v>100436</v>
      </c>
      <c r="C438" s="1">
        <f>[1]item!$C437</f>
        <v>104091111</v>
      </c>
      <c r="D438" s="1">
        <f t="shared" si="55"/>
        <v>9</v>
      </c>
      <c r="E438" s="1">
        <f t="shared" si="56"/>
        <v>4</v>
      </c>
      <c r="F438" s="1">
        <f t="shared" si="57"/>
        <v>1</v>
      </c>
      <c r="G438" s="1" t="str">
        <f>IF(--MID(C438,6,2)&lt;14,VLOOKUP(--MID(C438,6,2),test2,3,FALSE),"")</f>
        <v>电击</v>
      </c>
      <c r="H438" s="1">
        <v>4</v>
      </c>
      <c r="I438" s="1" t="str">
        <f t="shared" si="58"/>
        <v>,50200,50073,50077,50131</v>
      </c>
      <c r="J438" s="1" t="str">
        <f t="shared" si="59"/>
        <v>50200</v>
      </c>
      <c r="K438" s="1">
        <v>1</v>
      </c>
      <c r="L438" s="1" t="str">
        <f t="shared" si="60"/>
        <v>50073</v>
      </c>
      <c r="M438" s="1">
        <v>2</v>
      </c>
      <c r="N438" s="1" t="str">
        <f t="shared" si="61"/>
        <v>50077</v>
      </c>
      <c r="O438" s="1">
        <v>3</v>
      </c>
      <c r="P438" s="1" t="str">
        <f t="shared" si="62"/>
        <v>50131</v>
      </c>
      <c r="Q438" s="1">
        <v>5</v>
      </c>
      <c r="R438" s="1">
        <f>VLOOKUP(--J438,test3,11,FALSE)*K438+VLOOKUP(--L438,test3,11,FALSE)*M438+IF(N438="",0,VLOOKUP(--N438,test3,11,FALSE)*O438)+IF(P438="",0,VLOOKUP(--P438,test3,11,FALSE)*Q438)</f>
        <v>900</v>
      </c>
    </row>
    <row r="439" spans="2:18" x14ac:dyDescent="0.15">
      <c r="B439" s="1">
        <f>[1]item!$D438</f>
        <v>100437</v>
      </c>
      <c r="C439" s="1">
        <f>[1]item!$C438</f>
        <v>204091411</v>
      </c>
      <c r="D439" s="1">
        <f t="shared" si="55"/>
        <v>9</v>
      </c>
      <c r="E439" s="1">
        <f t="shared" si="56"/>
        <v>4</v>
      </c>
      <c r="F439" s="1">
        <f t="shared" si="57"/>
        <v>2</v>
      </c>
      <c r="G439" s="15" t="s">
        <v>614</v>
      </c>
      <c r="H439" s="1">
        <v>4</v>
      </c>
      <c r="I439" s="1" t="str">
        <f t="shared" si="58"/>
        <v>,50200,50073,50077,50131</v>
      </c>
      <c r="J439" s="1" t="str">
        <f t="shared" si="59"/>
        <v>50200</v>
      </c>
      <c r="K439" s="1">
        <v>1</v>
      </c>
      <c r="L439" s="1" t="str">
        <f t="shared" si="60"/>
        <v>50073</v>
      </c>
      <c r="M439" s="1">
        <v>2</v>
      </c>
      <c r="N439" s="1" t="str">
        <f t="shared" si="61"/>
        <v>50077</v>
      </c>
      <c r="O439" s="1">
        <v>3</v>
      </c>
      <c r="P439" s="1" t="str">
        <f t="shared" si="62"/>
        <v>50131</v>
      </c>
      <c r="Q439" s="1">
        <v>5</v>
      </c>
      <c r="R439" s="1">
        <f>VLOOKUP(--J439,test3,11,FALSE)*K439+VLOOKUP(--L439,test3,11,FALSE)*M439+IF(N439="",0,VLOOKUP(--N439,test3,11,FALSE)*O439)+IF(P439="",0,VLOOKUP(--P439,test3,11,FALSE)*Q439)</f>
        <v>900</v>
      </c>
    </row>
    <row r="440" spans="2:18" x14ac:dyDescent="0.15">
      <c r="B440" s="1">
        <f>[1]item!$D439</f>
        <v>100438</v>
      </c>
      <c r="C440" s="1">
        <f>[1]item!$C439</f>
        <v>304091511</v>
      </c>
      <c r="D440" s="1">
        <f t="shared" si="55"/>
        <v>9</v>
      </c>
      <c r="E440" s="1">
        <f t="shared" si="56"/>
        <v>4</v>
      </c>
      <c r="F440" s="1">
        <f t="shared" si="57"/>
        <v>3</v>
      </c>
      <c r="G440" s="15" t="s">
        <v>618</v>
      </c>
      <c r="H440" s="1">
        <v>4</v>
      </c>
      <c r="I440" s="1" t="str">
        <f t="shared" si="58"/>
        <v>,50200,50073,50077,50131</v>
      </c>
      <c r="J440" s="1" t="str">
        <f t="shared" si="59"/>
        <v>50200</v>
      </c>
      <c r="K440" s="1">
        <v>1</v>
      </c>
      <c r="L440" s="1" t="str">
        <f t="shared" si="60"/>
        <v>50073</v>
      </c>
      <c r="M440" s="1">
        <v>2</v>
      </c>
      <c r="N440" s="1" t="str">
        <f t="shared" si="61"/>
        <v>50077</v>
      </c>
      <c r="O440" s="1">
        <v>3</v>
      </c>
      <c r="P440" s="1" t="str">
        <f t="shared" si="62"/>
        <v>50131</v>
      </c>
      <c r="Q440" s="1">
        <v>5</v>
      </c>
      <c r="R440" s="1">
        <f>VLOOKUP(--J440,test3,11,FALSE)*K440+VLOOKUP(--L440,test3,11,FALSE)*M440+IF(N440="",0,VLOOKUP(--N440,test3,11,FALSE)*O440)+IF(P440="",0,VLOOKUP(--P440,test3,11,FALSE)*Q440)</f>
        <v>900</v>
      </c>
    </row>
    <row r="441" spans="2:18" x14ac:dyDescent="0.15">
      <c r="B441" s="1">
        <f>[1]item!$D440</f>
        <v>100439</v>
      </c>
      <c r="C441" s="1">
        <f>[1]item!$C440</f>
        <v>104091212</v>
      </c>
      <c r="D441" s="1">
        <f t="shared" si="55"/>
        <v>9</v>
      </c>
      <c r="E441" s="1">
        <f t="shared" si="56"/>
        <v>4</v>
      </c>
      <c r="F441" s="1">
        <f t="shared" si="57"/>
        <v>1</v>
      </c>
      <c r="G441" s="1" t="str">
        <f>IF(--MID(C441,6,2)&lt;14,VLOOKUP(--MID(C441,6,2),test2,3,FALSE),"")</f>
        <v>冷却</v>
      </c>
      <c r="H441" s="1">
        <v>4</v>
      </c>
      <c r="I441" s="1" t="str">
        <f t="shared" si="58"/>
        <v>,50200,50072,50123,50073</v>
      </c>
      <c r="J441" s="1" t="str">
        <f t="shared" si="59"/>
        <v>50200</v>
      </c>
      <c r="K441" s="1">
        <v>1</v>
      </c>
      <c r="L441" s="1" t="str">
        <f t="shared" si="60"/>
        <v>50072</v>
      </c>
      <c r="M441" s="1">
        <v>2</v>
      </c>
      <c r="N441" s="1" t="str">
        <f t="shared" si="61"/>
        <v>50123</v>
      </c>
      <c r="O441" s="1">
        <v>3</v>
      </c>
      <c r="P441" s="1" t="str">
        <f t="shared" si="62"/>
        <v>50073</v>
      </c>
      <c r="Q441" s="1">
        <v>5</v>
      </c>
      <c r="R441" s="1">
        <f>VLOOKUP(--J441,test3,11,FALSE)*K441+VLOOKUP(--L441,test3,11,FALSE)*M441+IF(N441="",0,VLOOKUP(--N441,test3,11,FALSE)*O441)+IF(P441="",0,VLOOKUP(--P441,test3,11,FALSE)*Q441)</f>
        <v>1042.5</v>
      </c>
    </row>
    <row r="442" spans="2:18" x14ac:dyDescent="0.15">
      <c r="B442" s="1">
        <f>[1]item!$D441</f>
        <v>100440</v>
      </c>
      <c r="C442" s="1">
        <f>[1]item!$C441</f>
        <v>204091412</v>
      </c>
      <c r="D442" s="1">
        <f t="shared" si="55"/>
        <v>9</v>
      </c>
      <c r="E442" s="1">
        <f t="shared" si="56"/>
        <v>4</v>
      </c>
      <c r="F442" s="1">
        <f t="shared" si="57"/>
        <v>2</v>
      </c>
      <c r="G442" s="15" t="s">
        <v>619</v>
      </c>
      <c r="H442" s="1">
        <v>4</v>
      </c>
      <c r="I442" s="1" t="str">
        <f t="shared" si="58"/>
        <v>,50200,50072,50123,50073</v>
      </c>
      <c r="J442" s="1" t="str">
        <f t="shared" si="59"/>
        <v>50200</v>
      </c>
      <c r="K442" s="1">
        <v>1</v>
      </c>
      <c r="L442" s="1" t="str">
        <f t="shared" si="60"/>
        <v>50072</v>
      </c>
      <c r="M442" s="1">
        <v>2</v>
      </c>
      <c r="N442" s="1" t="str">
        <f t="shared" si="61"/>
        <v>50123</v>
      </c>
      <c r="O442" s="1">
        <v>3</v>
      </c>
      <c r="P442" s="1" t="str">
        <f t="shared" si="62"/>
        <v>50073</v>
      </c>
      <c r="Q442" s="1">
        <v>5</v>
      </c>
      <c r="R442" s="1">
        <f>VLOOKUP(--J442,test3,11,FALSE)*K442+VLOOKUP(--L442,test3,11,FALSE)*M442+IF(N442="",0,VLOOKUP(--N442,test3,11,FALSE)*O442)+IF(P442="",0,VLOOKUP(--P442,test3,11,FALSE)*Q442)</f>
        <v>1042.5</v>
      </c>
    </row>
    <row r="443" spans="2:18" x14ac:dyDescent="0.15">
      <c r="B443" s="1">
        <f>[1]item!$D442</f>
        <v>100441</v>
      </c>
      <c r="C443" s="1">
        <f>[1]item!$C442</f>
        <v>304091512</v>
      </c>
      <c r="D443" s="1">
        <f t="shared" si="55"/>
        <v>9</v>
      </c>
      <c r="E443" s="1">
        <f t="shared" si="56"/>
        <v>4</v>
      </c>
      <c r="F443" s="1">
        <f t="shared" si="57"/>
        <v>3</v>
      </c>
      <c r="G443" s="15" t="s">
        <v>619</v>
      </c>
      <c r="H443" s="1">
        <v>4</v>
      </c>
      <c r="I443" s="1" t="str">
        <f t="shared" si="58"/>
        <v>,50200,50072,50123,50073</v>
      </c>
      <c r="J443" s="1" t="str">
        <f t="shared" si="59"/>
        <v>50200</v>
      </c>
      <c r="K443" s="1">
        <v>1</v>
      </c>
      <c r="L443" s="1" t="str">
        <f t="shared" si="60"/>
        <v>50072</v>
      </c>
      <c r="M443" s="1">
        <v>2</v>
      </c>
      <c r="N443" s="1" t="str">
        <f t="shared" si="61"/>
        <v>50123</v>
      </c>
      <c r="O443" s="1">
        <v>3</v>
      </c>
      <c r="P443" s="1" t="str">
        <f t="shared" si="62"/>
        <v>50073</v>
      </c>
      <c r="Q443" s="1">
        <v>5</v>
      </c>
      <c r="R443" s="1">
        <f>VLOOKUP(--J443,test3,11,FALSE)*K443+VLOOKUP(--L443,test3,11,FALSE)*M443+IF(N443="",0,VLOOKUP(--N443,test3,11,FALSE)*O443)+IF(P443="",0,VLOOKUP(--P443,test3,11,FALSE)*Q443)</f>
        <v>1042.5</v>
      </c>
    </row>
    <row r="444" spans="2:18" x14ac:dyDescent="0.15">
      <c r="B444" s="1">
        <f>[1]item!$D443</f>
        <v>100442</v>
      </c>
      <c r="C444" s="1">
        <f>[1]item!$C443</f>
        <v>104091313</v>
      </c>
      <c r="D444" s="1">
        <f t="shared" si="55"/>
        <v>9</v>
      </c>
      <c r="E444" s="1">
        <f t="shared" si="56"/>
        <v>4</v>
      </c>
      <c r="F444" s="1">
        <f t="shared" si="57"/>
        <v>1</v>
      </c>
      <c r="G444" s="1" t="str">
        <f>IF(--MID(C444,6,2)&lt;14,VLOOKUP(--MID(C444,6,2),test2,3,FALSE),"")</f>
        <v>地脉</v>
      </c>
      <c r="H444" s="1">
        <v>4</v>
      </c>
      <c r="I444" s="1" t="str">
        <f t="shared" si="58"/>
        <v>,50200,50074,50076,50071</v>
      </c>
      <c r="J444" s="1" t="str">
        <f t="shared" si="59"/>
        <v>50200</v>
      </c>
      <c r="K444" s="1">
        <v>1</v>
      </c>
      <c r="L444" s="1" t="str">
        <f t="shared" si="60"/>
        <v>50074</v>
      </c>
      <c r="M444" s="1">
        <v>2</v>
      </c>
      <c r="N444" s="1" t="str">
        <f t="shared" si="61"/>
        <v>50076</v>
      </c>
      <c r="O444" s="1">
        <v>3</v>
      </c>
      <c r="P444" s="1" t="str">
        <f t="shared" si="62"/>
        <v>50071</v>
      </c>
      <c r="Q444" s="1">
        <v>5</v>
      </c>
      <c r="R444" s="1">
        <f>VLOOKUP(--J444,test3,11,FALSE)*K444+VLOOKUP(--L444,test3,11,FALSE)*M444+IF(N444="",0,VLOOKUP(--N444,test3,11,FALSE)*O444)+IF(P444="",0,VLOOKUP(--P444,test3,11,FALSE)*Q444)</f>
        <v>1110</v>
      </c>
    </row>
    <row r="445" spans="2:18" x14ac:dyDescent="0.15">
      <c r="B445" s="1">
        <f>[1]item!$D444</f>
        <v>100443</v>
      </c>
      <c r="C445" s="1">
        <f>[1]item!$C444</f>
        <v>204091413</v>
      </c>
      <c r="D445" s="1">
        <f t="shared" si="55"/>
        <v>9</v>
      </c>
      <c r="E445" s="1">
        <f t="shared" si="56"/>
        <v>4</v>
      </c>
      <c r="F445" s="1">
        <f t="shared" si="57"/>
        <v>2</v>
      </c>
      <c r="G445" s="15" t="s">
        <v>607</v>
      </c>
      <c r="H445" s="1">
        <v>4</v>
      </c>
      <c r="I445" s="1" t="str">
        <f t="shared" si="58"/>
        <v>,50200,50074,50076,50071</v>
      </c>
      <c r="J445" s="1" t="str">
        <f t="shared" si="59"/>
        <v>50200</v>
      </c>
      <c r="K445" s="1">
        <v>1</v>
      </c>
      <c r="L445" s="1" t="str">
        <f t="shared" si="60"/>
        <v>50074</v>
      </c>
      <c r="M445" s="1">
        <v>2</v>
      </c>
      <c r="N445" s="1" t="str">
        <f t="shared" si="61"/>
        <v>50076</v>
      </c>
      <c r="O445" s="1">
        <v>3</v>
      </c>
      <c r="P445" s="1" t="str">
        <f t="shared" si="62"/>
        <v>50071</v>
      </c>
      <c r="Q445" s="1">
        <v>5</v>
      </c>
      <c r="R445" s="1">
        <f>VLOOKUP(--J445,test3,11,FALSE)*K445+VLOOKUP(--L445,test3,11,FALSE)*M445+IF(N445="",0,VLOOKUP(--N445,test3,11,FALSE)*O445)+IF(P445="",0,VLOOKUP(--P445,test3,11,FALSE)*Q445)</f>
        <v>1110</v>
      </c>
    </row>
    <row r="446" spans="2:18" x14ac:dyDescent="0.15">
      <c r="B446" s="1">
        <f>[1]item!$D445</f>
        <v>100444</v>
      </c>
      <c r="C446" s="1">
        <f>[1]item!$C445</f>
        <v>304091513</v>
      </c>
      <c r="D446" s="1">
        <f t="shared" si="55"/>
        <v>9</v>
      </c>
      <c r="E446" s="1">
        <f t="shared" si="56"/>
        <v>4</v>
      </c>
      <c r="F446" s="1">
        <f t="shared" si="57"/>
        <v>3</v>
      </c>
      <c r="G446" s="15" t="s">
        <v>607</v>
      </c>
      <c r="H446" s="1">
        <v>4</v>
      </c>
      <c r="I446" s="1" t="str">
        <f t="shared" si="58"/>
        <v>,50200,50074,50076,50071</v>
      </c>
      <c r="J446" s="1" t="str">
        <f t="shared" si="59"/>
        <v>50200</v>
      </c>
      <c r="K446" s="1">
        <v>1</v>
      </c>
      <c r="L446" s="1" t="str">
        <f t="shared" si="60"/>
        <v>50074</v>
      </c>
      <c r="M446" s="1">
        <v>2</v>
      </c>
      <c r="N446" s="1" t="str">
        <f t="shared" si="61"/>
        <v>50076</v>
      </c>
      <c r="O446" s="1">
        <v>3</v>
      </c>
      <c r="P446" s="1" t="str">
        <f t="shared" si="62"/>
        <v>50071</v>
      </c>
      <c r="Q446" s="1">
        <v>5</v>
      </c>
      <c r="R446" s="1">
        <f>VLOOKUP(--J446,test3,11,FALSE)*K446+VLOOKUP(--L446,test3,11,FALSE)*M446+IF(N446="",0,VLOOKUP(--N446,test3,11,FALSE)*O446)+IF(P446="",0,VLOOKUP(--P446,test3,11,FALSE)*Q446)</f>
        <v>1110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P195"/>
  <sheetViews>
    <sheetView topLeftCell="D165" workbookViewId="0">
      <selection activeCell="N181" sqref="N181"/>
    </sheetView>
  </sheetViews>
  <sheetFormatPr defaultRowHeight="13.5" x14ac:dyDescent="0.15"/>
  <cols>
    <col min="14" max="14" width="54" customWidth="1"/>
  </cols>
  <sheetData>
    <row r="4" spans="5:16" ht="14.25" x14ac:dyDescent="0.2">
      <c r="E4" s="4"/>
      <c r="F4" s="5" t="s">
        <v>14</v>
      </c>
      <c r="G4" s="6" t="s">
        <v>15</v>
      </c>
      <c r="H4" s="6" t="s">
        <v>16</v>
      </c>
      <c r="I4" s="6" t="s">
        <v>17</v>
      </c>
      <c r="J4" s="6" t="s">
        <v>18</v>
      </c>
      <c r="K4" s="6" t="s">
        <v>19</v>
      </c>
      <c r="L4" s="6" t="s">
        <v>20</v>
      </c>
      <c r="M4" s="6" t="s">
        <v>21</v>
      </c>
      <c r="N4" s="6" t="s">
        <v>16</v>
      </c>
      <c r="O4" s="7" t="s">
        <v>22</v>
      </c>
    </row>
    <row r="5" spans="5:16" ht="14.25" x14ac:dyDescent="0.2">
      <c r="E5" s="4"/>
      <c r="F5" s="4">
        <v>50001</v>
      </c>
      <c r="G5" s="9" t="s">
        <v>23</v>
      </c>
      <c r="H5" s="9" t="s">
        <v>24</v>
      </c>
      <c r="I5" s="8" t="s">
        <v>25</v>
      </c>
      <c r="J5" s="9" t="s">
        <v>26</v>
      </c>
      <c r="K5" s="8">
        <v>1</v>
      </c>
      <c r="L5" s="8">
        <f>IF(K5=1,1,IF(OR(K5=2,K5=3),2,IF(OR(K5=4,K5=5),3,IF(OR(K5=6,K5=7,K5=8),4))))</f>
        <v>1</v>
      </c>
      <c r="M5" s="9" t="s">
        <v>27</v>
      </c>
      <c r="N5" s="8" t="str">
        <f t="shared" ref="N5:N36" si="0">"【"&amp;M5&amp;"】"&amp;H5</f>
        <v>【矿物】店铺升级用的石材</v>
      </c>
      <c r="O5" s="10">
        <f>IF(M5="矿物",1,IF(M5="植物",2,IF(M5="器官",3,4)))</f>
        <v>1</v>
      </c>
      <c r="P5" s="8">
        <f>K5^2*1.5</f>
        <v>1.5</v>
      </c>
    </row>
    <row r="6" spans="5:16" ht="14.25" x14ac:dyDescent="0.2">
      <c r="E6" s="4"/>
      <c r="F6" s="4">
        <v>50002</v>
      </c>
      <c r="G6" s="9" t="s">
        <v>28</v>
      </c>
      <c r="H6" s="9" t="s">
        <v>29</v>
      </c>
      <c r="I6" s="8" t="s">
        <v>30</v>
      </c>
      <c r="J6" s="9" t="s">
        <v>26</v>
      </c>
      <c r="K6" s="8">
        <v>2</v>
      </c>
      <c r="L6" s="8">
        <f t="shared" ref="L6:L69" si="1">IF(K6=1,1,IF(OR(K6=2,K6=3),2,IF(OR(K6=4,K6=5),3,IF(OR(K6=6,K6=7,K6=8),4))))</f>
        <v>2</v>
      </c>
      <c r="M6" s="9" t="s">
        <v>27</v>
      </c>
      <c r="N6" s="8" t="str">
        <f t="shared" si="0"/>
        <v>【矿物】品质高的店铺用的升级石材</v>
      </c>
      <c r="O6" s="10">
        <f t="shared" ref="O6:O69" si="2">IF(M6="矿物",1,IF(M6="植物",2,IF(M6="器官",3,4)))</f>
        <v>1</v>
      </c>
      <c r="P6" s="8">
        <f t="shared" ref="P6:P69" si="3">K6^2*1.5</f>
        <v>6</v>
      </c>
    </row>
    <row r="7" spans="5:16" ht="14.25" x14ac:dyDescent="0.2">
      <c r="E7" s="4"/>
      <c r="F7" s="4">
        <v>50003</v>
      </c>
      <c r="G7" s="9" t="s">
        <v>31</v>
      </c>
      <c r="H7" s="9" t="s">
        <v>32</v>
      </c>
      <c r="I7" s="8" t="s">
        <v>33</v>
      </c>
      <c r="J7" s="9" t="s">
        <v>34</v>
      </c>
      <c r="K7" s="8">
        <v>3</v>
      </c>
      <c r="L7" s="8">
        <f t="shared" si="1"/>
        <v>2</v>
      </c>
      <c r="M7" s="9" t="s">
        <v>27</v>
      </c>
      <c r="N7" s="8" t="str">
        <f t="shared" si="0"/>
        <v>【矿物】高品质的店铺升级用的石材</v>
      </c>
      <c r="O7" s="10">
        <f t="shared" si="2"/>
        <v>1</v>
      </c>
      <c r="P7" s="8">
        <f t="shared" si="3"/>
        <v>13.5</v>
      </c>
    </row>
    <row r="8" spans="5:16" ht="14.25" x14ac:dyDescent="0.2">
      <c r="E8" s="4"/>
      <c r="F8" s="4">
        <v>50004</v>
      </c>
      <c r="G8" s="9" t="s">
        <v>35</v>
      </c>
      <c r="H8" s="9" t="s">
        <v>36</v>
      </c>
      <c r="I8" s="8" t="s">
        <v>25</v>
      </c>
      <c r="J8" s="9" t="s">
        <v>34</v>
      </c>
      <c r="K8" s="8">
        <v>4</v>
      </c>
      <c r="L8" s="8">
        <f t="shared" si="1"/>
        <v>3</v>
      </c>
      <c r="M8" s="9" t="s">
        <v>27</v>
      </c>
      <c r="N8" s="8" t="str">
        <f t="shared" si="0"/>
        <v>【矿物】最高品质店铺用的升级石材</v>
      </c>
      <c r="O8" s="10">
        <f t="shared" si="2"/>
        <v>1</v>
      </c>
      <c r="P8" s="8">
        <f t="shared" si="3"/>
        <v>24</v>
      </c>
    </row>
    <row r="9" spans="5:16" ht="14.25" x14ac:dyDescent="0.2">
      <c r="E9" s="4"/>
      <c r="F9" s="4">
        <v>50005</v>
      </c>
      <c r="G9" s="9" t="s">
        <v>37</v>
      </c>
      <c r="H9" s="9" t="s">
        <v>38</v>
      </c>
      <c r="I9" s="8" t="s">
        <v>39</v>
      </c>
      <c r="J9" s="9" t="s">
        <v>40</v>
      </c>
      <c r="K9" s="8">
        <v>1</v>
      </c>
      <c r="L9" s="8">
        <f t="shared" si="1"/>
        <v>1</v>
      </c>
      <c r="M9" s="9" t="s">
        <v>27</v>
      </c>
      <c r="N9" s="8" t="str">
        <f t="shared" si="0"/>
        <v>【矿物】工房升级用的粘土</v>
      </c>
      <c r="O9" s="10">
        <f t="shared" si="2"/>
        <v>1</v>
      </c>
      <c r="P9" s="8">
        <f t="shared" si="3"/>
        <v>1.5</v>
      </c>
    </row>
    <row r="10" spans="5:16" ht="14.25" x14ac:dyDescent="0.2">
      <c r="E10" s="4"/>
      <c r="F10" s="4">
        <v>50006</v>
      </c>
      <c r="G10" s="9" t="s">
        <v>41</v>
      </c>
      <c r="H10" s="9" t="s">
        <v>42</v>
      </c>
      <c r="I10" s="8" t="s">
        <v>39</v>
      </c>
      <c r="J10" s="9" t="s">
        <v>40</v>
      </c>
      <c r="K10" s="8">
        <v>2</v>
      </c>
      <c r="L10" s="8">
        <f t="shared" si="1"/>
        <v>2</v>
      </c>
      <c r="M10" s="9" t="s">
        <v>27</v>
      </c>
      <c r="N10" s="8" t="str">
        <f t="shared" si="0"/>
        <v>【矿物】品质高的工房升级用的粘土</v>
      </c>
      <c r="O10" s="10">
        <f t="shared" si="2"/>
        <v>1</v>
      </c>
      <c r="P10" s="8">
        <f t="shared" si="3"/>
        <v>6</v>
      </c>
    </row>
    <row r="11" spans="5:16" ht="14.25" x14ac:dyDescent="0.2">
      <c r="E11" s="4"/>
      <c r="F11" s="4">
        <v>50007</v>
      </c>
      <c r="G11" s="9" t="s">
        <v>43</v>
      </c>
      <c r="H11" s="9" t="s">
        <v>44</v>
      </c>
      <c r="I11" s="8" t="s">
        <v>39</v>
      </c>
      <c r="J11" s="9" t="s">
        <v>40</v>
      </c>
      <c r="K11" s="8">
        <v>3</v>
      </c>
      <c r="L11" s="8">
        <f t="shared" si="1"/>
        <v>2</v>
      </c>
      <c r="M11" s="9" t="s">
        <v>27</v>
      </c>
      <c r="N11" s="8" t="str">
        <f t="shared" si="0"/>
        <v>【矿物】高品质的工房升级用的粘土</v>
      </c>
      <c r="O11" s="10">
        <f t="shared" si="2"/>
        <v>1</v>
      </c>
      <c r="P11" s="8">
        <f t="shared" si="3"/>
        <v>13.5</v>
      </c>
    </row>
    <row r="12" spans="5:16" ht="14.25" x14ac:dyDescent="0.2">
      <c r="E12" s="4"/>
      <c r="F12" s="4">
        <v>50008</v>
      </c>
      <c r="G12" s="9" t="s">
        <v>45</v>
      </c>
      <c r="H12" s="9" t="s">
        <v>46</v>
      </c>
      <c r="I12" s="8" t="s">
        <v>39</v>
      </c>
      <c r="J12" s="9" t="s">
        <v>40</v>
      </c>
      <c r="K12" s="8">
        <v>4</v>
      </c>
      <c r="L12" s="8">
        <f t="shared" si="1"/>
        <v>3</v>
      </c>
      <c r="M12" s="9" t="s">
        <v>27</v>
      </c>
      <c r="N12" s="8" t="str">
        <f t="shared" si="0"/>
        <v>【矿物】最高品质工房用的升级粘土</v>
      </c>
      <c r="O12" s="10">
        <f t="shared" si="2"/>
        <v>1</v>
      </c>
      <c r="P12" s="8">
        <f t="shared" si="3"/>
        <v>24</v>
      </c>
    </row>
    <row r="13" spans="5:16" ht="14.25" x14ac:dyDescent="0.2">
      <c r="E13" s="4"/>
      <c r="F13" s="4">
        <v>50009</v>
      </c>
      <c r="G13" s="9" t="s">
        <v>47</v>
      </c>
      <c r="H13" s="9" t="s">
        <v>48</v>
      </c>
      <c r="I13" s="8" t="s">
        <v>39</v>
      </c>
      <c r="J13" s="9" t="s">
        <v>49</v>
      </c>
      <c r="K13" s="8">
        <v>1</v>
      </c>
      <c r="L13" s="8">
        <f t="shared" si="1"/>
        <v>1</v>
      </c>
      <c r="M13" s="9" t="s">
        <v>50</v>
      </c>
      <c r="N13" s="8" t="str">
        <f t="shared" si="0"/>
        <v>【矿物】庭院升级用的土</v>
      </c>
      <c r="O13" s="10">
        <f t="shared" si="2"/>
        <v>1</v>
      </c>
      <c r="P13" s="8">
        <f t="shared" si="3"/>
        <v>1.5</v>
      </c>
    </row>
    <row r="14" spans="5:16" ht="14.25" x14ac:dyDescent="0.2">
      <c r="E14" s="4"/>
      <c r="F14" s="4">
        <v>50010</v>
      </c>
      <c r="G14" s="9" t="s">
        <v>51</v>
      </c>
      <c r="H14" s="9" t="s">
        <v>52</v>
      </c>
      <c r="I14" s="8" t="s">
        <v>39</v>
      </c>
      <c r="J14" s="9" t="s">
        <v>53</v>
      </c>
      <c r="K14" s="8">
        <v>2</v>
      </c>
      <c r="L14" s="8">
        <f t="shared" si="1"/>
        <v>2</v>
      </c>
      <c r="M14" s="9" t="s">
        <v>54</v>
      </c>
      <c r="N14" s="8" t="str">
        <f t="shared" si="0"/>
        <v>【矿物】品质高的庭院升级用的土</v>
      </c>
      <c r="O14" s="10">
        <f t="shared" si="2"/>
        <v>1</v>
      </c>
      <c r="P14" s="8">
        <f t="shared" si="3"/>
        <v>6</v>
      </c>
    </row>
    <row r="15" spans="5:16" ht="14.25" x14ac:dyDescent="0.2">
      <c r="E15" s="4"/>
      <c r="F15" s="4">
        <v>50011</v>
      </c>
      <c r="G15" s="9" t="s">
        <v>55</v>
      </c>
      <c r="H15" s="9" t="s">
        <v>56</v>
      </c>
      <c r="I15" s="8" t="s">
        <v>39</v>
      </c>
      <c r="J15" s="9" t="s">
        <v>53</v>
      </c>
      <c r="K15" s="8">
        <v>3</v>
      </c>
      <c r="L15" s="8">
        <f t="shared" si="1"/>
        <v>2</v>
      </c>
      <c r="M15" s="9" t="s">
        <v>27</v>
      </c>
      <c r="N15" s="8" t="str">
        <f t="shared" si="0"/>
        <v>【矿物】高品质的庭院升级用的土</v>
      </c>
      <c r="O15" s="10">
        <f t="shared" si="2"/>
        <v>1</v>
      </c>
      <c r="P15" s="8">
        <f t="shared" si="3"/>
        <v>13.5</v>
      </c>
    </row>
    <row r="16" spans="5:16" ht="14.25" x14ac:dyDescent="0.2">
      <c r="E16" s="4"/>
      <c r="F16" s="4">
        <v>50012</v>
      </c>
      <c r="G16" s="9" t="s">
        <v>57</v>
      </c>
      <c r="H16" s="9" t="s">
        <v>58</v>
      </c>
      <c r="I16" s="8" t="s">
        <v>39</v>
      </c>
      <c r="J16" s="9" t="s">
        <v>53</v>
      </c>
      <c r="K16" s="8">
        <v>4</v>
      </c>
      <c r="L16" s="8">
        <f t="shared" si="1"/>
        <v>3</v>
      </c>
      <c r="M16" s="9" t="s">
        <v>27</v>
      </c>
      <c r="N16" s="8" t="str">
        <f t="shared" si="0"/>
        <v>【矿物】最高品质的庭院升级用的土</v>
      </c>
      <c r="O16" s="10">
        <f t="shared" si="2"/>
        <v>1</v>
      </c>
      <c r="P16" s="8">
        <f t="shared" si="3"/>
        <v>24</v>
      </c>
    </row>
    <row r="17" spans="5:16" ht="14.25" x14ac:dyDescent="0.2">
      <c r="E17" s="4"/>
      <c r="F17" s="4">
        <v>50013</v>
      </c>
      <c r="G17" s="9" t="s">
        <v>59</v>
      </c>
      <c r="H17" s="9" t="s">
        <v>60</v>
      </c>
      <c r="I17" s="8" t="s">
        <v>61</v>
      </c>
      <c r="J17" s="9" t="s">
        <v>62</v>
      </c>
      <c r="K17" s="8">
        <v>1</v>
      </c>
      <c r="L17" s="8">
        <f t="shared" si="1"/>
        <v>1</v>
      </c>
      <c r="M17" s="9" t="s">
        <v>63</v>
      </c>
      <c r="N17" s="8" t="str">
        <f t="shared" si="0"/>
        <v>【矿物】新鲜挖掘出来的优良泥巴</v>
      </c>
      <c r="O17" s="10">
        <f t="shared" si="2"/>
        <v>1</v>
      </c>
      <c r="P17" s="8">
        <f t="shared" si="3"/>
        <v>1.5</v>
      </c>
    </row>
    <row r="18" spans="5:16" ht="14.25" x14ac:dyDescent="0.2">
      <c r="E18" s="4"/>
      <c r="F18" s="4">
        <v>50014</v>
      </c>
      <c r="G18" s="9" t="s">
        <v>64</v>
      </c>
      <c r="H18" s="9" t="s">
        <v>65</v>
      </c>
      <c r="I18" s="8" t="s">
        <v>61</v>
      </c>
      <c r="J18" s="9" t="s">
        <v>66</v>
      </c>
      <c r="K18" s="8">
        <v>3</v>
      </c>
      <c r="L18" s="8">
        <f t="shared" si="1"/>
        <v>2</v>
      </c>
      <c r="M18" s="9" t="s">
        <v>27</v>
      </c>
      <c r="N18" s="8" t="str">
        <f t="shared" si="0"/>
        <v>【矿物】绮丽的碾磨土块</v>
      </c>
      <c r="O18" s="10">
        <f t="shared" si="2"/>
        <v>1</v>
      </c>
      <c r="P18" s="8">
        <f t="shared" si="3"/>
        <v>13.5</v>
      </c>
    </row>
    <row r="19" spans="5:16" ht="14.25" x14ac:dyDescent="0.2">
      <c r="E19" s="4"/>
      <c r="F19" s="4">
        <v>50015</v>
      </c>
      <c r="G19" s="9" t="s">
        <v>67</v>
      </c>
      <c r="H19" s="9" t="s">
        <v>68</v>
      </c>
      <c r="I19" s="8" t="s">
        <v>33</v>
      </c>
      <c r="J19" s="9" t="s">
        <v>69</v>
      </c>
      <c r="K19" s="8">
        <v>1</v>
      </c>
      <c r="L19" s="8">
        <f t="shared" si="1"/>
        <v>1</v>
      </c>
      <c r="M19" s="9" t="s">
        <v>63</v>
      </c>
      <c r="N19" s="8" t="str">
        <f t="shared" si="0"/>
        <v>【矿物】矿场深处挖掘出来的矿物</v>
      </c>
      <c r="O19" s="10">
        <f t="shared" si="2"/>
        <v>1</v>
      </c>
      <c r="P19" s="8">
        <f t="shared" si="3"/>
        <v>1.5</v>
      </c>
    </row>
    <row r="20" spans="5:16" ht="14.25" x14ac:dyDescent="0.2">
      <c r="E20" s="4"/>
      <c r="F20" s="4">
        <v>50016</v>
      </c>
      <c r="G20" s="9" t="s">
        <v>70</v>
      </c>
      <c r="H20" s="9" t="s">
        <v>71</v>
      </c>
      <c r="I20" s="8" t="s">
        <v>72</v>
      </c>
      <c r="J20" s="9" t="s">
        <v>73</v>
      </c>
      <c r="K20" s="8">
        <v>3</v>
      </c>
      <c r="L20" s="8">
        <f t="shared" si="1"/>
        <v>2</v>
      </c>
      <c r="M20" s="9" t="s">
        <v>63</v>
      </c>
      <c r="N20" s="8" t="str">
        <f t="shared" si="0"/>
        <v>【矿物】发出赤色火炎的矿物</v>
      </c>
      <c r="O20" s="10">
        <f t="shared" si="2"/>
        <v>1</v>
      </c>
      <c r="P20" s="8">
        <f t="shared" si="3"/>
        <v>13.5</v>
      </c>
    </row>
    <row r="21" spans="5:16" ht="14.25" x14ac:dyDescent="0.2">
      <c r="E21" s="4"/>
      <c r="F21" s="4">
        <v>50017</v>
      </c>
      <c r="G21" s="9" t="s">
        <v>74</v>
      </c>
      <c r="H21" s="9" t="s">
        <v>75</v>
      </c>
      <c r="I21" s="8" t="s">
        <v>76</v>
      </c>
      <c r="J21" s="9" t="s">
        <v>66</v>
      </c>
      <c r="K21" s="8">
        <v>5</v>
      </c>
      <c r="L21" s="8">
        <f t="shared" si="1"/>
        <v>3</v>
      </c>
      <c r="M21" s="9" t="s">
        <v>27</v>
      </c>
      <c r="N21" s="8" t="str">
        <f t="shared" si="0"/>
        <v>【矿物】发出苍色辉光的矿物</v>
      </c>
      <c r="O21" s="10">
        <f t="shared" si="2"/>
        <v>1</v>
      </c>
      <c r="P21" s="8">
        <f t="shared" si="3"/>
        <v>37.5</v>
      </c>
    </row>
    <row r="22" spans="5:16" ht="14.25" x14ac:dyDescent="0.2">
      <c r="E22" s="4"/>
      <c r="F22" s="4">
        <v>50018</v>
      </c>
      <c r="G22" s="9" t="s">
        <v>77</v>
      </c>
      <c r="H22" s="9" t="s">
        <v>78</v>
      </c>
      <c r="I22" s="8" t="s">
        <v>79</v>
      </c>
      <c r="J22" s="9" t="s">
        <v>80</v>
      </c>
      <c r="K22" s="8">
        <v>3</v>
      </c>
      <c r="L22" s="8">
        <f t="shared" si="1"/>
        <v>2</v>
      </c>
      <c r="M22" s="9" t="s">
        <v>63</v>
      </c>
      <c r="N22" s="8" t="str">
        <f t="shared" si="0"/>
        <v>【矿物】带有魔力的矿物</v>
      </c>
      <c r="O22" s="10">
        <f t="shared" si="2"/>
        <v>1</v>
      </c>
      <c r="P22" s="8">
        <f t="shared" si="3"/>
        <v>13.5</v>
      </c>
    </row>
    <row r="23" spans="5:16" ht="14.25" x14ac:dyDescent="0.2">
      <c r="E23" s="4"/>
      <c r="F23" s="4">
        <v>50019</v>
      </c>
      <c r="G23" s="9" t="s">
        <v>81</v>
      </c>
      <c r="H23" s="9" t="s">
        <v>82</v>
      </c>
      <c r="I23" s="8" t="s">
        <v>83</v>
      </c>
      <c r="J23" s="9" t="s">
        <v>84</v>
      </c>
      <c r="K23" s="8">
        <v>3</v>
      </c>
      <c r="L23" s="8">
        <f t="shared" si="1"/>
        <v>2</v>
      </c>
      <c r="M23" s="9" t="s">
        <v>63</v>
      </c>
      <c r="N23" s="8" t="str">
        <f t="shared" si="0"/>
        <v>【矿物】赤色的高品质魔法石</v>
      </c>
      <c r="O23" s="10">
        <f t="shared" si="2"/>
        <v>1</v>
      </c>
      <c r="P23" s="8">
        <f t="shared" si="3"/>
        <v>13.5</v>
      </c>
    </row>
    <row r="24" spans="5:16" ht="14.25" x14ac:dyDescent="0.2">
      <c r="E24" s="4"/>
      <c r="F24" s="4">
        <v>50020</v>
      </c>
      <c r="G24" s="9" t="s">
        <v>85</v>
      </c>
      <c r="H24" s="9" t="s">
        <v>86</v>
      </c>
      <c r="I24" s="8" t="s">
        <v>87</v>
      </c>
      <c r="J24" s="9" t="s">
        <v>88</v>
      </c>
      <c r="K24" s="8">
        <v>3</v>
      </c>
      <c r="L24" s="8">
        <f t="shared" si="1"/>
        <v>2</v>
      </c>
      <c r="M24" s="9" t="s">
        <v>89</v>
      </c>
      <c r="N24" s="8" t="str">
        <f t="shared" si="0"/>
        <v>【矿物】青色的高品质魔法石</v>
      </c>
      <c r="O24" s="10">
        <f t="shared" si="2"/>
        <v>1</v>
      </c>
      <c r="P24" s="8">
        <f t="shared" si="3"/>
        <v>13.5</v>
      </c>
    </row>
    <row r="25" spans="5:16" ht="14.25" x14ac:dyDescent="0.2">
      <c r="E25" s="4"/>
      <c r="F25" s="4">
        <v>50021</v>
      </c>
      <c r="G25" s="9" t="s">
        <v>90</v>
      </c>
      <c r="H25" s="9" t="s">
        <v>91</v>
      </c>
      <c r="I25" s="8" t="s">
        <v>92</v>
      </c>
      <c r="J25" s="9" t="s">
        <v>93</v>
      </c>
      <c r="K25" s="8">
        <v>3</v>
      </c>
      <c r="L25" s="8">
        <f t="shared" si="1"/>
        <v>2</v>
      </c>
      <c r="M25" s="9" t="s">
        <v>63</v>
      </c>
      <c r="N25" s="8" t="str">
        <f t="shared" si="0"/>
        <v>【矿物】绿色的高品质魔法石</v>
      </c>
      <c r="O25" s="10">
        <f t="shared" si="2"/>
        <v>1</v>
      </c>
      <c r="P25" s="8">
        <f t="shared" si="3"/>
        <v>13.5</v>
      </c>
    </row>
    <row r="26" spans="5:16" ht="14.25" x14ac:dyDescent="0.2">
      <c r="E26" s="4"/>
      <c r="F26" s="4">
        <v>50022</v>
      </c>
      <c r="G26" s="9" t="s">
        <v>94</v>
      </c>
      <c r="H26" s="9" t="s">
        <v>95</v>
      </c>
      <c r="I26" s="8" t="s">
        <v>96</v>
      </c>
      <c r="J26" s="9" t="s">
        <v>97</v>
      </c>
      <c r="K26" s="8">
        <v>3</v>
      </c>
      <c r="L26" s="8">
        <f t="shared" si="1"/>
        <v>2</v>
      </c>
      <c r="M26" s="9" t="s">
        <v>27</v>
      </c>
      <c r="N26" s="8" t="str">
        <f t="shared" si="0"/>
        <v>【矿物】紫色的高品质魔法石</v>
      </c>
      <c r="O26" s="10">
        <f t="shared" si="2"/>
        <v>1</v>
      </c>
      <c r="P26" s="8">
        <f t="shared" si="3"/>
        <v>13.5</v>
      </c>
    </row>
    <row r="27" spans="5:16" ht="14.25" x14ac:dyDescent="0.2">
      <c r="E27" s="4"/>
      <c r="F27" s="4">
        <v>50023</v>
      </c>
      <c r="G27" s="9" t="s">
        <v>98</v>
      </c>
      <c r="H27" s="9" t="s">
        <v>99</v>
      </c>
      <c r="I27" s="8" t="s">
        <v>100</v>
      </c>
      <c r="J27" s="9" t="s">
        <v>101</v>
      </c>
      <c r="K27" s="8">
        <v>3</v>
      </c>
      <c r="L27" s="8">
        <f t="shared" si="1"/>
        <v>2</v>
      </c>
      <c r="M27" s="9" t="s">
        <v>27</v>
      </c>
      <c r="N27" s="8" t="str">
        <f t="shared" si="0"/>
        <v>【矿物】白色的高品质魔法石</v>
      </c>
      <c r="O27" s="10">
        <f t="shared" si="2"/>
        <v>1</v>
      </c>
      <c r="P27" s="8">
        <f t="shared" si="3"/>
        <v>13.5</v>
      </c>
    </row>
    <row r="28" spans="5:16" ht="14.25" x14ac:dyDescent="0.2">
      <c r="E28" s="4"/>
      <c r="F28" s="4">
        <v>50024</v>
      </c>
      <c r="G28" s="9" t="s">
        <v>102</v>
      </c>
      <c r="H28" s="9" t="s">
        <v>103</v>
      </c>
      <c r="I28" s="8" t="s">
        <v>104</v>
      </c>
      <c r="J28" s="9" t="s">
        <v>105</v>
      </c>
      <c r="K28" s="8">
        <v>3</v>
      </c>
      <c r="L28" s="8">
        <f t="shared" si="1"/>
        <v>2</v>
      </c>
      <c r="M28" s="9" t="s">
        <v>27</v>
      </c>
      <c r="N28" s="8" t="str">
        <f t="shared" si="0"/>
        <v>【矿物】黑色的高品质魔法石</v>
      </c>
      <c r="O28" s="10">
        <f t="shared" si="2"/>
        <v>1</v>
      </c>
      <c r="P28" s="8">
        <f t="shared" si="3"/>
        <v>13.5</v>
      </c>
    </row>
    <row r="29" spans="5:16" ht="14.25" x14ac:dyDescent="0.2">
      <c r="E29" s="4"/>
      <c r="F29" s="4">
        <v>50025</v>
      </c>
      <c r="G29" s="9" t="s">
        <v>106</v>
      </c>
      <c r="H29" s="9" t="s">
        <v>107</v>
      </c>
      <c r="I29" s="8" t="s">
        <v>108</v>
      </c>
      <c r="J29" s="9" t="s">
        <v>73</v>
      </c>
      <c r="K29" s="8">
        <v>3</v>
      </c>
      <c r="L29" s="8">
        <f t="shared" si="1"/>
        <v>2</v>
      </c>
      <c r="M29" s="9" t="s">
        <v>27</v>
      </c>
      <c r="N29" s="8" t="str">
        <f t="shared" si="0"/>
        <v>【矿物】不可思议具有浮游能力的石头</v>
      </c>
      <c r="O29" s="10">
        <f t="shared" si="2"/>
        <v>1</v>
      </c>
      <c r="P29" s="8">
        <f t="shared" si="3"/>
        <v>13.5</v>
      </c>
    </row>
    <row r="30" spans="5:16" ht="14.25" x14ac:dyDescent="0.2">
      <c r="E30" s="4"/>
      <c r="F30" s="4">
        <v>50026</v>
      </c>
      <c r="G30" s="9" t="s">
        <v>109</v>
      </c>
      <c r="H30" s="9" t="s">
        <v>110</v>
      </c>
      <c r="I30" s="8" t="s">
        <v>111</v>
      </c>
      <c r="J30" s="9" t="s">
        <v>69</v>
      </c>
      <c r="K30" s="8">
        <v>3</v>
      </c>
      <c r="L30" s="8">
        <f t="shared" si="1"/>
        <v>2</v>
      </c>
      <c r="M30" s="9" t="s">
        <v>27</v>
      </c>
      <c r="N30" s="8" t="str">
        <f t="shared" si="0"/>
        <v>【矿物】绮丽的球体纯白色的石头</v>
      </c>
      <c r="O30" s="10">
        <f t="shared" si="2"/>
        <v>1</v>
      </c>
      <c r="P30" s="8">
        <f t="shared" si="3"/>
        <v>13.5</v>
      </c>
    </row>
    <row r="31" spans="5:16" ht="14.25" x14ac:dyDescent="0.2">
      <c r="E31" s="4"/>
      <c r="F31" s="4">
        <v>50027</v>
      </c>
      <c r="G31" s="9" t="s">
        <v>112</v>
      </c>
      <c r="H31" s="9" t="s">
        <v>113</v>
      </c>
      <c r="I31" s="8" t="s">
        <v>114</v>
      </c>
      <c r="J31" s="9" t="s">
        <v>73</v>
      </c>
      <c r="K31" s="8">
        <v>3</v>
      </c>
      <c r="L31" s="8">
        <f t="shared" si="1"/>
        <v>2</v>
      </c>
      <c r="M31" s="9" t="s">
        <v>27</v>
      </c>
      <c r="N31" s="8" t="str">
        <f t="shared" si="0"/>
        <v>【矿物】神兽骨常年累月变化而成</v>
      </c>
      <c r="O31" s="10">
        <f t="shared" si="2"/>
        <v>1</v>
      </c>
      <c r="P31" s="8">
        <f t="shared" si="3"/>
        <v>13.5</v>
      </c>
    </row>
    <row r="32" spans="5:16" ht="14.25" x14ac:dyDescent="0.2">
      <c r="E32" s="4"/>
      <c r="F32" s="4">
        <v>50028</v>
      </c>
      <c r="G32" s="9" t="s">
        <v>115</v>
      </c>
      <c r="H32" s="9" t="s">
        <v>116</v>
      </c>
      <c r="I32" s="8" t="s">
        <v>117</v>
      </c>
      <c r="J32" s="9" t="s">
        <v>69</v>
      </c>
      <c r="K32" s="8">
        <v>3</v>
      </c>
      <c r="L32" s="8">
        <f t="shared" si="1"/>
        <v>2</v>
      </c>
      <c r="M32" s="9" t="s">
        <v>27</v>
      </c>
      <c r="N32" s="8" t="str">
        <f t="shared" si="0"/>
        <v>【矿物】稀少的铜矿结晶析出而成</v>
      </c>
      <c r="O32" s="10">
        <f t="shared" si="2"/>
        <v>1</v>
      </c>
      <c r="P32" s="8">
        <f t="shared" si="3"/>
        <v>13.5</v>
      </c>
    </row>
    <row r="33" spans="5:16" ht="14.25" x14ac:dyDescent="0.2">
      <c r="E33" s="4"/>
      <c r="F33" s="4">
        <v>50029</v>
      </c>
      <c r="G33" s="9" t="s">
        <v>118</v>
      </c>
      <c r="H33" s="9" t="s">
        <v>119</v>
      </c>
      <c r="I33" s="8" t="s">
        <v>120</v>
      </c>
      <c r="J33" s="9" t="s">
        <v>69</v>
      </c>
      <c r="K33" s="8">
        <v>3</v>
      </c>
      <c r="L33" s="8">
        <f t="shared" si="1"/>
        <v>2</v>
      </c>
      <c r="M33" s="9" t="s">
        <v>27</v>
      </c>
      <c r="N33" s="8" t="str">
        <f t="shared" si="0"/>
        <v>【矿物】天然形成最坚硬的石头</v>
      </c>
      <c r="O33" s="10">
        <f t="shared" si="2"/>
        <v>1</v>
      </c>
      <c r="P33" s="8">
        <f t="shared" si="3"/>
        <v>13.5</v>
      </c>
    </row>
    <row r="34" spans="5:16" ht="14.25" x14ac:dyDescent="0.2">
      <c r="E34" s="4"/>
      <c r="F34" s="4">
        <v>50030</v>
      </c>
      <c r="G34" s="9" t="s">
        <v>121</v>
      </c>
      <c r="H34" s="9" t="s">
        <v>122</v>
      </c>
      <c r="I34" s="8" t="s">
        <v>123</v>
      </c>
      <c r="J34" s="9" t="s">
        <v>66</v>
      </c>
      <c r="K34" s="8">
        <v>3</v>
      </c>
      <c r="L34" s="8">
        <f t="shared" si="1"/>
        <v>2</v>
      </c>
      <c r="M34" s="9" t="s">
        <v>27</v>
      </c>
      <c r="N34" s="8" t="str">
        <f t="shared" si="0"/>
        <v>【矿物】水结晶形成的石头</v>
      </c>
      <c r="O34" s="10">
        <f t="shared" si="2"/>
        <v>1</v>
      </c>
      <c r="P34" s="8">
        <f t="shared" si="3"/>
        <v>13.5</v>
      </c>
    </row>
    <row r="35" spans="5:16" ht="14.25" x14ac:dyDescent="0.2">
      <c r="E35" s="4"/>
      <c r="F35" s="4">
        <v>50031</v>
      </c>
      <c r="G35" s="9" t="s">
        <v>124</v>
      </c>
      <c r="H35" s="9" t="s">
        <v>125</v>
      </c>
      <c r="I35" s="8" t="s">
        <v>126</v>
      </c>
      <c r="J35" s="9" t="s">
        <v>73</v>
      </c>
      <c r="K35" s="8">
        <v>1</v>
      </c>
      <c r="L35" s="8">
        <f t="shared" si="1"/>
        <v>1</v>
      </c>
      <c r="M35" s="9" t="s">
        <v>27</v>
      </c>
      <c r="N35" s="8" t="str">
        <f t="shared" si="0"/>
        <v>【矿物】轻量坚硬的魔法铜</v>
      </c>
      <c r="O35" s="10">
        <f t="shared" si="2"/>
        <v>1</v>
      </c>
      <c r="P35" s="8">
        <f t="shared" si="3"/>
        <v>1.5</v>
      </c>
    </row>
    <row r="36" spans="5:16" ht="14.25" x14ac:dyDescent="0.2">
      <c r="E36" s="4"/>
      <c r="F36" s="4">
        <v>50032</v>
      </c>
      <c r="G36" s="9" t="s">
        <v>127</v>
      </c>
      <c r="H36" s="9" t="s">
        <v>128</v>
      </c>
      <c r="I36" s="8" t="s">
        <v>126</v>
      </c>
      <c r="J36" s="9" t="s">
        <v>66</v>
      </c>
      <c r="K36" s="8">
        <v>3</v>
      </c>
      <c r="L36" s="8">
        <f t="shared" si="1"/>
        <v>2</v>
      </c>
      <c r="M36" s="9" t="s">
        <v>27</v>
      </c>
      <c r="N36" s="8" t="str">
        <f t="shared" si="0"/>
        <v>【矿物】南方特产的魔法铜</v>
      </c>
      <c r="O36" s="10">
        <f t="shared" si="2"/>
        <v>1</v>
      </c>
      <c r="P36" s="8">
        <f t="shared" si="3"/>
        <v>13.5</v>
      </c>
    </row>
    <row r="37" spans="5:16" ht="14.25" x14ac:dyDescent="0.2">
      <c r="E37" s="4"/>
      <c r="F37" s="4">
        <v>50033</v>
      </c>
      <c r="G37" s="9" t="s">
        <v>129</v>
      </c>
      <c r="H37" s="9" t="s">
        <v>130</v>
      </c>
      <c r="I37" s="8" t="s">
        <v>126</v>
      </c>
      <c r="J37" s="9" t="s">
        <v>69</v>
      </c>
      <c r="K37" s="8">
        <v>5</v>
      </c>
      <c r="L37" s="8">
        <f t="shared" si="1"/>
        <v>3</v>
      </c>
      <c r="M37" s="9" t="s">
        <v>54</v>
      </c>
      <c r="N37" s="8" t="str">
        <f t="shared" ref="N37:N68" si="4">"【"&amp;M37&amp;"】"&amp;H37</f>
        <v>【矿物】矿石融合树液凝结而成</v>
      </c>
      <c r="O37" s="10">
        <f t="shared" si="2"/>
        <v>1</v>
      </c>
      <c r="P37" s="8">
        <f t="shared" si="3"/>
        <v>37.5</v>
      </c>
    </row>
    <row r="38" spans="5:16" ht="14.25" x14ac:dyDescent="0.2">
      <c r="E38" s="4"/>
      <c r="F38" s="4">
        <v>50034</v>
      </c>
      <c r="G38" s="9" t="s">
        <v>131</v>
      </c>
      <c r="H38" s="9" t="s">
        <v>132</v>
      </c>
      <c r="I38" s="8" t="s">
        <v>126</v>
      </c>
      <c r="J38" s="9" t="s">
        <v>73</v>
      </c>
      <c r="K38" s="8">
        <v>7</v>
      </c>
      <c r="L38" s="8">
        <f t="shared" si="1"/>
        <v>4</v>
      </c>
      <c r="M38" s="9" t="s">
        <v>27</v>
      </c>
      <c r="N38" s="8" t="str">
        <f t="shared" si="4"/>
        <v>【矿物】白金色的魔法铜</v>
      </c>
      <c r="O38" s="10">
        <f t="shared" si="2"/>
        <v>1</v>
      </c>
      <c r="P38" s="8">
        <f t="shared" si="3"/>
        <v>73.5</v>
      </c>
    </row>
    <row r="39" spans="5:16" ht="14.25" x14ac:dyDescent="0.2">
      <c r="E39" s="4"/>
      <c r="F39" s="4">
        <v>50035</v>
      </c>
      <c r="G39" s="9" t="s">
        <v>133</v>
      </c>
      <c r="H39" s="9" t="s">
        <v>134</v>
      </c>
      <c r="I39" s="8" t="s">
        <v>135</v>
      </c>
      <c r="J39" s="9" t="s">
        <v>66</v>
      </c>
      <c r="K39" s="8">
        <v>1</v>
      </c>
      <c r="L39" s="8">
        <f t="shared" si="1"/>
        <v>1</v>
      </c>
      <c r="M39" s="9" t="s">
        <v>54</v>
      </c>
      <c r="N39" s="8" t="str">
        <f t="shared" si="4"/>
        <v>【矿物】粉色带有魔法的金属</v>
      </c>
      <c r="O39" s="10">
        <f t="shared" si="2"/>
        <v>1</v>
      </c>
      <c r="P39" s="8">
        <f t="shared" si="3"/>
        <v>1.5</v>
      </c>
    </row>
    <row r="40" spans="5:16" ht="14.25" x14ac:dyDescent="0.2">
      <c r="E40" s="4"/>
      <c r="F40" s="4">
        <v>50036</v>
      </c>
      <c r="G40" s="9" t="s">
        <v>136</v>
      </c>
      <c r="H40" s="9" t="s">
        <v>137</v>
      </c>
      <c r="I40" s="8" t="s">
        <v>135</v>
      </c>
      <c r="J40" s="9" t="s">
        <v>73</v>
      </c>
      <c r="K40" s="8">
        <v>3</v>
      </c>
      <c r="L40" s="8">
        <f t="shared" si="1"/>
        <v>2</v>
      </c>
      <c r="M40" s="9" t="s">
        <v>27</v>
      </c>
      <c r="N40" s="8" t="str">
        <f t="shared" si="4"/>
        <v>【矿物】纯度很高的稀有金属</v>
      </c>
      <c r="O40" s="10">
        <f t="shared" si="2"/>
        <v>1</v>
      </c>
      <c r="P40" s="8">
        <f t="shared" si="3"/>
        <v>13.5</v>
      </c>
    </row>
    <row r="41" spans="5:16" ht="14.25" x14ac:dyDescent="0.2">
      <c r="E41" s="4"/>
      <c r="F41" s="4">
        <v>50037</v>
      </c>
      <c r="G41" s="9" t="s">
        <v>138</v>
      </c>
      <c r="H41" s="9" t="s">
        <v>139</v>
      </c>
      <c r="I41" s="8" t="s">
        <v>140</v>
      </c>
      <c r="J41" s="9" t="s">
        <v>73</v>
      </c>
      <c r="K41" s="8">
        <v>5</v>
      </c>
      <c r="L41" s="8">
        <f t="shared" si="1"/>
        <v>3</v>
      </c>
      <c r="M41" s="9" t="s">
        <v>54</v>
      </c>
      <c r="N41" s="8" t="str">
        <f t="shared" si="4"/>
        <v>【矿物】纯度很高的稀有金属</v>
      </c>
      <c r="O41" s="10">
        <f t="shared" si="2"/>
        <v>1</v>
      </c>
      <c r="P41" s="8">
        <f t="shared" si="3"/>
        <v>37.5</v>
      </c>
    </row>
    <row r="42" spans="5:16" ht="14.25" x14ac:dyDescent="0.2">
      <c r="E42" s="4"/>
      <c r="F42" s="4">
        <v>50038</v>
      </c>
      <c r="G42" s="9" t="s">
        <v>141</v>
      </c>
      <c r="H42" s="9" t="s">
        <v>137</v>
      </c>
      <c r="I42" s="8" t="s">
        <v>142</v>
      </c>
      <c r="J42" s="9" t="s">
        <v>69</v>
      </c>
      <c r="K42" s="8">
        <v>5</v>
      </c>
      <c r="L42" s="8">
        <f t="shared" si="1"/>
        <v>3</v>
      </c>
      <c r="M42" s="9" t="s">
        <v>27</v>
      </c>
      <c r="N42" s="8" t="str">
        <f t="shared" si="4"/>
        <v>【矿物】纯度很高的稀有金属</v>
      </c>
      <c r="O42" s="10">
        <f t="shared" si="2"/>
        <v>1</v>
      </c>
      <c r="P42" s="8">
        <f t="shared" si="3"/>
        <v>37.5</v>
      </c>
    </row>
    <row r="43" spans="5:16" ht="14.25" x14ac:dyDescent="0.2">
      <c r="E43" s="4"/>
      <c r="F43" s="4">
        <v>50039</v>
      </c>
      <c r="G43" s="9" t="s">
        <v>143</v>
      </c>
      <c r="H43" s="9" t="s">
        <v>139</v>
      </c>
      <c r="I43" s="8" t="s">
        <v>144</v>
      </c>
      <c r="J43" s="9" t="s">
        <v>73</v>
      </c>
      <c r="K43" s="8">
        <v>5</v>
      </c>
      <c r="L43" s="8">
        <f t="shared" si="1"/>
        <v>3</v>
      </c>
      <c r="M43" s="9" t="s">
        <v>27</v>
      </c>
      <c r="N43" s="8" t="str">
        <f t="shared" si="4"/>
        <v>【矿物】纯度很高的稀有金属</v>
      </c>
      <c r="O43" s="10">
        <f t="shared" si="2"/>
        <v>1</v>
      </c>
      <c r="P43" s="8">
        <f t="shared" si="3"/>
        <v>37.5</v>
      </c>
    </row>
    <row r="44" spans="5:16" ht="14.25" x14ac:dyDescent="0.2">
      <c r="E44" s="4"/>
      <c r="F44" s="4">
        <v>50040</v>
      </c>
      <c r="G44" s="9" t="s">
        <v>145</v>
      </c>
      <c r="H44" s="9" t="s">
        <v>137</v>
      </c>
      <c r="I44" s="8" t="s">
        <v>146</v>
      </c>
      <c r="J44" s="9" t="s">
        <v>69</v>
      </c>
      <c r="K44" s="8">
        <v>5</v>
      </c>
      <c r="L44" s="8">
        <f t="shared" si="1"/>
        <v>3</v>
      </c>
      <c r="M44" s="9" t="s">
        <v>27</v>
      </c>
      <c r="N44" s="8" t="str">
        <f t="shared" si="4"/>
        <v>【矿物】纯度很高的稀有金属</v>
      </c>
      <c r="O44" s="10">
        <f t="shared" si="2"/>
        <v>1</v>
      </c>
      <c r="P44" s="8">
        <f t="shared" si="3"/>
        <v>37.5</v>
      </c>
    </row>
    <row r="45" spans="5:16" ht="14.25" x14ac:dyDescent="0.2">
      <c r="E45" s="4"/>
      <c r="F45" s="4">
        <v>50041</v>
      </c>
      <c r="G45" s="9" t="s">
        <v>147</v>
      </c>
      <c r="H45" s="9" t="s">
        <v>148</v>
      </c>
      <c r="I45" s="8" t="s">
        <v>149</v>
      </c>
      <c r="J45" s="9" t="s">
        <v>150</v>
      </c>
      <c r="K45" s="8">
        <v>1</v>
      </c>
      <c r="L45" s="8">
        <f t="shared" si="1"/>
        <v>1</v>
      </c>
      <c r="M45" s="9" t="s">
        <v>151</v>
      </c>
      <c r="N45" s="8" t="str">
        <f t="shared" si="4"/>
        <v>【植物】房屋升级所需的木材</v>
      </c>
      <c r="O45" s="10">
        <f t="shared" si="2"/>
        <v>2</v>
      </c>
      <c r="P45" s="8">
        <f t="shared" si="3"/>
        <v>1.5</v>
      </c>
    </row>
    <row r="46" spans="5:16" ht="14.25" x14ac:dyDescent="0.2">
      <c r="E46" s="4"/>
      <c r="F46" s="4">
        <v>50042</v>
      </c>
      <c r="G46" s="9" t="s">
        <v>152</v>
      </c>
      <c r="H46" s="9" t="s">
        <v>153</v>
      </c>
      <c r="I46" s="8" t="s">
        <v>149</v>
      </c>
      <c r="J46" s="9" t="s">
        <v>150</v>
      </c>
      <c r="K46" s="8">
        <v>2</v>
      </c>
      <c r="L46" s="8">
        <f t="shared" si="1"/>
        <v>2</v>
      </c>
      <c r="M46" s="9" t="s">
        <v>154</v>
      </c>
      <c r="N46" s="8" t="str">
        <f t="shared" si="4"/>
        <v>【植物】品质高的房屋升级所需的木材</v>
      </c>
      <c r="O46" s="10">
        <f t="shared" si="2"/>
        <v>2</v>
      </c>
      <c r="P46" s="8">
        <f t="shared" si="3"/>
        <v>6</v>
      </c>
    </row>
    <row r="47" spans="5:16" ht="14.25" x14ac:dyDescent="0.2">
      <c r="E47" s="4"/>
      <c r="F47" s="4">
        <v>50043</v>
      </c>
      <c r="G47" s="9" t="s">
        <v>155</v>
      </c>
      <c r="H47" s="9" t="s">
        <v>156</v>
      </c>
      <c r="I47" s="8" t="s">
        <v>149</v>
      </c>
      <c r="J47" s="9" t="s">
        <v>150</v>
      </c>
      <c r="K47" s="8">
        <v>3</v>
      </c>
      <c r="L47" s="8">
        <f t="shared" si="1"/>
        <v>2</v>
      </c>
      <c r="M47" s="9" t="s">
        <v>157</v>
      </c>
      <c r="N47" s="8" t="str">
        <f t="shared" si="4"/>
        <v>【植物】高品质的房屋升级所需的木材</v>
      </c>
      <c r="O47" s="10">
        <f t="shared" si="2"/>
        <v>2</v>
      </c>
      <c r="P47" s="8">
        <f t="shared" si="3"/>
        <v>13.5</v>
      </c>
    </row>
    <row r="48" spans="5:16" ht="14.25" x14ac:dyDescent="0.2">
      <c r="E48" s="4"/>
      <c r="F48" s="4">
        <v>50044</v>
      </c>
      <c r="G48" s="9" t="s">
        <v>158</v>
      </c>
      <c r="H48" s="9" t="s">
        <v>159</v>
      </c>
      <c r="I48" s="8" t="s">
        <v>149</v>
      </c>
      <c r="J48" s="9" t="s">
        <v>160</v>
      </c>
      <c r="K48" s="8">
        <v>4</v>
      </c>
      <c r="L48" s="8">
        <f t="shared" si="1"/>
        <v>3</v>
      </c>
      <c r="M48" s="9" t="s">
        <v>161</v>
      </c>
      <c r="N48" s="8" t="str">
        <f t="shared" si="4"/>
        <v>【植物】顶级品质房屋升级所需的木材</v>
      </c>
      <c r="O48" s="10">
        <f t="shared" si="2"/>
        <v>2</v>
      </c>
      <c r="P48" s="8">
        <f t="shared" si="3"/>
        <v>24</v>
      </c>
    </row>
    <row r="49" spans="5:16" ht="14.25" x14ac:dyDescent="0.2">
      <c r="E49" s="4"/>
      <c r="F49" s="4">
        <v>50045</v>
      </c>
      <c r="G49" s="9" t="s">
        <v>162</v>
      </c>
      <c r="H49" s="9" t="s">
        <v>162</v>
      </c>
      <c r="I49" s="8" t="s">
        <v>149</v>
      </c>
      <c r="J49" s="9" t="s">
        <v>73</v>
      </c>
      <c r="K49" s="8">
        <v>1</v>
      </c>
      <c r="L49" s="8">
        <f t="shared" si="1"/>
        <v>1</v>
      </c>
      <c r="M49" s="9" t="s">
        <v>161</v>
      </c>
      <c r="N49" s="8" t="str">
        <f t="shared" si="4"/>
        <v>【植物】树枝</v>
      </c>
      <c r="O49" s="10">
        <f t="shared" si="2"/>
        <v>2</v>
      </c>
      <c r="P49" s="8">
        <f t="shared" si="3"/>
        <v>1.5</v>
      </c>
    </row>
    <row r="50" spans="5:16" ht="14.25" x14ac:dyDescent="0.2">
      <c r="E50" s="4"/>
      <c r="F50" s="4">
        <v>50046</v>
      </c>
      <c r="G50" s="9" t="s">
        <v>163</v>
      </c>
      <c r="H50" s="9" t="s">
        <v>164</v>
      </c>
      <c r="I50" s="8" t="s">
        <v>149</v>
      </c>
      <c r="J50" s="9" t="s">
        <v>73</v>
      </c>
      <c r="K50" s="8">
        <v>3</v>
      </c>
      <c r="L50" s="8">
        <f t="shared" si="1"/>
        <v>2</v>
      </c>
      <c r="M50" s="9" t="s">
        <v>161</v>
      </c>
      <c r="N50" s="8" t="str">
        <f t="shared" si="4"/>
        <v>【植物】高级植物的树枝</v>
      </c>
      <c r="O50" s="10">
        <f t="shared" si="2"/>
        <v>2</v>
      </c>
      <c r="P50" s="8">
        <f t="shared" si="3"/>
        <v>13.5</v>
      </c>
    </row>
    <row r="51" spans="5:16" ht="14.25" x14ac:dyDescent="0.2">
      <c r="E51" s="4"/>
      <c r="F51" s="4">
        <v>50047</v>
      </c>
      <c r="G51" s="9" t="s">
        <v>165</v>
      </c>
      <c r="H51" s="9" t="s">
        <v>166</v>
      </c>
      <c r="I51" s="8" t="s">
        <v>149</v>
      </c>
      <c r="J51" s="9" t="s">
        <v>167</v>
      </c>
      <c r="K51" s="8">
        <v>1</v>
      </c>
      <c r="L51" s="8">
        <f t="shared" si="1"/>
        <v>1</v>
      </c>
      <c r="M51" s="9" t="s">
        <v>168</v>
      </c>
      <c r="N51" s="8" t="str">
        <f t="shared" si="4"/>
        <v>【植物】家具制作需要的木材</v>
      </c>
      <c r="O51" s="10">
        <f t="shared" si="2"/>
        <v>2</v>
      </c>
      <c r="P51" s="8">
        <f t="shared" si="3"/>
        <v>1.5</v>
      </c>
    </row>
    <row r="52" spans="5:16" ht="14.25" x14ac:dyDescent="0.2">
      <c r="E52" s="4"/>
      <c r="F52" s="4">
        <v>50048</v>
      </c>
      <c r="G52" s="9" t="s">
        <v>169</v>
      </c>
      <c r="H52" s="9" t="s">
        <v>170</v>
      </c>
      <c r="I52" s="8" t="s">
        <v>149</v>
      </c>
      <c r="J52" s="9" t="s">
        <v>167</v>
      </c>
      <c r="K52" s="8">
        <v>3</v>
      </c>
      <c r="L52" s="8">
        <f t="shared" si="1"/>
        <v>2</v>
      </c>
      <c r="M52" s="9" t="s">
        <v>168</v>
      </c>
      <c r="N52" s="8" t="str">
        <f t="shared" si="4"/>
        <v>【植物】家具制作需要的优质木材</v>
      </c>
      <c r="O52" s="10">
        <f t="shared" si="2"/>
        <v>2</v>
      </c>
      <c r="P52" s="8">
        <f t="shared" si="3"/>
        <v>13.5</v>
      </c>
    </row>
    <row r="53" spans="5:16" ht="14.25" x14ac:dyDescent="0.2">
      <c r="E53" s="4"/>
      <c r="F53" s="4">
        <v>50049</v>
      </c>
      <c r="G53" s="9" t="s">
        <v>171</v>
      </c>
      <c r="H53" s="9" t="s">
        <v>172</v>
      </c>
      <c r="I53" s="8" t="s">
        <v>149</v>
      </c>
      <c r="J53" s="9" t="s">
        <v>167</v>
      </c>
      <c r="K53" s="8">
        <v>5</v>
      </c>
      <c r="L53" s="8">
        <f t="shared" si="1"/>
        <v>3</v>
      </c>
      <c r="M53" s="9" t="s">
        <v>161</v>
      </c>
      <c r="N53" s="8" t="str">
        <f t="shared" si="4"/>
        <v>【植物】家具制作需要的高级木材</v>
      </c>
      <c r="O53" s="10">
        <f t="shared" si="2"/>
        <v>2</v>
      </c>
      <c r="P53" s="8">
        <f t="shared" si="3"/>
        <v>37.5</v>
      </c>
    </row>
    <row r="54" spans="5:16" ht="14.25" x14ac:dyDescent="0.2">
      <c r="E54" s="4"/>
      <c r="F54" s="4">
        <v>50050</v>
      </c>
      <c r="G54" s="9" t="s">
        <v>173</v>
      </c>
      <c r="H54" s="9" t="s">
        <v>174</v>
      </c>
      <c r="I54" s="8" t="s">
        <v>149</v>
      </c>
      <c r="J54" s="9" t="s">
        <v>175</v>
      </c>
      <c r="K54" s="8">
        <v>7</v>
      </c>
      <c r="L54" s="8">
        <f t="shared" si="1"/>
        <v>4</v>
      </c>
      <c r="M54" s="9" t="s">
        <v>168</v>
      </c>
      <c r="N54" s="8" t="str">
        <f t="shared" si="4"/>
        <v>【植物】家具制作需要的顶级木材</v>
      </c>
      <c r="O54" s="10">
        <f t="shared" si="2"/>
        <v>2</v>
      </c>
      <c r="P54" s="8">
        <f t="shared" si="3"/>
        <v>73.5</v>
      </c>
    </row>
    <row r="55" spans="5:16" ht="14.25" x14ac:dyDescent="0.2">
      <c r="E55" s="4"/>
      <c r="F55" s="4">
        <v>50051</v>
      </c>
      <c r="G55" s="9" t="s">
        <v>176</v>
      </c>
      <c r="H55" s="9" t="s">
        <v>177</v>
      </c>
      <c r="I55" s="8" t="s">
        <v>178</v>
      </c>
      <c r="J55" s="9" t="s">
        <v>179</v>
      </c>
      <c r="K55" s="8">
        <v>1</v>
      </c>
      <c r="L55" s="8">
        <f t="shared" si="1"/>
        <v>1</v>
      </c>
      <c r="M55" s="9" t="s">
        <v>168</v>
      </c>
      <c r="N55" s="8" t="str">
        <f t="shared" si="4"/>
        <v>【植物】香气迷人的植物采集的叶子</v>
      </c>
      <c r="O55" s="10">
        <f t="shared" si="2"/>
        <v>2</v>
      </c>
      <c r="P55" s="8">
        <f t="shared" si="3"/>
        <v>1.5</v>
      </c>
    </row>
    <row r="56" spans="5:16" ht="14.25" x14ac:dyDescent="0.2">
      <c r="E56" s="4"/>
      <c r="F56" s="4">
        <v>50052</v>
      </c>
      <c r="G56" s="9" t="s">
        <v>180</v>
      </c>
      <c r="H56" s="9" t="s">
        <v>181</v>
      </c>
      <c r="I56" s="8" t="s">
        <v>178</v>
      </c>
      <c r="J56" s="9" t="s">
        <v>182</v>
      </c>
      <c r="K56" s="8">
        <v>1</v>
      </c>
      <c r="L56" s="8">
        <f t="shared" si="1"/>
        <v>1</v>
      </c>
      <c r="M56" s="9" t="s">
        <v>161</v>
      </c>
      <c r="N56" s="8" t="str">
        <f t="shared" si="4"/>
        <v>【植物】轻盈植物采集的叶子</v>
      </c>
      <c r="O56" s="10">
        <f t="shared" si="2"/>
        <v>2</v>
      </c>
      <c r="P56" s="8">
        <f t="shared" si="3"/>
        <v>1.5</v>
      </c>
    </row>
    <row r="57" spans="5:16" ht="14.25" x14ac:dyDescent="0.2">
      <c r="E57" s="4"/>
      <c r="F57" s="4">
        <v>50053</v>
      </c>
      <c r="G57" s="9" t="s">
        <v>183</v>
      </c>
      <c r="H57" s="9" t="s">
        <v>184</v>
      </c>
      <c r="I57" s="8" t="s">
        <v>178</v>
      </c>
      <c r="J57" s="9" t="s">
        <v>182</v>
      </c>
      <c r="K57" s="8">
        <v>2</v>
      </c>
      <c r="L57" s="8">
        <f t="shared" si="1"/>
        <v>2</v>
      </c>
      <c r="M57" s="9" t="s">
        <v>168</v>
      </c>
      <c r="N57" s="8" t="str">
        <f t="shared" si="4"/>
        <v>【植物】水边生长植物采集的叶子</v>
      </c>
      <c r="O57" s="10">
        <f t="shared" si="2"/>
        <v>2</v>
      </c>
      <c r="P57" s="8">
        <f t="shared" si="3"/>
        <v>6</v>
      </c>
    </row>
    <row r="58" spans="5:16" ht="14.25" x14ac:dyDescent="0.2">
      <c r="E58" s="4"/>
      <c r="F58" s="4">
        <v>50054</v>
      </c>
      <c r="G58" s="9" t="s">
        <v>185</v>
      </c>
      <c r="H58" s="9" t="s">
        <v>186</v>
      </c>
      <c r="I58" s="8" t="s">
        <v>187</v>
      </c>
      <c r="J58" s="9" t="s">
        <v>188</v>
      </c>
      <c r="K58" s="8">
        <v>2</v>
      </c>
      <c r="L58" s="8">
        <f t="shared" si="1"/>
        <v>2</v>
      </c>
      <c r="M58" s="9" t="s">
        <v>168</v>
      </c>
      <c r="N58" s="8" t="str">
        <f t="shared" si="4"/>
        <v>【植物】白色珍惜植物采集的叶子</v>
      </c>
      <c r="O58" s="10">
        <f t="shared" si="2"/>
        <v>2</v>
      </c>
      <c r="P58" s="8">
        <f t="shared" si="3"/>
        <v>6</v>
      </c>
    </row>
    <row r="59" spans="5:16" ht="14.25" x14ac:dyDescent="0.2">
      <c r="E59" s="4"/>
      <c r="F59" s="4">
        <v>50055</v>
      </c>
      <c r="G59" s="9" t="s">
        <v>189</v>
      </c>
      <c r="H59" s="9" t="s">
        <v>190</v>
      </c>
      <c r="I59" s="8" t="s">
        <v>191</v>
      </c>
      <c r="J59" s="9" t="s">
        <v>188</v>
      </c>
      <c r="K59" s="8">
        <v>2</v>
      </c>
      <c r="L59" s="8">
        <f t="shared" si="1"/>
        <v>2</v>
      </c>
      <c r="M59" s="9" t="s">
        <v>168</v>
      </c>
      <c r="N59" s="8" t="str">
        <f t="shared" si="4"/>
        <v>【植物】完全枯萎的植物</v>
      </c>
      <c r="O59" s="10">
        <f t="shared" si="2"/>
        <v>2</v>
      </c>
      <c r="P59" s="8">
        <f t="shared" si="3"/>
        <v>6</v>
      </c>
    </row>
    <row r="60" spans="5:16" ht="14.25" x14ac:dyDescent="0.2">
      <c r="E60" s="4"/>
      <c r="F60" s="4">
        <v>50056</v>
      </c>
      <c r="G60" s="9" t="s">
        <v>192</v>
      </c>
      <c r="H60" s="9" t="s">
        <v>193</v>
      </c>
      <c r="I60" s="8" t="s">
        <v>194</v>
      </c>
      <c r="J60" s="9" t="s">
        <v>179</v>
      </c>
      <c r="K60" s="8">
        <v>2</v>
      </c>
      <c r="L60" s="8">
        <f t="shared" si="1"/>
        <v>2</v>
      </c>
      <c r="M60" s="9" t="s">
        <v>168</v>
      </c>
      <c r="N60" s="8" t="str">
        <f t="shared" si="4"/>
        <v>【植物】杂草晒干后收集而成</v>
      </c>
      <c r="O60" s="10">
        <f t="shared" si="2"/>
        <v>2</v>
      </c>
      <c r="P60" s="8">
        <f t="shared" si="3"/>
        <v>6</v>
      </c>
    </row>
    <row r="61" spans="5:16" ht="14.25" x14ac:dyDescent="0.2">
      <c r="E61" s="4"/>
      <c r="F61" s="4">
        <v>50057</v>
      </c>
      <c r="G61" s="9" t="s">
        <v>195</v>
      </c>
      <c r="H61" s="9" t="s">
        <v>196</v>
      </c>
      <c r="I61" s="8" t="s">
        <v>197</v>
      </c>
      <c r="J61" s="9" t="s">
        <v>179</v>
      </c>
      <c r="K61" s="8">
        <v>2</v>
      </c>
      <c r="L61" s="8">
        <f t="shared" si="1"/>
        <v>2</v>
      </c>
      <c r="M61" s="9" t="s">
        <v>168</v>
      </c>
      <c r="N61" s="8" t="str">
        <f t="shared" si="4"/>
        <v>【植物】树海里特殊植物生长的具有弹力的茎</v>
      </c>
      <c r="O61" s="10">
        <f t="shared" si="2"/>
        <v>2</v>
      </c>
      <c r="P61" s="8">
        <f t="shared" si="3"/>
        <v>6</v>
      </c>
    </row>
    <row r="62" spans="5:16" ht="14.25" x14ac:dyDescent="0.2">
      <c r="E62" s="4"/>
      <c r="F62" s="4">
        <v>50058</v>
      </c>
      <c r="G62" s="9" t="s">
        <v>198</v>
      </c>
      <c r="H62" s="9" t="s">
        <v>199</v>
      </c>
      <c r="I62" s="8" t="s">
        <v>178</v>
      </c>
      <c r="J62" s="9" t="s">
        <v>179</v>
      </c>
      <c r="K62" s="8">
        <v>4</v>
      </c>
      <c r="L62" s="8">
        <f t="shared" si="1"/>
        <v>3</v>
      </c>
      <c r="M62" s="9" t="s">
        <v>168</v>
      </c>
      <c r="N62" s="8" t="str">
        <f t="shared" si="4"/>
        <v>【植物】随着时间而改变颜色的草</v>
      </c>
      <c r="O62" s="10">
        <f t="shared" si="2"/>
        <v>2</v>
      </c>
      <c r="P62" s="8">
        <f t="shared" si="3"/>
        <v>24</v>
      </c>
    </row>
    <row r="63" spans="5:16" ht="14.25" x14ac:dyDescent="0.2">
      <c r="E63" s="4"/>
      <c r="F63" s="4">
        <v>50059</v>
      </c>
      <c r="G63" s="9" t="s">
        <v>200</v>
      </c>
      <c r="H63" s="9" t="s">
        <v>201</v>
      </c>
      <c r="I63" s="8" t="s">
        <v>202</v>
      </c>
      <c r="J63" s="9" t="s">
        <v>179</v>
      </c>
      <c r="K63" s="8">
        <v>7</v>
      </c>
      <c r="L63" s="8">
        <f t="shared" si="1"/>
        <v>4</v>
      </c>
      <c r="M63" s="9" t="s">
        <v>168</v>
      </c>
      <c r="N63" s="8" t="str">
        <f t="shared" si="4"/>
        <v>【植物】突变而生的具有七彩颜色的草</v>
      </c>
      <c r="O63" s="10">
        <f t="shared" si="2"/>
        <v>2</v>
      </c>
      <c r="P63" s="8">
        <f t="shared" si="3"/>
        <v>73.5</v>
      </c>
    </row>
    <row r="64" spans="5:16" ht="14.25" x14ac:dyDescent="0.2">
      <c r="E64" s="4"/>
      <c r="F64" s="4">
        <v>50060</v>
      </c>
      <c r="G64" s="9" t="s">
        <v>203</v>
      </c>
      <c r="H64" s="9" t="s">
        <v>204</v>
      </c>
      <c r="I64" s="8" t="s">
        <v>205</v>
      </c>
      <c r="J64" s="9" t="s">
        <v>188</v>
      </c>
      <c r="K64" s="8">
        <v>5</v>
      </c>
      <c r="L64" s="8">
        <f t="shared" si="1"/>
        <v>3</v>
      </c>
      <c r="M64" s="9" t="s">
        <v>168</v>
      </c>
      <c r="N64" s="8" t="str">
        <f t="shared" si="4"/>
        <v>【植物】黑色的花朵生长在阴暗处</v>
      </c>
      <c r="O64" s="10">
        <f t="shared" si="2"/>
        <v>2</v>
      </c>
      <c r="P64" s="8">
        <f t="shared" si="3"/>
        <v>37.5</v>
      </c>
    </row>
    <row r="65" spans="1:16" ht="14.25" x14ac:dyDescent="0.2">
      <c r="E65" s="4"/>
      <c r="F65" s="4">
        <v>50061</v>
      </c>
      <c r="G65" s="9" t="s">
        <v>206</v>
      </c>
      <c r="H65" s="9" t="s">
        <v>207</v>
      </c>
      <c r="I65" s="8" t="s">
        <v>208</v>
      </c>
      <c r="J65" s="9" t="s">
        <v>179</v>
      </c>
      <c r="K65" s="8">
        <v>5</v>
      </c>
      <c r="L65" s="8">
        <f t="shared" si="1"/>
        <v>3</v>
      </c>
      <c r="M65" s="9" t="s">
        <v>168</v>
      </c>
      <c r="N65" s="8" t="str">
        <f t="shared" si="4"/>
        <v>【植物】会闪光突然吓你一跳</v>
      </c>
      <c r="O65" s="10">
        <f t="shared" si="2"/>
        <v>2</v>
      </c>
      <c r="P65" s="8">
        <f t="shared" si="3"/>
        <v>37.5</v>
      </c>
    </row>
    <row r="66" spans="1:16" ht="14.25" x14ac:dyDescent="0.2">
      <c r="E66" s="4"/>
      <c r="F66" s="4">
        <v>50062</v>
      </c>
      <c r="G66" s="9" t="s">
        <v>209</v>
      </c>
      <c r="H66" s="9" t="s">
        <v>210</v>
      </c>
      <c r="I66" s="8" t="s">
        <v>211</v>
      </c>
      <c r="J66" s="9" t="s">
        <v>179</v>
      </c>
      <c r="K66" s="8">
        <v>5</v>
      </c>
      <c r="L66" s="8">
        <f t="shared" si="1"/>
        <v>3</v>
      </c>
      <c r="M66" s="9" t="s">
        <v>168</v>
      </c>
      <c r="N66" s="8" t="str">
        <f t="shared" si="4"/>
        <v>【植物】向着太阳生长的花朵</v>
      </c>
      <c r="O66" s="10">
        <f t="shared" si="2"/>
        <v>2</v>
      </c>
      <c r="P66" s="8">
        <f t="shared" si="3"/>
        <v>37.5</v>
      </c>
    </row>
    <row r="67" spans="1:16" ht="14.25" x14ac:dyDescent="0.2">
      <c r="A67">
        <v>1</v>
      </c>
      <c r="B67" s="14" t="s">
        <v>585</v>
      </c>
      <c r="C67" s="14" t="s">
        <v>586</v>
      </c>
      <c r="E67" s="4"/>
      <c r="F67" s="4">
        <v>50063</v>
      </c>
      <c r="G67" s="9" t="s">
        <v>212</v>
      </c>
      <c r="H67" s="9" t="s">
        <v>213</v>
      </c>
      <c r="I67" s="8" t="s">
        <v>214</v>
      </c>
      <c r="J67" s="9" t="s">
        <v>62</v>
      </c>
      <c r="K67" s="8">
        <v>2</v>
      </c>
      <c r="L67" s="8">
        <f t="shared" si="1"/>
        <v>2</v>
      </c>
      <c r="M67" s="9" t="s">
        <v>157</v>
      </c>
      <c r="N67" s="8" t="str">
        <f t="shared" si="4"/>
        <v>【植物】灵木的根生长到地表采集到的根</v>
      </c>
      <c r="O67" s="10">
        <f t="shared" si="2"/>
        <v>2</v>
      </c>
      <c r="P67" s="8">
        <f t="shared" si="3"/>
        <v>6</v>
      </c>
    </row>
    <row r="68" spans="1:16" ht="14.25" x14ac:dyDescent="0.2">
      <c r="A68">
        <v>2</v>
      </c>
      <c r="B68" s="14" t="s">
        <v>587</v>
      </c>
      <c r="C68" s="14" t="s">
        <v>588</v>
      </c>
      <c r="E68" s="4"/>
      <c r="F68" s="4">
        <v>50064</v>
      </c>
      <c r="G68" s="9" t="s">
        <v>215</v>
      </c>
      <c r="H68" s="9" t="s">
        <v>216</v>
      </c>
      <c r="I68" s="8" t="s">
        <v>217</v>
      </c>
      <c r="J68" s="9" t="s">
        <v>62</v>
      </c>
      <c r="K68" s="8">
        <v>2</v>
      </c>
      <c r="L68" s="8">
        <f t="shared" si="1"/>
        <v>2</v>
      </c>
      <c r="M68" s="9" t="s">
        <v>168</v>
      </c>
      <c r="N68" s="8" t="str">
        <f t="shared" si="4"/>
        <v>【植物】爬到灵木的枝干上采集的树枝</v>
      </c>
      <c r="O68" s="10">
        <f t="shared" si="2"/>
        <v>2</v>
      </c>
      <c r="P68" s="8">
        <f t="shared" si="3"/>
        <v>6</v>
      </c>
    </row>
    <row r="69" spans="1:16" ht="14.25" x14ac:dyDescent="0.2">
      <c r="A69">
        <v>3</v>
      </c>
      <c r="B69" s="14" t="s">
        <v>589</v>
      </c>
      <c r="C69" s="14" t="s">
        <v>586</v>
      </c>
      <c r="E69" s="4"/>
      <c r="F69" s="4">
        <v>50065</v>
      </c>
      <c r="G69" s="9" t="s">
        <v>218</v>
      </c>
      <c r="H69" s="9" t="s">
        <v>219</v>
      </c>
      <c r="I69" s="8" t="s">
        <v>197</v>
      </c>
      <c r="J69" s="9" t="s">
        <v>73</v>
      </c>
      <c r="K69" s="8">
        <v>2</v>
      </c>
      <c r="L69" s="8">
        <f t="shared" si="1"/>
        <v>2</v>
      </c>
      <c r="M69" s="9" t="s">
        <v>168</v>
      </c>
      <c r="N69" s="8" t="str">
        <f t="shared" ref="N69:N100" si="5">"【"&amp;M69&amp;"】"&amp;H69</f>
        <v>【植物】奇怪的树奇怪的茎</v>
      </c>
      <c r="O69" s="10">
        <f t="shared" si="2"/>
        <v>2</v>
      </c>
      <c r="P69" s="8">
        <f t="shared" si="3"/>
        <v>6</v>
      </c>
    </row>
    <row r="70" spans="1:16" ht="14.25" x14ac:dyDescent="0.2">
      <c r="A70">
        <v>4</v>
      </c>
      <c r="B70" s="14" t="s">
        <v>590</v>
      </c>
      <c r="C70" s="14" t="s">
        <v>591</v>
      </c>
      <c r="E70" s="4"/>
      <c r="F70" s="4">
        <v>50066</v>
      </c>
      <c r="G70" s="9" t="s">
        <v>220</v>
      </c>
      <c r="H70" s="9" t="s">
        <v>221</v>
      </c>
      <c r="I70" s="8" t="s">
        <v>222</v>
      </c>
      <c r="J70" s="9" t="s">
        <v>188</v>
      </c>
      <c r="K70" s="8">
        <v>3</v>
      </c>
      <c r="L70" s="8">
        <f t="shared" ref="L70:L133" si="6">IF(K70=1,1,IF(OR(K70=2,K70=3),2,IF(OR(K70=4,K70=5),3,IF(OR(K70=6,K70=7,K70=8),4))))</f>
        <v>2</v>
      </c>
      <c r="M70" s="9" t="s">
        <v>168</v>
      </c>
      <c r="N70" s="8" t="str">
        <f t="shared" si="5"/>
        <v>【植物】森林内生长的赤色蘑菇</v>
      </c>
      <c r="O70" s="10">
        <f t="shared" ref="O70:O133" si="7">IF(M70="矿物",1,IF(M70="植物",2,IF(M70="器官",3,4)))</f>
        <v>2</v>
      </c>
      <c r="P70" s="8">
        <f t="shared" ref="P70:P133" si="8">K70^2*1.5</f>
        <v>13.5</v>
      </c>
    </row>
    <row r="71" spans="1:16" ht="14.25" x14ac:dyDescent="0.2">
      <c r="A71">
        <v>5</v>
      </c>
      <c r="B71" s="14" t="s">
        <v>592</v>
      </c>
      <c r="C71" s="14" t="s">
        <v>593</v>
      </c>
      <c r="E71" s="4"/>
      <c r="F71" s="4">
        <v>50067</v>
      </c>
      <c r="G71" s="9" t="s">
        <v>223</v>
      </c>
      <c r="H71" s="9" t="s">
        <v>224</v>
      </c>
      <c r="I71" s="8" t="s">
        <v>225</v>
      </c>
      <c r="J71" s="9" t="s">
        <v>179</v>
      </c>
      <c r="K71" s="8">
        <v>3</v>
      </c>
      <c r="L71" s="8">
        <f t="shared" si="6"/>
        <v>2</v>
      </c>
      <c r="M71" s="9" t="s">
        <v>168</v>
      </c>
      <c r="N71" s="8" t="str">
        <f t="shared" si="5"/>
        <v>【植物】森林内生长的青色蘑菇</v>
      </c>
      <c r="O71" s="10">
        <f t="shared" si="7"/>
        <v>2</v>
      </c>
      <c r="P71" s="8">
        <f t="shared" si="8"/>
        <v>13.5</v>
      </c>
    </row>
    <row r="72" spans="1:16" ht="14.25" x14ac:dyDescent="0.2">
      <c r="A72">
        <v>6</v>
      </c>
      <c r="B72" s="14" t="s">
        <v>594</v>
      </c>
      <c r="C72" s="14" t="s">
        <v>591</v>
      </c>
      <c r="E72" s="4"/>
      <c r="F72" s="4">
        <v>50068</v>
      </c>
      <c r="G72" s="9" t="s">
        <v>226</v>
      </c>
      <c r="H72" s="9" t="s">
        <v>227</v>
      </c>
      <c r="I72" s="8" t="s">
        <v>228</v>
      </c>
      <c r="J72" s="9" t="s">
        <v>179</v>
      </c>
      <c r="K72" s="8">
        <v>5</v>
      </c>
      <c r="L72" s="8">
        <f t="shared" si="6"/>
        <v>3</v>
      </c>
      <c r="M72" s="9" t="s">
        <v>168</v>
      </c>
      <c r="N72" s="8" t="str">
        <f t="shared" si="5"/>
        <v>【植物】特别稀有的七彩蘑菇</v>
      </c>
      <c r="O72" s="10">
        <f t="shared" si="7"/>
        <v>2</v>
      </c>
      <c r="P72" s="8">
        <f t="shared" si="8"/>
        <v>37.5</v>
      </c>
    </row>
    <row r="73" spans="1:16" ht="14.25" x14ac:dyDescent="0.2">
      <c r="A73">
        <v>7</v>
      </c>
      <c r="B73" s="14" t="s">
        <v>595</v>
      </c>
      <c r="C73" s="14" t="s">
        <v>588</v>
      </c>
      <c r="E73" s="4"/>
      <c r="F73" s="4">
        <v>50069</v>
      </c>
      <c r="G73" s="9" t="s">
        <v>229</v>
      </c>
      <c r="H73" s="9" t="s">
        <v>230</v>
      </c>
      <c r="I73" s="8" t="s">
        <v>231</v>
      </c>
      <c r="J73" s="9" t="s">
        <v>179</v>
      </c>
      <c r="K73" s="8">
        <v>1</v>
      </c>
      <c r="L73" s="8">
        <f t="shared" si="6"/>
        <v>1</v>
      </c>
      <c r="M73" s="9" t="s">
        <v>168</v>
      </c>
      <c r="N73" s="8" t="str">
        <f t="shared" si="5"/>
        <v>【植物】熟透的果子掉在地上收集而来</v>
      </c>
      <c r="O73" s="10">
        <f t="shared" si="7"/>
        <v>2</v>
      </c>
      <c r="P73" s="8">
        <f t="shared" si="8"/>
        <v>1.5</v>
      </c>
    </row>
    <row r="74" spans="1:16" ht="14.25" x14ac:dyDescent="0.2">
      <c r="A74">
        <v>8</v>
      </c>
      <c r="B74" s="14" t="s">
        <v>596</v>
      </c>
      <c r="C74" s="14" t="s">
        <v>597</v>
      </c>
      <c r="E74" s="4"/>
      <c r="F74" s="4">
        <v>50070</v>
      </c>
      <c r="G74" s="9" t="s">
        <v>232</v>
      </c>
      <c r="H74" s="9" t="s">
        <v>233</v>
      </c>
      <c r="I74" s="8" t="s">
        <v>234</v>
      </c>
      <c r="J74" s="9" t="s">
        <v>62</v>
      </c>
      <c r="K74" s="8">
        <v>2</v>
      </c>
      <c r="L74" s="8">
        <f t="shared" si="6"/>
        <v>2</v>
      </c>
      <c r="M74" s="9" t="s">
        <v>157</v>
      </c>
      <c r="N74" s="8" t="str">
        <f t="shared" si="5"/>
        <v>【植物】味道鲜美长相良好的南瓜</v>
      </c>
      <c r="O74" s="10">
        <f t="shared" si="7"/>
        <v>2</v>
      </c>
      <c r="P74" s="8">
        <f t="shared" si="8"/>
        <v>6</v>
      </c>
    </row>
    <row r="75" spans="1:16" ht="14.25" x14ac:dyDescent="0.2">
      <c r="A75">
        <v>9</v>
      </c>
      <c r="B75" s="14" t="s">
        <v>598</v>
      </c>
      <c r="C75" s="14" t="s">
        <v>599</v>
      </c>
      <c r="E75" s="4"/>
      <c r="F75" s="4">
        <v>50071</v>
      </c>
      <c r="G75" s="9" t="s">
        <v>235</v>
      </c>
      <c r="H75" s="9" t="s">
        <v>236</v>
      </c>
      <c r="I75" s="8" t="s">
        <v>237</v>
      </c>
      <c r="J75" s="9" t="s">
        <v>238</v>
      </c>
      <c r="K75" s="8">
        <v>8</v>
      </c>
      <c r="L75" s="8">
        <f t="shared" si="6"/>
        <v>4</v>
      </c>
      <c r="M75" s="9" t="s">
        <v>161</v>
      </c>
      <c r="N75" s="8" t="str">
        <f t="shared" si="5"/>
        <v>【植物】具有特殊魔力的赤色丝带</v>
      </c>
      <c r="O75" s="10">
        <f t="shared" si="7"/>
        <v>2</v>
      </c>
      <c r="P75" s="8">
        <f t="shared" si="8"/>
        <v>96</v>
      </c>
    </row>
    <row r="76" spans="1:16" ht="14.25" x14ac:dyDescent="0.2">
      <c r="A76">
        <v>10</v>
      </c>
      <c r="B76" s="14" t="s">
        <v>600</v>
      </c>
      <c r="C76" s="14" t="s">
        <v>593</v>
      </c>
      <c r="E76" s="4"/>
      <c r="F76" s="4">
        <v>50072</v>
      </c>
      <c r="G76" s="9" t="s">
        <v>239</v>
      </c>
      <c r="H76" s="9" t="s">
        <v>240</v>
      </c>
      <c r="I76" s="8" t="s">
        <v>241</v>
      </c>
      <c r="J76" s="9" t="s">
        <v>242</v>
      </c>
      <c r="K76" s="8">
        <v>8</v>
      </c>
      <c r="L76" s="8">
        <f t="shared" si="6"/>
        <v>4</v>
      </c>
      <c r="M76" s="9" t="s">
        <v>168</v>
      </c>
      <c r="N76" s="8" t="str">
        <f t="shared" si="5"/>
        <v>【植物】具有特殊魔力的青色丝带</v>
      </c>
      <c r="O76" s="10">
        <f t="shared" si="7"/>
        <v>2</v>
      </c>
      <c r="P76" s="8">
        <f t="shared" si="8"/>
        <v>96</v>
      </c>
    </row>
    <row r="77" spans="1:16" ht="14.25" x14ac:dyDescent="0.2">
      <c r="A77">
        <v>11</v>
      </c>
      <c r="B77" s="14" t="s">
        <v>601</v>
      </c>
      <c r="C77" s="14" t="s">
        <v>591</v>
      </c>
      <c r="E77" s="4"/>
      <c r="F77" s="4">
        <v>50073</v>
      </c>
      <c r="G77" s="9" t="s">
        <v>243</v>
      </c>
      <c r="H77" s="9" t="s">
        <v>244</v>
      </c>
      <c r="I77" s="8" t="s">
        <v>245</v>
      </c>
      <c r="J77" s="9" t="s">
        <v>246</v>
      </c>
      <c r="K77" s="8">
        <v>8</v>
      </c>
      <c r="L77" s="8">
        <f t="shared" si="6"/>
        <v>4</v>
      </c>
      <c r="M77" s="9" t="s">
        <v>168</v>
      </c>
      <c r="N77" s="8" t="str">
        <f t="shared" si="5"/>
        <v>【植物】具有特殊魔力的绿色丝带</v>
      </c>
      <c r="O77" s="10">
        <f t="shared" si="7"/>
        <v>2</v>
      </c>
      <c r="P77" s="8">
        <f t="shared" si="8"/>
        <v>96</v>
      </c>
    </row>
    <row r="78" spans="1:16" ht="14.25" x14ac:dyDescent="0.2">
      <c r="A78">
        <v>12</v>
      </c>
      <c r="B78" s="14" t="s">
        <v>602</v>
      </c>
      <c r="C78" s="14" t="s">
        <v>603</v>
      </c>
      <c r="E78" s="4"/>
      <c r="F78" s="4">
        <v>50074</v>
      </c>
      <c r="G78" s="9" t="s">
        <v>247</v>
      </c>
      <c r="H78" s="9" t="s">
        <v>248</v>
      </c>
      <c r="I78" s="8" t="s">
        <v>249</v>
      </c>
      <c r="J78" s="9" t="s">
        <v>250</v>
      </c>
      <c r="K78" s="8">
        <v>8</v>
      </c>
      <c r="L78" s="8">
        <f t="shared" si="6"/>
        <v>4</v>
      </c>
      <c r="M78" s="9" t="s">
        <v>168</v>
      </c>
      <c r="N78" s="8" t="str">
        <f t="shared" si="5"/>
        <v>【植物】具有特殊魔力的茶色丝带</v>
      </c>
      <c r="O78" s="10">
        <f t="shared" si="7"/>
        <v>2</v>
      </c>
      <c r="P78" s="8">
        <f t="shared" si="8"/>
        <v>96</v>
      </c>
    </row>
    <row r="79" spans="1:16" ht="14.25" x14ac:dyDescent="0.2">
      <c r="A79">
        <v>13</v>
      </c>
      <c r="B79" s="14" t="s">
        <v>604</v>
      </c>
      <c r="C79" s="14" t="s">
        <v>588</v>
      </c>
      <c r="E79" s="4"/>
      <c r="F79" s="4">
        <v>50075</v>
      </c>
      <c r="G79" s="9" t="s">
        <v>251</v>
      </c>
      <c r="H79" s="9" t="s">
        <v>252</v>
      </c>
      <c r="I79" s="8" t="s">
        <v>253</v>
      </c>
      <c r="J79" s="9" t="s">
        <v>254</v>
      </c>
      <c r="K79" s="8">
        <v>8</v>
      </c>
      <c r="L79" s="8">
        <f t="shared" si="6"/>
        <v>4</v>
      </c>
      <c r="M79" s="9" t="s">
        <v>161</v>
      </c>
      <c r="N79" s="8" t="str">
        <f t="shared" si="5"/>
        <v>【植物】具有特殊魔力的白色丝带</v>
      </c>
      <c r="O79" s="10">
        <f t="shared" si="7"/>
        <v>2</v>
      </c>
      <c r="P79" s="8">
        <f t="shared" si="8"/>
        <v>96</v>
      </c>
    </row>
    <row r="80" spans="1:16" ht="14.25" x14ac:dyDescent="0.2">
      <c r="E80" s="4"/>
      <c r="F80" s="4">
        <v>50076</v>
      </c>
      <c r="G80" s="9" t="s">
        <v>255</v>
      </c>
      <c r="H80" s="9" t="s">
        <v>256</v>
      </c>
      <c r="I80" s="8" t="s">
        <v>257</v>
      </c>
      <c r="J80" s="9" t="s">
        <v>258</v>
      </c>
      <c r="K80" s="8">
        <v>8</v>
      </c>
      <c r="L80" s="8">
        <f t="shared" si="6"/>
        <v>4</v>
      </c>
      <c r="M80" s="9" t="s">
        <v>168</v>
      </c>
      <c r="N80" s="8" t="str">
        <f t="shared" si="5"/>
        <v>【植物】具有特殊魔力的黑色丝带</v>
      </c>
      <c r="O80" s="10">
        <f t="shared" si="7"/>
        <v>2</v>
      </c>
      <c r="P80" s="8">
        <f t="shared" si="8"/>
        <v>96</v>
      </c>
    </row>
    <row r="81" spans="5:16" ht="14.25" x14ac:dyDescent="0.2">
      <c r="E81" s="4"/>
      <c r="F81" s="4">
        <v>50077</v>
      </c>
      <c r="G81" s="9" t="s">
        <v>259</v>
      </c>
      <c r="H81" s="9" t="s">
        <v>260</v>
      </c>
      <c r="I81" s="8" t="s">
        <v>261</v>
      </c>
      <c r="J81" s="9" t="s">
        <v>262</v>
      </c>
      <c r="K81" s="8">
        <v>8</v>
      </c>
      <c r="L81" s="8">
        <f t="shared" si="6"/>
        <v>4</v>
      </c>
      <c r="M81" s="9" t="s">
        <v>168</v>
      </c>
      <c r="N81" s="8" t="str">
        <f t="shared" si="5"/>
        <v>【植物】具有特殊魔力的七彩丝带</v>
      </c>
      <c r="O81" s="10">
        <f t="shared" si="7"/>
        <v>2</v>
      </c>
      <c r="P81" s="8">
        <f t="shared" si="8"/>
        <v>96</v>
      </c>
    </row>
    <row r="82" spans="5:16" ht="14.25" x14ac:dyDescent="0.2">
      <c r="E82" s="4"/>
      <c r="F82" s="4">
        <v>50078</v>
      </c>
      <c r="G82" s="9" t="s">
        <v>263</v>
      </c>
      <c r="H82" s="9" t="s">
        <v>264</v>
      </c>
      <c r="I82" s="8" t="s">
        <v>265</v>
      </c>
      <c r="J82" s="9" t="s">
        <v>73</v>
      </c>
      <c r="K82" s="8">
        <v>2</v>
      </c>
      <c r="L82" s="8">
        <f t="shared" si="6"/>
        <v>2</v>
      </c>
      <c r="M82" s="9" t="s">
        <v>266</v>
      </c>
      <c r="N82" s="8" t="str">
        <f t="shared" si="5"/>
        <v>【器官】泥土中腐败的野兽骨头</v>
      </c>
      <c r="O82" s="10">
        <f t="shared" si="7"/>
        <v>3</v>
      </c>
      <c r="P82" s="8">
        <f t="shared" si="8"/>
        <v>6</v>
      </c>
    </row>
    <row r="83" spans="5:16" ht="14.25" x14ac:dyDescent="0.2">
      <c r="E83" s="4"/>
      <c r="F83" s="4">
        <v>50079</v>
      </c>
      <c r="G83" s="9" t="s">
        <v>267</v>
      </c>
      <c r="H83" s="9" t="s">
        <v>268</v>
      </c>
      <c r="I83" s="8" t="s">
        <v>269</v>
      </c>
      <c r="J83" s="9" t="s">
        <v>62</v>
      </c>
      <c r="K83" s="8">
        <v>2</v>
      </c>
      <c r="L83" s="8">
        <f t="shared" si="6"/>
        <v>2</v>
      </c>
      <c r="M83" s="9" t="s">
        <v>266</v>
      </c>
      <c r="N83" s="8" t="str">
        <f t="shared" si="5"/>
        <v>【器官】绮丽外形的骨头残骸</v>
      </c>
      <c r="O83" s="10">
        <f t="shared" si="7"/>
        <v>3</v>
      </c>
      <c r="P83" s="8">
        <f t="shared" si="8"/>
        <v>6</v>
      </c>
    </row>
    <row r="84" spans="5:16" ht="14.25" x14ac:dyDescent="0.2">
      <c r="E84" s="4"/>
      <c r="F84" s="4">
        <v>50080</v>
      </c>
      <c r="G84" s="9" t="s">
        <v>270</v>
      </c>
      <c r="H84" s="9" t="s">
        <v>271</v>
      </c>
      <c r="I84" s="8" t="s">
        <v>272</v>
      </c>
      <c r="J84" s="9" t="s">
        <v>273</v>
      </c>
      <c r="K84" s="8">
        <v>5</v>
      </c>
      <c r="L84" s="8">
        <f t="shared" si="6"/>
        <v>3</v>
      </c>
      <c r="M84" s="9" t="s">
        <v>266</v>
      </c>
      <c r="N84" s="8" t="str">
        <f t="shared" si="5"/>
        <v>【器官】埋于地下的地兽骨头</v>
      </c>
      <c r="O84" s="10">
        <f t="shared" si="7"/>
        <v>3</v>
      </c>
      <c r="P84" s="8">
        <f t="shared" si="8"/>
        <v>37.5</v>
      </c>
    </row>
    <row r="85" spans="5:16" ht="14.25" x14ac:dyDescent="0.2">
      <c r="E85" s="4"/>
      <c r="F85" s="4">
        <v>50081</v>
      </c>
      <c r="G85" s="9" t="s">
        <v>274</v>
      </c>
      <c r="H85" s="9" t="s">
        <v>275</v>
      </c>
      <c r="I85" s="8" t="s">
        <v>276</v>
      </c>
      <c r="J85" s="9" t="s">
        <v>277</v>
      </c>
      <c r="K85" s="8">
        <v>5</v>
      </c>
      <c r="L85" s="8">
        <f t="shared" si="6"/>
        <v>3</v>
      </c>
      <c r="M85" s="9" t="s">
        <v>266</v>
      </c>
      <c r="N85" s="8" t="str">
        <f t="shared" si="5"/>
        <v>【器官】埋于地下的水兽骨头</v>
      </c>
      <c r="O85" s="10">
        <f t="shared" si="7"/>
        <v>3</v>
      </c>
      <c r="P85" s="8">
        <f t="shared" si="8"/>
        <v>37.5</v>
      </c>
    </row>
    <row r="86" spans="5:16" ht="14.25" x14ac:dyDescent="0.2">
      <c r="E86" s="4"/>
      <c r="F86" s="4">
        <v>50082</v>
      </c>
      <c r="G86" s="9" t="s">
        <v>278</v>
      </c>
      <c r="H86" s="9" t="s">
        <v>279</v>
      </c>
      <c r="I86" s="8" t="s">
        <v>280</v>
      </c>
      <c r="J86" s="9" t="s">
        <v>238</v>
      </c>
      <c r="K86" s="8">
        <v>5</v>
      </c>
      <c r="L86" s="8">
        <f t="shared" si="6"/>
        <v>3</v>
      </c>
      <c r="M86" s="9" t="s">
        <v>266</v>
      </c>
      <c r="N86" s="8" t="str">
        <f t="shared" si="5"/>
        <v>【器官】埋于地下的火兽骨头</v>
      </c>
      <c r="O86" s="10">
        <f t="shared" si="7"/>
        <v>3</v>
      </c>
      <c r="P86" s="8">
        <f t="shared" si="8"/>
        <v>37.5</v>
      </c>
    </row>
    <row r="87" spans="5:16" ht="14.25" x14ac:dyDescent="0.2">
      <c r="E87" s="4"/>
      <c r="F87" s="4">
        <v>50083</v>
      </c>
      <c r="G87" s="9" t="s">
        <v>281</v>
      </c>
      <c r="H87" s="9" t="s">
        <v>282</v>
      </c>
      <c r="I87" s="8" t="s">
        <v>283</v>
      </c>
      <c r="J87" s="9" t="s">
        <v>246</v>
      </c>
      <c r="K87" s="8">
        <v>5</v>
      </c>
      <c r="L87" s="8">
        <f t="shared" si="6"/>
        <v>3</v>
      </c>
      <c r="M87" s="9" t="s">
        <v>266</v>
      </c>
      <c r="N87" s="8" t="str">
        <f t="shared" si="5"/>
        <v>【器官】埋于地下的雷兽骨头</v>
      </c>
      <c r="O87" s="10">
        <f t="shared" si="7"/>
        <v>3</v>
      </c>
      <c r="P87" s="8">
        <f t="shared" si="8"/>
        <v>37.5</v>
      </c>
    </row>
    <row r="88" spans="5:16" ht="14.25" x14ac:dyDescent="0.2">
      <c r="E88" s="4"/>
      <c r="F88" s="4">
        <v>50084</v>
      </c>
      <c r="G88" s="9" t="s">
        <v>284</v>
      </c>
      <c r="H88" s="9" t="s">
        <v>285</v>
      </c>
      <c r="I88" s="8" t="s">
        <v>286</v>
      </c>
      <c r="J88" s="9" t="s">
        <v>101</v>
      </c>
      <c r="K88" s="8">
        <v>5</v>
      </c>
      <c r="L88" s="8">
        <f t="shared" si="6"/>
        <v>3</v>
      </c>
      <c r="M88" s="9" t="s">
        <v>287</v>
      </c>
      <c r="N88" s="8" t="str">
        <f t="shared" si="5"/>
        <v>【器官】埋于地下的圣兽骨头</v>
      </c>
      <c r="O88" s="10">
        <f t="shared" si="7"/>
        <v>3</v>
      </c>
      <c r="P88" s="8">
        <f t="shared" si="8"/>
        <v>37.5</v>
      </c>
    </row>
    <row r="89" spans="5:16" ht="14.25" x14ac:dyDescent="0.2">
      <c r="E89" s="4"/>
      <c r="F89" s="4">
        <v>50085</v>
      </c>
      <c r="G89" s="9" t="s">
        <v>288</v>
      </c>
      <c r="H89" s="9" t="s">
        <v>289</v>
      </c>
      <c r="I89" s="8" t="s">
        <v>290</v>
      </c>
      <c r="J89" s="9" t="s">
        <v>258</v>
      </c>
      <c r="K89" s="8">
        <v>5</v>
      </c>
      <c r="L89" s="8">
        <f t="shared" si="6"/>
        <v>3</v>
      </c>
      <c r="M89" s="9" t="s">
        <v>266</v>
      </c>
      <c r="N89" s="8" t="str">
        <f t="shared" si="5"/>
        <v>【器官】埋于地下的暗兽骨头</v>
      </c>
      <c r="O89" s="10">
        <f t="shared" si="7"/>
        <v>3</v>
      </c>
      <c r="P89" s="8">
        <f t="shared" si="8"/>
        <v>37.5</v>
      </c>
    </row>
    <row r="90" spans="5:16" ht="14.25" x14ac:dyDescent="0.2">
      <c r="E90" s="4"/>
      <c r="F90" s="4">
        <v>50086</v>
      </c>
      <c r="G90" s="9" t="s">
        <v>291</v>
      </c>
      <c r="H90" s="9" t="s">
        <v>292</v>
      </c>
      <c r="I90" s="8" t="s">
        <v>265</v>
      </c>
      <c r="J90" s="9" t="s">
        <v>262</v>
      </c>
      <c r="K90" s="8">
        <v>5</v>
      </c>
      <c r="L90" s="8">
        <f t="shared" si="6"/>
        <v>3</v>
      </c>
      <c r="M90" s="9" t="s">
        <v>266</v>
      </c>
      <c r="N90" s="8" t="str">
        <f t="shared" si="5"/>
        <v>【器官】埋于地下的魔物骨头</v>
      </c>
      <c r="O90" s="10">
        <f t="shared" si="7"/>
        <v>3</v>
      </c>
      <c r="P90" s="8">
        <f t="shared" si="8"/>
        <v>37.5</v>
      </c>
    </row>
    <row r="91" spans="5:16" ht="14.25" x14ac:dyDescent="0.2">
      <c r="E91" s="4"/>
      <c r="F91" s="4">
        <v>50087</v>
      </c>
      <c r="G91" s="9" t="s">
        <v>293</v>
      </c>
      <c r="H91" s="9" t="s">
        <v>294</v>
      </c>
      <c r="I91" s="8" t="s">
        <v>295</v>
      </c>
      <c r="J91" s="9" t="s">
        <v>62</v>
      </c>
      <c r="K91" s="8">
        <v>2</v>
      </c>
      <c r="L91" s="8">
        <f t="shared" si="6"/>
        <v>2</v>
      </c>
      <c r="M91" s="9" t="s">
        <v>89</v>
      </c>
      <c r="N91" s="8" t="str">
        <f t="shared" si="5"/>
        <v>【矿物】外形奇特的石头</v>
      </c>
      <c r="O91" s="10">
        <f t="shared" si="7"/>
        <v>1</v>
      </c>
      <c r="P91" s="8">
        <f t="shared" si="8"/>
        <v>6</v>
      </c>
    </row>
    <row r="92" spans="5:16" ht="14.25" x14ac:dyDescent="0.2">
      <c r="E92" s="4"/>
      <c r="F92" s="4">
        <v>50088</v>
      </c>
      <c r="G92" s="9" t="s">
        <v>296</v>
      </c>
      <c r="H92" s="9" t="s">
        <v>297</v>
      </c>
      <c r="I92" s="8" t="s">
        <v>298</v>
      </c>
      <c r="J92" s="9" t="s">
        <v>73</v>
      </c>
      <c r="K92" s="8">
        <v>2</v>
      </c>
      <c r="L92" s="8">
        <f t="shared" si="6"/>
        <v>2</v>
      </c>
      <c r="M92" s="9" t="s">
        <v>89</v>
      </c>
      <c r="N92" s="8" t="str">
        <f t="shared" si="5"/>
        <v>【矿物】注入灵力的石头</v>
      </c>
      <c r="O92" s="10">
        <f t="shared" si="7"/>
        <v>1</v>
      </c>
      <c r="P92" s="8">
        <f t="shared" si="8"/>
        <v>6</v>
      </c>
    </row>
    <row r="93" spans="5:16" ht="14.25" x14ac:dyDescent="0.2">
      <c r="E93" s="4"/>
      <c r="F93" s="4">
        <v>50089</v>
      </c>
      <c r="G93" s="9" t="s">
        <v>299</v>
      </c>
      <c r="H93" s="9" t="s">
        <v>300</v>
      </c>
      <c r="I93" s="8" t="s">
        <v>301</v>
      </c>
      <c r="J93" s="9" t="s">
        <v>62</v>
      </c>
      <c r="K93" s="8">
        <v>3</v>
      </c>
      <c r="L93" s="8">
        <f t="shared" si="6"/>
        <v>2</v>
      </c>
      <c r="M93" s="9" t="s">
        <v>89</v>
      </c>
      <c r="N93" s="8" t="str">
        <f t="shared" si="5"/>
        <v>【矿物】注入魅灵力的石头</v>
      </c>
      <c r="O93" s="10">
        <f t="shared" si="7"/>
        <v>1</v>
      </c>
      <c r="P93" s="8">
        <f t="shared" si="8"/>
        <v>13.5</v>
      </c>
    </row>
    <row r="94" spans="5:16" ht="14.25" x14ac:dyDescent="0.2">
      <c r="E94" s="4"/>
      <c r="F94" s="4">
        <v>50090</v>
      </c>
      <c r="G94" s="9" t="s">
        <v>302</v>
      </c>
      <c r="H94" s="9" t="s">
        <v>303</v>
      </c>
      <c r="I94" s="8" t="s">
        <v>304</v>
      </c>
      <c r="J94" s="9" t="s">
        <v>62</v>
      </c>
      <c r="K94" s="8">
        <v>2</v>
      </c>
      <c r="L94" s="8">
        <f t="shared" si="6"/>
        <v>2</v>
      </c>
      <c r="M94" s="9" t="s">
        <v>266</v>
      </c>
      <c r="N94" s="8" t="str">
        <f t="shared" si="5"/>
        <v>【器官】水和空气凝结而成</v>
      </c>
      <c r="O94" s="10">
        <f t="shared" si="7"/>
        <v>3</v>
      </c>
      <c r="P94" s="8">
        <f t="shared" si="8"/>
        <v>6</v>
      </c>
    </row>
    <row r="95" spans="5:16" ht="14.25" x14ac:dyDescent="0.2">
      <c r="E95" s="4"/>
      <c r="F95" s="4">
        <v>50091</v>
      </c>
      <c r="G95" s="9" t="s">
        <v>305</v>
      </c>
      <c r="H95" s="9" t="s">
        <v>306</v>
      </c>
      <c r="I95" s="8" t="s">
        <v>307</v>
      </c>
      <c r="J95" s="9" t="s">
        <v>73</v>
      </c>
      <c r="K95" s="8">
        <v>2</v>
      </c>
      <c r="L95" s="8">
        <f t="shared" si="6"/>
        <v>2</v>
      </c>
      <c r="M95" s="9" t="s">
        <v>287</v>
      </c>
      <c r="N95" s="8" t="str">
        <f t="shared" si="5"/>
        <v>【器官】魔神留下的赤色液体</v>
      </c>
      <c r="O95" s="10">
        <f t="shared" si="7"/>
        <v>3</v>
      </c>
      <c r="P95" s="8">
        <f t="shared" si="8"/>
        <v>6</v>
      </c>
    </row>
    <row r="96" spans="5:16" ht="14.25" x14ac:dyDescent="0.2">
      <c r="E96" s="4"/>
      <c r="F96" s="4">
        <v>50092</v>
      </c>
      <c r="G96" s="9" t="s">
        <v>308</v>
      </c>
      <c r="H96" s="9" t="s">
        <v>309</v>
      </c>
      <c r="I96" s="8" t="s">
        <v>310</v>
      </c>
      <c r="J96" s="9" t="s">
        <v>62</v>
      </c>
      <c r="K96" s="8">
        <v>2</v>
      </c>
      <c r="L96" s="8">
        <f t="shared" si="6"/>
        <v>2</v>
      </c>
      <c r="M96" s="9" t="s">
        <v>266</v>
      </c>
      <c r="N96" s="8" t="str">
        <f t="shared" si="5"/>
        <v>【器官】魔神留下的青色液体</v>
      </c>
      <c r="O96" s="10">
        <f t="shared" si="7"/>
        <v>3</v>
      </c>
      <c r="P96" s="8">
        <f t="shared" si="8"/>
        <v>6</v>
      </c>
    </row>
    <row r="97" spans="5:16" ht="14.25" x14ac:dyDescent="0.2">
      <c r="E97" s="4"/>
      <c r="F97" s="4">
        <v>50093</v>
      </c>
      <c r="G97" s="9" t="s">
        <v>311</v>
      </c>
      <c r="H97" s="9" t="s">
        <v>312</v>
      </c>
      <c r="I97" s="8" t="s">
        <v>313</v>
      </c>
      <c r="J97" s="9" t="s">
        <v>62</v>
      </c>
      <c r="K97" s="8">
        <v>2</v>
      </c>
      <c r="L97" s="8">
        <f t="shared" si="6"/>
        <v>2</v>
      </c>
      <c r="M97" s="9" t="s">
        <v>287</v>
      </c>
      <c r="N97" s="8" t="str">
        <f t="shared" si="5"/>
        <v>【器官】魔神留下的黄色液体</v>
      </c>
      <c r="O97" s="10">
        <f t="shared" si="7"/>
        <v>3</v>
      </c>
      <c r="P97" s="8">
        <f t="shared" si="8"/>
        <v>6</v>
      </c>
    </row>
    <row r="98" spans="5:16" ht="14.25" x14ac:dyDescent="0.2">
      <c r="E98" s="4"/>
      <c r="F98" s="4">
        <v>50094</v>
      </c>
      <c r="G98" s="9" t="s">
        <v>314</v>
      </c>
      <c r="H98" s="9" t="s">
        <v>315</v>
      </c>
      <c r="I98" s="8" t="s">
        <v>316</v>
      </c>
      <c r="J98" s="9" t="s">
        <v>62</v>
      </c>
      <c r="K98" s="8">
        <v>2</v>
      </c>
      <c r="L98" s="8">
        <f t="shared" si="6"/>
        <v>2</v>
      </c>
      <c r="M98" s="9" t="s">
        <v>266</v>
      </c>
      <c r="N98" s="8" t="str">
        <f t="shared" si="5"/>
        <v>【器官】魔神留下的绿色液体</v>
      </c>
      <c r="O98" s="10">
        <f t="shared" si="7"/>
        <v>3</v>
      </c>
      <c r="P98" s="8">
        <f t="shared" si="8"/>
        <v>6</v>
      </c>
    </row>
    <row r="99" spans="5:16" ht="14.25" x14ac:dyDescent="0.2">
      <c r="E99" s="4"/>
      <c r="F99" s="4">
        <v>50095</v>
      </c>
      <c r="G99" s="9" t="s">
        <v>317</v>
      </c>
      <c r="H99" s="9" t="s">
        <v>318</v>
      </c>
      <c r="I99" s="8" t="s">
        <v>319</v>
      </c>
      <c r="J99" s="9" t="s">
        <v>62</v>
      </c>
      <c r="K99" s="8">
        <v>2</v>
      </c>
      <c r="L99" s="8">
        <f t="shared" si="6"/>
        <v>2</v>
      </c>
      <c r="M99" s="9" t="s">
        <v>320</v>
      </c>
      <c r="N99" s="8" t="str">
        <f t="shared" si="5"/>
        <v>【器官】魔神留下的紫色液体</v>
      </c>
      <c r="O99" s="10">
        <f t="shared" si="7"/>
        <v>3</v>
      </c>
      <c r="P99" s="8">
        <f t="shared" si="8"/>
        <v>6</v>
      </c>
    </row>
    <row r="100" spans="5:16" ht="14.25" x14ac:dyDescent="0.2">
      <c r="E100" s="4"/>
      <c r="F100" s="4">
        <v>50096</v>
      </c>
      <c r="G100" s="9" t="s">
        <v>321</v>
      </c>
      <c r="H100" s="9" t="s">
        <v>322</v>
      </c>
      <c r="I100" s="8" t="s">
        <v>323</v>
      </c>
      <c r="J100" s="9" t="s">
        <v>62</v>
      </c>
      <c r="K100" s="8">
        <v>2</v>
      </c>
      <c r="L100" s="8">
        <f t="shared" si="6"/>
        <v>2</v>
      </c>
      <c r="M100" s="9" t="s">
        <v>266</v>
      </c>
      <c r="N100" s="8" t="str">
        <f t="shared" si="5"/>
        <v>【器官】魔神留下的带有腐蚀性的液体</v>
      </c>
      <c r="O100" s="10">
        <f t="shared" si="7"/>
        <v>3</v>
      </c>
      <c r="P100" s="8">
        <f t="shared" si="8"/>
        <v>6</v>
      </c>
    </row>
    <row r="101" spans="5:16" ht="14.25" x14ac:dyDescent="0.2">
      <c r="E101" s="4"/>
      <c r="F101" s="4">
        <v>50097</v>
      </c>
      <c r="G101" s="9" t="s">
        <v>324</v>
      </c>
      <c r="H101" s="9" t="s">
        <v>325</v>
      </c>
      <c r="I101" s="8" t="s">
        <v>307</v>
      </c>
      <c r="J101" s="9" t="s">
        <v>250</v>
      </c>
      <c r="K101" s="8">
        <v>3</v>
      </c>
      <c r="L101" s="8">
        <f t="shared" si="6"/>
        <v>2</v>
      </c>
      <c r="M101" s="9" t="s">
        <v>266</v>
      </c>
      <c r="N101" s="8" t="str">
        <f t="shared" ref="N101:N132" si="9">"【"&amp;M101&amp;"】"&amp;H101</f>
        <v>【器官】地兽身上采集的血液</v>
      </c>
      <c r="O101" s="10">
        <f t="shared" si="7"/>
        <v>3</v>
      </c>
      <c r="P101" s="8">
        <f t="shared" si="8"/>
        <v>13.5</v>
      </c>
    </row>
    <row r="102" spans="5:16" ht="14.25" x14ac:dyDescent="0.2">
      <c r="E102" s="4"/>
      <c r="F102" s="4">
        <v>50098</v>
      </c>
      <c r="G102" s="9" t="s">
        <v>326</v>
      </c>
      <c r="H102" s="9" t="s">
        <v>327</v>
      </c>
      <c r="I102" s="8" t="s">
        <v>307</v>
      </c>
      <c r="J102" s="9" t="s">
        <v>88</v>
      </c>
      <c r="K102" s="8">
        <v>3</v>
      </c>
      <c r="L102" s="8">
        <f t="shared" si="6"/>
        <v>2</v>
      </c>
      <c r="M102" s="9" t="s">
        <v>266</v>
      </c>
      <c r="N102" s="8" t="str">
        <f t="shared" si="9"/>
        <v>【器官】水兽身上采集的血液</v>
      </c>
      <c r="O102" s="10">
        <f t="shared" si="7"/>
        <v>3</v>
      </c>
      <c r="P102" s="8">
        <f t="shared" si="8"/>
        <v>13.5</v>
      </c>
    </row>
    <row r="103" spans="5:16" ht="14.25" x14ac:dyDescent="0.2">
      <c r="E103" s="4"/>
      <c r="F103" s="4">
        <v>50099</v>
      </c>
      <c r="G103" s="9" t="s">
        <v>328</v>
      </c>
      <c r="H103" s="9" t="s">
        <v>329</v>
      </c>
      <c r="I103" s="8" t="s">
        <v>307</v>
      </c>
      <c r="J103" s="9" t="s">
        <v>238</v>
      </c>
      <c r="K103" s="8">
        <v>3</v>
      </c>
      <c r="L103" s="8">
        <f t="shared" si="6"/>
        <v>2</v>
      </c>
      <c r="M103" s="9" t="s">
        <v>266</v>
      </c>
      <c r="N103" s="8" t="str">
        <f t="shared" si="9"/>
        <v>【器官】火兽身上采集的血液</v>
      </c>
      <c r="O103" s="10">
        <f t="shared" si="7"/>
        <v>3</v>
      </c>
      <c r="P103" s="8">
        <f t="shared" si="8"/>
        <v>13.5</v>
      </c>
    </row>
    <row r="104" spans="5:16" ht="14.25" x14ac:dyDescent="0.2">
      <c r="E104" s="4"/>
      <c r="F104" s="4">
        <v>50100</v>
      </c>
      <c r="G104" s="9" t="s">
        <v>330</v>
      </c>
      <c r="H104" s="9" t="s">
        <v>331</v>
      </c>
      <c r="I104" s="8" t="s">
        <v>307</v>
      </c>
      <c r="J104" s="9" t="s">
        <v>246</v>
      </c>
      <c r="K104" s="8">
        <v>3</v>
      </c>
      <c r="L104" s="8">
        <f t="shared" si="6"/>
        <v>2</v>
      </c>
      <c r="M104" s="9" t="s">
        <v>266</v>
      </c>
      <c r="N104" s="8" t="str">
        <f t="shared" si="9"/>
        <v>【器官】雷兽身上采集的血液</v>
      </c>
      <c r="O104" s="10">
        <f t="shared" si="7"/>
        <v>3</v>
      </c>
      <c r="P104" s="8">
        <f t="shared" si="8"/>
        <v>13.5</v>
      </c>
    </row>
    <row r="105" spans="5:16" ht="14.25" x14ac:dyDescent="0.2">
      <c r="E105" s="4"/>
      <c r="F105" s="4">
        <v>50101</v>
      </c>
      <c r="G105" s="9" t="s">
        <v>332</v>
      </c>
      <c r="H105" s="9" t="s">
        <v>333</v>
      </c>
      <c r="I105" s="8" t="s">
        <v>307</v>
      </c>
      <c r="J105" s="9" t="s">
        <v>334</v>
      </c>
      <c r="K105" s="8">
        <v>3</v>
      </c>
      <c r="L105" s="8">
        <f t="shared" si="6"/>
        <v>2</v>
      </c>
      <c r="M105" s="9" t="s">
        <v>266</v>
      </c>
      <c r="N105" s="8" t="str">
        <f t="shared" si="9"/>
        <v>【器官】圣兽身上采集的血液</v>
      </c>
      <c r="O105" s="10">
        <f t="shared" si="7"/>
        <v>3</v>
      </c>
      <c r="P105" s="8">
        <f t="shared" si="8"/>
        <v>13.5</v>
      </c>
    </row>
    <row r="106" spans="5:16" ht="14.25" x14ac:dyDescent="0.2">
      <c r="E106" s="4"/>
      <c r="F106" s="4">
        <v>50102</v>
      </c>
      <c r="G106" s="9" t="s">
        <v>335</v>
      </c>
      <c r="H106" s="9" t="s">
        <v>336</v>
      </c>
      <c r="I106" s="8" t="s">
        <v>307</v>
      </c>
      <c r="J106" s="9" t="s">
        <v>258</v>
      </c>
      <c r="K106" s="8">
        <v>3</v>
      </c>
      <c r="L106" s="8">
        <f t="shared" si="6"/>
        <v>2</v>
      </c>
      <c r="M106" s="9" t="s">
        <v>266</v>
      </c>
      <c r="N106" s="8" t="str">
        <f t="shared" si="9"/>
        <v>【器官】暗兽身上采集的血液</v>
      </c>
      <c r="O106" s="10">
        <f t="shared" si="7"/>
        <v>3</v>
      </c>
      <c r="P106" s="8">
        <f t="shared" si="8"/>
        <v>13.5</v>
      </c>
    </row>
    <row r="107" spans="5:16" ht="14.25" x14ac:dyDescent="0.2">
      <c r="E107" s="4"/>
      <c r="F107" s="4">
        <v>50103</v>
      </c>
      <c r="G107" s="9" t="s">
        <v>337</v>
      </c>
      <c r="H107" s="9" t="s">
        <v>338</v>
      </c>
      <c r="I107" s="8" t="s">
        <v>339</v>
      </c>
      <c r="J107" s="9" t="s">
        <v>262</v>
      </c>
      <c r="K107" s="8">
        <v>3</v>
      </c>
      <c r="L107" s="8">
        <f t="shared" si="6"/>
        <v>2</v>
      </c>
      <c r="M107" s="9" t="s">
        <v>266</v>
      </c>
      <c r="N107" s="8" t="str">
        <f t="shared" si="9"/>
        <v>【器官】魔物身上采集的血液</v>
      </c>
      <c r="O107" s="10">
        <f t="shared" si="7"/>
        <v>3</v>
      </c>
      <c r="P107" s="8">
        <f t="shared" si="8"/>
        <v>13.5</v>
      </c>
    </row>
    <row r="108" spans="5:16" ht="14.25" x14ac:dyDescent="0.2">
      <c r="E108" s="4"/>
      <c r="F108" s="4">
        <v>50104</v>
      </c>
      <c r="G108" s="9" t="s">
        <v>340</v>
      </c>
      <c r="H108" s="9" t="s">
        <v>341</v>
      </c>
      <c r="I108" s="8" t="s">
        <v>342</v>
      </c>
      <c r="J108" s="9" t="s">
        <v>62</v>
      </c>
      <c r="K108" s="8">
        <v>4</v>
      </c>
      <c r="L108" s="8">
        <f t="shared" si="6"/>
        <v>3</v>
      </c>
      <c r="M108" s="9" t="s">
        <v>266</v>
      </c>
      <c r="N108" s="8" t="str">
        <f t="shared" si="9"/>
        <v>【器官】从蜥蜴身上剥下来的皮革</v>
      </c>
      <c r="O108" s="10">
        <f t="shared" si="7"/>
        <v>3</v>
      </c>
      <c r="P108" s="8">
        <f t="shared" si="8"/>
        <v>24</v>
      </c>
    </row>
    <row r="109" spans="5:16" ht="14.25" x14ac:dyDescent="0.2">
      <c r="E109" s="4"/>
      <c r="F109" s="4">
        <v>50105</v>
      </c>
      <c r="G109" s="9" t="s">
        <v>343</v>
      </c>
      <c r="H109" s="9" t="s">
        <v>344</v>
      </c>
      <c r="I109" s="8" t="s">
        <v>345</v>
      </c>
      <c r="J109" s="9" t="s">
        <v>73</v>
      </c>
      <c r="K109" s="8">
        <v>4</v>
      </c>
      <c r="L109" s="8">
        <f t="shared" si="6"/>
        <v>3</v>
      </c>
      <c r="M109" s="9" t="s">
        <v>266</v>
      </c>
      <c r="N109" s="8" t="str">
        <f t="shared" si="9"/>
        <v>【器官】从水兽身上剥下来的皮革</v>
      </c>
      <c r="O109" s="10">
        <f t="shared" si="7"/>
        <v>3</v>
      </c>
      <c r="P109" s="8">
        <f t="shared" si="8"/>
        <v>24</v>
      </c>
    </row>
    <row r="110" spans="5:16" ht="14.25" x14ac:dyDescent="0.2">
      <c r="E110" s="4"/>
      <c r="F110" s="4">
        <v>50106</v>
      </c>
      <c r="G110" s="9" t="s">
        <v>346</v>
      </c>
      <c r="H110" s="9" t="s">
        <v>347</v>
      </c>
      <c r="I110" s="8" t="s">
        <v>348</v>
      </c>
      <c r="J110" s="9" t="s">
        <v>349</v>
      </c>
      <c r="K110" s="8">
        <v>4</v>
      </c>
      <c r="L110" s="8">
        <f t="shared" si="6"/>
        <v>3</v>
      </c>
      <c r="M110" s="9" t="s">
        <v>266</v>
      </c>
      <c r="N110" s="8" t="str">
        <f t="shared" si="9"/>
        <v>【器官】从火兽身上剥下来的皮革</v>
      </c>
      <c r="O110" s="10">
        <f t="shared" si="7"/>
        <v>3</v>
      </c>
      <c r="P110" s="8">
        <f t="shared" si="8"/>
        <v>24</v>
      </c>
    </row>
    <row r="111" spans="5:16" ht="14.25" x14ac:dyDescent="0.2">
      <c r="E111" s="4"/>
      <c r="F111" s="4">
        <v>50107</v>
      </c>
      <c r="G111" s="9" t="s">
        <v>350</v>
      </c>
      <c r="H111" s="9" t="s">
        <v>351</v>
      </c>
      <c r="I111" s="8" t="s">
        <v>352</v>
      </c>
      <c r="J111" s="9" t="s">
        <v>73</v>
      </c>
      <c r="K111" s="8">
        <v>4</v>
      </c>
      <c r="L111" s="8">
        <f t="shared" si="6"/>
        <v>3</v>
      </c>
      <c r="M111" s="9" t="s">
        <v>266</v>
      </c>
      <c r="N111" s="8" t="str">
        <f t="shared" si="9"/>
        <v>【器官】从雷兽身上剥下来的皮革</v>
      </c>
      <c r="O111" s="10">
        <f t="shared" si="7"/>
        <v>3</v>
      </c>
      <c r="P111" s="8">
        <f t="shared" si="8"/>
        <v>24</v>
      </c>
    </row>
    <row r="112" spans="5:16" ht="14.25" x14ac:dyDescent="0.2">
      <c r="E112" s="4"/>
      <c r="F112" s="4">
        <v>50108</v>
      </c>
      <c r="G112" s="9" t="s">
        <v>353</v>
      </c>
      <c r="H112" s="9" t="s">
        <v>354</v>
      </c>
      <c r="I112" s="8" t="s">
        <v>342</v>
      </c>
      <c r="J112" s="9" t="s">
        <v>62</v>
      </c>
      <c r="K112" s="8">
        <v>4</v>
      </c>
      <c r="L112" s="8">
        <f t="shared" si="6"/>
        <v>3</v>
      </c>
      <c r="M112" s="9" t="s">
        <v>266</v>
      </c>
      <c r="N112" s="8" t="str">
        <f t="shared" si="9"/>
        <v>【器官】从珍惜的水鸟上剥下来的白色皮革</v>
      </c>
      <c r="O112" s="10">
        <f t="shared" si="7"/>
        <v>3</v>
      </c>
      <c r="P112" s="8">
        <f t="shared" si="8"/>
        <v>24</v>
      </c>
    </row>
    <row r="113" spans="5:16" ht="14.25" x14ac:dyDescent="0.2">
      <c r="E113" s="4"/>
      <c r="F113" s="4">
        <v>50109</v>
      </c>
      <c r="G113" s="9" t="s">
        <v>355</v>
      </c>
      <c r="H113" s="9" t="s">
        <v>356</v>
      </c>
      <c r="I113" s="8" t="s">
        <v>357</v>
      </c>
      <c r="J113" s="9" t="s">
        <v>62</v>
      </c>
      <c r="K113" s="8">
        <v>7</v>
      </c>
      <c r="L113" s="8">
        <f t="shared" si="6"/>
        <v>4</v>
      </c>
      <c r="M113" s="9" t="s">
        <v>266</v>
      </c>
      <c r="N113" s="8" t="str">
        <f t="shared" si="9"/>
        <v>【器官】水兽逃跑时留下的鳞片</v>
      </c>
      <c r="O113" s="10">
        <f t="shared" si="7"/>
        <v>3</v>
      </c>
      <c r="P113" s="8">
        <f t="shared" si="8"/>
        <v>73.5</v>
      </c>
    </row>
    <row r="114" spans="5:16" ht="14.25" x14ac:dyDescent="0.2">
      <c r="E114" s="4"/>
      <c r="F114" s="4">
        <v>50110</v>
      </c>
      <c r="G114" s="9" t="s">
        <v>358</v>
      </c>
      <c r="H114" s="9" t="s">
        <v>359</v>
      </c>
      <c r="I114" s="8" t="s">
        <v>339</v>
      </c>
      <c r="J114" s="9" t="s">
        <v>73</v>
      </c>
      <c r="K114" s="8">
        <v>3</v>
      </c>
      <c r="L114" s="8">
        <f t="shared" si="6"/>
        <v>2</v>
      </c>
      <c r="M114" s="9" t="s">
        <v>266</v>
      </c>
      <c r="N114" s="8" t="str">
        <f t="shared" si="9"/>
        <v>【器官】从人狼身上剥下来的毛皮</v>
      </c>
      <c r="O114" s="10">
        <f t="shared" si="7"/>
        <v>3</v>
      </c>
      <c r="P114" s="8">
        <f t="shared" si="8"/>
        <v>13.5</v>
      </c>
    </row>
    <row r="115" spans="5:16" ht="14.25" x14ac:dyDescent="0.2">
      <c r="E115" s="4"/>
      <c r="F115" s="4">
        <v>50111</v>
      </c>
      <c r="G115" s="9" t="s">
        <v>360</v>
      </c>
      <c r="H115" s="9" t="s">
        <v>361</v>
      </c>
      <c r="I115" s="8" t="s">
        <v>362</v>
      </c>
      <c r="J115" s="9" t="s">
        <v>62</v>
      </c>
      <c r="K115" s="8">
        <v>3</v>
      </c>
      <c r="L115" s="8">
        <f t="shared" si="6"/>
        <v>2</v>
      </c>
      <c r="M115" s="9" t="s">
        <v>266</v>
      </c>
      <c r="N115" s="8" t="str">
        <f t="shared" si="9"/>
        <v>【器官】巨人身上剥下的毛皮</v>
      </c>
      <c r="O115" s="10">
        <f t="shared" si="7"/>
        <v>3</v>
      </c>
      <c r="P115" s="8">
        <f t="shared" si="8"/>
        <v>13.5</v>
      </c>
    </row>
    <row r="116" spans="5:16" ht="14.25" x14ac:dyDescent="0.2">
      <c r="E116" s="4"/>
      <c r="F116" s="4">
        <v>50112</v>
      </c>
      <c r="G116" s="9" t="s">
        <v>363</v>
      </c>
      <c r="H116" s="9" t="s">
        <v>364</v>
      </c>
      <c r="I116" s="8" t="s">
        <v>365</v>
      </c>
      <c r="J116" s="9" t="s">
        <v>62</v>
      </c>
      <c r="K116" s="8">
        <v>3</v>
      </c>
      <c r="L116" s="8">
        <f t="shared" si="6"/>
        <v>2</v>
      </c>
      <c r="M116" s="9" t="s">
        <v>266</v>
      </c>
      <c r="N116" s="8" t="str">
        <f t="shared" si="9"/>
        <v>【器官】赤色巨人身上剥下的毛皮</v>
      </c>
      <c r="O116" s="10">
        <f t="shared" si="7"/>
        <v>3</v>
      </c>
      <c r="P116" s="8">
        <f t="shared" si="8"/>
        <v>13.5</v>
      </c>
    </row>
    <row r="117" spans="5:16" ht="14.25" x14ac:dyDescent="0.2">
      <c r="E117" s="4"/>
      <c r="F117" s="4">
        <v>50113</v>
      </c>
      <c r="G117" s="9" t="s">
        <v>366</v>
      </c>
      <c r="H117" s="9" t="s">
        <v>367</v>
      </c>
      <c r="I117" s="8" t="s">
        <v>345</v>
      </c>
      <c r="J117" s="9" t="s">
        <v>62</v>
      </c>
      <c r="K117" s="8">
        <v>3</v>
      </c>
      <c r="L117" s="8">
        <f t="shared" si="6"/>
        <v>2</v>
      </c>
      <c r="M117" s="9" t="s">
        <v>287</v>
      </c>
      <c r="N117" s="8" t="str">
        <f t="shared" si="9"/>
        <v>【器官】青色巨人身上剥下的毛皮</v>
      </c>
      <c r="O117" s="10">
        <f t="shared" si="7"/>
        <v>3</v>
      </c>
      <c r="P117" s="8">
        <f t="shared" si="8"/>
        <v>13.5</v>
      </c>
    </row>
    <row r="118" spans="5:16" ht="14.25" x14ac:dyDescent="0.2">
      <c r="E118" s="4"/>
      <c r="F118" s="4">
        <v>50114</v>
      </c>
      <c r="G118" s="9" t="s">
        <v>368</v>
      </c>
      <c r="H118" s="9" t="s">
        <v>369</v>
      </c>
      <c r="I118" s="8" t="s">
        <v>342</v>
      </c>
      <c r="J118" s="9" t="s">
        <v>62</v>
      </c>
      <c r="K118" s="8">
        <v>3</v>
      </c>
      <c r="L118" s="8">
        <f t="shared" si="6"/>
        <v>2</v>
      </c>
      <c r="M118" s="9" t="s">
        <v>287</v>
      </c>
      <c r="N118" s="8" t="str">
        <f t="shared" si="9"/>
        <v>【器官】手感优良的毛皮</v>
      </c>
      <c r="O118" s="10">
        <f t="shared" si="7"/>
        <v>3</v>
      </c>
      <c r="P118" s="8">
        <f t="shared" si="8"/>
        <v>13.5</v>
      </c>
    </row>
    <row r="119" spans="5:16" ht="14.25" x14ac:dyDescent="0.2">
      <c r="E119" s="4"/>
      <c r="F119" s="4">
        <v>50115</v>
      </c>
      <c r="G119" s="9" t="s">
        <v>370</v>
      </c>
      <c r="H119" s="9" t="s">
        <v>371</v>
      </c>
      <c r="I119" s="8" t="s">
        <v>348</v>
      </c>
      <c r="J119" s="9" t="s">
        <v>62</v>
      </c>
      <c r="K119" s="8">
        <v>3</v>
      </c>
      <c r="L119" s="8">
        <f t="shared" si="6"/>
        <v>2</v>
      </c>
      <c r="M119" s="9" t="s">
        <v>266</v>
      </c>
      <c r="N119" s="8" t="str">
        <f t="shared" si="9"/>
        <v>【器官】强力狐炎兽的毛皮</v>
      </c>
      <c r="O119" s="10">
        <f t="shared" si="7"/>
        <v>3</v>
      </c>
      <c r="P119" s="8">
        <f t="shared" si="8"/>
        <v>13.5</v>
      </c>
    </row>
    <row r="120" spans="5:16" ht="14.25" x14ac:dyDescent="0.2">
      <c r="E120" s="4"/>
      <c r="F120" s="4">
        <v>50116</v>
      </c>
      <c r="G120" s="9" t="s">
        <v>372</v>
      </c>
      <c r="H120" s="9" t="s">
        <v>373</v>
      </c>
      <c r="I120" s="8" t="s">
        <v>362</v>
      </c>
      <c r="J120" s="9" t="s">
        <v>62</v>
      </c>
      <c r="K120" s="8">
        <v>3</v>
      </c>
      <c r="L120" s="8">
        <f t="shared" si="6"/>
        <v>2</v>
      </c>
      <c r="M120" s="9" t="s">
        <v>266</v>
      </c>
      <c r="N120" s="8" t="str">
        <f t="shared" si="9"/>
        <v>【器官】巨龙身上剥下的皮革</v>
      </c>
      <c r="O120" s="10">
        <f t="shared" si="7"/>
        <v>3</v>
      </c>
      <c r="P120" s="8">
        <f t="shared" si="8"/>
        <v>13.5</v>
      </c>
    </row>
    <row r="121" spans="5:16" ht="14.25" x14ac:dyDescent="0.2">
      <c r="E121" s="4"/>
      <c r="F121" s="4">
        <v>50117</v>
      </c>
      <c r="G121" s="9" t="s">
        <v>374</v>
      </c>
      <c r="H121" s="9" t="s">
        <v>375</v>
      </c>
      <c r="I121" s="8" t="s">
        <v>342</v>
      </c>
      <c r="J121" s="9" t="s">
        <v>62</v>
      </c>
      <c r="K121" s="8">
        <v>3</v>
      </c>
      <c r="L121" s="8">
        <f t="shared" si="6"/>
        <v>2</v>
      </c>
      <c r="M121" s="9" t="s">
        <v>266</v>
      </c>
      <c r="N121" s="8" t="str">
        <f t="shared" si="9"/>
        <v>【器官】在石壁下腐烂的皮革</v>
      </c>
      <c r="O121" s="10">
        <f t="shared" si="7"/>
        <v>3</v>
      </c>
      <c r="P121" s="8">
        <f t="shared" si="8"/>
        <v>13.5</v>
      </c>
    </row>
    <row r="122" spans="5:16" ht="14.25" x14ac:dyDescent="0.2">
      <c r="E122" s="4"/>
      <c r="F122" s="4">
        <v>50118</v>
      </c>
      <c r="G122" s="9" t="s">
        <v>376</v>
      </c>
      <c r="H122" s="9" t="s">
        <v>377</v>
      </c>
      <c r="I122" s="8" t="s">
        <v>362</v>
      </c>
      <c r="J122" s="9" t="s">
        <v>62</v>
      </c>
      <c r="K122" s="8">
        <v>3</v>
      </c>
      <c r="L122" s="8">
        <f t="shared" si="6"/>
        <v>2</v>
      </c>
      <c r="M122" s="9" t="s">
        <v>287</v>
      </c>
      <c r="N122" s="8" t="str">
        <f t="shared" si="9"/>
        <v>【器官】恶魔的毛皮</v>
      </c>
      <c r="O122" s="10">
        <f t="shared" si="7"/>
        <v>3</v>
      </c>
      <c r="P122" s="8">
        <f t="shared" si="8"/>
        <v>13.5</v>
      </c>
    </row>
    <row r="123" spans="5:16" ht="14.25" x14ac:dyDescent="0.2">
      <c r="E123" s="4"/>
      <c r="F123" s="4">
        <v>50119</v>
      </c>
      <c r="G123" s="9" t="s">
        <v>378</v>
      </c>
      <c r="H123" s="9" t="s">
        <v>379</v>
      </c>
      <c r="I123" s="8" t="s">
        <v>380</v>
      </c>
      <c r="J123" s="9" t="s">
        <v>62</v>
      </c>
      <c r="K123" s="8">
        <v>1</v>
      </c>
      <c r="L123" s="8">
        <f t="shared" si="6"/>
        <v>1</v>
      </c>
      <c r="M123" s="9" t="s">
        <v>320</v>
      </c>
      <c r="N123" s="8" t="str">
        <f t="shared" si="9"/>
        <v>【器官】在石壁下腐烂的毛皮</v>
      </c>
      <c r="O123" s="10">
        <f t="shared" si="7"/>
        <v>3</v>
      </c>
      <c r="P123" s="8">
        <f t="shared" si="8"/>
        <v>1.5</v>
      </c>
    </row>
    <row r="124" spans="5:16" ht="14.25" x14ac:dyDescent="0.2">
      <c r="E124" s="4"/>
      <c r="F124" s="4">
        <v>50120</v>
      </c>
      <c r="G124" s="9" t="s">
        <v>381</v>
      </c>
      <c r="H124" s="9" t="s">
        <v>382</v>
      </c>
      <c r="I124" s="8" t="s">
        <v>383</v>
      </c>
      <c r="J124" s="9" t="s">
        <v>62</v>
      </c>
      <c r="K124" s="8">
        <v>3</v>
      </c>
      <c r="L124" s="8">
        <f t="shared" si="6"/>
        <v>2</v>
      </c>
      <c r="M124" s="9" t="s">
        <v>320</v>
      </c>
      <c r="N124" s="8" t="str">
        <f t="shared" si="9"/>
        <v>【器官】在水边活动的水鸟羽毛</v>
      </c>
      <c r="O124" s="10">
        <f t="shared" si="7"/>
        <v>3</v>
      </c>
      <c r="P124" s="8">
        <f t="shared" si="8"/>
        <v>13.5</v>
      </c>
    </row>
    <row r="125" spans="5:16" ht="14.25" x14ac:dyDescent="0.2">
      <c r="E125" s="4"/>
      <c r="F125" s="4">
        <v>50121</v>
      </c>
      <c r="G125" s="9" t="s">
        <v>384</v>
      </c>
      <c r="H125" s="9" t="s">
        <v>385</v>
      </c>
      <c r="I125" s="8" t="s">
        <v>386</v>
      </c>
      <c r="J125" s="9" t="s">
        <v>62</v>
      </c>
      <c r="K125" s="8">
        <v>3</v>
      </c>
      <c r="L125" s="8">
        <f t="shared" si="6"/>
        <v>2</v>
      </c>
      <c r="M125" s="9" t="s">
        <v>287</v>
      </c>
      <c r="N125" s="8" t="str">
        <f t="shared" si="9"/>
        <v>【器官】具有超强冰冻能力的冰鸟的羽毛</v>
      </c>
      <c r="O125" s="10">
        <f t="shared" si="7"/>
        <v>3</v>
      </c>
      <c r="P125" s="8">
        <f t="shared" si="8"/>
        <v>13.5</v>
      </c>
    </row>
    <row r="126" spans="5:16" ht="14.25" x14ac:dyDescent="0.2">
      <c r="E126" s="4"/>
      <c r="F126" s="4">
        <v>50122</v>
      </c>
      <c r="G126" s="9" t="s">
        <v>387</v>
      </c>
      <c r="H126" s="8" t="s">
        <v>388</v>
      </c>
      <c r="I126" s="8" t="s">
        <v>389</v>
      </c>
      <c r="J126" s="9" t="s">
        <v>62</v>
      </c>
      <c r="K126" s="8">
        <v>3</v>
      </c>
      <c r="L126" s="8">
        <f t="shared" si="6"/>
        <v>2</v>
      </c>
      <c r="M126" s="9" t="s">
        <v>266</v>
      </c>
      <c r="N126" s="8" t="str">
        <f t="shared" si="9"/>
        <v xml:space="preserve">【器官】会突然发出震动的羽毛 </v>
      </c>
      <c r="O126" s="10">
        <f t="shared" si="7"/>
        <v>3</v>
      </c>
      <c r="P126" s="8">
        <f t="shared" si="8"/>
        <v>13.5</v>
      </c>
    </row>
    <row r="127" spans="5:16" ht="14.25" x14ac:dyDescent="0.2">
      <c r="E127" s="4"/>
      <c r="F127" s="4">
        <v>50123</v>
      </c>
      <c r="G127" s="9" t="s">
        <v>390</v>
      </c>
      <c r="H127" s="9" t="s">
        <v>391</v>
      </c>
      <c r="I127" s="8" t="s">
        <v>392</v>
      </c>
      <c r="J127" s="9" t="s">
        <v>62</v>
      </c>
      <c r="K127" s="8">
        <v>7</v>
      </c>
      <c r="L127" s="8">
        <f t="shared" si="6"/>
        <v>4</v>
      </c>
      <c r="M127" s="9" t="s">
        <v>266</v>
      </c>
      <c r="N127" s="8" t="str">
        <f t="shared" si="9"/>
        <v>【器官】八位天使蜕下来的羽毛</v>
      </c>
      <c r="O127" s="10">
        <f t="shared" si="7"/>
        <v>3</v>
      </c>
      <c r="P127" s="8">
        <f t="shared" si="8"/>
        <v>73.5</v>
      </c>
    </row>
    <row r="128" spans="5:16" ht="14.25" x14ac:dyDescent="0.2">
      <c r="E128" s="4"/>
      <c r="F128" s="4">
        <v>50124</v>
      </c>
      <c r="G128" s="9" t="s">
        <v>393</v>
      </c>
      <c r="H128" s="9" t="s">
        <v>394</v>
      </c>
      <c r="I128" s="8" t="s">
        <v>395</v>
      </c>
      <c r="J128" s="9" t="s">
        <v>62</v>
      </c>
      <c r="K128" s="8">
        <v>3</v>
      </c>
      <c r="L128" s="8">
        <f t="shared" si="6"/>
        <v>2</v>
      </c>
      <c r="M128" s="9" t="s">
        <v>266</v>
      </c>
      <c r="N128" s="8" t="str">
        <f t="shared" si="9"/>
        <v>【器官】羽翼的边缘具有锐利的爪尖</v>
      </c>
      <c r="O128" s="10">
        <f t="shared" si="7"/>
        <v>3</v>
      </c>
      <c r="P128" s="8">
        <f t="shared" si="8"/>
        <v>13.5</v>
      </c>
    </row>
    <row r="129" spans="5:16" ht="14.25" x14ac:dyDescent="0.2">
      <c r="E129" s="4"/>
      <c r="F129" s="4">
        <v>50125</v>
      </c>
      <c r="G129" s="9" t="s">
        <v>396</v>
      </c>
      <c r="H129" s="9" t="s">
        <v>397</v>
      </c>
      <c r="I129" s="8" t="s">
        <v>395</v>
      </c>
      <c r="J129" s="9" t="s">
        <v>73</v>
      </c>
      <c r="K129" s="8">
        <v>5</v>
      </c>
      <c r="L129" s="8">
        <f t="shared" si="6"/>
        <v>3</v>
      </c>
      <c r="M129" s="9" t="s">
        <v>287</v>
      </c>
      <c r="N129" s="8" t="str">
        <f t="shared" si="9"/>
        <v>【器官】具有很多锐利爪尖的黑蝙蝠羽翼</v>
      </c>
      <c r="O129" s="10">
        <f t="shared" si="7"/>
        <v>3</v>
      </c>
      <c r="P129" s="8">
        <f t="shared" si="8"/>
        <v>37.5</v>
      </c>
    </row>
    <row r="130" spans="5:16" ht="14.25" x14ac:dyDescent="0.2">
      <c r="E130" s="4"/>
      <c r="F130" s="4">
        <v>50126</v>
      </c>
      <c r="G130" s="9" t="s">
        <v>398</v>
      </c>
      <c r="H130" s="9" t="s">
        <v>399</v>
      </c>
      <c r="I130" s="8" t="s">
        <v>400</v>
      </c>
      <c r="J130" s="9" t="s">
        <v>62</v>
      </c>
      <c r="K130" s="8">
        <v>3</v>
      </c>
      <c r="L130" s="8">
        <f t="shared" si="6"/>
        <v>2</v>
      </c>
      <c r="M130" s="9" t="s">
        <v>266</v>
      </c>
      <c r="N130" s="8" t="str">
        <f t="shared" si="9"/>
        <v>【器官】黑暗睡魔的羽翼</v>
      </c>
      <c r="O130" s="10">
        <f t="shared" si="7"/>
        <v>3</v>
      </c>
      <c r="P130" s="8">
        <f t="shared" si="8"/>
        <v>13.5</v>
      </c>
    </row>
    <row r="131" spans="5:16" ht="14.25" x14ac:dyDescent="0.2">
      <c r="E131" s="4"/>
      <c r="F131" s="4">
        <v>50127</v>
      </c>
      <c r="G131" s="9" t="s">
        <v>401</v>
      </c>
      <c r="H131" s="9" t="s">
        <v>402</v>
      </c>
      <c r="I131" s="8" t="s">
        <v>389</v>
      </c>
      <c r="J131" s="9" t="s">
        <v>62</v>
      </c>
      <c r="K131" s="8">
        <v>5</v>
      </c>
      <c r="L131" s="8">
        <f t="shared" si="6"/>
        <v>3</v>
      </c>
      <c r="M131" s="9" t="s">
        <v>287</v>
      </c>
      <c r="N131" s="8" t="str">
        <f t="shared" si="9"/>
        <v>【器官】细长的精灵女王羽翼</v>
      </c>
      <c r="O131" s="10">
        <f t="shared" si="7"/>
        <v>3</v>
      </c>
      <c r="P131" s="8">
        <f t="shared" si="8"/>
        <v>37.5</v>
      </c>
    </row>
    <row r="132" spans="5:16" ht="14.25" x14ac:dyDescent="0.2">
      <c r="E132" s="4"/>
      <c r="F132" s="4">
        <v>50128</v>
      </c>
      <c r="G132" s="9" t="s">
        <v>403</v>
      </c>
      <c r="H132" s="9" t="s">
        <v>404</v>
      </c>
      <c r="I132" s="8" t="s">
        <v>395</v>
      </c>
      <c r="J132" s="9" t="s">
        <v>73</v>
      </c>
      <c r="K132" s="8">
        <v>3</v>
      </c>
      <c r="L132" s="8">
        <f t="shared" si="6"/>
        <v>2</v>
      </c>
      <c r="M132" s="9" t="s">
        <v>266</v>
      </c>
      <c r="N132" s="8" t="str">
        <f t="shared" si="9"/>
        <v>【器官】顽强的石像兵的羽翼</v>
      </c>
      <c r="O132" s="10">
        <f t="shared" si="7"/>
        <v>3</v>
      </c>
      <c r="P132" s="8">
        <f t="shared" si="8"/>
        <v>13.5</v>
      </c>
    </row>
    <row r="133" spans="5:16" ht="14.25" x14ac:dyDescent="0.2">
      <c r="E133" s="4"/>
      <c r="F133" s="4">
        <v>50129</v>
      </c>
      <c r="G133" s="9" t="s">
        <v>405</v>
      </c>
      <c r="H133" s="9" t="s">
        <v>406</v>
      </c>
      <c r="I133" s="8" t="s">
        <v>407</v>
      </c>
      <c r="J133" s="9" t="s">
        <v>62</v>
      </c>
      <c r="K133" s="8">
        <v>3</v>
      </c>
      <c r="L133" s="8">
        <f t="shared" si="6"/>
        <v>2</v>
      </c>
      <c r="M133" s="9" t="s">
        <v>266</v>
      </c>
      <c r="N133" s="8" t="str">
        <f t="shared" ref="N133:N164" si="10">"【"&amp;M133&amp;"】"&amp;H133</f>
        <v>【器官】从死去的昆虫尸体上剥下的躯壳</v>
      </c>
      <c r="O133" s="10">
        <f t="shared" si="7"/>
        <v>3</v>
      </c>
      <c r="P133" s="8">
        <f t="shared" si="8"/>
        <v>13.5</v>
      </c>
    </row>
    <row r="134" spans="5:16" ht="14.25" x14ac:dyDescent="0.2">
      <c r="E134" s="4"/>
      <c r="F134" s="4">
        <v>50130</v>
      </c>
      <c r="G134" s="9" t="s">
        <v>408</v>
      </c>
      <c r="H134" s="9" t="s">
        <v>409</v>
      </c>
      <c r="I134" s="8" t="s">
        <v>407</v>
      </c>
      <c r="J134" s="9" t="s">
        <v>62</v>
      </c>
      <c r="K134" s="8">
        <v>5</v>
      </c>
      <c r="L134" s="8">
        <f t="shared" ref="L134:L194" si="11">IF(K134=1,1,IF(OR(K134=2,K134=3),2,IF(OR(K134=4,K134=5),3,IF(OR(K134=6,K134=7,K134=8),4))))</f>
        <v>3</v>
      </c>
      <c r="M134" s="9" t="s">
        <v>287</v>
      </c>
      <c r="N134" s="8" t="str">
        <f t="shared" si="10"/>
        <v>【器官】从巨大昆虫尸体上剥下的躯壳</v>
      </c>
      <c r="O134" s="10">
        <f t="shared" ref="O134:O195" si="12">IF(M134="矿物",1,IF(M134="植物",2,IF(M134="器官",3,4)))</f>
        <v>3</v>
      </c>
      <c r="P134" s="8">
        <f t="shared" ref="P134:P195" si="13">K134^2*1.5</f>
        <v>37.5</v>
      </c>
    </row>
    <row r="135" spans="5:16" ht="14.25" x14ac:dyDescent="0.2">
      <c r="E135" s="4"/>
      <c r="F135" s="4">
        <v>50131</v>
      </c>
      <c r="G135" s="9" t="s">
        <v>410</v>
      </c>
      <c r="H135" s="9" t="s">
        <v>411</v>
      </c>
      <c r="I135" s="8" t="s">
        <v>412</v>
      </c>
      <c r="J135" s="9" t="s">
        <v>73</v>
      </c>
      <c r="K135" s="8">
        <v>6</v>
      </c>
      <c r="L135" s="8">
        <f t="shared" si="11"/>
        <v>4</v>
      </c>
      <c r="M135" s="9" t="s">
        <v>266</v>
      </c>
      <c r="N135" s="8" t="str">
        <f t="shared" si="10"/>
        <v>【器官】非常绚烂的天使羽毛</v>
      </c>
      <c r="O135" s="10">
        <f t="shared" si="12"/>
        <v>3</v>
      </c>
      <c r="P135" s="8">
        <f t="shared" si="13"/>
        <v>54</v>
      </c>
    </row>
    <row r="136" spans="5:16" ht="14.25" x14ac:dyDescent="0.2">
      <c r="E136" s="4"/>
      <c r="F136" s="4">
        <v>50132</v>
      </c>
      <c r="G136" s="9" t="s">
        <v>413</v>
      </c>
      <c r="H136" s="9" t="s">
        <v>411</v>
      </c>
      <c r="I136" s="8" t="s">
        <v>414</v>
      </c>
      <c r="J136" s="9" t="s">
        <v>62</v>
      </c>
      <c r="K136" s="8">
        <v>6</v>
      </c>
      <c r="L136" s="8">
        <f t="shared" si="11"/>
        <v>4</v>
      </c>
      <c r="M136" s="9" t="s">
        <v>266</v>
      </c>
      <c r="N136" s="8" t="str">
        <f t="shared" si="10"/>
        <v>【器官】非常绚烂的天使羽毛</v>
      </c>
      <c r="O136" s="10">
        <f t="shared" si="12"/>
        <v>3</v>
      </c>
      <c r="P136" s="8">
        <f t="shared" si="13"/>
        <v>54</v>
      </c>
    </row>
    <row r="137" spans="5:16" ht="14.25" x14ac:dyDescent="0.2">
      <c r="E137" s="4"/>
      <c r="F137" s="4">
        <v>50133</v>
      </c>
      <c r="G137" s="9" t="s">
        <v>415</v>
      </c>
      <c r="H137" s="9" t="s">
        <v>411</v>
      </c>
      <c r="I137" s="8" t="s">
        <v>400</v>
      </c>
      <c r="J137" s="9" t="s">
        <v>62</v>
      </c>
      <c r="K137" s="8">
        <v>6</v>
      </c>
      <c r="L137" s="8">
        <f t="shared" si="11"/>
        <v>4</v>
      </c>
      <c r="M137" s="9" t="s">
        <v>287</v>
      </c>
      <c r="N137" s="8" t="str">
        <f t="shared" si="10"/>
        <v>【器官】非常绚烂的天使羽毛</v>
      </c>
      <c r="O137" s="10">
        <f t="shared" si="12"/>
        <v>3</v>
      </c>
      <c r="P137" s="8">
        <f t="shared" si="13"/>
        <v>54</v>
      </c>
    </row>
    <row r="138" spans="5:16" ht="14.25" x14ac:dyDescent="0.2">
      <c r="E138" s="4"/>
      <c r="F138" s="4">
        <v>50134</v>
      </c>
      <c r="G138" s="9" t="s">
        <v>416</v>
      </c>
      <c r="H138" s="9" t="s">
        <v>417</v>
      </c>
      <c r="I138" s="8" t="s">
        <v>418</v>
      </c>
      <c r="J138" s="9" t="s">
        <v>62</v>
      </c>
      <c r="K138" s="8">
        <v>6</v>
      </c>
      <c r="L138" s="8">
        <f t="shared" si="11"/>
        <v>4</v>
      </c>
      <c r="M138" s="9" t="s">
        <v>287</v>
      </c>
      <c r="N138" s="8" t="str">
        <f t="shared" si="10"/>
        <v>【器官】非常绚烂的天使羽毛</v>
      </c>
      <c r="O138" s="10">
        <f t="shared" si="12"/>
        <v>3</v>
      </c>
      <c r="P138" s="8">
        <f t="shared" si="13"/>
        <v>54</v>
      </c>
    </row>
    <row r="139" spans="5:16" ht="14.25" x14ac:dyDescent="0.2">
      <c r="E139" s="4"/>
      <c r="F139" s="4">
        <v>50135</v>
      </c>
      <c r="G139" s="9" t="s">
        <v>419</v>
      </c>
      <c r="H139" s="9" t="s">
        <v>420</v>
      </c>
      <c r="I139" s="8" t="s">
        <v>421</v>
      </c>
      <c r="J139" s="9" t="s">
        <v>73</v>
      </c>
      <c r="K139" s="8">
        <v>2</v>
      </c>
      <c r="L139" s="8">
        <f t="shared" si="11"/>
        <v>2</v>
      </c>
      <c r="M139" s="9" t="s">
        <v>287</v>
      </c>
      <c r="N139" s="8" t="str">
        <f t="shared" si="10"/>
        <v>【器官】狩猎获得的恶鬼的爪子</v>
      </c>
      <c r="O139" s="10">
        <f t="shared" si="12"/>
        <v>3</v>
      </c>
      <c r="P139" s="8">
        <f t="shared" si="13"/>
        <v>6</v>
      </c>
    </row>
    <row r="140" spans="5:16" ht="14.25" x14ac:dyDescent="0.2">
      <c r="E140" s="4"/>
      <c r="F140" s="4">
        <v>50136</v>
      </c>
      <c r="G140" s="9" t="s">
        <v>422</v>
      </c>
      <c r="H140" s="9" t="s">
        <v>423</v>
      </c>
      <c r="I140" s="8" t="s">
        <v>424</v>
      </c>
      <c r="J140" s="9" t="s">
        <v>73</v>
      </c>
      <c r="K140" s="8">
        <v>2</v>
      </c>
      <c r="L140" s="8">
        <f t="shared" si="11"/>
        <v>2</v>
      </c>
      <c r="M140" s="9" t="s">
        <v>287</v>
      </c>
      <c r="N140" s="8" t="str">
        <f t="shared" si="10"/>
        <v>【器官】狩猎获得的人狼的爪子</v>
      </c>
      <c r="O140" s="10">
        <f t="shared" si="12"/>
        <v>3</v>
      </c>
      <c r="P140" s="8">
        <f t="shared" si="13"/>
        <v>6</v>
      </c>
    </row>
    <row r="141" spans="5:16" ht="14.25" x14ac:dyDescent="0.2">
      <c r="E141" s="4"/>
      <c r="F141" s="4">
        <v>50137</v>
      </c>
      <c r="G141" s="9" t="s">
        <v>425</v>
      </c>
      <c r="H141" s="9" t="s">
        <v>426</v>
      </c>
      <c r="I141" s="8" t="s">
        <v>424</v>
      </c>
      <c r="J141" s="9" t="s">
        <v>62</v>
      </c>
      <c r="K141" s="8">
        <v>2</v>
      </c>
      <c r="L141" s="8">
        <f t="shared" si="11"/>
        <v>2</v>
      </c>
      <c r="M141" s="9" t="s">
        <v>266</v>
      </c>
      <c r="N141" s="8" t="str">
        <f t="shared" si="10"/>
        <v>【器官】狩猎获得的蜥蜴的爪子</v>
      </c>
      <c r="O141" s="10">
        <f t="shared" si="12"/>
        <v>3</v>
      </c>
      <c r="P141" s="8">
        <f t="shared" si="13"/>
        <v>6</v>
      </c>
    </row>
    <row r="142" spans="5:16" ht="14.25" x14ac:dyDescent="0.2">
      <c r="E142" s="4"/>
      <c r="F142" s="4">
        <v>50138</v>
      </c>
      <c r="G142" s="9" t="s">
        <v>427</v>
      </c>
      <c r="H142" s="9" t="s">
        <v>428</v>
      </c>
      <c r="I142" s="8" t="s">
        <v>429</v>
      </c>
      <c r="J142" s="9" t="s">
        <v>62</v>
      </c>
      <c r="K142" s="8">
        <v>2</v>
      </c>
      <c r="L142" s="8">
        <f t="shared" si="11"/>
        <v>2</v>
      </c>
      <c r="M142" s="9" t="s">
        <v>266</v>
      </c>
      <c r="N142" s="8" t="str">
        <f t="shared" si="10"/>
        <v>【器官】狩猎获得的火兽的爪子</v>
      </c>
      <c r="O142" s="10">
        <f t="shared" si="12"/>
        <v>3</v>
      </c>
      <c r="P142" s="8">
        <f t="shared" si="13"/>
        <v>6</v>
      </c>
    </row>
    <row r="143" spans="5:16" ht="14.25" x14ac:dyDescent="0.2">
      <c r="E143" s="4"/>
      <c r="F143" s="4">
        <v>50139</v>
      </c>
      <c r="G143" s="9" t="s">
        <v>430</v>
      </c>
      <c r="H143" s="9" t="s">
        <v>431</v>
      </c>
      <c r="I143" s="8" t="s">
        <v>432</v>
      </c>
      <c r="J143" s="9" t="s">
        <v>73</v>
      </c>
      <c r="K143" s="8">
        <v>2</v>
      </c>
      <c r="L143" s="8">
        <f t="shared" si="11"/>
        <v>2</v>
      </c>
      <c r="M143" s="9" t="s">
        <v>287</v>
      </c>
      <c r="N143" s="8" t="str">
        <f t="shared" si="10"/>
        <v>【器官】狩猎获得的雷兽的爪子</v>
      </c>
      <c r="O143" s="10">
        <f t="shared" si="12"/>
        <v>3</v>
      </c>
      <c r="P143" s="8">
        <f t="shared" si="13"/>
        <v>6</v>
      </c>
    </row>
    <row r="144" spans="5:16" ht="14.25" x14ac:dyDescent="0.2">
      <c r="E144" s="4"/>
      <c r="F144" s="4">
        <v>50140</v>
      </c>
      <c r="G144" s="9" t="s">
        <v>433</v>
      </c>
      <c r="H144" s="9" t="s">
        <v>434</v>
      </c>
      <c r="I144" s="8" t="s">
        <v>435</v>
      </c>
      <c r="J144" s="9" t="s">
        <v>73</v>
      </c>
      <c r="K144" s="8">
        <v>2</v>
      </c>
      <c r="L144" s="8">
        <f t="shared" si="11"/>
        <v>2</v>
      </c>
      <c r="M144" s="9" t="s">
        <v>287</v>
      </c>
      <c r="N144" s="8" t="str">
        <f t="shared" si="10"/>
        <v>【器官】狩猎获得的大型昆虫的爪子</v>
      </c>
      <c r="O144" s="10">
        <f t="shared" si="12"/>
        <v>3</v>
      </c>
      <c r="P144" s="8">
        <f t="shared" si="13"/>
        <v>6</v>
      </c>
    </row>
    <row r="145" spans="5:16" ht="14.25" x14ac:dyDescent="0.2">
      <c r="E145" s="4"/>
      <c r="F145" s="4">
        <v>50141</v>
      </c>
      <c r="G145" s="9" t="s">
        <v>436</v>
      </c>
      <c r="H145" s="9" t="s">
        <v>437</v>
      </c>
      <c r="I145" s="8" t="s">
        <v>438</v>
      </c>
      <c r="J145" s="9" t="s">
        <v>62</v>
      </c>
      <c r="K145" s="8">
        <v>3</v>
      </c>
      <c r="L145" s="8">
        <f t="shared" si="11"/>
        <v>2</v>
      </c>
      <c r="M145" s="9" t="s">
        <v>287</v>
      </c>
      <c r="N145" s="8" t="str">
        <f t="shared" si="10"/>
        <v>【器官】狩猎获得的恶魔的爪子</v>
      </c>
      <c r="O145" s="10">
        <f t="shared" si="12"/>
        <v>3</v>
      </c>
      <c r="P145" s="8">
        <f t="shared" si="13"/>
        <v>13.5</v>
      </c>
    </row>
    <row r="146" spans="5:16" ht="14.25" x14ac:dyDescent="0.2">
      <c r="E146" s="4"/>
      <c r="F146" s="4">
        <v>50142</v>
      </c>
      <c r="G146" s="9" t="s">
        <v>439</v>
      </c>
      <c r="H146" s="9" t="s">
        <v>440</v>
      </c>
      <c r="I146" s="8" t="s">
        <v>429</v>
      </c>
      <c r="J146" s="9" t="s">
        <v>62</v>
      </c>
      <c r="K146" s="8">
        <v>3</v>
      </c>
      <c r="L146" s="8">
        <f t="shared" si="11"/>
        <v>2</v>
      </c>
      <c r="M146" s="9" t="s">
        <v>287</v>
      </c>
      <c r="N146" s="8" t="str">
        <f t="shared" si="10"/>
        <v>【器官】狩猎获得的狐炎兽的爪子</v>
      </c>
      <c r="O146" s="10">
        <f t="shared" si="12"/>
        <v>3</v>
      </c>
      <c r="P146" s="8">
        <f t="shared" si="13"/>
        <v>13.5</v>
      </c>
    </row>
    <row r="147" spans="5:16" ht="14.25" x14ac:dyDescent="0.2">
      <c r="E147" s="4"/>
      <c r="F147" s="4">
        <v>50143</v>
      </c>
      <c r="G147" s="9" t="s">
        <v>441</v>
      </c>
      <c r="H147" s="9" t="s">
        <v>442</v>
      </c>
      <c r="I147" s="8" t="s">
        <v>443</v>
      </c>
      <c r="J147" s="9" t="s">
        <v>62</v>
      </c>
      <c r="K147" s="8">
        <v>3</v>
      </c>
      <c r="L147" s="8">
        <f t="shared" si="11"/>
        <v>2</v>
      </c>
      <c r="M147" s="9" t="s">
        <v>444</v>
      </c>
      <c r="N147" s="8" t="str">
        <f t="shared" si="10"/>
        <v>【器官】狩猎获得的蛇龟的爪子</v>
      </c>
      <c r="O147" s="10">
        <f t="shared" si="12"/>
        <v>3</v>
      </c>
      <c r="P147" s="8">
        <f t="shared" si="13"/>
        <v>13.5</v>
      </c>
    </row>
    <row r="148" spans="5:16" ht="14.25" x14ac:dyDescent="0.2">
      <c r="E148" s="4"/>
      <c r="F148" s="4">
        <v>50144</v>
      </c>
      <c r="G148" s="9" t="s">
        <v>445</v>
      </c>
      <c r="H148" s="9" t="s">
        <v>446</v>
      </c>
      <c r="I148" s="8" t="s">
        <v>447</v>
      </c>
      <c r="J148" s="9" t="s">
        <v>73</v>
      </c>
      <c r="K148" s="8">
        <v>3</v>
      </c>
      <c r="L148" s="8">
        <f t="shared" si="11"/>
        <v>2</v>
      </c>
      <c r="M148" s="9" t="s">
        <v>287</v>
      </c>
      <c r="N148" s="8" t="str">
        <f t="shared" si="10"/>
        <v>【器官】狩猎获得的龙爪</v>
      </c>
      <c r="O148" s="10">
        <f t="shared" si="12"/>
        <v>3</v>
      </c>
      <c r="P148" s="8">
        <f t="shared" si="13"/>
        <v>13.5</v>
      </c>
    </row>
    <row r="149" spans="5:16" ht="14.25" x14ac:dyDescent="0.2">
      <c r="E149" s="4"/>
      <c r="F149" s="4">
        <v>50145</v>
      </c>
      <c r="G149" s="9" t="s">
        <v>448</v>
      </c>
      <c r="H149" s="9" t="s">
        <v>449</v>
      </c>
      <c r="I149" s="8" t="s">
        <v>421</v>
      </c>
      <c r="J149" s="9" t="s">
        <v>73</v>
      </c>
      <c r="K149" s="8">
        <v>1</v>
      </c>
      <c r="L149" s="8">
        <f t="shared" si="11"/>
        <v>1</v>
      </c>
      <c r="M149" s="9" t="s">
        <v>287</v>
      </c>
      <c r="N149" s="8" t="str">
        <f t="shared" si="10"/>
        <v>【器官】从泥土里挖掘出来的腐败的爪子</v>
      </c>
      <c r="O149" s="10">
        <f t="shared" si="12"/>
        <v>3</v>
      </c>
      <c r="P149" s="8">
        <f t="shared" si="13"/>
        <v>1.5</v>
      </c>
    </row>
    <row r="150" spans="5:16" ht="14.25" x14ac:dyDescent="0.2">
      <c r="E150" s="4"/>
      <c r="F150" s="4">
        <v>50146</v>
      </c>
      <c r="G150" s="9" t="s">
        <v>450</v>
      </c>
      <c r="H150" s="9" t="s">
        <v>451</v>
      </c>
      <c r="I150" s="8" t="s">
        <v>452</v>
      </c>
      <c r="J150" s="9" t="s">
        <v>73</v>
      </c>
      <c r="K150" s="8">
        <v>2</v>
      </c>
      <c r="L150" s="8">
        <f t="shared" si="11"/>
        <v>2</v>
      </c>
      <c r="M150" s="9" t="s">
        <v>287</v>
      </c>
      <c r="N150" s="8" t="str">
        <f t="shared" si="10"/>
        <v>【器官】恶鬼的牙齿</v>
      </c>
      <c r="O150" s="10">
        <f t="shared" si="12"/>
        <v>3</v>
      </c>
      <c r="P150" s="8">
        <f t="shared" si="13"/>
        <v>6</v>
      </c>
    </row>
    <row r="151" spans="5:16" ht="14.25" x14ac:dyDescent="0.2">
      <c r="E151" s="4"/>
      <c r="F151" s="4">
        <v>50147</v>
      </c>
      <c r="G151" s="9" t="s">
        <v>453</v>
      </c>
      <c r="H151" s="9" t="s">
        <v>454</v>
      </c>
      <c r="I151" s="8" t="s">
        <v>455</v>
      </c>
      <c r="J151" s="9" t="s">
        <v>62</v>
      </c>
      <c r="K151" s="8">
        <v>2</v>
      </c>
      <c r="L151" s="8">
        <f t="shared" si="11"/>
        <v>2</v>
      </c>
      <c r="M151" s="9" t="s">
        <v>266</v>
      </c>
      <c r="N151" s="8" t="str">
        <f t="shared" si="10"/>
        <v>【器官】蜥蜴的牙齿</v>
      </c>
      <c r="O151" s="10">
        <f t="shared" si="12"/>
        <v>3</v>
      </c>
      <c r="P151" s="8">
        <f t="shared" si="13"/>
        <v>6</v>
      </c>
    </row>
    <row r="152" spans="5:16" ht="14.25" x14ac:dyDescent="0.2">
      <c r="E152" s="4"/>
      <c r="F152" s="4">
        <v>50148</v>
      </c>
      <c r="G152" s="9" t="s">
        <v>456</v>
      </c>
      <c r="H152" s="9" t="s">
        <v>457</v>
      </c>
      <c r="I152" s="8" t="s">
        <v>458</v>
      </c>
      <c r="J152" s="9" t="s">
        <v>73</v>
      </c>
      <c r="K152" s="8">
        <v>2</v>
      </c>
      <c r="L152" s="8">
        <f t="shared" si="11"/>
        <v>2</v>
      </c>
      <c r="M152" s="9" t="s">
        <v>266</v>
      </c>
      <c r="N152" s="8" t="str">
        <f t="shared" si="10"/>
        <v>【器官】火兽的牙齿</v>
      </c>
      <c r="O152" s="10">
        <f t="shared" si="12"/>
        <v>3</v>
      </c>
      <c r="P152" s="8">
        <f t="shared" si="13"/>
        <v>6</v>
      </c>
    </row>
    <row r="153" spans="5:16" ht="14.25" x14ac:dyDescent="0.2">
      <c r="E153" s="4"/>
      <c r="F153" s="4">
        <v>50149</v>
      </c>
      <c r="G153" s="9" t="s">
        <v>459</v>
      </c>
      <c r="H153" s="9" t="s">
        <v>460</v>
      </c>
      <c r="I153" s="8" t="s">
        <v>461</v>
      </c>
      <c r="J153" s="9" t="s">
        <v>462</v>
      </c>
      <c r="K153" s="8">
        <v>2</v>
      </c>
      <c r="L153" s="8">
        <f t="shared" si="11"/>
        <v>2</v>
      </c>
      <c r="M153" s="9" t="s">
        <v>444</v>
      </c>
      <c r="N153" s="8" t="str">
        <f t="shared" si="10"/>
        <v>【器官】雷兽的牙齿</v>
      </c>
      <c r="O153" s="10">
        <f t="shared" si="12"/>
        <v>3</v>
      </c>
      <c r="P153" s="8">
        <f t="shared" si="13"/>
        <v>6</v>
      </c>
    </row>
    <row r="154" spans="5:16" ht="14.25" x14ac:dyDescent="0.2">
      <c r="E154" s="4"/>
      <c r="F154" s="4">
        <v>50150</v>
      </c>
      <c r="G154" s="9" t="s">
        <v>463</v>
      </c>
      <c r="H154" s="9" t="s">
        <v>464</v>
      </c>
      <c r="I154" s="8" t="s">
        <v>465</v>
      </c>
      <c r="J154" s="9" t="s">
        <v>62</v>
      </c>
      <c r="K154" s="8">
        <v>2</v>
      </c>
      <c r="L154" s="8">
        <f t="shared" si="11"/>
        <v>2</v>
      </c>
      <c r="M154" s="9" t="s">
        <v>266</v>
      </c>
      <c r="N154" s="8" t="str">
        <f t="shared" si="10"/>
        <v>【器官】水兽的牙齿</v>
      </c>
      <c r="O154" s="10">
        <f t="shared" si="12"/>
        <v>3</v>
      </c>
      <c r="P154" s="8">
        <f t="shared" si="13"/>
        <v>6</v>
      </c>
    </row>
    <row r="155" spans="5:16" ht="14.25" x14ac:dyDescent="0.2">
      <c r="E155" s="4"/>
      <c r="F155" s="4">
        <v>50151</v>
      </c>
      <c r="G155" s="9" t="s">
        <v>466</v>
      </c>
      <c r="H155" s="9" t="s">
        <v>467</v>
      </c>
      <c r="I155" s="8" t="s">
        <v>468</v>
      </c>
      <c r="J155" s="9" t="s">
        <v>62</v>
      </c>
      <c r="K155" s="8">
        <v>2</v>
      </c>
      <c r="L155" s="8">
        <f t="shared" si="11"/>
        <v>2</v>
      </c>
      <c r="M155" s="9" t="s">
        <v>266</v>
      </c>
      <c r="N155" s="8" t="str">
        <f t="shared" si="10"/>
        <v>【器官】深海巨鱼的牙齿</v>
      </c>
      <c r="O155" s="10">
        <f t="shared" si="12"/>
        <v>3</v>
      </c>
      <c r="P155" s="8">
        <f t="shared" si="13"/>
        <v>6</v>
      </c>
    </row>
    <row r="156" spans="5:16" ht="14.25" x14ac:dyDescent="0.2">
      <c r="E156" s="4"/>
      <c r="F156" s="4">
        <v>50152</v>
      </c>
      <c r="G156" s="9" t="s">
        <v>469</v>
      </c>
      <c r="H156" s="9" t="s">
        <v>470</v>
      </c>
      <c r="I156" s="8" t="s">
        <v>471</v>
      </c>
      <c r="J156" s="9" t="s">
        <v>62</v>
      </c>
      <c r="K156" s="8">
        <v>2</v>
      </c>
      <c r="L156" s="8">
        <f t="shared" si="11"/>
        <v>2</v>
      </c>
      <c r="M156" s="9" t="s">
        <v>266</v>
      </c>
      <c r="N156" s="8" t="str">
        <f t="shared" si="10"/>
        <v>【器官】蝙蝠的牙齿</v>
      </c>
      <c r="O156" s="10">
        <f t="shared" si="12"/>
        <v>3</v>
      </c>
      <c r="P156" s="8">
        <f t="shared" si="13"/>
        <v>6</v>
      </c>
    </row>
    <row r="157" spans="5:16" ht="14.25" x14ac:dyDescent="0.2">
      <c r="E157" s="4"/>
      <c r="F157" s="4">
        <v>50153</v>
      </c>
      <c r="G157" s="9" t="s">
        <v>472</v>
      </c>
      <c r="H157" s="9" t="s">
        <v>473</v>
      </c>
      <c r="I157" s="8" t="s">
        <v>438</v>
      </c>
      <c r="J157" s="9" t="s">
        <v>62</v>
      </c>
      <c r="K157" s="8">
        <v>3</v>
      </c>
      <c r="L157" s="8">
        <f t="shared" si="11"/>
        <v>2</v>
      </c>
      <c r="M157" s="9" t="s">
        <v>266</v>
      </c>
      <c r="N157" s="8" t="str">
        <f t="shared" si="10"/>
        <v>【器官】黑蝙蝠的牙齿</v>
      </c>
      <c r="O157" s="10">
        <f t="shared" si="12"/>
        <v>3</v>
      </c>
      <c r="P157" s="8">
        <f t="shared" si="13"/>
        <v>13.5</v>
      </c>
    </row>
    <row r="158" spans="5:16" ht="14.25" x14ac:dyDescent="0.2">
      <c r="E158" s="4"/>
      <c r="F158" s="4">
        <v>50154</v>
      </c>
      <c r="G158" s="9" t="s">
        <v>474</v>
      </c>
      <c r="H158" s="9" t="s">
        <v>475</v>
      </c>
      <c r="I158" s="8" t="s">
        <v>476</v>
      </c>
      <c r="J158" s="9" t="s">
        <v>73</v>
      </c>
      <c r="K158" s="8">
        <v>3</v>
      </c>
      <c r="L158" s="8">
        <f t="shared" si="11"/>
        <v>2</v>
      </c>
      <c r="M158" s="9" t="s">
        <v>287</v>
      </c>
      <c r="N158" s="8" t="str">
        <f t="shared" si="10"/>
        <v>【器官】狐炎兽的牙齿</v>
      </c>
      <c r="O158" s="10">
        <f t="shared" si="12"/>
        <v>3</v>
      </c>
      <c r="P158" s="8">
        <f t="shared" si="13"/>
        <v>13.5</v>
      </c>
    </row>
    <row r="159" spans="5:16" ht="14.25" x14ac:dyDescent="0.2">
      <c r="E159" s="4"/>
      <c r="F159" s="4">
        <v>50155</v>
      </c>
      <c r="G159" s="9" t="s">
        <v>477</v>
      </c>
      <c r="H159" s="9" t="s">
        <v>478</v>
      </c>
      <c r="I159" s="8" t="s">
        <v>479</v>
      </c>
      <c r="J159" s="9" t="s">
        <v>73</v>
      </c>
      <c r="K159" s="8">
        <v>3</v>
      </c>
      <c r="L159" s="8">
        <f t="shared" si="11"/>
        <v>2</v>
      </c>
      <c r="M159" s="9" t="s">
        <v>287</v>
      </c>
      <c r="N159" s="8" t="str">
        <f t="shared" si="10"/>
        <v>【器官】蛇龟的牙齿</v>
      </c>
      <c r="O159" s="10">
        <f t="shared" si="12"/>
        <v>3</v>
      </c>
      <c r="P159" s="8">
        <f t="shared" si="13"/>
        <v>13.5</v>
      </c>
    </row>
    <row r="160" spans="5:16" ht="14.25" x14ac:dyDescent="0.2">
      <c r="E160" s="4"/>
      <c r="F160" s="4">
        <v>50156</v>
      </c>
      <c r="G160" s="9" t="s">
        <v>480</v>
      </c>
      <c r="H160" s="9" t="s">
        <v>480</v>
      </c>
      <c r="I160" s="8" t="s">
        <v>476</v>
      </c>
      <c r="J160" s="9" t="s">
        <v>73</v>
      </c>
      <c r="K160" s="8">
        <v>3</v>
      </c>
      <c r="L160" s="8">
        <f t="shared" si="11"/>
        <v>2</v>
      </c>
      <c r="M160" s="9" t="s">
        <v>287</v>
      </c>
      <c r="N160" s="8" t="str">
        <f t="shared" si="10"/>
        <v>【器官】龙牙</v>
      </c>
      <c r="O160" s="10">
        <f t="shared" si="12"/>
        <v>3</v>
      </c>
      <c r="P160" s="8">
        <f t="shared" si="13"/>
        <v>13.5</v>
      </c>
    </row>
    <row r="161" spans="5:16" ht="14.25" x14ac:dyDescent="0.2">
      <c r="E161" s="4"/>
      <c r="F161" s="4">
        <v>50157</v>
      </c>
      <c r="G161" s="9" t="s">
        <v>481</v>
      </c>
      <c r="H161" s="9" t="s">
        <v>482</v>
      </c>
      <c r="I161" s="8" t="s">
        <v>483</v>
      </c>
      <c r="J161" s="9" t="s">
        <v>73</v>
      </c>
      <c r="K161" s="8">
        <v>1</v>
      </c>
      <c r="L161" s="8">
        <f t="shared" si="11"/>
        <v>1</v>
      </c>
      <c r="M161" s="9" t="s">
        <v>287</v>
      </c>
      <c r="N161" s="8" t="str">
        <f t="shared" si="10"/>
        <v>【器官】泥土里挖掘出来的腐败的牙齿</v>
      </c>
      <c r="O161" s="10">
        <f t="shared" si="12"/>
        <v>3</v>
      </c>
      <c r="P161" s="8">
        <f t="shared" si="13"/>
        <v>1.5</v>
      </c>
    </row>
    <row r="162" spans="5:16" ht="14.25" x14ac:dyDescent="0.2">
      <c r="E162" s="4"/>
      <c r="F162" s="4">
        <v>50158</v>
      </c>
      <c r="G162" s="9" t="s">
        <v>484</v>
      </c>
      <c r="H162" s="9" t="s">
        <v>485</v>
      </c>
      <c r="I162" s="8" t="s">
        <v>486</v>
      </c>
      <c r="J162" s="9" t="s">
        <v>73</v>
      </c>
      <c r="K162" s="8">
        <v>4</v>
      </c>
      <c r="L162" s="8">
        <f t="shared" si="11"/>
        <v>3</v>
      </c>
      <c r="M162" s="9" t="s">
        <v>487</v>
      </c>
      <c r="N162" s="8" t="str">
        <f t="shared" si="10"/>
        <v>【宝石】寄宿地精能力的魂片</v>
      </c>
      <c r="O162" s="10">
        <f t="shared" si="12"/>
        <v>4</v>
      </c>
      <c r="P162" s="8">
        <f t="shared" si="13"/>
        <v>24</v>
      </c>
    </row>
    <row r="163" spans="5:16" ht="14.25" x14ac:dyDescent="0.2">
      <c r="E163" s="4"/>
      <c r="F163" s="4">
        <v>50159</v>
      </c>
      <c r="G163" s="9" t="s">
        <v>488</v>
      </c>
      <c r="H163" s="9" t="s">
        <v>489</v>
      </c>
      <c r="I163" s="8" t="s">
        <v>490</v>
      </c>
      <c r="J163" s="9" t="s">
        <v>62</v>
      </c>
      <c r="K163" s="8">
        <v>4</v>
      </c>
      <c r="L163" s="8">
        <f t="shared" si="11"/>
        <v>3</v>
      </c>
      <c r="M163" s="9" t="s">
        <v>487</v>
      </c>
      <c r="N163" s="8" t="str">
        <f t="shared" si="10"/>
        <v>【宝石】寄宿水精能力的魂片</v>
      </c>
      <c r="O163" s="10">
        <f t="shared" si="12"/>
        <v>4</v>
      </c>
      <c r="P163" s="8">
        <f t="shared" si="13"/>
        <v>24</v>
      </c>
    </row>
    <row r="164" spans="5:16" ht="14.25" x14ac:dyDescent="0.2">
      <c r="E164" s="4"/>
      <c r="F164" s="4">
        <v>50160</v>
      </c>
      <c r="G164" s="9" t="s">
        <v>491</v>
      </c>
      <c r="H164" s="9" t="s">
        <v>492</v>
      </c>
      <c r="I164" s="8" t="s">
        <v>493</v>
      </c>
      <c r="J164" s="9" t="s">
        <v>73</v>
      </c>
      <c r="K164" s="8">
        <v>4</v>
      </c>
      <c r="L164" s="8">
        <f t="shared" si="11"/>
        <v>3</v>
      </c>
      <c r="M164" s="9" t="s">
        <v>487</v>
      </c>
      <c r="N164" s="8" t="str">
        <f t="shared" si="10"/>
        <v>【宝石】寄宿火精能力的魂片</v>
      </c>
      <c r="O164" s="10">
        <f t="shared" si="12"/>
        <v>4</v>
      </c>
      <c r="P164" s="8">
        <f t="shared" si="13"/>
        <v>24</v>
      </c>
    </row>
    <row r="165" spans="5:16" ht="14.25" x14ac:dyDescent="0.2">
      <c r="E165" s="4"/>
      <c r="F165" s="4">
        <v>50161</v>
      </c>
      <c r="G165" s="9" t="s">
        <v>494</v>
      </c>
      <c r="H165" s="9" t="s">
        <v>495</v>
      </c>
      <c r="I165" s="8" t="s">
        <v>496</v>
      </c>
      <c r="J165" s="9" t="s">
        <v>62</v>
      </c>
      <c r="K165" s="8">
        <v>4</v>
      </c>
      <c r="L165" s="8">
        <f t="shared" si="11"/>
        <v>3</v>
      </c>
      <c r="M165" s="9" t="s">
        <v>487</v>
      </c>
      <c r="N165" s="8" t="str">
        <f t="shared" ref="N165:N195" si="14">"【"&amp;M165&amp;"】"&amp;H165</f>
        <v>【宝石】寄宿雷精能力的魂片</v>
      </c>
      <c r="O165" s="10">
        <f t="shared" si="12"/>
        <v>4</v>
      </c>
      <c r="P165" s="8">
        <f t="shared" si="13"/>
        <v>24</v>
      </c>
    </row>
    <row r="166" spans="5:16" ht="14.25" x14ac:dyDescent="0.2">
      <c r="E166" s="4"/>
      <c r="F166" s="4">
        <v>50162</v>
      </c>
      <c r="G166" s="9" t="s">
        <v>497</v>
      </c>
      <c r="H166" s="9" t="s">
        <v>498</v>
      </c>
      <c r="I166" s="8" t="s">
        <v>499</v>
      </c>
      <c r="J166" s="9" t="s">
        <v>73</v>
      </c>
      <c r="K166" s="8">
        <v>4</v>
      </c>
      <c r="L166" s="8">
        <f t="shared" si="11"/>
        <v>3</v>
      </c>
      <c r="M166" s="9" t="s">
        <v>487</v>
      </c>
      <c r="N166" s="8" t="str">
        <f t="shared" si="14"/>
        <v>【宝石】注入灵力的魂片</v>
      </c>
      <c r="O166" s="10">
        <f t="shared" si="12"/>
        <v>4</v>
      </c>
      <c r="P166" s="8">
        <f t="shared" si="13"/>
        <v>24</v>
      </c>
    </row>
    <row r="167" spans="5:16" ht="14.25" x14ac:dyDescent="0.2">
      <c r="E167" s="4"/>
      <c r="F167" s="4">
        <v>50163</v>
      </c>
      <c r="G167" s="9" t="s">
        <v>500</v>
      </c>
      <c r="H167" s="9" t="s">
        <v>501</v>
      </c>
      <c r="I167" s="8" t="s">
        <v>502</v>
      </c>
      <c r="J167" s="9" t="s">
        <v>73</v>
      </c>
      <c r="K167" s="8">
        <v>5</v>
      </c>
      <c r="L167" s="8">
        <f t="shared" si="11"/>
        <v>3</v>
      </c>
      <c r="M167" s="9" t="s">
        <v>487</v>
      </c>
      <c r="N167" s="8" t="str">
        <f t="shared" si="14"/>
        <v>【宝石】注入魅灵力的魂片</v>
      </c>
      <c r="O167" s="10">
        <f t="shared" si="12"/>
        <v>4</v>
      </c>
      <c r="P167" s="8">
        <f t="shared" si="13"/>
        <v>37.5</v>
      </c>
    </row>
    <row r="168" spans="5:16" ht="14.25" x14ac:dyDescent="0.2">
      <c r="E168" s="4"/>
      <c r="F168" s="4">
        <v>50164</v>
      </c>
      <c r="G168" s="9" t="s">
        <v>503</v>
      </c>
      <c r="H168" s="9" t="s">
        <v>504</v>
      </c>
      <c r="I168" s="8" t="s">
        <v>505</v>
      </c>
      <c r="J168" s="9" t="s">
        <v>73</v>
      </c>
      <c r="K168" s="8">
        <v>5</v>
      </c>
      <c r="L168" s="8">
        <f t="shared" si="11"/>
        <v>3</v>
      </c>
      <c r="M168" s="9" t="s">
        <v>487</v>
      </c>
      <c r="N168" s="8" t="str">
        <f t="shared" si="14"/>
        <v>【宝石】寄宿天使能力的魂片</v>
      </c>
      <c r="O168" s="10">
        <f t="shared" si="12"/>
        <v>4</v>
      </c>
      <c r="P168" s="8">
        <f t="shared" si="13"/>
        <v>37.5</v>
      </c>
    </row>
    <row r="169" spans="5:16" ht="14.25" x14ac:dyDescent="0.2">
      <c r="E169" s="4"/>
      <c r="F169" s="4">
        <v>50165</v>
      </c>
      <c r="G169" s="9" t="s">
        <v>506</v>
      </c>
      <c r="H169" s="9" t="s">
        <v>507</v>
      </c>
      <c r="I169" s="8" t="s">
        <v>508</v>
      </c>
      <c r="J169" s="9" t="s">
        <v>73</v>
      </c>
      <c r="K169" s="8">
        <v>5</v>
      </c>
      <c r="L169" s="8">
        <f t="shared" si="11"/>
        <v>3</v>
      </c>
      <c r="M169" s="9" t="s">
        <v>487</v>
      </c>
      <c r="N169" s="8" t="str">
        <f t="shared" si="14"/>
        <v>【宝石】寄宿睡魔能力的魂片</v>
      </c>
      <c r="O169" s="10">
        <f t="shared" si="12"/>
        <v>4</v>
      </c>
      <c r="P169" s="8">
        <f t="shared" si="13"/>
        <v>37.5</v>
      </c>
    </row>
    <row r="170" spans="5:16" ht="14.25" x14ac:dyDescent="0.2">
      <c r="E170" s="4"/>
      <c r="F170" s="4">
        <v>50166</v>
      </c>
      <c r="G170" s="9" t="s">
        <v>509</v>
      </c>
      <c r="H170" s="9" t="s">
        <v>510</v>
      </c>
      <c r="I170" s="8" t="s">
        <v>508</v>
      </c>
      <c r="J170" s="9" t="s">
        <v>73</v>
      </c>
      <c r="K170" s="8">
        <v>5</v>
      </c>
      <c r="L170" s="8">
        <f t="shared" si="11"/>
        <v>3</v>
      </c>
      <c r="M170" s="9" t="s">
        <v>487</v>
      </c>
      <c r="N170" s="8" t="str">
        <f t="shared" si="14"/>
        <v>【宝石】寄宿恶魔能力的魂片</v>
      </c>
      <c r="O170" s="10">
        <f t="shared" si="12"/>
        <v>4</v>
      </c>
      <c r="P170" s="8">
        <f t="shared" si="13"/>
        <v>37.5</v>
      </c>
    </row>
    <row r="171" spans="5:16" ht="14.25" x14ac:dyDescent="0.2">
      <c r="E171" s="4"/>
      <c r="F171" s="4">
        <v>50167</v>
      </c>
      <c r="G171" s="9" t="s">
        <v>511</v>
      </c>
      <c r="H171" s="9" t="s">
        <v>512</v>
      </c>
      <c r="I171" s="8" t="s">
        <v>502</v>
      </c>
      <c r="J171" s="9" t="s">
        <v>73</v>
      </c>
      <c r="K171" s="8">
        <v>7</v>
      </c>
      <c r="L171" s="8">
        <f t="shared" si="11"/>
        <v>4</v>
      </c>
      <c r="M171" s="9" t="s">
        <v>487</v>
      </c>
      <c r="N171" s="8" t="str">
        <f t="shared" si="14"/>
        <v>【宝石】四重属性混合而成的魂片</v>
      </c>
      <c r="O171" s="10">
        <f t="shared" si="12"/>
        <v>4</v>
      </c>
      <c r="P171" s="8">
        <f t="shared" si="13"/>
        <v>73.5</v>
      </c>
    </row>
    <row r="172" spans="5:16" ht="14.25" x14ac:dyDescent="0.2">
      <c r="E172" s="4"/>
      <c r="F172" s="4">
        <v>50168</v>
      </c>
      <c r="G172" s="9" t="s">
        <v>513</v>
      </c>
      <c r="H172" s="9" t="s">
        <v>514</v>
      </c>
      <c r="I172" s="8" t="s">
        <v>515</v>
      </c>
      <c r="J172" s="9" t="s">
        <v>73</v>
      </c>
      <c r="K172" s="8">
        <v>1</v>
      </c>
      <c r="L172" s="8">
        <f t="shared" si="11"/>
        <v>1</v>
      </c>
      <c r="M172" s="9" t="s">
        <v>161</v>
      </c>
      <c r="N172" s="8" t="str">
        <f t="shared" si="14"/>
        <v>【植物】体力提高的秘药</v>
      </c>
      <c r="O172" s="10">
        <f t="shared" si="12"/>
        <v>2</v>
      </c>
      <c r="P172" s="8">
        <f t="shared" si="13"/>
        <v>1.5</v>
      </c>
    </row>
    <row r="173" spans="5:16" ht="14.25" x14ac:dyDescent="0.2">
      <c r="E173" s="4"/>
      <c r="F173" s="4">
        <v>50169</v>
      </c>
      <c r="G173" s="9" t="s">
        <v>516</v>
      </c>
      <c r="H173" s="9" t="s">
        <v>514</v>
      </c>
      <c r="I173" s="8" t="s">
        <v>517</v>
      </c>
      <c r="J173" s="9" t="s">
        <v>73</v>
      </c>
      <c r="K173" s="8">
        <v>3</v>
      </c>
      <c r="L173" s="8">
        <f t="shared" si="11"/>
        <v>2</v>
      </c>
      <c r="M173" s="9" t="s">
        <v>161</v>
      </c>
      <c r="N173" s="8" t="str">
        <f t="shared" si="14"/>
        <v>【植物】体力提高的秘药</v>
      </c>
      <c r="O173" s="10">
        <f t="shared" si="12"/>
        <v>2</v>
      </c>
      <c r="P173" s="8">
        <f t="shared" si="13"/>
        <v>13.5</v>
      </c>
    </row>
    <row r="174" spans="5:16" ht="14.25" x14ac:dyDescent="0.2">
      <c r="E174" s="4"/>
      <c r="F174" s="4">
        <v>50170</v>
      </c>
      <c r="G174" s="9" t="s">
        <v>518</v>
      </c>
      <c r="H174" s="9" t="s">
        <v>514</v>
      </c>
      <c r="I174" s="8" t="s">
        <v>519</v>
      </c>
      <c r="J174" s="9" t="s">
        <v>73</v>
      </c>
      <c r="K174" s="8">
        <v>5</v>
      </c>
      <c r="L174" s="8">
        <f t="shared" si="11"/>
        <v>3</v>
      </c>
      <c r="M174" s="9" t="s">
        <v>161</v>
      </c>
      <c r="N174" s="8" t="str">
        <f t="shared" si="14"/>
        <v>【植物】体力提高的秘药</v>
      </c>
      <c r="O174" s="10">
        <f t="shared" si="12"/>
        <v>2</v>
      </c>
      <c r="P174" s="8">
        <f t="shared" si="13"/>
        <v>37.5</v>
      </c>
    </row>
    <row r="175" spans="5:16" ht="14.25" x14ac:dyDescent="0.2">
      <c r="E175" s="4"/>
      <c r="F175" s="4">
        <v>50171</v>
      </c>
      <c r="G175" s="9" t="s">
        <v>520</v>
      </c>
      <c r="H175" s="9" t="s">
        <v>521</v>
      </c>
      <c r="I175" s="8" t="s">
        <v>522</v>
      </c>
      <c r="J175" s="9" t="s">
        <v>73</v>
      </c>
      <c r="K175" s="8">
        <v>3</v>
      </c>
      <c r="L175" s="8">
        <f t="shared" si="11"/>
        <v>2</v>
      </c>
      <c r="M175" s="9" t="s">
        <v>161</v>
      </c>
      <c r="N175" s="8" t="str">
        <f t="shared" si="14"/>
        <v>【植物】女性战士分泌的甘蜜</v>
      </c>
      <c r="O175" s="10">
        <f t="shared" si="12"/>
        <v>2</v>
      </c>
      <c r="P175" s="8">
        <f t="shared" si="13"/>
        <v>13.5</v>
      </c>
    </row>
    <row r="176" spans="5:16" ht="14.25" x14ac:dyDescent="0.2">
      <c r="E176" s="4"/>
      <c r="F176" s="4">
        <v>50172</v>
      </c>
      <c r="G176" s="9" t="s">
        <v>523</v>
      </c>
      <c r="H176" s="9" t="s">
        <v>524</v>
      </c>
      <c r="I176" s="8" t="s">
        <v>525</v>
      </c>
      <c r="J176" s="9" t="s">
        <v>73</v>
      </c>
      <c r="K176" s="8">
        <v>3</v>
      </c>
      <c r="L176" s="8">
        <f t="shared" si="11"/>
        <v>2</v>
      </c>
      <c r="M176" s="9" t="s">
        <v>526</v>
      </c>
      <c r="N176" s="8" t="str">
        <f t="shared" si="14"/>
        <v>【宝石】水精灵泪珠凝结成的眼泪</v>
      </c>
      <c r="O176" s="10">
        <f t="shared" si="12"/>
        <v>4</v>
      </c>
      <c r="P176" s="8">
        <f t="shared" si="13"/>
        <v>13.5</v>
      </c>
    </row>
    <row r="177" spans="5:16" ht="14.25" x14ac:dyDescent="0.2">
      <c r="E177" s="4"/>
      <c r="F177" s="4">
        <v>50173</v>
      </c>
      <c r="G177" s="9" t="s">
        <v>527</v>
      </c>
      <c r="H177" s="9" t="s">
        <v>528</v>
      </c>
      <c r="I177" s="8" t="s">
        <v>529</v>
      </c>
      <c r="J177" s="9" t="s">
        <v>349</v>
      </c>
      <c r="K177" s="8">
        <v>3</v>
      </c>
      <c r="L177" s="8">
        <f t="shared" si="11"/>
        <v>2</v>
      </c>
      <c r="M177" s="9" t="s">
        <v>89</v>
      </c>
      <c r="N177" s="8" t="str">
        <f t="shared" si="14"/>
        <v>【矿物】蓝色的缌矿</v>
      </c>
      <c r="O177" s="10">
        <f t="shared" si="12"/>
        <v>1</v>
      </c>
      <c r="P177" s="8">
        <f t="shared" si="13"/>
        <v>13.5</v>
      </c>
    </row>
    <row r="178" spans="5:16" ht="14.25" x14ac:dyDescent="0.2">
      <c r="E178" s="4"/>
      <c r="F178" s="4">
        <v>50174</v>
      </c>
      <c r="G178" s="9" t="s">
        <v>530</v>
      </c>
      <c r="H178" s="9" t="s">
        <v>531</v>
      </c>
      <c r="I178" s="8" t="s">
        <v>532</v>
      </c>
      <c r="J178" s="9" t="s">
        <v>349</v>
      </c>
      <c r="K178" s="8">
        <v>3</v>
      </c>
      <c r="L178" s="8">
        <f t="shared" si="11"/>
        <v>2</v>
      </c>
      <c r="M178" s="9" t="s">
        <v>27</v>
      </c>
      <c r="N178" s="8" t="str">
        <f t="shared" si="14"/>
        <v>【矿物】沙盘缌矿</v>
      </c>
      <c r="O178" s="10">
        <f t="shared" si="12"/>
        <v>1</v>
      </c>
      <c r="P178" s="8">
        <f t="shared" si="13"/>
        <v>13.5</v>
      </c>
    </row>
    <row r="179" spans="5:16" ht="14.25" x14ac:dyDescent="0.2">
      <c r="E179" s="4"/>
      <c r="F179" s="4">
        <v>50175</v>
      </c>
      <c r="G179" s="9" t="s">
        <v>533</v>
      </c>
      <c r="H179" s="9" t="s">
        <v>534</v>
      </c>
      <c r="I179" s="8" t="s">
        <v>535</v>
      </c>
      <c r="J179" s="9" t="s">
        <v>349</v>
      </c>
      <c r="K179" s="8">
        <v>3</v>
      </c>
      <c r="L179" s="8">
        <f t="shared" si="11"/>
        <v>2</v>
      </c>
      <c r="M179" s="9" t="s">
        <v>27</v>
      </c>
      <c r="N179" s="8" t="str">
        <f t="shared" si="14"/>
        <v>【矿物】火之缌矿</v>
      </c>
      <c r="O179" s="10">
        <f t="shared" si="12"/>
        <v>1</v>
      </c>
      <c r="P179" s="8">
        <f t="shared" si="13"/>
        <v>13.5</v>
      </c>
    </row>
    <row r="180" spans="5:16" ht="14.25" x14ac:dyDescent="0.2">
      <c r="E180" s="4"/>
      <c r="F180" s="4">
        <v>50176</v>
      </c>
      <c r="G180" s="9" t="s">
        <v>536</v>
      </c>
      <c r="H180" s="9" t="s">
        <v>537</v>
      </c>
      <c r="I180" s="8" t="s">
        <v>538</v>
      </c>
      <c r="J180" s="9" t="s">
        <v>73</v>
      </c>
      <c r="K180" s="8">
        <v>3</v>
      </c>
      <c r="L180" s="8">
        <f t="shared" si="11"/>
        <v>2</v>
      </c>
      <c r="M180" s="9" t="s">
        <v>27</v>
      </c>
      <c r="N180" s="8" t="str">
        <f t="shared" si="14"/>
        <v>【矿物】风之缌矿</v>
      </c>
      <c r="O180" s="10">
        <f t="shared" si="12"/>
        <v>1</v>
      </c>
      <c r="P180" s="8">
        <f t="shared" si="13"/>
        <v>13.5</v>
      </c>
    </row>
    <row r="181" spans="5:16" ht="14.25" x14ac:dyDescent="0.2">
      <c r="E181" s="4"/>
      <c r="F181" s="4">
        <v>50177</v>
      </c>
      <c r="G181" s="9" t="s">
        <v>539</v>
      </c>
      <c r="H181" s="9" t="s">
        <v>540</v>
      </c>
      <c r="I181" s="8" t="s">
        <v>541</v>
      </c>
      <c r="J181" s="9" t="s">
        <v>73</v>
      </c>
      <c r="K181" s="8">
        <v>5</v>
      </c>
      <c r="L181" s="8">
        <f t="shared" si="11"/>
        <v>3</v>
      </c>
      <c r="M181" s="9" t="s">
        <v>526</v>
      </c>
      <c r="N181" s="8" t="str">
        <f t="shared" si="14"/>
        <v>【宝石】发出赤色火焰的水晶</v>
      </c>
      <c r="O181" s="10">
        <f t="shared" si="12"/>
        <v>4</v>
      </c>
      <c r="P181" s="8">
        <f t="shared" si="13"/>
        <v>37.5</v>
      </c>
    </row>
    <row r="182" spans="5:16" ht="14.25" x14ac:dyDescent="0.2">
      <c r="E182" s="4"/>
      <c r="F182" s="4">
        <v>50178</v>
      </c>
      <c r="G182" s="9" t="s">
        <v>542</v>
      </c>
      <c r="H182" s="9" t="s">
        <v>543</v>
      </c>
      <c r="I182" s="8" t="s">
        <v>544</v>
      </c>
      <c r="J182" s="9" t="s">
        <v>349</v>
      </c>
      <c r="K182" s="8">
        <v>5</v>
      </c>
      <c r="L182" s="8">
        <f t="shared" si="11"/>
        <v>3</v>
      </c>
      <c r="M182" s="9" t="s">
        <v>487</v>
      </c>
      <c r="N182" s="8" t="str">
        <f t="shared" si="14"/>
        <v>【宝石】闪耀青色光芒的水晶</v>
      </c>
      <c r="O182" s="10">
        <f t="shared" si="12"/>
        <v>4</v>
      </c>
      <c r="P182" s="8">
        <f t="shared" si="13"/>
        <v>37.5</v>
      </c>
    </row>
    <row r="183" spans="5:16" ht="14.25" x14ac:dyDescent="0.2">
      <c r="E183" s="4"/>
      <c r="F183" s="4">
        <v>50179</v>
      </c>
      <c r="G183" s="9" t="s">
        <v>545</v>
      </c>
      <c r="H183" s="9" t="s">
        <v>546</v>
      </c>
      <c r="I183" s="8" t="s">
        <v>547</v>
      </c>
      <c r="J183" s="9" t="s">
        <v>349</v>
      </c>
      <c r="K183" s="8">
        <v>5</v>
      </c>
      <c r="L183" s="8">
        <f t="shared" si="11"/>
        <v>3</v>
      </c>
      <c r="M183" s="9" t="s">
        <v>487</v>
      </c>
      <c r="N183" s="8" t="str">
        <f t="shared" si="14"/>
        <v>【宝石】闪耀黄色光芒的水晶</v>
      </c>
      <c r="O183" s="10">
        <f t="shared" si="12"/>
        <v>4</v>
      </c>
      <c r="P183" s="8">
        <f t="shared" si="13"/>
        <v>37.5</v>
      </c>
    </row>
    <row r="184" spans="5:16" ht="14.25" x14ac:dyDescent="0.2">
      <c r="E184" s="4"/>
      <c r="F184" s="4">
        <v>50180</v>
      </c>
      <c r="G184" s="9" t="s">
        <v>548</v>
      </c>
      <c r="H184" s="9" t="s">
        <v>549</v>
      </c>
      <c r="I184" s="8" t="s">
        <v>550</v>
      </c>
      <c r="J184" s="9" t="s">
        <v>73</v>
      </c>
      <c r="K184" s="8">
        <v>5</v>
      </c>
      <c r="L184" s="8">
        <f t="shared" si="11"/>
        <v>3</v>
      </c>
      <c r="M184" s="9" t="s">
        <v>487</v>
      </c>
      <c r="N184" s="8" t="str">
        <f t="shared" si="14"/>
        <v>【宝石】闪耀紫色光芒的水晶</v>
      </c>
      <c r="O184" s="10">
        <f t="shared" si="12"/>
        <v>4</v>
      </c>
      <c r="P184" s="8">
        <f t="shared" si="13"/>
        <v>37.5</v>
      </c>
    </row>
    <row r="185" spans="5:16" ht="14.25" x14ac:dyDescent="0.2">
      <c r="E185" s="4"/>
      <c r="F185" s="4">
        <v>50181</v>
      </c>
      <c r="G185" s="9" t="s">
        <v>551</v>
      </c>
      <c r="H185" s="9" t="s">
        <v>552</v>
      </c>
      <c r="I185" s="8" t="s">
        <v>553</v>
      </c>
      <c r="J185" s="9" t="s">
        <v>73</v>
      </c>
      <c r="K185" s="8">
        <v>7</v>
      </c>
      <c r="L185" s="8">
        <f t="shared" si="11"/>
        <v>4</v>
      </c>
      <c r="M185" s="9" t="s">
        <v>526</v>
      </c>
      <c r="N185" s="8" t="str">
        <f t="shared" si="14"/>
        <v>【宝石】精灵女王身上取得的神奇魔力的珠子</v>
      </c>
      <c r="O185" s="10">
        <f t="shared" si="12"/>
        <v>4</v>
      </c>
      <c r="P185" s="8">
        <f t="shared" si="13"/>
        <v>73.5</v>
      </c>
    </row>
    <row r="186" spans="5:16" ht="14.25" x14ac:dyDescent="0.2">
      <c r="E186" s="4"/>
      <c r="F186" s="4">
        <v>50182</v>
      </c>
      <c r="G186" s="9" t="s">
        <v>554</v>
      </c>
      <c r="H186" s="9" t="s">
        <v>555</v>
      </c>
      <c r="I186" s="8" t="s">
        <v>556</v>
      </c>
      <c r="J186" s="9" t="s">
        <v>349</v>
      </c>
      <c r="K186" s="8">
        <v>7</v>
      </c>
      <c r="L186" s="8">
        <f t="shared" si="11"/>
        <v>4</v>
      </c>
      <c r="M186" s="9" t="s">
        <v>557</v>
      </c>
      <c r="N186" s="8" t="str">
        <f t="shared" si="14"/>
        <v>【宝石】天使的身上取得的神奇魔力的珠子</v>
      </c>
      <c r="O186" s="10">
        <f t="shared" si="12"/>
        <v>4</v>
      </c>
      <c r="P186" s="8">
        <f t="shared" si="13"/>
        <v>73.5</v>
      </c>
    </row>
    <row r="187" spans="5:16" ht="14.25" x14ac:dyDescent="0.2">
      <c r="E187" s="4"/>
      <c r="F187" s="4">
        <v>50183</v>
      </c>
      <c r="G187" s="9" t="s">
        <v>558</v>
      </c>
      <c r="H187" s="9" t="s">
        <v>559</v>
      </c>
      <c r="I187" s="8" t="s">
        <v>560</v>
      </c>
      <c r="J187" s="9" t="s">
        <v>349</v>
      </c>
      <c r="K187" s="8">
        <v>7</v>
      </c>
      <c r="L187" s="8">
        <f t="shared" si="11"/>
        <v>4</v>
      </c>
      <c r="M187" s="9" t="s">
        <v>487</v>
      </c>
      <c r="N187" s="8" t="str">
        <f t="shared" si="14"/>
        <v>【宝石】歪魔神圣取得的神奇魔力的珠子</v>
      </c>
      <c r="O187" s="10">
        <f t="shared" si="12"/>
        <v>4</v>
      </c>
      <c r="P187" s="8">
        <f t="shared" si="13"/>
        <v>73.5</v>
      </c>
    </row>
    <row r="188" spans="5:16" ht="14.25" x14ac:dyDescent="0.2">
      <c r="E188" s="4"/>
      <c r="F188" s="4">
        <v>50184</v>
      </c>
      <c r="G188" s="9" t="s">
        <v>561</v>
      </c>
      <c r="H188" s="9" t="s">
        <v>562</v>
      </c>
      <c r="I188" s="8" t="s">
        <v>563</v>
      </c>
      <c r="J188" s="9" t="s">
        <v>73</v>
      </c>
      <c r="K188" s="8">
        <v>7</v>
      </c>
      <c r="L188" s="8">
        <f t="shared" si="11"/>
        <v>4</v>
      </c>
      <c r="M188" s="9" t="s">
        <v>526</v>
      </c>
      <c r="N188" s="8" t="str">
        <f t="shared" si="14"/>
        <v>【宝石】魔神身上取得的神奇魔力的珠子</v>
      </c>
      <c r="O188" s="10">
        <f t="shared" si="12"/>
        <v>4</v>
      </c>
      <c r="P188" s="8">
        <f t="shared" si="13"/>
        <v>73.5</v>
      </c>
    </row>
    <row r="189" spans="5:16" ht="14.25" x14ac:dyDescent="0.2">
      <c r="E189" s="4"/>
      <c r="F189" s="4">
        <v>50185</v>
      </c>
      <c r="G189" s="9" t="s">
        <v>564</v>
      </c>
      <c r="H189" s="9" t="s">
        <v>565</v>
      </c>
      <c r="I189" s="8" t="s">
        <v>566</v>
      </c>
      <c r="J189" s="9" t="s">
        <v>73</v>
      </c>
      <c r="K189" s="8">
        <v>7</v>
      </c>
      <c r="L189" s="8">
        <f t="shared" si="11"/>
        <v>4</v>
      </c>
      <c r="M189" s="9" t="s">
        <v>487</v>
      </c>
      <c r="N189" s="8" t="str">
        <f t="shared" si="14"/>
        <v>【宝石】龙的魂魄凝聚而成的神珠</v>
      </c>
      <c r="O189" s="10">
        <f t="shared" si="12"/>
        <v>4</v>
      </c>
      <c r="P189" s="8">
        <f t="shared" si="13"/>
        <v>73.5</v>
      </c>
    </row>
    <row r="190" spans="5:16" ht="14.25" x14ac:dyDescent="0.2">
      <c r="E190" s="4"/>
      <c r="F190" s="4">
        <v>50186</v>
      </c>
      <c r="G190" s="9" t="s">
        <v>567</v>
      </c>
      <c r="H190" s="9" t="s">
        <v>568</v>
      </c>
      <c r="I190" s="8" t="s">
        <v>569</v>
      </c>
      <c r="J190" s="9" t="s">
        <v>73</v>
      </c>
      <c r="K190" s="8">
        <v>8</v>
      </c>
      <c r="L190" s="8">
        <f t="shared" si="11"/>
        <v>4</v>
      </c>
      <c r="M190" s="9" t="s">
        <v>487</v>
      </c>
      <c r="N190" s="8" t="str">
        <f t="shared" si="14"/>
        <v>【宝石】西方光之神殿的封印法印</v>
      </c>
      <c r="O190" s="10">
        <f t="shared" si="12"/>
        <v>4</v>
      </c>
      <c r="P190" s="8">
        <f t="shared" si="13"/>
        <v>96</v>
      </c>
    </row>
    <row r="191" spans="5:16" ht="14.25" x14ac:dyDescent="0.2">
      <c r="E191" s="4"/>
      <c r="F191" s="4">
        <v>50187</v>
      </c>
      <c r="G191" s="9" t="s">
        <v>570</v>
      </c>
      <c r="H191" s="9" t="s">
        <v>571</v>
      </c>
      <c r="I191" s="8" t="s">
        <v>572</v>
      </c>
      <c r="J191" s="9" t="s">
        <v>349</v>
      </c>
      <c r="K191" s="8">
        <v>2</v>
      </c>
      <c r="L191" s="8">
        <f t="shared" si="11"/>
        <v>2</v>
      </c>
      <c r="M191" s="9" t="s">
        <v>487</v>
      </c>
      <c r="N191" s="8" t="str">
        <f t="shared" si="14"/>
        <v>【宝石】质地纯白的宝石研磨成的粉末</v>
      </c>
      <c r="O191" s="10">
        <f t="shared" si="12"/>
        <v>4</v>
      </c>
      <c r="P191" s="8">
        <f t="shared" si="13"/>
        <v>6</v>
      </c>
    </row>
    <row r="192" spans="5:16" ht="14.25" x14ac:dyDescent="0.2">
      <c r="E192" s="4"/>
      <c r="F192" s="4">
        <v>50188</v>
      </c>
      <c r="G192" s="9" t="s">
        <v>573</v>
      </c>
      <c r="H192" s="9" t="s">
        <v>574</v>
      </c>
      <c r="I192" s="8" t="s">
        <v>575</v>
      </c>
      <c r="J192" s="9" t="s">
        <v>73</v>
      </c>
      <c r="K192" s="8">
        <v>5</v>
      </c>
      <c r="L192" s="8">
        <f t="shared" si="11"/>
        <v>3</v>
      </c>
      <c r="M192" s="9" t="s">
        <v>161</v>
      </c>
      <c r="N192" s="8" t="str">
        <f t="shared" si="14"/>
        <v>【植物】超级没有营养的方便面</v>
      </c>
      <c r="O192" s="10">
        <f t="shared" si="12"/>
        <v>2</v>
      </c>
      <c r="P192" s="8">
        <f t="shared" si="13"/>
        <v>37.5</v>
      </c>
    </row>
    <row r="193" spans="5:16" ht="14.25" x14ac:dyDescent="0.2">
      <c r="E193" s="4"/>
      <c r="F193" s="4">
        <v>50189</v>
      </c>
      <c r="G193" s="9" t="s">
        <v>576</v>
      </c>
      <c r="H193" s="9" t="s">
        <v>577</v>
      </c>
      <c r="I193" s="8" t="s">
        <v>578</v>
      </c>
      <c r="J193" s="9" t="s">
        <v>73</v>
      </c>
      <c r="K193" s="8">
        <v>1</v>
      </c>
      <c r="L193" s="8">
        <f t="shared" si="11"/>
        <v>1</v>
      </c>
      <c r="M193" s="9" t="s">
        <v>157</v>
      </c>
      <c r="N193" s="8" t="str">
        <f t="shared" si="14"/>
        <v>【植物】草药晒干捆绑而成</v>
      </c>
      <c r="O193" s="10">
        <f t="shared" si="12"/>
        <v>2</v>
      </c>
      <c r="P193" s="8">
        <f t="shared" si="13"/>
        <v>1.5</v>
      </c>
    </row>
    <row r="194" spans="5:16" ht="14.25" x14ac:dyDescent="0.2">
      <c r="E194" s="4"/>
      <c r="F194" s="4">
        <v>50190</v>
      </c>
      <c r="G194" s="9" t="s">
        <v>579</v>
      </c>
      <c r="H194" s="9" t="s">
        <v>580</v>
      </c>
      <c r="I194" s="8" t="s">
        <v>581</v>
      </c>
      <c r="J194" s="9" t="s">
        <v>73</v>
      </c>
      <c r="K194" s="8">
        <v>8</v>
      </c>
      <c r="L194" s="8">
        <f t="shared" si="11"/>
        <v>4</v>
      </c>
      <c r="M194" s="9" t="s">
        <v>161</v>
      </c>
      <c r="N194" s="8" t="str">
        <f t="shared" si="14"/>
        <v>【植物】棒子？？？</v>
      </c>
      <c r="O194" s="10">
        <f t="shared" si="12"/>
        <v>2</v>
      </c>
      <c r="P194" s="8">
        <f t="shared" si="13"/>
        <v>96</v>
      </c>
    </row>
    <row r="195" spans="5:16" ht="14.25" x14ac:dyDescent="0.2">
      <c r="F195" s="4">
        <v>50200</v>
      </c>
      <c r="G195" s="11" t="s">
        <v>582</v>
      </c>
      <c r="H195" s="11" t="s">
        <v>584</v>
      </c>
      <c r="I195" s="12" t="s">
        <v>583</v>
      </c>
      <c r="J195" s="11" t="s">
        <v>73</v>
      </c>
      <c r="K195" s="12">
        <v>10</v>
      </c>
      <c r="L195" s="12">
        <v>4</v>
      </c>
      <c r="M195" s="11" t="s">
        <v>487</v>
      </c>
      <c r="N195" s="12" t="str">
        <f t="shared" si="14"/>
        <v>【宝石】炼金师必备的高级炼金材料，可合成传奇装备。</v>
      </c>
      <c r="O195" s="13">
        <f t="shared" si="12"/>
        <v>4</v>
      </c>
      <c r="P195" s="8">
        <f t="shared" si="13"/>
        <v>150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Sheet1</vt:lpstr>
      <vt:lpstr>Sheet2</vt:lpstr>
      <vt:lpstr>per</vt:lpstr>
      <vt:lpstr>test1</vt:lpstr>
      <vt:lpstr>test2</vt:lpstr>
      <vt:lpstr>test3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2014-07-04T06:29:27Z</dcterms:modified>
</cp:coreProperties>
</file>