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monsterBase" sheetId="1" r:id="rId1"/>
    <sheet name="monsterNature" sheetId="2" r:id="rId2"/>
    <sheet name="monsterDetail" sheetId="3" r:id="rId3"/>
  </sheets>
  <functionGroups builtInGroupCount="18"/>
  <externalReferences>
    <externalReference r:id="rId4"/>
  </externalReferences>
  <definedNames>
    <definedName name="monsterBaseDate">monsterNature!$C$2:$AP$101</definedName>
    <definedName name="monsterHpRevise">monsterBase!$B$17:$N$116</definedName>
    <definedName name="monsterLevelHpRevise">monsterBase!$B$17:$N$116</definedName>
    <definedName name="monsterType">monsterBase!$B$3:$AG$14</definedName>
  </definedNames>
  <calcPr calcId="152511" calcMode="manual"/>
</workbook>
</file>

<file path=xl/calcChain.xml><?xml version="1.0" encoding="utf-8"?>
<calcChain xmlns="http://schemas.openxmlformats.org/spreadsheetml/2006/main">
  <c r="M5" i="2" l="1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4" i="2"/>
  <c r="M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3" i="2"/>
  <c r="G5" i="2"/>
  <c r="G9" i="2"/>
  <c r="G13" i="2"/>
  <c r="G17" i="2"/>
  <c r="G21" i="2"/>
  <c r="G25" i="2"/>
  <c r="G29" i="2"/>
  <c r="G33" i="2"/>
  <c r="G37" i="2"/>
  <c r="G41" i="2"/>
  <c r="G45" i="2"/>
  <c r="G49" i="2"/>
  <c r="G53" i="2"/>
  <c r="G57" i="2"/>
  <c r="G61" i="2"/>
  <c r="G65" i="2"/>
  <c r="G69" i="2"/>
  <c r="G73" i="2"/>
  <c r="G77" i="2"/>
  <c r="G81" i="2"/>
  <c r="G85" i="2"/>
  <c r="G89" i="2"/>
  <c r="G93" i="2"/>
  <c r="G97" i="2"/>
  <c r="G101" i="2"/>
  <c r="F6" i="2"/>
  <c r="F10" i="2"/>
  <c r="F14" i="2"/>
  <c r="F18" i="2"/>
  <c r="F22" i="2"/>
  <c r="F26" i="2"/>
  <c r="F30" i="2"/>
  <c r="F34" i="2"/>
  <c r="F38" i="2"/>
  <c r="F42" i="2"/>
  <c r="F46" i="2"/>
  <c r="F50" i="2"/>
  <c r="F54" i="2"/>
  <c r="F58" i="2"/>
  <c r="F62" i="2"/>
  <c r="F66" i="2"/>
  <c r="F70" i="2"/>
  <c r="F74" i="2"/>
  <c r="F78" i="2"/>
  <c r="F82" i="2"/>
  <c r="F86" i="2"/>
  <c r="F90" i="2"/>
  <c r="F94" i="2"/>
  <c r="F98" i="2"/>
  <c r="F3" i="2"/>
  <c r="E7" i="2"/>
  <c r="E11" i="2"/>
  <c r="E15" i="2"/>
  <c r="E19" i="2"/>
  <c r="E23" i="2"/>
  <c r="E27" i="2"/>
  <c r="E31" i="2"/>
  <c r="E35" i="2"/>
  <c r="E39" i="2"/>
  <c r="E43" i="2"/>
  <c r="E47" i="2"/>
  <c r="E51" i="2"/>
  <c r="E55" i="2"/>
  <c r="E59" i="2"/>
  <c r="E63" i="2"/>
  <c r="E67" i="2"/>
  <c r="E71" i="2"/>
  <c r="E75" i="2"/>
  <c r="E79" i="2"/>
  <c r="E83" i="2"/>
  <c r="E87" i="2"/>
  <c r="E91" i="2"/>
  <c r="E95" i="2"/>
  <c r="E99" i="2"/>
  <c r="G6" i="2"/>
  <c r="G10" i="2"/>
  <c r="G14" i="2"/>
  <c r="G18" i="2"/>
  <c r="G22" i="2"/>
  <c r="G26" i="2"/>
  <c r="G30" i="2"/>
  <c r="G34" i="2"/>
  <c r="G38" i="2"/>
  <c r="G42" i="2"/>
  <c r="G46" i="2"/>
  <c r="G50" i="2"/>
  <c r="G54" i="2"/>
  <c r="G58" i="2"/>
  <c r="G62" i="2"/>
  <c r="G66" i="2"/>
  <c r="G70" i="2"/>
  <c r="G74" i="2"/>
  <c r="G78" i="2"/>
  <c r="G82" i="2"/>
  <c r="G86" i="2"/>
  <c r="G90" i="2"/>
  <c r="G94" i="2"/>
  <c r="G98" i="2"/>
  <c r="G3" i="2"/>
  <c r="F7" i="2"/>
  <c r="F11" i="2"/>
  <c r="F15" i="2"/>
  <c r="F19" i="2"/>
  <c r="F23" i="2"/>
  <c r="F27" i="2"/>
  <c r="F31" i="2"/>
  <c r="F35" i="2"/>
  <c r="F39" i="2"/>
  <c r="F43" i="2"/>
  <c r="F47" i="2"/>
  <c r="F51" i="2"/>
  <c r="F55" i="2"/>
  <c r="F59" i="2"/>
  <c r="F63" i="2"/>
  <c r="F67" i="2"/>
  <c r="F71" i="2"/>
  <c r="F75" i="2"/>
  <c r="F79" i="2"/>
  <c r="F83" i="2"/>
  <c r="F87" i="2"/>
  <c r="F91" i="2"/>
  <c r="F95" i="2"/>
  <c r="F99" i="2"/>
  <c r="E4" i="2"/>
  <c r="E8" i="2"/>
  <c r="E1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88" i="2"/>
  <c r="E92" i="2"/>
  <c r="E96" i="2"/>
  <c r="E100" i="2"/>
  <c r="E97" i="2"/>
  <c r="G7" i="2"/>
  <c r="G11" i="2"/>
  <c r="G15" i="2"/>
  <c r="G19" i="2"/>
  <c r="G23" i="2"/>
  <c r="G27" i="2"/>
  <c r="G31" i="2"/>
  <c r="G35" i="2"/>
  <c r="G39" i="2"/>
  <c r="G43" i="2"/>
  <c r="G47" i="2"/>
  <c r="G51" i="2"/>
  <c r="G55" i="2"/>
  <c r="G59" i="2"/>
  <c r="G63" i="2"/>
  <c r="G67" i="2"/>
  <c r="G71" i="2"/>
  <c r="G75" i="2"/>
  <c r="G79" i="2"/>
  <c r="G83" i="2"/>
  <c r="G87" i="2"/>
  <c r="G91" i="2"/>
  <c r="G95" i="2"/>
  <c r="G99" i="2"/>
  <c r="F4" i="2"/>
  <c r="F8" i="2"/>
  <c r="F12" i="2"/>
  <c r="F16" i="2"/>
  <c r="F20" i="2"/>
  <c r="F24" i="2"/>
  <c r="F28" i="2"/>
  <c r="F32" i="2"/>
  <c r="F36" i="2"/>
  <c r="F40" i="2"/>
  <c r="F44" i="2"/>
  <c r="F48" i="2"/>
  <c r="F52" i="2"/>
  <c r="F56" i="2"/>
  <c r="F60" i="2"/>
  <c r="F64" i="2"/>
  <c r="F68" i="2"/>
  <c r="F72" i="2"/>
  <c r="F76" i="2"/>
  <c r="F80" i="2"/>
  <c r="F84" i="2"/>
  <c r="F88" i="2"/>
  <c r="F92" i="2"/>
  <c r="F96" i="2"/>
  <c r="F100" i="2"/>
  <c r="E5" i="2"/>
  <c r="E9" i="2"/>
  <c r="E13" i="2"/>
  <c r="E17" i="2"/>
  <c r="E21" i="2"/>
  <c r="E25" i="2"/>
  <c r="E29" i="2"/>
  <c r="E33" i="2"/>
  <c r="E37" i="2"/>
  <c r="E41" i="2"/>
  <c r="E45" i="2"/>
  <c r="E49" i="2"/>
  <c r="E53" i="2"/>
  <c r="E57" i="2"/>
  <c r="E61" i="2"/>
  <c r="E65" i="2"/>
  <c r="E69" i="2"/>
  <c r="E73" i="2"/>
  <c r="E77" i="2"/>
  <c r="E81" i="2"/>
  <c r="E85" i="2"/>
  <c r="E89" i="2"/>
  <c r="E93" i="2"/>
  <c r="E101" i="2"/>
  <c r="G8" i="2"/>
  <c r="G24" i="2"/>
  <c r="G40" i="2"/>
  <c r="G56" i="2"/>
  <c r="G72" i="2"/>
  <c r="G88" i="2"/>
  <c r="F5" i="2"/>
  <c r="F21" i="2"/>
  <c r="F37" i="2"/>
  <c r="F53" i="2"/>
  <c r="F69" i="2"/>
  <c r="F85" i="2"/>
  <c r="F101" i="2"/>
  <c r="E18" i="2"/>
  <c r="E34" i="2"/>
  <c r="E50" i="2"/>
  <c r="E66" i="2"/>
  <c r="E82" i="2"/>
  <c r="E98" i="2"/>
  <c r="G28" i="2"/>
  <c r="G44" i="2"/>
  <c r="G60" i="2"/>
  <c r="G92" i="2"/>
  <c r="F9" i="2"/>
  <c r="F41" i="2"/>
  <c r="F73" i="2"/>
  <c r="E6" i="2"/>
  <c r="E54" i="2"/>
  <c r="E86" i="2"/>
  <c r="G12" i="2"/>
  <c r="G76" i="2"/>
  <c r="F25" i="2"/>
  <c r="F57" i="2"/>
  <c r="F89" i="2"/>
  <c r="E38" i="2"/>
  <c r="E3" i="2"/>
  <c r="G16" i="2"/>
  <c r="G32" i="2"/>
  <c r="G48" i="2"/>
  <c r="G64" i="2"/>
  <c r="G80" i="2"/>
  <c r="G96" i="2"/>
  <c r="F13" i="2"/>
  <c r="F29" i="2"/>
  <c r="F45" i="2"/>
  <c r="F61" i="2"/>
  <c r="F77" i="2"/>
  <c r="F93" i="2"/>
  <c r="E10" i="2"/>
  <c r="E26" i="2"/>
  <c r="E42" i="2"/>
  <c r="E58" i="2"/>
  <c r="E74" i="2"/>
  <c r="E90" i="2"/>
  <c r="G4" i="2"/>
  <c r="G20" i="2"/>
  <c r="G36" i="2"/>
  <c r="G52" i="2"/>
  <c r="G68" i="2"/>
  <c r="G84" i="2"/>
  <c r="G100" i="2"/>
  <c r="F17" i="2"/>
  <c r="F33" i="2"/>
  <c r="F49" i="2"/>
  <c r="F65" i="2"/>
  <c r="F81" i="2"/>
  <c r="F97" i="2"/>
  <c r="E14" i="2"/>
  <c r="E30" i="2"/>
  <c r="E46" i="2"/>
  <c r="E62" i="2"/>
  <c r="E78" i="2"/>
  <c r="E94" i="2"/>
  <c r="E22" i="2"/>
  <c r="E70" i="2"/>
  <c r="O3" i="2" l="1"/>
  <c r="I3" i="2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H4" i="2"/>
  <c r="H5" i="2" l="1"/>
  <c r="O4" i="2"/>
  <c r="T10" i="1"/>
  <c r="U10" i="1"/>
  <c r="V10" i="1"/>
  <c r="W10" i="1"/>
  <c r="X10" i="1"/>
  <c r="Y10" i="1"/>
  <c r="Z10" i="1"/>
  <c r="T11" i="1"/>
  <c r="U11" i="1"/>
  <c r="V11" i="1"/>
  <c r="W11" i="1"/>
  <c r="X11" i="1"/>
  <c r="Y11" i="1"/>
  <c r="Z11" i="1"/>
  <c r="T12" i="1"/>
  <c r="U12" i="1"/>
  <c r="V12" i="1"/>
  <c r="W12" i="1"/>
  <c r="X12" i="1"/>
  <c r="Y12" i="1"/>
  <c r="Z12" i="1"/>
  <c r="T13" i="1"/>
  <c r="U13" i="1"/>
  <c r="V13" i="1"/>
  <c r="W13" i="1"/>
  <c r="X13" i="1"/>
  <c r="Y13" i="1"/>
  <c r="Z13" i="1"/>
  <c r="T14" i="1"/>
  <c r="U14" i="1"/>
  <c r="V14" i="1"/>
  <c r="W14" i="1"/>
  <c r="X14" i="1"/>
  <c r="Y14" i="1"/>
  <c r="Z14" i="1"/>
  <c r="U9" i="1"/>
  <c r="V9" i="1"/>
  <c r="W9" i="1"/>
  <c r="X9" i="1"/>
  <c r="Y9" i="1"/>
  <c r="Z9" i="1"/>
  <c r="T9" i="1"/>
  <c r="H6" i="2" l="1"/>
  <c r="O5" i="2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993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H7" i="2" l="1"/>
  <c r="O6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3" i="2"/>
  <c r="H8" i="2" l="1"/>
  <c r="O7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3" i="3"/>
  <c r="E103" i="3"/>
  <c r="F103" i="3" s="1"/>
  <c r="E104" i="3"/>
  <c r="F104" i="3" s="1"/>
  <c r="E105" i="3"/>
  <c r="F105" i="3" s="1"/>
  <c r="E106" i="3"/>
  <c r="E107" i="3"/>
  <c r="F107" i="3" s="1"/>
  <c r="E108" i="3"/>
  <c r="F108" i="3" s="1"/>
  <c r="E109" i="3"/>
  <c r="F109" i="3" s="1"/>
  <c r="E110" i="3"/>
  <c r="E111" i="3"/>
  <c r="F111" i="3" s="1"/>
  <c r="E112" i="3"/>
  <c r="F112" i="3" s="1"/>
  <c r="E113" i="3"/>
  <c r="F113" i="3" s="1"/>
  <c r="E114" i="3"/>
  <c r="E115" i="3"/>
  <c r="F115" i="3" s="1"/>
  <c r="E116" i="3"/>
  <c r="F116" i="3" s="1"/>
  <c r="E117" i="3"/>
  <c r="F117" i="3" s="1"/>
  <c r="E118" i="3"/>
  <c r="E119" i="3"/>
  <c r="F119" i="3" s="1"/>
  <c r="E120" i="3"/>
  <c r="F120" i="3" s="1"/>
  <c r="E121" i="3"/>
  <c r="F121" i="3" s="1"/>
  <c r="E122" i="3"/>
  <c r="E123" i="3"/>
  <c r="F123" i="3" s="1"/>
  <c r="E124" i="3"/>
  <c r="F124" i="3" s="1"/>
  <c r="E125" i="3"/>
  <c r="F125" i="3" s="1"/>
  <c r="E126" i="3"/>
  <c r="E127" i="3"/>
  <c r="F127" i="3" s="1"/>
  <c r="E128" i="3"/>
  <c r="F128" i="3" s="1"/>
  <c r="E129" i="3"/>
  <c r="F129" i="3" s="1"/>
  <c r="E130" i="3"/>
  <c r="E131" i="3"/>
  <c r="F131" i="3" s="1"/>
  <c r="E132" i="3"/>
  <c r="F132" i="3" s="1"/>
  <c r="E133" i="3"/>
  <c r="F133" i="3" s="1"/>
  <c r="E134" i="3"/>
  <c r="E135" i="3"/>
  <c r="F135" i="3" s="1"/>
  <c r="E136" i="3"/>
  <c r="F136" i="3" s="1"/>
  <c r="E137" i="3"/>
  <c r="F137" i="3" s="1"/>
  <c r="E138" i="3"/>
  <c r="E139" i="3"/>
  <c r="F139" i="3" s="1"/>
  <c r="E140" i="3"/>
  <c r="F140" i="3" s="1"/>
  <c r="E141" i="3"/>
  <c r="F141" i="3" s="1"/>
  <c r="E142" i="3"/>
  <c r="E143" i="3"/>
  <c r="F143" i="3" s="1"/>
  <c r="E144" i="3"/>
  <c r="F144" i="3" s="1"/>
  <c r="E145" i="3"/>
  <c r="F145" i="3" s="1"/>
  <c r="E146" i="3"/>
  <c r="E147" i="3"/>
  <c r="F147" i="3" s="1"/>
  <c r="E148" i="3"/>
  <c r="F148" i="3" s="1"/>
  <c r="E149" i="3"/>
  <c r="F149" i="3" s="1"/>
  <c r="E150" i="3"/>
  <c r="E151" i="3"/>
  <c r="F151" i="3" s="1"/>
  <c r="E152" i="3"/>
  <c r="F152" i="3" s="1"/>
  <c r="E153" i="3"/>
  <c r="F153" i="3" s="1"/>
  <c r="E154" i="3"/>
  <c r="E155" i="3"/>
  <c r="F155" i="3" s="1"/>
  <c r="E156" i="3"/>
  <c r="F156" i="3" s="1"/>
  <c r="E157" i="3"/>
  <c r="F157" i="3" s="1"/>
  <c r="E158" i="3"/>
  <c r="E159" i="3"/>
  <c r="F159" i="3" s="1"/>
  <c r="E160" i="3"/>
  <c r="F160" i="3" s="1"/>
  <c r="E161" i="3"/>
  <c r="E162" i="3"/>
  <c r="E163" i="3"/>
  <c r="F163" i="3" s="1"/>
  <c r="E164" i="3"/>
  <c r="F164" i="3" s="1"/>
  <c r="E165" i="3"/>
  <c r="F165" i="3" s="1"/>
  <c r="E166" i="3"/>
  <c r="E167" i="3"/>
  <c r="E168" i="3"/>
  <c r="F168" i="3" s="1"/>
  <c r="E169" i="3"/>
  <c r="F169" i="3" s="1"/>
  <c r="E170" i="3"/>
  <c r="E171" i="3"/>
  <c r="E172" i="3"/>
  <c r="F172" i="3" s="1"/>
  <c r="E173" i="3"/>
  <c r="E174" i="3"/>
  <c r="E175" i="3"/>
  <c r="E176" i="3"/>
  <c r="E177" i="3"/>
  <c r="F177" i="3" s="1"/>
  <c r="E178" i="3"/>
  <c r="E179" i="3"/>
  <c r="E180" i="3"/>
  <c r="F180" i="3" s="1"/>
  <c r="E181" i="3"/>
  <c r="F181" i="3" s="1"/>
  <c r="E182" i="3"/>
  <c r="E183" i="3"/>
  <c r="E184" i="3"/>
  <c r="F184" i="3" s="1"/>
  <c r="E185" i="3"/>
  <c r="F185" i="3" s="1"/>
  <c r="E186" i="3"/>
  <c r="E187" i="3"/>
  <c r="E188" i="3"/>
  <c r="F188" i="3" s="1"/>
  <c r="E189" i="3"/>
  <c r="E190" i="3"/>
  <c r="E191" i="3"/>
  <c r="E192" i="3"/>
  <c r="E193" i="3"/>
  <c r="F193" i="3" s="1"/>
  <c r="E194" i="3"/>
  <c r="E195" i="3"/>
  <c r="E196" i="3"/>
  <c r="F196" i="3" s="1"/>
  <c r="E197" i="3"/>
  <c r="F197" i="3" s="1"/>
  <c r="E198" i="3"/>
  <c r="E199" i="3"/>
  <c r="E200" i="3"/>
  <c r="E202" i="3"/>
  <c r="E203" i="3"/>
  <c r="E204" i="3"/>
  <c r="F204" i="3" s="1"/>
  <c r="E206" i="3"/>
  <c r="E207" i="3"/>
  <c r="E208" i="3"/>
  <c r="E210" i="3"/>
  <c r="E211" i="3"/>
  <c r="F211" i="3" s="1"/>
  <c r="E212" i="3"/>
  <c r="E214" i="3"/>
  <c r="E215" i="3"/>
  <c r="E216" i="3"/>
  <c r="F216" i="3" s="1"/>
  <c r="E218" i="3"/>
  <c r="E219" i="3"/>
  <c r="E220" i="3"/>
  <c r="F220" i="3" s="1"/>
  <c r="E222" i="3"/>
  <c r="E223" i="3"/>
  <c r="E224" i="3"/>
  <c r="E226" i="3"/>
  <c r="E227" i="3"/>
  <c r="F227" i="3" s="1"/>
  <c r="E228" i="3"/>
  <c r="E230" i="3"/>
  <c r="E231" i="3"/>
  <c r="E232" i="3"/>
  <c r="F232" i="3" s="1"/>
  <c r="E234" i="3"/>
  <c r="E235" i="3"/>
  <c r="E236" i="3"/>
  <c r="F236" i="3" s="1"/>
  <c r="E238" i="3"/>
  <c r="E239" i="3"/>
  <c r="E240" i="3"/>
  <c r="E242" i="3"/>
  <c r="E243" i="3"/>
  <c r="F243" i="3" s="1"/>
  <c r="E246" i="3"/>
  <c r="E247" i="3"/>
  <c r="E248" i="3"/>
  <c r="F248" i="3" s="1"/>
  <c r="E251" i="3"/>
  <c r="E252" i="3"/>
  <c r="F252" i="3" s="1"/>
  <c r="E254" i="3"/>
  <c r="E256" i="3"/>
  <c r="E258" i="3"/>
  <c r="E259" i="3"/>
  <c r="E262" i="3"/>
  <c r="E263" i="3"/>
  <c r="F263" i="3" s="1"/>
  <c r="E264" i="3"/>
  <c r="F264" i="3" s="1"/>
  <c r="E267" i="3"/>
  <c r="E268" i="3"/>
  <c r="F268" i="3" s="1"/>
  <c r="E271" i="3"/>
  <c r="E276" i="3"/>
  <c r="E279" i="3"/>
  <c r="F279" i="3" s="1"/>
  <c r="E280" i="3"/>
  <c r="F280" i="3" s="1"/>
  <c r="E283" i="3"/>
  <c r="E284" i="3"/>
  <c r="F284" i="3" s="1"/>
  <c r="E292" i="3"/>
  <c r="E295" i="3"/>
  <c r="F295" i="3" s="1"/>
  <c r="E296" i="3"/>
  <c r="F296" i="3" s="1"/>
  <c r="E303" i="3"/>
  <c r="E310" i="3"/>
  <c r="E315" i="3"/>
  <c r="E326" i="3"/>
  <c r="E331" i="3"/>
  <c r="E335" i="3"/>
  <c r="F335" i="3" s="1"/>
  <c r="E347" i="3"/>
  <c r="E351" i="3"/>
  <c r="F351" i="3" s="1"/>
  <c r="E367" i="3"/>
  <c r="E378" i="3"/>
  <c r="E394" i="3"/>
  <c r="E395" i="3"/>
  <c r="E102" i="3"/>
  <c r="F102" i="3" s="1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2" i="3"/>
  <c r="C203" i="3"/>
  <c r="C206" i="3"/>
  <c r="C207" i="3"/>
  <c r="C210" i="3"/>
  <c r="C211" i="3"/>
  <c r="C214" i="3"/>
  <c r="C215" i="3"/>
  <c r="C218" i="3"/>
  <c r="C219" i="3"/>
  <c r="C222" i="3"/>
  <c r="C223" i="3"/>
  <c r="C322" i="3" s="1"/>
  <c r="C226" i="3"/>
  <c r="C227" i="3"/>
  <c r="C229" i="3"/>
  <c r="C230" i="3"/>
  <c r="C329" i="3" s="1"/>
  <c r="C231" i="3"/>
  <c r="C234" i="3"/>
  <c r="C235" i="3"/>
  <c r="C238" i="3"/>
  <c r="C239" i="3"/>
  <c r="C242" i="3"/>
  <c r="C243" i="3"/>
  <c r="C246" i="3"/>
  <c r="C247" i="3"/>
  <c r="C250" i="3"/>
  <c r="C251" i="3"/>
  <c r="C254" i="3"/>
  <c r="C353" i="3" s="1"/>
  <c r="C255" i="3"/>
  <c r="C258" i="3"/>
  <c r="C259" i="3"/>
  <c r="C261" i="3"/>
  <c r="C262" i="3"/>
  <c r="C263" i="3"/>
  <c r="C266" i="3"/>
  <c r="C267" i="3"/>
  <c r="C366" i="3" s="1"/>
  <c r="C270" i="3"/>
  <c r="C271" i="3"/>
  <c r="C274" i="3"/>
  <c r="C275" i="3"/>
  <c r="C278" i="3"/>
  <c r="C279" i="3"/>
  <c r="C282" i="3"/>
  <c r="C283" i="3"/>
  <c r="C286" i="3"/>
  <c r="C287" i="3"/>
  <c r="C290" i="3"/>
  <c r="C291" i="3"/>
  <c r="C390" i="3" s="1"/>
  <c r="C293" i="3"/>
  <c r="C294" i="3"/>
  <c r="C295" i="3"/>
  <c r="C298" i="3"/>
  <c r="C299" i="3"/>
  <c r="C302" i="3"/>
  <c r="C305" i="3"/>
  <c r="C306" i="3"/>
  <c r="C309" i="3"/>
  <c r="C310" i="3"/>
  <c r="C313" i="3"/>
  <c r="C314" i="3"/>
  <c r="C318" i="3"/>
  <c r="C325" i="3"/>
  <c r="C326" i="3"/>
  <c r="C330" i="3"/>
  <c r="C334" i="3"/>
  <c r="C337" i="3"/>
  <c r="C338" i="3"/>
  <c r="C341" i="3"/>
  <c r="C342" i="3"/>
  <c r="C345" i="3"/>
  <c r="C346" i="3"/>
  <c r="C350" i="3"/>
  <c r="C354" i="3"/>
  <c r="C453" i="3" s="1"/>
  <c r="C357" i="3"/>
  <c r="C358" i="3"/>
  <c r="C361" i="3"/>
  <c r="C362" i="3"/>
  <c r="C461" i="3" s="1"/>
  <c r="C369" i="3"/>
  <c r="C370" i="3"/>
  <c r="C373" i="3"/>
  <c r="C377" i="3"/>
  <c r="C378" i="3"/>
  <c r="C382" i="3"/>
  <c r="C386" i="3"/>
  <c r="C389" i="3"/>
  <c r="C393" i="3"/>
  <c r="C394" i="3"/>
  <c r="C398" i="3"/>
  <c r="C401" i="3"/>
  <c r="C405" i="3"/>
  <c r="C409" i="3"/>
  <c r="C417" i="3"/>
  <c r="C429" i="3"/>
  <c r="C437" i="3"/>
  <c r="C441" i="3"/>
  <c r="C445" i="3"/>
  <c r="C449" i="3"/>
  <c r="C469" i="3"/>
  <c r="C477" i="3"/>
  <c r="C576" i="3" s="1"/>
  <c r="C485" i="3"/>
  <c r="C493" i="3"/>
  <c r="C544" i="3"/>
  <c r="C568" i="3"/>
  <c r="C584" i="3"/>
  <c r="C592" i="3"/>
  <c r="C691" i="3" s="1"/>
  <c r="C643" i="3"/>
  <c r="C683" i="3"/>
  <c r="C742" i="3"/>
  <c r="C782" i="3"/>
  <c r="C102" i="3"/>
  <c r="C201" i="3" s="1"/>
  <c r="H9" i="2" l="1"/>
  <c r="O8" i="2"/>
  <c r="B691" i="3"/>
  <c r="C790" i="3"/>
  <c r="B461" i="3"/>
  <c r="C560" i="3"/>
  <c r="B453" i="3"/>
  <c r="C552" i="3"/>
  <c r="C489" i="3"/>
  <c r="B390" i="3"/>
  <c r="C452" i="3"/>
  <c r="B353" i="3"/>
  <c r="C428" i="3"/>
  <c r="B329" i="3"/>
  <c r="B322" i="3"/>
  <c r="C421" i="3"/>
  <c r="B366" i="3"/>
  <c r="C465" i="3"/>
  <c r="B576" i="3"/>
  <c r="C675" i="3"/>
  <c r="C300" i="3"/>
  <c r="B201" i="3"/>
  <c r="B568" i="3"/>
  <c r="C516" i="3"/>
  <c r="B417" i="3"/>
  <c r="B382" i="3"/>
  <c r="C444" i="3"/>
  <c r="B345" i="3"/>
  <c r="B314" i="3"/>
  <c r="B306" i="3"/>
  <c r="B275" i="3"/>
  <c r="C360" i="3"/>
  <c r="B261" i="3"/>
  <c r="C667" i="3"/>
  <c r="B493" i="3"/>
  <c r="B445" i="3"/>
  <c r="C413" i="3"/>
  <c r="C500" i="3"/>
  <c r="B401" i="3"/>
  <c r="B378" i="3"/>
  <c r="B370" i="3"/>
  <c r="C460" i="3"/>
  <c r="B361" i="3"/>
  <c r="B342" i="3"/>
  <c r="C433" i="3"/>
  <c r="B334" i="3"/>
  <c r="C424" i="3"/>
  <c r="B325" i="3"/>
  <c r="C412" i="3"/>
  <c r="B313" i="3"/>
  <c r="C404" i="3"/>
  <c r="B305" i="3"/>
  <c r="B295" i="3"/>
  <c r="B290" i="3"/>
  <c r="C381" i="3"/>
  <c r="B282" i="3"/>
  <c r="B274" i="3"/>
  <c r="C365" i="3"/>
  <c r="B266" i="3"/>
  <c r="B259" i="3"/>
  <c r="B251" i="3"/>
  <c r="B243" i="3"/>
  <c r="B235" i="3"/>
  <c r="C328" i="3"/>
  <c r="B229" i="3"/>
  <c r="C321" i="3"/>
  <c r="B222" i="3"/>
  <c r="B214" i="3"/>
  <c r="B206" i="3"/>
  <c r="B200" i="3"/>
  <c r="B196" i="3"/>
  <c r="B192" i="3"/>
  <c r="B188" i="3"/>
  <c r="B184" i="3"/>
  <c r="B180" i="3"/>
  <c r="B176" i="3"/>
  <c r="B172" i="3"/>
  <c r="B168" i="3"/>
  <c r="B164" i="3"/>
  <c r="B160" i="3"/>
  <c r="B156" i="3"/>
  <c r="B152" i="3"/>
  <c r="B148" i="3"/>
  <c r="B144" i="3"/>
  <c r="B140" i="3"/>
  <c r="B136" i="3"/>
  <c r="B132" i="3"/>
  <c r="B128" i="3"/>
  <c r="B124" i="3"/>
  <c r="B120" i="3"/>
  <c r="B116" i="3"/>
  <c r="B112" i="3"/>
  <c r="B108" i="3"/>
  <c r="B104" i="3"/>
  <c r="B1035" i="3"/>
  <c r="B1027" i="3"/>
  <c r="B1019" i="3"/>
  <c r="B1011" i="3"/>
  <c r="B1003" i="3"/>
  <c r="B995" i="3"/>
  <c r="B1052" i="3"/>
  <c r="B1044" i="3"/>
  <c r="B1036" i="3"/>
  <c r="B1028" i="3"/>
  <c r="B1020" i="3"/>
  <c r="B1012" i="3"/>
  <c r="B1004" i="3"/>
  <c r="B996" i="3"/>
  <c r="B1067" i="3"/>
  <c r="B1063" i="3"/>
  <c r="B1059" i="3"/>
  <c r="B1088" i="3"/>
  <c r="B1084" i="3"/>
  <c r="B1080" i="3"/>
  <c r="B1076" i="3"/>
  <c r="B1072" i="3"/>
  <c r="E493" i="3"/>
  <c r="F394" i="3"/>
  <c r="E466" i="3"/>
  <c r="F367" i="3"/>
  <c r="E430" i="3"/>
  <c r="F331" i="3"/>
  <c r="E409" i="3"/>
  <c r="F310" i="3"/>
  <c r="E382" i="3"/>
  <c r="F283" i="3"/>
  <c r="E370" i="3"/>
  <c r="F271" i="3"/>
  <c r="E355" i="3"/>
  <c r="F256" i="3"/>
  <c r="E341" i="3"/>
  <c r="F242" i="3"/>
  <c r="F231" i="3"/>
  <c r="E330" i="3"/>
  <c r="E325" i="3"/>
  <c r="F226" i="3"/>
  <c r="F215" i="3"/>
  <c r="E314" i="3"/>
  <c r="E309" i="3"/>
  <c r="F210" i="3"/>
  <c r="F200" i="3"/>
  <c r="E299" i="3"/>
  <c r="E291" i="3"/>
  <c r="F192" i="3"/>
  <c r="E275" i="3"/>
  <c r="F176" i="3"/>
  <c r="B102" i="3"/>
  <c r="C881" i="3"/>
  <c r="B782" i="3"/>
  <c r="B683" i="3"/>
  <c r="B584" i="3"/>
  <c r="C548" i="3"/>
  <c r="B449" i="3"/>
  <c r="C492" i="3"/>
  <c r="B393" i="3"/>
  <c r="C472" i="3"/>
  <c r="B373" i="3"/>
  <c r="C436" i="3"/>
  <c r="B337" i="3"/>
  <c r="B291" i="3"/>
  <c r="B207" i="3"/>
  <c r="C841" i="3"/>
  <c r="B742" i="3"/>
  <c r="B485" i="3"/>
  <c r="C540" i="3"/>
  <c r="B441" i="3"/>
  <c r="C528" i="3"/>
  <c r="B429" i="3"/>
  <c r="C508" i="3"/>
  <c r="B409" i="3"/>
  <c r="C497" i="3"/>
  <c r="B398" i="3"/>
  <c r="C488" i="3"/>
  <c r="B389" i="3"/>
  <c r="C476" i="3"/>
  <c r="B377" i="3"/>
  <c r="C468" i="3"/>
  <c r="B369" i="3"/>
  <c r="C457" i="3"/>
  <c r="B358" i="3"/>
  <c r="B350" i="3"/>
  <c r="C440" i="3"/>
  <c r="B341" i="3"/>
  <c r="B330" i="3"/>
  <c r="B310" i="3"/>
  <c r="B302" i="3"/>
  <c r="B294" i="3"/>
  <c r="B287" i="3"/>
  <c r="B279" i="3"/>
  <c r="B271" i="3"/>
  <c r="B263" i="3"/>
  <c r="B258" i="3"/>
  <c r="C349" i="3"/>
  <c r="B250" i="3"/>
  <c r="B242" i="3"/>
  <c r="C333" i="3"/>
  <c r="B234" i="3"/>
  <c r="B227" i="3"/>
  <c r="B219" i="3"/>
  <c r="B211" i="3"/>
  <c r="B203" i="3"/>
  <c r="B199" i="3"/>
  <c r="B195" i="3"/>
  <c r="B191" i="3"/>
  <c r="B187" i="3"/>
  <c r="B183" i="3"/>
  <c r="B179" i="3"/>
  <c r="B175" i="3"/>
  <c r="B171" i="3"/>
  <c r="B167" i="3"/>
  <c r="B163" i="3"/>
  <c r="B159" i="3"/>
  <c r="B155" i="3"/>
  <c r="B151" i="3"/>
  <c r="B147" i="3"/>
  <c r="B143" i="3"/>
  <c r="B139" i="3"/>
  <c r="B135" i="3"/>
  <c r="B131" i="3"/>
  <c r="B127" i="3"/>
  <c r="B123" i="3"/>
  <c r="B119" i="3"/>
  <c r="B115" i="3"/>
  <c r="B111" i="3"/>
  <c r="B107" i="3"/>
  <c r="B103" i="3"/>
  <c r="B1033" i="3"/>
  <c r="B1025" i="3"/>
  <c r="B1017" i="3"/>
  <c r="B1009" i="3"/>
  <c r="B1001" i="3"/>
  <c r="B993" i="3"/>
  <c r="B1050" i="3"/>
  <c r="B1042" i="3"/>
  <c r="B1034" i="3"/>
  <c r="B1026" i="3"/>
  <c r="B1018" i="3"/>
  <c r="B1010" i="3"/>
  <c r="B1002" i="3"/>
  <c r="B994" i="3"/>
  <c r="B1066" i="3"/>
  <c r="B1062" i="3"/>
  <c r="B1058" i="3"/>
  <c r="B1087" i="3"/>
  <c r="B1083" i="3"/>
  <c r="B1079" i="3"/>
  <c r="B1075" i="3"/>
  <c r="B1071" i="3"/>
  <c r="E434" i="3"/>
  <c r="E383" i="3"/>
  <c r="E363" i="3"/>
  <c r="E446" i="3"/>
  <c r="F347" i="3"/>
  <c r="E425" i="3"/>
  <c r="F326" i="3"/>
  <c r="E402" i="3"/>
  <c r="F303" i="3"/>
  <c r="F292" i="3"/>
  <c r="E391" i="3"/>
  <c r="E361" i="3"/>
  <c r="F262" i="3"/>
  <c r="E353" i="3"/>
  <c r="F254" i="3"/>
  <c r="F247" i="3"/>
  <c r="E346" i="3"/>
  <c r="E339" i="3"/>
  <c r="F240" i="3"/>
  <c r="E334" i="3"/>
  <c r="F235" i="3"/>
  <c r="E329" i="3"/>
  <c r="F230" i="3"/>
  <c r="E323" i="3"/>
  <c r="F224" i="3"/>
  <c r="E318" i="3"/>
  <c r="F219" i="3"/>
  <c r="E313" i="3"/>
  <c r="F214" i="3"/>
  <c r="E307" i="3"/>
  <c r="F208" i="3"/>
  <c r="E302" i="3"/>
  <c r="F203" i="3"/>
  <c r="E298" i="3"/>
  <c r="F199" i="3"/>
  <c r="E294" i="3"/>
  <c r="F195" i="3"/>
  <c r="E290" i="3"/>
  <c r="F191" i="3"/>
  <c r="E286" i="3"/>
  <c r="F187" i="3"/>
  <c r="F183" i="3"/>
  <c r="E282" i="3"/>
  <c r="E278" i="3"/>
  <c r="F179" i="3"/>
  <c r="E274" i="3"/>
  <c r="F175" i="3"/>
  <c r="E270" i="3"/>
  <c r="F171" i="3"/>
  <c r="F167" i="3"/>
  <c r="E266" i="3"/>
  <c r="B592" i="3"/>
  <c r="B477" i="3"/>
  <c r="C504" i="3"/>
  <c r="B405" i="3"/>
  <c r="B362" i="3"/>
  <c r="C425" i="3"/>
  <c r="B326" i="3"/>
  <c r="B283" i="3"/>
  <c r="B215" i="3"/>
  <c r="B643" i="3"/>
  <c r="B544" i="3"/>
  <c r="C481" i="3"/>
  <c r="B469" i="3"/>
  <c r="B394" i="3"/>
  <c r="B386" i="3"/>
  <c r="C374" i="3"/>
  <c r="C456" i="3"/>
  <c r="B357" i="3"/>
  <c r="B346" i="3"/>
  <c r="B338" i="3"/>
  <c r="B318" i="3"/>
  <c r="C408" i="3"/>
  <c r="B309" i="3"/>
  <c r="B299" i="3"/>
  <c r="C392" i="3"/>
  <c r="B293" i="3"/>
  <c r="C385" i="3"/>
  <c r="B286" i="3"/>
  <c r="B278" i="3"/>
  <c r="B270" i="3"/>
  <c r="B262" i="3"/>
  <c r="B255" i="3"/>
  <c r="B247" i="3"/>
  <c r="B239" i="3"/>
  <c r="B231" i="3"/>
  <c r="B226" i="3"/>
  <c r="C317" i="3"/>
  <c r="B218" i="3"/>
  <c r="B210" i="3"/>
  <c r="C301" i="3"/>
  <c r="B202" i="3"/>
  <c r="C297" i="3"/>
  <c r="B198" i="3"/>
  <c r="B194" i="3"/>
  <c r="C289" i="3"/>
  <c r="B190" i="3"/>
  <c r="C285" i="3"/>
  <c r="B186" i="3"/>
  <c r="C281" i="3"/>
  <c r="B182" i="3"/>
  <c r="C277" i="3"/>
  <c r="B178" i="3"/>
  <c r="C273" i="3"/>
  <c r="B174" i="3"/>
  <c r="C269" i="3"/>
  <c r="B170" i="3"/>
  <c r="C265" i="3"/>
  <c r="B166" i="3"/>
  <c r="B162" i="3"/>
  <c r="C257" i="3"/>
  <c r="B158" i="3"/>
  <c r="C253" i="3"/>
  <c r="B154" i="3"/>
  <c r="C249" i="3"/>
  <c r="B150" i="3"/>
  <c r="C245" i="3"/>
  <c r="B146" i="3"/>
  <c r="C241" i="3"/>
  <c r="B142" i="3"/>
  <c r="C237" i="3"/>
  <c r="B138" i="3"/>
  <c r="C233" i="3"/>
  <c r="B134" i="3"/>
  <c r="B130" i="3"/>
  <c r="C225" i="3"/>
  <c r="B126" i="3"/>
  <c r="C221" i="3"/>
  <c r="B122" i="3"/>
  <c r="C217" i="3"/>
  <c r="B118" i="3"/>
  <c r="C213" i="3"/>
  <c r="B114" i="3"/>
  <c r="C209" i="3"/>
  <c r="B110" i="3"/>
  <c r="C205" i="3"/>
  <c r="B106" i="3"/>
  <c r="B1039" i="3"/>
  <c r="B1031" i="3"/>
  <c r="B1023" i="3"/>
  <c r="B1015" i="3"/>
  <c r="B1007" i="3"/>
  <c r="B999" i="3"/>
  <c r="B1056" i="3"/>
  <c r="B1048" i="3"/>
  <c r="B1040" i="3"/>
  <c r="B1032" i="3"/>
  <c r="B1024" i="3"/>
  <c r="B1016" i="3"/>
  <c r="B1008" i="3"/>
  <c r="B1000" i="3"/>
  <c r="B1069" i="3"/>
  <c r="B1065" i="3"/>
  <c r="B1061" i="3"/>
  <c r="B1090" i="3"/>
  <c r="B1086" i="3"/>
  <c r="B1082" i="3"/>
  <c r="B1078" i="3"/>
  <c r="B1074" i="3"/>
  <c r="B1070" i="3"/>
  <c r="E450" i="3"/>
  <c r="E379" i="3"/>
  <c r="E362" i="3"/>
  <c r="E342" i="3"/>
  <c r="E319" i="3"/>
  <c r="E287" i="3"/>
  <c r="E366" i="3"/>
  <c r="F267" i="3"/>
  <c r="F259" i="3"/>
  <c r="E358" i="3"/>
  <c r="E345" i="3"/>
  <c r="F246" i="3"/>
  <c r="C536" i="3"/>
  <c r="B437" i="3"/>
  <c r="B354" i="3"/>
  <c r="C397" i="3"/>
  <c r="B298" i="3"/>
  <c r="B267" i="3"/>
  <c r="B254" i="3"/>
  <c r="B246" i="3"/>
  <c r="B238" i="3"/>
  <c r="B230" i="3"/>
  <c r="B223" i="3"/>
  <c r="C296" i="3"/>
  <c r="B197" i="3"/>
  <c r="C292" i="3"/>
  <c r="B193" i="3"/>
  <c r="C288" i="3"/>
  <c r="B189" i="3"/>
  <c r="C284" i="3"/>
  <c r="B185" i="3"/>
  <c r="C280" i="3"/>
  <c r="B181" i="3"/>
  <c r="C276" i="3"/>
  <c r="B177" i="3"/>
  <c r="C272" i="3"/>
  <c r="B173" i="3"/>
  <c r="C268" i="3"/>
  <c r="B169" i="3"/>
  <c r="C264" i="3"/>
  <c r="B165" i="3"/>
  <c r="C260" i="3"/>
  <c r="B161" i="3"/>
  <c r="C256" i="3"/>
  <c r="B157" i="3"/>
  <c r="C252" i="3"/>
  <c r="B153" i="3"/>
  <c r="C248" i="3"/>
  <c r="B149" i="3"/>
  <c r="C244" i="3"/>
  <c r="B145" i="3"/>
  <c r="C240" i="3"/>
  <c r="B141" i="3"/>
  <c r="C236" i="3"/>
  <c r="B137" i="3"/>
  <c r="C232" i="3"/>
  <c r="B133" i="3"/>
  <c r="C228" i="3"/>
  <c r="B129" i="3"/>
  <c r="C224" i="3"/>
  <c r="B125" i="3"/>
  <c r="C220" i="3"/>
  <c r="B121" i="3"/>
  <c r="C216" i="3"/>
  <c r="B117" i="3"/>
  <c r="C212" i="3"/>
  <c r="B113" i="3"/>
  <c r="C208" i="3"/>
  <c r="B109" i="3"/>
  <c r="C204" i="3"/>
  <c r="B105" i="3"/>
  <c r="B1037" i="3"/>
  <c r="B1029" i="3"/>
  <c r="B1021" i="3"/>
  <c r="B1013" i="3"/>
  <c r="B1005" i="3"/>
  <c r="B997" i="3"/>
  <c r="B1054" i="3"/>
  <c r="B1046" i="3"/>
  <c r="B1038" i="3"/>
  <c r="B1030" i="3"/>
  <c r="B1022" i="3"/>
  <c r="B1014" i="3"/>
  <c r="B1006" i="3"/>
  <c r="B998" i="3"/>
  <c r="B1068" i="3"/>
  <c r="B1064" i="3"/>
  <c r="B1060" i="3"/>
  <c r="B1089" i="3"/>
  <c r="B1085" i="3"/>
  <c r="B1081" i="3"/>
  <c r="B1077" i="3"/>
  <c r="B1073" i="3"/>
  <c r="B1091" i="3"/>
  <c r="E494" i="3"/>
  <c r="F395" i="3"/>
  <c r="E477" i="3"/>
  <c r="F378" i="3"/>
  <c r="E414" i="3"/>
  <c r="F315" i="3"/>
  <c r="E375" i="3"/>
  <c r="F276" i="3"/>
  <c r="E357" i="3"/>
  <c r="F258" i="3"/>
  <c r="E350" i="3"/>
  <c r="F251" i="3"/>
  <c r="E337" i="3"/>
  <c r="F238" i="3"/>
  <c r="E321" i="3"/>
  <c r="F222" i="3"/>
  <c r="E305" i="3"/>
  <c r="F206" i="3"/>
  <c r="E201" i="3"/>
  <c r="F189" i="3"/>
  <c r="E288" i="3"/>
  <c r="F173" i="3"/>
  <c r="E272" i="3"/>
  <c r="F161" i="3"/>
  <c r="E260" i="3"/>
  <c r="E255" i="3"/>
  <c r="E250" i="3"/>
  <c r="E244" i="3"/>
  <c r="E338" i="3"/>
  <c r="F239" i="3"/>
  <c r="E333" i="3"/>
  <c r="F234" i="3"/>
  <c r="E327" i="3"/>
  <c r="F228" i="3"/>
  <c r="E322" i="3"/>
  <c r="F223" i="3"/>
  <c r="E317" i="3"/>
  <c r="F218" i="3"/>
  <c r="E311" i="3"/>
  <c r="F212" i="3"/>
  <c r="E306" i="3"/>
  <c r="F207" i="3"/>
  <c r="E301" i="3"/>
  <c r="F202" i="3"/>
  <c r="E297" i="3"/>
  <c r="F198" i="3"/>
  <c r="E293" i="3"/>
  <c r="F194" i="3"/>
  <c r="E289" i="3"/>
  <c r="F190" i="3"/>
  <c r="E285" i="3"/>
  <c r="F186" i="3"/>
  <c r="E281" i="3"/>
  <c r="F182" i="3"/>
  <c r="E277" i="3"/>
  <c r="F178" i="3"/>
  <c r="E273" i="3"/>
  <c r="F174" i="3"/>
  <c r="E269" i="3"/>
  <c r="F170" i="3"/>
  <c r="E265" i="3"/>
  <c r="F166" i="3"/>
  <c r="E261" i="3"/>
  <c r="F162" i="3"/>
  <c r="E257" i="3"/>
  <c r="F158" i="3"/>
  <c r="E253" i="3"/>
  <c r="F154" i="3"/>
  <c r="E249" i="3"/>
  <c r="F150" i="3"/>
  <c r="E245" i="3"/>
  <c r="F146" i="3"/>
  <c r="E241" i="3"/>
  <c r="F142" i="3"/>
  <c r="E237" i="3"/>
  <c r="F138" i="3"/>
  <c r="E233" i="3"/>
  <c r="F134" i="3"/>
  <c r="E229" i="3"/>
  <c r="F130" i="3"/>
  <c r="E225" i="3"/>
  <c r="F126" i="3"/>
  <c r="E221" i="3"/>
  <c r="F122" i="3"/>
  <c r="E217" i="3"/>
  <c r="F118" i="3"/>
  <c r="E213" i="3"/>
  <c r="F114" i="3"/>
  <c r="E209" i="3"/>
  <c r="F110" i="3"/>
  <c r="E205" i="3"/>
  <c r="F106" i="3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3" i="2"/>
  <c r="AK18" i="2"/>
  <c r="AJ74" i="2"/>
  <c r="AJ91" i="2"/>
  <c r="AL91" i="2"/>
  <c r="AM91" i="2"/>
  <c r="AN91" i="2"/>
  <c r="AJ95" i="2"/>
  <c r="AL95" i="2"/>
  <c r="AM95" i="2"/>
  <c r="AN95" i="2"/>
  <c r="AJ99" i="2"/>
  <c r="AL99" i="2"/>
  <c r="AM99" i="2"/>
  <c r="AN99" i="2"/>
  <c r="W11" i="2"/>
  <c r="W19" i="2"/>
  <c r="W27" i="2"/>
  <c r="W35" i="2"/>
  <c r="W43" i="2"/>
  <c r="W51" i="2"/>
  <c r="W59" i="2"/>
  <c r="W67" i="2"/>
  <c r="W75" i="2"/>
  <c r="W83" i="2"/>
  <c r="W91" i="2"/>
  <c r="W99" i="2"/>
  <c r="U4" i="2"/>
  <c r="U5" i="2"/>
  <c r="U6" i="2"/>
  <c r="U7" i="2"/>
  <c r="W7" i="2" s="1"/>
  <c r="U8" i="2"/>
  <c r="W8" i="2" s="1"/>
  <c r="U9" i="2"/>
  <c r="U10" i="2"/>
  <c r="U11" i="2"/>
  <c r="U12" i="2"/>
  <c r="W12" i="2" s="1"/>
  <c r="U13" i="2"/>
  <c r="U14" i="2"/>
  <c r="U15" i="2"/>
  <c r="W15" i="2" s="1"/>
  <c r="U16" i="2"/>
  <c r="R16" i="2" s="1"/>
  <c r="T16" i="2" s="1"/>
  <c r="U17" i="2"/>
  <c r="U18" i="2"/>
  <c r="U19" i="2"/>
  <c r="U20" i="2"/>
  <c r="W20" i="2" s="1"/>
  <c r="U21" i="2"/>
  <c r="U22" i="2"/>
  <c r="U23" i="2"/>
  <c r="W23" i="2" s="1"/>
  <c r="U24" i="2"/>
  <c r="W24" i="2" s="1"/>
  <c r="U25" i="2"/>
  <c r="U26" i="2"/>
  <c r="R26" i="2" s="1"/>
  <c r="T26" i="2" s="1"/>
  <c r="AK26" i="2" s="1"/>
  <c r="U27" i="2"/>
  <c r="U28" i="2"/>
  <c r="W28" i="2" s="1"/>
  <c r="U29" i="2"/>
  <c r="U30" i="2"/>
  <c r="U31" i="2"/>
  <c r="W31" i="2" s="1"/>
  <c r="U32" i="2"/>
  <c r="R32" i="2" s="1"/>
  <c r="T32" i="2" s="1"/>
  <c r="U33" i="2"/>
  <c r="U34" i="2"/>
  <c r="R34" i="2" s="1"/>
  <c r="T34" i="2" s="1"/>
  <c r="U35" i="2"/>
  <c r="U36" i="2"/>
  <c r="U37" i="2"/>
  <c r="U38" i="2"/>
  <c r="U39" i="2"/>
  <c r="W39" i="2" s="1"/>
  <c r="U40" i="2"/>
  <c r="W40" i="2" s="1"/>
  <c r="U41" i="2"/>
  <c r="U42" i="2"/>
  <c r="U43" i="2"/>
  <c r="U44" i="2"/>
  <c r="W44" i="2" s="1"/>
  <c r="U45" i="2"/>
  <c r="U46" i="2"/>
  <c r="U47" i="2"/>
  <c r="W47" i="2" s="1"/>
  <c r="U48" i="2"/>
  <c r="R48" i="2" s="1"/>
  <c r="T48" i="2" s="1"/>
  <c r="U49" i="2"/>
  <c r="U50" i="2"/>
  <c r="R50" i="2" s="1"/>
  <c r="T50" i="2" s="1"/>
  <c r="U51" i="2"/>
  <c r="U52" i="2"/>
  <c r="W52" i="2" s="1"/>
  <c r="U53" i="2"/>
  <c r="U54" i="2"/>
  <c r="U55" i="2"/>
  <c r="W55" i="2" s="1"/>
  <c r="U56" i="2"/>
  <c r="W56" i="2" s="1"/>
  <c r="U57" i="2"/>
  <c r="U58" i="2"/>
  <c r="R58" i="2" s="1"/>
  <c r="T58" i="2" s="1"/>
  <c r="AK58" i="2" s="1"/>
  <c r="U59" i="2"/>
  <c r="U60" i="2"/>
  <c r="R60" i="2" s="1"/>
  <c r="T60" i="2" s="1"/>
  <c r="U61" i="2"/>
  <c r="U62" i="2"/>
  <c r="U63" i="2"/>
  <c r="W63" i="2" s="1"/>
  <c r="U64" i="2"/>
  <c r="W64" i="2" s="1"/>
  <c r="U65" i="2"/>
  <c r="U66" i="2"/>
  <c r="U67" i="2"/>
  <c r="U68" i="2"/>
  <c r="R68" i="2" s="1"/>
  <c r="T68" i="2" s="1"/>
  <c r="U69" i="2"/>
  <c r="U70" i="2"/>
  <c r="U71" i="2"/>
  <c r="W71" i="2" s="1"/>
  <c r="U72" i="2"/>
  <c r="R72" i="2" s="1"/>
  <c r="T72" i="2" s="1"/>
  <c r="U73" i="2"/>
  <c r="U74" i="2"/>
  <c r="U75" i="2"/>
  <c r="U76" i="2"/>
  <c r="W76" i="2" s="1"/>
  <c r="U77" i="2"/>
  <c r="U78" i="2"/>
  <c r="U79" i="2"/>
  <c r="W79" i="2" s="1"/>
  <c r="U80" i="2"/>
  <c r="R80" i="2" s="1"/>
  <c r="T80" i="2" s="1"/>
  <c r="U81" i="2"/>
  <c r="U82" i="2"/>
  <c r="U83" i="2"/>
  <c r="U84" i="2"/>
  <c r="R84" i="2" s="1"/>
  <c r="T84" i="2" s="1"/>
  <c r="U85" i="2"/>
  <c r="U86" i="2"/>
  <c r="U87" i="2"/>
  <c r="W87" i="2" s="1"/>
  <c r="U88" i="2"/>
  <c r="W88" i="2" s="1"/>
  <c r="U89" i="2"/>
  <c r="U90" i="2"/>
  <c r="U91" i="2"/>
  <c r="R91" i="2" s="1"/>
  <c r="T91" i="2" s="1"/>
  <c r="AK91" i="2" s="1"/>
  <c r="U92" i="2"/>
  <c r="W92" i="2" s="1"/>
  <c r="U93" i="2"/>
  <c r="U94" i="2"/>
  <c r="W94" i="2" s="1"/>
  <c r="U95" i="2"/>
  <c r="R95" i="2" s="1"/>
  <c r="T95" i="2" s="1"/>
  <c r="AK95" i="2" s="1"/>
  <c r="U96" i="2"/>
  <c r="W96" i="2" s="1"/>
  <c r="U97" i="2"/>
  <c r="U98" i="2"/>
  <c r="W98" i="2" s="1"/>
  <c r="U99" i="2"/>
  <c r="R99" i="2" s="1"/>
  <c r="T99" i="2" s="1"/>
  <c r="AK99" i="2" s="1"/>
  <c r="U100" i="2"/>
  <c r="R100" i="2" s="1"/>
  <c r="T100" i="2" s="1"/>
  <c r="AJ100" i="2" s="1"/>
  <c r="U101" i="2"/>
  <c r="U3" i="2"/>
  <c r="R10" i="2"/>
  <c r="T10" i="2" s="1"/>
  <c r="R18" i="2"/>
  <c r="T18" i="2" s="1"/>
  <c r="R24" i="2"/>
  <c r="T24" i="2" s="1"/>
  <c r="R40" i="2"/>
  <c r="T40" i="2" s="1"/>
  <c r="R42" i="2"/>
  <c r="T42" i="2" s="1"/>
  <c r="R52" i="2"/>
  <c r="T52" i="2" s="1"/>
  <c r="R66" i="2"/>
  <c r="T66" i="2" s="1"/>
  <c r="R74" i="2"/>
  <c r="T74" i="2" s="1"/>
  <c r="R82" i="2"/>
  <c r="T82" i="2" s="1"/>
  <c r="R96" i="2"/>
  <c r="T96" i="2" s="1"/>
  <c r="AN96" i="2" s="1"/>
  <c r="R98" i="2"/>
  <c r="T98" i="2" s="1"/>
  <c r="AJ98" i="2" s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3" i="2"/>
  <c r="K4" i="2"/>
  <c r="K5" i="2" s="1"/>
  <c r="L3" i="2"/>
  <c r="H10" i="2" l="1"/>
  <c r="O9" i="2"/>
  <c r="E343" i="3"/>
  <c r="F244" i="3"/>
  <c r="C303" i="3"/>
  <c r="B204" i="3"/>
  <c r="C319" i="3"/>
  <c r="B220" i="3"/>
  <c r="C343" i="3"/>
  <c r="B244" i="3"/>
  <c r="C375" i="3"/>
  <c r="B276" i="3"/>
  <c r="E457" i="3"/>
  <c r="F358" i="3"/>
  <c r="C308" i="3"/>
  <c r="B209" i="3"/>
  <c r="C376" i="3"/>
  <c r="B277" i="3"/>
  <c r="B504" i="3"/>
  <c r="C603" i="3"/>
  <c r="E389" i="3"/>
  <c r="F290" i="3"/>
  <c r="C535" i="3"/>
  <c r="B436" i="3"/>
  <c r="E413" i="3"/>
  <c r="F314" i="3"/>
  <c r="C420" i="3"/>
  <c r="B321" i="3"/>
  <c r="C559" i="3"/>
  <c r="B460" i="3"/>
  <c r="C766" i="3"/>
  <c r="B667" i="3"/>
  <c r="E304" i="3"/>
  <c r="F205" i="3"/>
  <c r="E312" i="3"/>
  <c r="F213" i="3"/>
  <c r="E320" i="3"/>
  <c r="F221" i="3"/>
  <c r="E328" i="3"/>
  <c r="F229" i="3"/>
  <c r="E336" i="3"/>
  <c r="F237" i="3"/>
  <c r="E344" i="3"/>
  <c r="F245" i="3"/>
  <c r="F253" i="3"/>
  <c r="E352" i="3"/>
  <c r="E360" i="3"/>
  <c r="F261" i="3"/>
  <c r="E368" i="3"/>
  <c r="F269" i="3"/>
  <c r="E376" i="3"/>
  <c r="F277" i="3"/>
  <c r="E384" i="3"/>
  <c r="F285" i="3"/>
  <c r="E392" i="3"/>
  <c r="F293" i="3"/>
  <c r="E400" i="3"/>
  <c r="F301" i="3"/>
  <c r="E410" i="3"/>
  <c r="F311" i="3"/>
  <c r="E421" i="3"/>
  <c r="F322" i="3"/>
  <c r="E432" i="3"/>
  <c r="F333" i="3"/>
  <c r="E349" i="3"/>
  <c r="F250" i="3"/>
  <c r="E371" i="3"/>
  <c r="F272" i="3"/>
  <c r="F201" i="3"/>
  <c r="E300" i="3"/>
  <c r="F321" i="3"/>
  <c r="E420" i="3"/>
  <c r="E449" i="3"/>
  <c r="F350" i="3"/>
  <c r="E474" i="3"/>
  <c r="F375" i="3"/>
  <c r="F477" i="3"/>
  <c r="E576" i="3"/>
  <c r="B536" i="3"/>
  <c r="C635" i="3"/>
  <c r="F319" i="3"/>
  <c r="E418" i="3"/>
  <c r="E549" i="3"/>
  <c r="F450" i="3"/>
  <c r="C336" i="3"/>
  <c r="B237" i="3"/>
  <c r="C344" i="3"/>
  <c r="B245" i="3"/>
  <c r="C352" i="3"/>
  <c r="B253" i="3"/>
  <c r="C396" i="3"/>
  <c r="B297" i="3"/>
  <c r="C507" i="3"/>
  <c r="B408" i="3"/>
  <c r="C524" i="3"/>
  <c r="B425" i="3"/>
  <c r="E445" i="3"/>
  <c r="F346" i="3"/>
  <c r="E533" i="3"/>
  <c r="F434" i="3"/>
  <c r="C448" i="3"/>
  <c r="B349" i="3"/>
  <c r="B468" i="3"/>
  <c r="C567" i="3"/>
  <c r="B488" i="3"/>
  <c r="C587" i="3"/>
  <c r="B508" i="3"/>
  <c r="C607" i="3"/>
  <c r="B540" i="3"/>
  <c r="C639" i="3"/>
  <c r="F275" i="3"/>
  <c r="E374" i="3"/>
  <c r="E454" i="3"/>
  <c r="F355" i="3"/>
  <c r="E481" i="3"/>
  <c r="F382" i="3"/>
  <c r="E529" i="3"/>
  <c r="F430" i="3"/>
  <c r="F493" i="3"/>
  <c r="E592" i="3"/>
  <c r="C511" i="3"/>
  <c r="B412" i="3"/>
  <c r="C532" i="3"/>
  <c r="B433" i="3"/>
  <c r="C512" i="3"/>
  <c r="B413" i="3"/>
  <c r="C399" i="3"/>
  <c r="B300" i="3"/>
  <c r="C527" i="3"/>
  <c r="B428" i="3"/>
  <c r="C588" i="3"/>
  <c r="B489" i="3"/>
  <c r="C311" i="3"/>
  <c r="B212" i="3"/>
  <c r="C335" i="3"/>
  <c r="B236" i="3"/>
  <c r="C351" i="3"/>
  <c r="B252" i="3"/>
  <c r="C367" i="3"/>
  <c r="B268" i="3"/>
  <c r="C391" i="3"/>
  <c r="B292" i="3"/>
  <c r="E386" i="3"/>
  <c r="F287" i="3"/>
  <c r="C324" i="3"/>
  <c r="B225" i="3"/>
  <c r="C384" i="3"/>
  <c r="B285" i="3"/>
  <c r="E373" i="3"/>
  <c r="F274" i="3"/>
  <c r="E397" i="3"/>
  <c r="F298" i="3"/>
  <c r="E417" i="3"/>
  <c r="F318" i="3"/>
  <c r="F353" i="3"/>
  <c r="E452" i="3"/>
  <c r="F383" i="3"/>
  <c r="E482" i="3"/>
  <c r="C539" i="3"/>
  <c r="B440" i="3"/>
  <c r="B841" i="3"/>
  <c r="C940" i="3"/>
  <c r="B492" i="3"/>
  <c r="C591" i="3"/>
  <c r="B500" i="3"/>
  <c r="C599" i="3"/>
  <c r="E354" i="3"/>
  <c r="F255" i="3"/>
  <c r="C307" i="3"/>
  <c r="B208" i="3"/>
  <c r="C315" i="3"/>
  <c r="B216" i="3"/>
  <c r="C323" i="3"/>
  <c r="B224" i="3"/>
  <c r="C331" i="3"/>
  <c r="B232" i="3"/>
  <c r="C339" i="3"/>
  <c r="B240" i="3"/>
  <c r="C347" i="3"/>
  <c r="B248" i="3"/>
  <c r="C355" i="3"/>
  <c r="B256" i="3"/>
  <c r="C363" i="3"/>
  <c r="B264" i="3"/>
  <c r="C371" i="3"/>
  <c r="B272" i="3"/>
  <c r="C379" i="3"/>
  <c r="B280" i="3"/>
  <c r="C387" i="3"/>
  <c r="B288" i="3"/>
  <c r="C395" i="3"/>
  <c r="B296" i="3"/>
  <c r="C496" i="3"/>
  <c r="B397" i="3"/>
  <c r="E441" i="3"/>
  <c r="F342" i="3"/>
  <c r="C304" i="3"/>
  <c r="B205" i="3"/>
  <c r="C312" i="3"/>
  <c r="B213" i="3"/>
  <c r="C320" i="3"/>
  <c r="B221" i="3"/>
  <c r="C364" i="3"/>
  <c r="B265" i="3"/>
  <c r="C372" i="3"/>
  <c r="B273" i="3"/>
  <c r="C380" i="3"/>
  <c r="B281" i="3"/>
  <c r="C388" i="3"/>
  <c r="B289" i="3"/>
  <c r="C416" i="3"/>
  <c r="B317" i="3"/>
  <c r="C491" i="3"/>
  <c r="B392" i="3"/>
  <c r="B456" i="3"/>
  <c r="C555" i="3"/>
  <c r="E369" i="3"/>
  <c r="F270" i="3"/>
  <c r="E377" i="3"/>
  <c r="F278" i="3"/>
  <c r="E385" i="3"/>
  <c r="F286" i="3"/>
  <c r="E393" i="3"/>
  <c r="F294" i="3"/>
  <c r="E401" i="3"/>
  <c r="F302" i="3"/>
  <c r="F313" i="3"/>
  <c r="E412" i="3"/>
  <c r="F323" i="3"/>
  <c r="E422" i="3"/>
  <c r="E433" i="3"/>
  <c r="F334" i="3"/>
  <c r="E460" i="3"/>
  <c r="F361" i="3"/>
  <c r="E501" i="3"/>
  <c r="F402" i="3"/>
  <c r="E545" i="3"/>
  <c r="F446" i="3"/>
  <c r="C432" i="3"/>
  <c r="B333" i="3"/>
  <c r="B472" i="3"/>
  <c r="C571" i="3"/>
  <c r="B548" i="3"/>
  <c r="C647" i="3"/>
  <c r="B881" i="3"/>
  <c r="C980" i="3"/>
  <c r="C427" i="3"/>
  <c r="B328" i="3"/>
  <c r="C459" i="3"/>
  <c r="B360" i="3"/>
  <c r="B516" i="3"/>
  <c r="C615" i="3"/>
  <c r="B675" i="3"/>
  <c r="C774" i="3"/>
  <c r="C520" i="3"/>
  <c r="B421" i="3"/>
  <c r="B552" i="3"/>
  <c r="C651" i="3"/>
  <c r="C889" i="3"/>
  <c r="B790" i="3"/>
  <c r="C327" i="3"/>
  <c r="B228" i="3"/>
  <c r="C359" i="3"/>
  <c r="B260" i="3"/>
  <c r="C383" i="3"/>
  <c r="B284" i="3"/>
  <c r="E478" i="3"/>
  <c r="F379" i="3"/>
  <c r="C316" i="3"/>
  <c r="B217" i="3"/>
  <c r="C368" i="3"/>
  <c r="B269" i="3"/>
  <c r="C484" i="3"/>
  <c r="B385" i="3"/>
  <c r="F307" i="3"/>
  <c r="E406" i="3"/>
  <c r="F329" i="3"/>
  <c r="E428" i="3"/>
  <c r="E438" i="3"/>
  <c r="F339" i="3"/>
  <c r="E524" i="3"/>
  <c r="F425" i="3"/>
  <c r="E398" i="3"/>
  <c r="F299" i="3"/>
  <c r="E429" i="3"/>
  <c r="F330" i="3"/>
  <c r="C464" i="3"/>
  <c r="B365" i="3"/>
  <c r="C564" i="3"/>
  <c r="B465" i="3"/>
  <c r="B560" i="3"/>
  <c r="C659" i="3"/>
  <c r="E308" i="3"/>
  <c r="F209" i="3"/>
  <c r="E316" i="3"/>
  <c r="F217" i="3"/>
  <c r="E324" i="3"/>
  <c r="F225" i="3"/>
  <c r="E332" i="3"/>
  <c r="F233" i="3"/>
  <c r="E340" i="3"/>
  <c r="F241" i="3"/>
  <c r="E348" i="3"/>
  <c r="F249" i="3"/>
  <c r="E356" i="3"/>
  <c r="F257" i="3"/>
  <c r="E364" i="3"/>
  <c r="F265" i="3"/>
  <c r="E372" i="3"/>
  <c r="F273" i="3"/>
  <c r="E380" i="3"/>
  <c r="F281" i="3"/>
  <c r="E388" i="3"/>
  <c r="F289" i="3"/>
  <c r="E396" i="3"/>
  <c r="F297" i="3"/>
  <c r="E405" i="3"/>
  <c r="F306" i="3"/>
  <c r="E416" i="3"/>
  <c r="F317" i="3"/>
  <c r="E426" i="3"/>
  <c r="F327" i="3"/>
  <c r="E437" i="3"/>
  <c r="F338" i="3"/>
  <c r="E359" i="3"/>
  <c r="F260" i="3"/>
  <c r="E387" i="3"/>
  <c r="F288" i="3"/>
  <c r="F305" i="3"/>
  <c r="E404" i="3"/>
  <c r="F337" i="3"/>
  <c r="E436" i="3"/>
  <c r="E456" i="3"/>
  <c r="F357" i="3"/>
  <c r="E513" i="3"/>
  <c r="F414" i="3"/>
  <c r="E593" i="3"/>
  <c r="F494" i="3"/>
  <c r="E444" i="3"/>
  <c r="F345" i="3"/>
  <c r="E465" i="3"/>
  <c r="F366" i="3"/>
  <c r="E461" i="3"/>
  <c r="F362" i="3"/>
  <c r="C332" i="3"/>
  <c r="B233" i="3"/>
  <c r="C340" i="3"/>
  <c r="B241" i="3"/>
  <c r="C348" i="3"/>
  <c r="B249" i="3"/>
  <c r="C356" i="3"/>
  <c r="B257" i="3"/>
  <c r="C400" i="3"/>
  <c r="B301" i="3"/>
  <c r="B374" i="3"/>
  <c r="C473" i="3"/>
  <c r="C580" i="3"/>
  <c r="B481" i="3"/>
  <c r="E365" i="3"/>
  <c r="F266" i="3"/>
  <c r="E381" i="3"/>
  <c r="F282" i="3"/>
  <c r="E490" i="3"/>
  <c r="F391" i="3"/>
  <c r="E462" i="3"/>
  <c r="F363" i="3"/>
  <c r="C556" i="3"/>
  <c r="B457" i="3"/>
  <c r="C575" i="3"/>
  <c r="B476" i="3"/>
  <c r="C596" i="3"/>
  <c r="B497" i="3"/>
  <c r="B528" i="3"/>
  <c r="C627" i="3"/>
  <c r="E390" i="3"/>
  <c r="F291" i="3"/>
  <c r="E408" i="3"/>
  <c r="F309" i="3"/>
  <c r="E424" i="3"/>
  <c r="F325" i="3"/>
  <c r="E440" i="3"/>
  <c r="F341" i="3"/>
  <c r="E469" i="3"/>
  <c r="F370" i="3"/>
  <c r="E508" i="3"/>
  <c r="F409" i="3"/>
  <c r="E565" i="3"/>
  <c r="F466" i="3"/>
  <c r="C480" i="3"/>
  <c r="B381" i="3"/>
  <c r="C503" i="3"/>
  <c r="B404" i="3"/>
  <c r="C523" i="3"/>
  <c r="B424" i="3"/>
  <c r="B444" i="3"/>
  <c r="C543" i="3"/>
  <c r="C551" i="3"/>
  <c r="B452" i="3"/>
  <c r="AL52" i="2"/>
  <c r="AM52" i="2"/>
  <c r="AJ52" i="2"/>
  <c r="AN52" i="2"/>
  <c r="AK52" i="2"/>
  <c r="AO52" i="2"/>
  <c r="AK84" i="2"/>
  <c r="AO84" i="2"/>
  <c r="AL84" i="2"/>
  <c r="AM84" i="2"/>
  <c r="AJ84" i="2"/>
  <c r="AN84" i="2"/>
  <c r="AK72" i="2"/>
  <c r="AO72" i="2"/>
  <c r="AL72" i="2"/>
  <c r="AM72" i="2"/>
  <c r="AJ72" i="2"/>
  <c r="AN72" i="2"/>
  <c r="AL32" i="2"/>
  <c r="AM32" i="2"/>
  <c r="AJ32" i="2"/>
  <c r="AN32" i="2"/>
  <c r="AK32" i="2"/>
  <c r="AO32" i="2"/>
  <c r="AL50" i="2"/>
  <c r="AM50" i="2"/>
  <c r="AJ50" i="2"/>
  <c r="AN50" i="2"/>
  <c r="AO50" i="2"/>
  <c r="AK50" i="2"/>
  <c r="AL34" i="2"/>
  <c r="AM34" i="2"/>
  <c r="AJ34" i="2"/>
  <c r="AN34" i="2"/>
  <c r="AO34" i="2"/>
  <c r="AK34" i="2"/>
  <c r="AL60" i="2"/>
  <c r="AM60" i="2"/>
  <c r="AJ60" i="2"/>
  <c r="AO60" i="2"/>
  <c r="AK60" i="2"/>
  <c r="AN60" i="2"/>
  <c r="AK66" i="2"/>
  <c r="AO66" i="2"/>
  <c r="AL66" i="2"/>
  <c r="AM66" i="2"/>
  <c r="AL10" i="2"/>
  <c r="AM10" i="2"/>
  <c r="AJ10" i="2"/>
  <c r="AN10" i="2"/>
  <c r="AO10" i="2"/>
  <c r="AK68" i="2"/>
  <c r="AO68" i="2"/>
  <c r="AL68" i="2"/>
  <c r="AM68" i="2"/>
  <c r="AL48" i="2"/>
  <c r="AM48" i="2"/>
  <c r="AJ48" i="2"/>
  <c r="AN48" i="2"/>
  <c r="AK48" i="2"/>
  <c r="AO48" i="2"/>
  <c r="W4" i="2"/>
  <c r="R4" i="2"/>
  <c r="T4" i="2" s="1"/>
  <c r="W84" i="2"/>
  <c r="AJ66" i="2"/>
  <c r="R92" i="2"/>
  <c r="T92" i="2" s="1"/>
  <c r="R76" i="2"/>
  <c r="T76" i="2" s="1"/>
  <c r="R64" i="2"/>
  <c r="T64" i="2" s="1"/>
  <c r="R20" i="2"/>
  <c r="T20" i="2" s="1"/>
  <c r="R8" i="2"/>
  <c r="T8" i="2" s="1"/>
  <c r="W72" i="2"/>
  <c r="W60" i="2"/>
  <c r="W48" i="2"/>
  <c r="W32" i="2"/>
  <c r="W16" i="2"/>
  <c r="AN98" i="2"/>
  <c r="AJ96" i="2"/>
  <c r="AJ68" i="2"/>
  <c r="AK82" i="2"/>
  <c r="AO82" i="2"/>
  <c r="AL82" i="2"/>
  <c r="AM82" i="2"/>
  <c r="AL24" i="2"/>
  <c r="AM24" i="2"/>
  <c r="AJ24" i="2"/>
  <c r="AN24" i="2"/>
  <c r="AK24" i="2"/>
  <c r="AO24" i="2"/>
  <c r="AK80" i="2"/>
  <c r="AO80" i="2"/>
  <c r="AL80" i="2"/>
  <c r="AM80" i="2"/>
  <c r="AJ82" i="2"/>
  <c r="AN68" i="2"/>
  <c r="R88" i="2"/>
  <c r="T88" i="2" s="1"/>
  <c r="AK74" i="2"/>
  <c r="AO74" i="2"/>
  <c r="AL74" i="2"/>
  <c r="AM74" i="2"/>
  <c r="R44" i="2"/>
  <c r="T44" i="2" s="1"/>
  <c r="AL18" i="2"/>
  <c r="AM18" i="2"/>
  <c r="AJ18" i="2"/>
  <c r="AN18" i="2"/>
  <c r="AO18" i="2"/>
  <c r="W90" i="2"/>
  <c r="R90" i="2"/>
  <c r="T90" i="2" s="1"/>
  <c r="AL58" i="2"/>
  <c r="AM58" i="2"/>
  <c r="AJ58" i="2"/>
  <c r="AN58" i="2"/>
  <c r="AO58" i="2"/>
  <c r="AL26" i="2"/>
  <c r="AM26" i="2"/>
  <c r="AJ26" i="2"/>
  <c r="AN26" i="2"/>
  <c r="AO26" i="2"/>
  <c r="W100" i="2"/>
  <c r="W80" i="2"/>
  <c r="W68" i="2"/>
  <c r="AN80" i="2"/>
  <c r="AK96" i="2"/>
  <c r="AO96" i="2"/>
  <c r="AL96" i="2"/>
  <c r="AM96" i="2"/>
  <c r="AL40" i="2"/>
  <c r="AM40" i="2"/>
  <c r="AJ40" i="2"/>
  <c r="AN40" i="2"/>
  <c r="AK40" i="2"/>
  <c r="AO40" i="2"/>
  <c r="AK100" i="2"/>
  <c r="AO100" i="2"/>
  <c r="AL100" i="2"/>
  <c r="AM100" i="2"/>
  <c r="W36" i="2"/>
  <c r="R36" i="2"/>
  <c r="T36" i="2" s="1"/>
  <c r="AL16" i="2"/>
  <c r="AM16" i="2"/>
  <c r="AJ16" i="2"/>
  <c r="AN16" i="2"/>
  <c r="AK16" i="2"/>
  <c r="AO16" i="2"/>
  <c r="AK98" i="2"/>
  <c r="AO98" i="2"/>
  <c r="AL98" i="2"/>
  <c r="AM98" i="2"/>
  <c r="R56" i="2"/>
  <c r="T56" i="2" s="1"/>
  <c r="AL42" i="2"/>
  <c r="AM42" i="2"/>
  <c r="AJ42" i="2"/>
  <c r="AN42" i="2"/>
  <c r="AO42" i="2"/>
  <c r="R28" i="2"/>
  <c r="T28" i="2" s="1"/>
  <c r="R12" i="2"/>
  <c r="T12" i="2" s="1"/>
  <c r="AN100" i="2"/>
  <c r="AN82" i="2"/>
  <c r="AJ80" i="2"/>
  <c r="AN74" i="2"/>
  <c r="AN66" i="2"/>
  <c r="AK42" i="2"/>
  <c r="AK10" i="2"/>
  <c r="W95" i="2"/>
  <c r="AO99" i="2"/>
  <c r="AO95" i="2"/>
  <c r="AO91" i="2"/>
  <c r="R97" i="2"/>
  <c r="T97" i="2" s="1"/>
  <c r="W97" i="2"/>
  <c r="R89" i="2"/>
  <c r="T89" i="2" s="1"/>
  <c r="W89" i="2"/>
  <c r="R85" i="2"/>
  <c r="T85" i="2" s="1"/>
  <c r="W85" i="2"/>
  <c r="R77" i="2"/>
  <c r="T77" i="2" s="1"/>
  <c r="W77" i="2"/>
  <c r="R73" i="2"/>
  <c r="T73" i="2" s="1"/>
  <c r="W73" i="2"/>
  <c r="R65" i="2"/>
  <c r="T65" i="2" s="1"/>
  <c r="W65" i="2"/>
  <c r="R57" i="2"/>
  <c r="T57" i="2" s="1"/>
  <c r="W57" i="2"/>
  <c r="R49" i="2"/>
  <c r="T49" i="2" s="1"/>
  <c r="W49" i="2"/>
  <c r="R41" i="2"/>
  <c r="T41" i="2" s="1"/>
  <c r="W41" i="2"/>
  <c r="R29" i="2"/>
  <c r="T29" i="2" s="1"/>
  <c r="W29" i="2"/>
  <c r="R21" i="2"/>
  <c r="T21" i="2" s="1"/>
  <c r="W21" i="2"/>
  <c r="R9" i="2"/>
  <c r="T9" i="2" s="1"/>
  <c r="W9" i="2"/>
  <c r="R101" i="2"/>
  <c r="T101" i="2" s="1"/>
  <c r="W101" i="2"/>
  <c r="R93" i="2"/>
  <c r="T93" i="2" s="1"/>
  <c r="W93" i="2"/>
  <c r="R81" i="2"/>
  <c r="T81" i="2" s="1"/>
  <c r="W81" i="2"/>
  <c r="R69" i="2"/>
  <c r="T69" i="2" s="1"/>
  <c r="W69" i="2"/>
  <c r="R61" i="2"/>
  <c r="T61" i="2" s="1"/>
  <c r="W61" i="2"/>
  <c r="R53" i="2"/>
  <c r="T53" i="2" s="1"/>
  <c r="W53" i="2"/>
  <c r="R45" i="2"/>
  <c r="T45" i="2" s="1"/>
  <c r="W45" i="2"/>
  <c r="R37" i="2"/>
  <c r="T37" i="2" s="1"/>
  <c r="W37" i="2"/>
  <c r="R33" i="2"/>
  <c r="T33" i="2" s="1"/>
  <c r="W33" i="2"/>
  <c r="R25" i="2"/>
  <c r="T25" i="2" s="1"/>
  <c r="W25" i="2"/>
  <c r="R17" i="2"/>
  <c r="T17" i="2" s="1"/>
  <c r="W17" i="2"/>
  <c r="R13" i="2"/>
  <c r="T13" i="2" s="1"/>
  <c r="W13" i="2"/>
  <c r="R5" i="2"/>
  <c r="T5" i="2" s="1"/>
  <c r="W5" i="2"/>
  <c r="R3" i="2"/>
  <c r="T3" i="2" s="1"/>
  <c r="R94" i="2"/>
  <c r="T94" i="2" s="1"/>
  <c r="R86" i="2"/>
  <c r="T86" i="2" s="1"/>
  <c r="R78" i="2"/>
  <c r="T78" i="2" s="1"/>
  <c r="R70" i="2"/>
  <c r="T70" i="2" s="1"/>
  <c r="R62" i="2"/>
  <c r="T62" i="2" s="1"/>
  <c r="R54" i="2"/>
  <c r="T54" i="2" s="1"/>
  <c r="R46" i="2"/>
  <c r="T46" i="2" s="1"/>
  <c r="R38" i="2"/>
  <c r="T38" i="2" s="1"/>
  <c r="R30" i="2"/>
  <c r="T30" i="2" s="1"/>
  <c r="R22" i="2"/>
  <c r="T22" i="2" s="1"/>
  <c r="R14" i="2"/>
  <c r="T14" i="2" s="1"/>
  <c r="R6" i="2"/>
  <c r="T6" i="2" s="1"/>
  <c r="W3" i="2"/>
  <c r="W86" i="2"/>
  <c r="W82" i="2"/>
  <c r="W78" i="2"/>
  <c r="W74" i="2"/>
  <c r="W70" i="2"/>
  <c r="W66" i="2"/>
  <c r="W62" i="2"/>
  <c r="W58" i="2"/>
  <c r="W54" i="2"/>
  <c r="W50" i="2"/>
  <c r="W46" i="2"/>
  <c r="W42" i="2"/>
  <c r="W38" i="2"/>
  <c r="W34" i="2"/>
  <c r="W30" i="2"/>
  <c r="W26" i="2"/>
  <c r="W22" i="2"/>
  <c r="W18" i="2"/>
  <c r="W14" i="2"/>
  <c r="W10" i="2"/>
  <c r="W6" i="2"/>
  <c r="R87" i="2"/>
  <c r="T87" i="2" s="1"/>
  <c r="R83" i="2"/>
  <c r="T83" i="2" s="1"/>
  <c r="R79" i="2"/>
  <c r="T79" i="2" s="1"/>
  <c r="R75" i="2"/>
  <c r="T75" i="2" s="1"/>
  <c r="R71" i="2"/>
  <c r="T71" i="2" s="1"/>
  <c r="R67" i="2"/>
  <c r="T67" i="2" s="1"/>
  <c r="R63" i="2"/>
  <c r="T63" i="2" s="1"/>
  <c r="R59" i="2"/>
  <c r="T59" i="2" s="1"/>
  <c r="R55" i="2"/>
  <c r="T55" i="2" s="1"/>
  <c r="R51" i="2"/>
  <c r="T51" i="2" s="1"/>
  <c r="R47" i="2"/>
  <c r="T47" i="2" s="1"/>
  <c r="R43" i="2"/>
  <c r="T43" i="2" s="1"/>
  <c r="R39" i="2"/>
  <c r="T39" i="2" s="1"/>
  <c r="R35" i="2"/>
  <c r="T35" i="2" s="1"/>
  <c r="R31" i="2"/>
  <c r="T31" i="2" s="1"/>
  <c r="R27" i="2"/>
  <c r="T27" i="2" s="1"/>
  <c r="R23" i="2"/>
  <c r="T23" i="2" s="1"/>
  <c r="R19" i="2"/>
  <c r="T19" i="2" s="1"/>
  <c r="R15" i="2"/>
  <c r="T15" i="2" s="1"/>
  <c r="R11" i="2"/>
  <c r="T11" i="2" s="1"/>
  <c r="R7" i="2"/>
  <c r="T7" i="2" s="1"/>
  <c r="L4" i="2"/>
  <c r="K6" i="2"/>
  <c r="L5" i="2"/>
  <c r="K7" i="2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8" i="1"/>
  <c r="H11" i="2" l="1"/>
  <c r="O10" i="2"/>
  <c r="F428" i="3"/>
  <c r="E527" i="3"/>
  <c r="B651" i="3"/>
  <c r="C750" i="3"/>
  <c r="B980" i="3"/>
  <c r="C698" i="3"/>
  <c r="B599" i="3"/>
  <c r="B940" i="3"/>
  <c r="F482" i="3"/>
  <c r="E581" i="3"/>
  <c r="C738" i="3"/>
  <c r="B639" i="3"/>
  <c r="F576" i="3"/>
  <c r="E675" i="3"/>
  <c r="F300" i="3"/>
  <c r="E399" i="3"/>
  <c r="C650" i="3"/>
  <c r="B551" i="3"/>
  <c r="B523" i="3"/>
  <c r="C622" i="3"/>
  <c r="B480" i="3"/>
  <c r="C579" i="3"/>
  <c r="E607" i="3"/>
  <c r="F508" i="3"/>
  <c r="F440" i="3"/>
  <c r="E539" i="3"/>
  <c r="F408" i="3"/>
  <c r="E507" i="3"/>
  <c r="C674" i="3"/>
  <c r="B575" i="3"/>
  <c r="E561" i="3"/>
  <c r="F462" i="3"/>
  <c r="E480" i="3"/>
  <c r="F381" i="3"/>
  <c r="B580" i="3"/>
  <c r="C679" i="3"/>
  <c r="C499" i="3"/>
  <c r="B400" i="3"/>
  <c r="C447" i="3"/>
  <c r="B348" i="3"/>
  <c r="C431" i="3"/>
  <c r="B332" i="3"/>
  <c r="F465" i="3"/>
  <c r="E564" i="3"/>
  <c r="E692" i="3"/>
  <c r="F593" i="3"/>
  <c r="F456" i="3"/>
  <c r="E555" i="3"/>
  <c r="E458" i="3"/>
  <c r="F359" i="3"/>
  <c r="E525" i="3"/>
  <c r="F426" i="3"/>
  <c r="E504" i="3"/>
  <c r="F405" i="3"/>
  <c r="E487" i="3"/>
  <c r="F388" i="3"/>
  <c r="E471" i="3"/>
  <c r="F372" i="3"/>
  <c r="F356" i="3"/>
  <c r="E455" i="3"/>
  <c r="E439" i="3"/>
  <c r="F340" i="3"/>
  <c r="E423" i="3"/>
  <c r="F324" i="3"/>
  <c r="E407" i="3"/>
  <c r="F308" i="3"/>
  <c r="B564" i="3"/>
  <c r="C663" i="3"/>
  <c r="F429" i="3"/>
  <c r="E528" i="3"/>
  <c r="E623" i="3"/>
  <c r="F524" i="3"/>
  <c r="C583" i="3"/>
  <c r="B484" i="3"/>
  <c r="C415" i="3"/>
  <c r="B316" i="3"/>
  <c r="C482" i="3"/>
  <c r="B383" i="3"/>
  <c r="C426" i="3"/>
  <c r="B327" i="3"/>
  <c r="C558" i="3"/>
  <c r="B459" i="3"/>
  <c r="E644" i="3"/>
  <c r="F545" i="3"/>
  <c r="E559" i="3"/>
  <c r="F460" i="3"/>
  <c r="F401" i="3"/>
  <c r="E500" i="3"/>
  <c r="F385" i="3"/>
  <c r="E484" i="3"/>
  <c r="E468" i="3"/>
  <c r="F369" i="3"/>
  <c r="C590" i="3"/>
  <c r="B491" i="3"/>
  <c r="C487" i="3"/>
  <c r="B388" i="3"/>
  <c r="C471" i="3"/>
  <c r="B372" i="3"/>
  <c r="C419" i="3"/>
  <c r="B320" i="3"/>
  <c r="C403" i="3"/>
  <c r="B304" i="3"/>
  <c r="C595" i="3"/>
  <c r="B496" i="3"/>
  <c r="C486" i="3"/>
  <c r="B387" i="3"/>
  <c r="B371" i="3"/>
  <c r="C470" i="3"/>
  <c r="C454" i="3"/>
  <c r="B355" i="3"/>
  <c r="B339" i="3"/>
  <c r="C438" i="3"/>
  <c r="C422" i="3"/>
  <c r="B323" i="3"/>
  <c r="B307" i="3"/>
  <c r="C406" i="3"/>
  <c r="F417" i="3"/>
  <c r="E516" i="3"/>
  <c r="E472" i="3"/>
  <c r="F373" i="3"/>
  <c r="C423" i="3"/>
  <c r="B324" i="3"/>
  <c r="C490" i="3"/>
  <c r="B391" i="3"/>
  <c r="C450" i="3"/>
  <c r="B351" i="3"/>
  <c r="C410" i="3"/>
  <c r="B311" i="3"/>
  <c r="B527" i="3"/>
  <c r="C626" i="3"/>
  <c r="B512" i="3"/>
  <c r="C611" i="3"/>
  <c r="C610" i="3"/>
  <c r="B511" i="3"/>
  <c r="E628" i="3"/>
  <c r="F529" i="3"/>
  <c r="E553" i="3"/>
  <c r="F454" i="3"/>
  <c r="B448" i="3"/>
  <c r="C547" i="3"/>
  <c r="E544" i="3"/>
  <c r="F445" i="3"/>
  <c r="B507" i="3"/>
  <c r="C606" i="3"/>
  <c r="C451" i="3"/>
  <c r="B352" i="3"/>
  <c r="C435" i="3"/>
  <c r="B336" i="3"/>
  <c r="F449" i="3"/>
  <c r="E548" i="3"/>
  <c r="E448" i="3"/>
  <c r="F349" i="3"/>
  <c r="E520" i="3"/>
  <c r="F421" i="3"/>
  <c r="E499" i="3"/>
  <c r="F400" i="3"/>
  <c r="E483" i="3"/>
  <c r="F384" i="3"/>
  <c r="E467" i="3"/>
  <c r="F368" i="3"/>
  <c r="E435" i="3"/>
  <c r="F336" i="3"/>
  <c r="E419" i="3"/>
  <c r="F320" i="3"/>
  <c r="E403" i="3"/>
  <c r="F304" i="3"/>
  <c r="C658" i="3"/>
  <c r="B559" i="3"/>
  <c r="F413" i="3"/>
  <c r="E512" i="3"/>
  <c r="E488" i="3"/>
  <c r="F389" i="3"/>
  <c r="C475" i="3"/>
  <c r="B376" i="3"/>
  <c r="E556" i="3"/>
  <c r="F457" i="3"/>
  <c r="C442" i="3"/>
  <c r="B343" i="3"/>
  <c r="C402" i="3"/>
  <c r="B303" i="3"/>
  <c r="C873" i="3"/>
  <c r="B774" i="3"/>
  <c r="E521" i="3"/>
  <c r="F422" i="3"/>
  <c r="E517" i="3"/>
  <c r="F418" i="3"/>
  <c r="E451" i="3"/>
  <c r="F352" i="3"/>
  <c r="B543" i="3"/>
  <c r="C642" i="3"/>
  <c r="C572" i="3"/>
  <c r="B473" i="3"/>
  <c r="F436" i="3"/>
  <c r="E535" i="3"/>
  <c r="B659" i="3"/>
  <c r="C758" i="3"/>
  <c r="E505" i="3"/>
  <c r="F406" i="3"/>
  <c r="C714" i="3"/>
  <c r="B615" i="3"/>
  <c r="C746" i="3"/>
  <c r="B647" i="3"/>
  <c r="E511" i="3"/>
  <c r="F412" i="3"/>
  <c r="B555" i="3"/>
  <c r="C654" i="3"/>
  <c r="C690" i="3"/>
  <c r="B591" i="3"/>
  <c r="E551" i="3"/>
  <c r="F452" i="3"/>
  <c r="F592" i="3"/>
  <c r="E691" i="3"/>
  <c r="E473" i="3"/>
  <c r="F374" i="3"/>
  <c r="C706" i="3"/>
  <c r="B607" i="3"/>
  <c r="C666" i="3"/>
  <c r="B567" i="3"/>
  <c r="B635" i="3"/>
  <c r="C734" i="3"/>
  <c r="E519" i="3"/>
  <c r="F420" i="3"/>
  <c r="B603" i="3"/>
  <c r="C702" i="3"/>
  <c r="B627" i="3"/>
  <c r="C726" i="3"/>
  <c r="F404" i="3"/>
  <c r="E503" i="3"/>
  <c r="B571" i="3"/>
  <c r="C670" i="3"/>
  <c r="B587" i="3"/>
  <c r="C686" i="3"/>
  <c r="C602" i="3"/>
  <c r="B503" i="3"/>
  <c r="E664" i="3"/>
  <c r="F565" i="3"/>
  <c r="F469" i="3"/>
  <c r="E568" i="3"/>
  <c r="F424" i="3"/>
  <c r="E523" i="3"/>
  <c r="E489" i="3"/>
  <c r="F390" i="3"/>
  <c r="C695" i="3"/>
  <c r="B596" i="3"/>
  <c r="C655" i="3"/>
  <c r="B556" i="3"/>
  <c r="F490" i="3"/>
  <c r="E589" i="3"/>
  <c r="E464" i="3"/>
  <c r="F365" i="3"/>
  <c r="C455" i="3"/>
  <c r="B356" i="3"/>
  <c r="C439" i="3"/>
  <c r="B340" i="3"/>
  <c r="F461" i="3"/>
  <c r="E560" i="3"/>
  <c r="E543" i="3"/>
  <c r="F444" i="3"/>
  <c r="F513" i="3"/>
  <c r="E612" i="3"/>
  <c r="F387" i="3"/>
  <c r="E486" i="3"/>
  <c r="E536" i="3"/>
  <c r="F437" i="3"/>
  <c r="E515" i="3"/>
  <c r="F416" i="3"/>
  <c r="E495" i="3"/>
  <c r="F396" i="3"/>
  <c r="E479" i="3"/>
  <c r="F380" i="3"/>
  <c r="E463" i="3"/>
  <c r="F364" i="3"/>
  <c r="E447" i="3"/>
  <c r="F348" i="3"/>
  <c r="E431" i="3"/>
  <c r="F332" i="3"/>
  <c r="E415" i="3"/>
  <c r="F316" i="3"/>
  <c r="C563" i="3"/>
  <c r="B464" i="3"/>
  <c r="E497" i="3"/>
  <c r="F398" i="3"/>
  <c r="E537" i="3"/>
  <c r="F438" i="3"/>
  <c r="C467" i="3"/>
  <c r="B368" i="3"/>
  <c r="E577" i="3"/>
  <c r="F478" i="3"/>
  <c r="C458" i="3"/>
  <c r="B359" i="3"/>
  <c r="B889" i="3"/>
  <c r="C988" i="3"/>
  <c r="B520" i="3"/>
  <c r="C619" i="3"/>
  <c r="B427" i="3"/>
  <c r="C526" i="3"/>
  <c r="C531" i="3"/>
  <c r="B432" i="3"/>
  <c r="F501" i="3"/>
  <c r="E600" i="3"/>
  <c r="E532" i="3"/>
  <c r="F433" i="3"/>
  <c r="E492" i="3"/>
  <c r="F393" i="3"/>
  <c r="E476" i="3"/>
  <c r="F377" i="3"/>
  <c r="C515" i="3"/>
  <c r="B416" i="3"/>
  <c r="C479" i="3"/>
  <c r="B380" i="3"/>
  <c r="C463" i="3"/>
  <c r="B364" i="3"/>
  <c r="C411" i="3"/>
  <c r="B312" i="3"/>
  <c r="E540" i="3"/>
  <c r="F441" i="3"/>
  <c r="B395" i="3"/>
  <c r="C494" i="3"/>
  <c r="C478" i="3"/>
  <c r="B379" i="3"/>
  <c r="B363" i="3"/>
  <c r="C462" i="3"/>
  <c r="C446" i="3"/>
  <c r="B347" i="3"/>
  <c r="B331" i="3"/>
  <c r="C430" i="3"/>
  <c r="C414" i="3"/>
  <c r="B315" i="3"/>
  <c r="E453" i="3"/>
  <c r="F354" i="3"/>
  <c r="B539" i="3"/>
  <c r="C638" i="3"/>
  <c r="E496" i="3"/>
  <c r="F397" i="3"/>
  <c r="C483" i="3"/>
  <c r="B384" i="3"/>
  <c r="E485" i="3"/>
  <c r="F386" i="3"/>
  <c r="C466" i="3"/>
  <c r="B367" i="3"/>
  <c r="C434" i="3"/>
  <c r="B335" i="3"/>
  <c r="C687" i="3"/>
  <c r="B588" i="3"/>
  <c r="C498" i="3"/>
  <c r="B399" i="3"/>
  <c r="C631" i="3"/>
  <c r="B532" i="3"/>
  <c r="F481" i="3"/>
  <c r="E580" i="3"/>
  <c r="F533" i="3"/>
  <c r="E632" i="3"/>
  <c r="C623" i="3"/>
  <c r="B524" i="3"/>
  <c r="C495" i="3"/>
  <c r="B396" i="3"/>
  <c r="C443" i="3"/>
  <c r="B344" i="3"/>
  <c r="E648" i="3"/>
  <c r="F549" i="3"/>
  <c r="F474" i="3"/>
  <c r="E573" i="3"/>
  <c r="E470" i="3"/>
  <c r="F371" i="3"/>
  <c r="E531" i="3"/>
  <c r="F432" i="3"/>
  <c r="E509" i="3"/>
  <c r="F410" i="3"/>
  <c r="E491" i="3"/>
  <c r="F392" i="3"/>
  <c r="E475" i="3"/>
  <c r="F376" i="3"/>
  <c r="E459" i="3"/>
  <c r="F360" i="3"/>
  <c r="E443" i="3"/>
  <c r="F344" i="3"/>
  <c r="F328" i="3"/>
  <c r="E427" i="3"/>
  <c r="E411" i="3"/>
  <c r="F312" i="3"/>
  <c r="C865" i="3"/>
  <c r="B766" i="3"/>
  <c r="C519" i="3"/>
  <c r="B420" i="3"/>
  <c r="B535" i="3"/>
  <c r="C634" i="3"/>
  <c r="C407" i="3"/>
  <c r="B308" i="3"/>
  <c r="C474" i="3"/>
  <c r="B375" i="3"/>
  <c r="C418" i="3"/>
  <c r="B319" i="3"/>
  <c r="F343" i="3"/>
  <c r="E442" i="3"/>
  <c r="AJ15" i="2"/>
  <c r="AN15" i="2"/>
  <c r="AK15" i="2"/>
  <c r="AO15" i="2"/>
  <c r="AL15" i="2"/>
  <c r="AM15" i="2"/>
  <c r="AM63" i="2"/>
  <c r="AJ63" i="2"/>
  <c r="AN63" i="2"/>
  <c r="AK63" i="2"/>
  <c r="AO63" i="2"/>
  <c r="AL63" i="2"/>
  <c r="AL30" i="2"/>
  <c r="AM30" i="2"/>
  <c r="AJ30" i="2"/>
  <c r="AN30" i="2"/>
  <c r="AK30" i="2"/>
  <c r="AO30" i="2"/>
  <c r="AL44" i="2"/>
  <c r="AM44" i="2"/>
  <c r="AJ44" i="2"/>
  <c r="AN44" i="2"/>
  <c r="AK44" i="2"/>
  <c r="AO44" i="2"/>
  <c r="AK64" i="2"/>
  <c r="AO64" i="2"/>
  <c r="AL64" i="2"/>
  <c r="AM64" i="2"/>
  <c r="AJ64" i="2"/>
  <c r="AN64" i="2"/>
  <c r="AJ19" i="2"/>
  <c r="AN19" i="2"/>
  <c r="AK19" i="2"/>
  <c r="AO19" i="2"/>
  <c r="AL19" i="2"/>
  <c r="AM19" i="2"/>
  <c r="AJ35" i="2"/>
  <c r="AN35" i="2"/>
  <c r="AK35" i="2"/>
  <c r="AO35" i="2"/>
  <c r="AL35" i="2"/>
  <c r="AM35" i="2"/>
  <c r="AJ51" i="2"/>
  <c r="AN51" i="2"/>
  <c r="AK51" i="2"/>
  <c r="AO51" i="2"/>
  <c r="AL51" i="2"/>
  <c r="AM51" i="2"/>
  <c r="AM67" i="2"/>
  <c r="AJ67" i="2"/>
  <c r="AN67" i="2"/>
  <c r="AK67" i="2"/>
  <c r="AO67" i="2"/>
  <c r="AL67" i="2"/>
  <c r="AM83" i="2"/>
  <c r="AJ83" i="2"/>
  <c r="AN83" i="2"/>
  <c r="AK83" i="2"/>
  <c r="AO83" i="2"/>
  <c r="AL83" i="2"/>
  <c r="AL6" i="2"/>
  <c r="AM6" i="2"/>
  <c r="AJ6" i="2"/>
  <c r="AN6" i="2"/>
  <c r="AK6" i="2"/>
  <c r="AO6" i="2"/>
  <c r="AL38" i="2"/>
  <c r="AM38" i="2"/>
  <c r="AJ38" i="2"/>
  <c r="AN38" i="2"/>
  <c r="AK38" i="2"/>
  <c r="AO38" i="2"/>
  <c r="AK70" i="2"/>
  <c r="AO70" i="2"/>
  <c r="AL70" i="2"/>
  <c r="AM70" i="2"/>
  <c r="AJ70" i="2"/>
  <c r="AN70" i="2"/>
  <c r="AL3" i="2"/>
  <c r="AJ3" i="2"/>
  <c r="AM3" i="2"/>
  <c r="AN3" i="2"/>
  <c r="AO3" i="2"/>
  <c r="AK3" i="2"/>
  <c r="AJ5" i="2"/>
  <c r="AN5" i="2"/>
  <c r="AK5" i="2"/>
  <c r="AO5" i="2"/>
  <c r="AL5" i="2"/>
  <c r="AM5" i="2"/>
  <c r="AJ17" i="2"/>
  <c r="AN17" i="2"/>
  <c r="AK17" i="2"/>
  <c r="AO17" i="2"/>
  <c r="AL17" i="2"/>
  <c r="AM17" i="2"/>
  <c r="AJ33" i="2"/>
  <c r="AN33" i="2"/>
  <c r="AK33" i="2"/>
  <c r="AO33" i="2"/>
  <c r="AL33" i="2"/>
  <c r="AM33" i="2"/>
  <c r="AJ45" i="2"/>
  <c r="AN45" i="2"/>
  <c r="AK45" i="2"/>
  <c r="AO45" i="2"/>
  <c r="AL45" i="2"/>
  <c r="AM45" i="2"/>
  <c r="AM61" i="2"/>
  <c r="AJ61" i="2"/>
  <c r="AN61" i="2"/>
  <c r="AK61" i="2"/>
  <c r="AO61" i="2"/>
  <c r="AL61" i="2"/>
  <c r="AM81" i="2"/>
  <c r="AJ81" i="2"/>
  <c r="AN81" i="2"/>
  <c r="AK81" i="2"/>
  <c r="AO81" i="2"/>
  <c r="AL81" i="2"/>
  <c r="AM101" i="2"/>
  <c r="AJ101" i="2"/>
  <c r="AN101" i="2"/>
  <c r="AK101" i="2"/>
  <c r="AO101" i="2"/>
  <c r="AL101" i="2"/>
  <c r="AJ21" i="2"/>
  <c r="AN21" i="2"/>
  <c r="AK21" i="2"/>
  <c r="AO21" i="2"/>
  <c r="AL21" i="2"/>
  <c r="AM21" i="2"/>
  <c r="AJ41" i="2"/>
  <c r="AN41" i="2"/>
  <c r="AK41" i="2"/>
  <c r="AO41" i="2"/>
  <c r="AL41" i="2"/>
  <c r="AM41" i="2"/>
  <c r="AJ57" i="2"/>
  <c r="AN57" i="2"/>
  <c r="AK57" i="2"/>
  <c r="AO57" i="2"/>
  <c r="AL57" i="2"/>
  <c r="AM57" i="2"/>
  <c r="AM73" i="2"/>
  <c r="AJ73" i="2"/>
  <c r="AN73" i="2"/>
  <c r="AK73" i="2"/>
  <c r="AO73" i="2"/>
  <c r="AL73" i="2"/>
  <c r="AM85" i="2"/>
  <c r="AJ85" i="2"/>
  <c r="AN85" i="2"/>
  <c r="AK85" i="2"/>
  <c r="AO85" i="2"/>
  <c r="AL85" i="2"/>
  <c r="AM97" i="2"/>
  <c r="AJ97" i="2"/>
  <c r="AN97" i="2"/>
  <c r="AK97" i="2"/>
  <c r="AO97" i="2"/>
  <c r="AL97" i="2"/>
  <c r="AL12" i="2"/>
  <c r="AM12" i="2"/>
  <c r="AJ12" i="2"/>
  <c r="AN12" i="2"/>
  <c r="AK12" i="2"/>
  <c r="AO12" i="2"/>
  <c r="AK90" i="2"/>
  <c r="AO90" i="2"/>
  <c r="AL90" i="2"/>
  <c r="AM90" i="2"/>
  <c r="AN90" i="2"/>
  <c r="AJ90" i="2"/>
  <c r="AK88" i="2"/>
  <c r="AO88" i="2"/>
  <c r="AL88" i="2"/>
  <c r="AM88" i="2"/>
  <c r="AJ88" i="2"/>
  <c r="AN88" i="2"/>
  <c r="AK76" i="2"/>
  <c r="AO76" i="2"/>
  <c r="AL76" i="2"/>
  <c r="AM76" i="2"/>
  <c r="AJ76" i="2"/>
  <c r="AN76" i="2"/>
  <c r="AL4" i="2"/>
  <c r="AM4" i="2"/>
  <c r="AJ4" i="2"/>
  <c r="AN4" i="2"/>
  <c r="AK4" i="2"/>
  <c r="AO4" i="2"/>
  <c r="AJ31" i="2"/>
  <c r="AN31" i="2"/>
  <c r="AK31" i="2"/>
  <c r="AO31" i="2"/>
  <c r="AL31" i="2"/>
  <c r="AM31" i="2"/>
  <c r="AM79" i="2"/>
  <c r="AJ79" i="2"/>
  <c r="AN79" i="2"/>
  <c r="AK79" i="2"/>
  <c r="AO79" i="2"/>
  <c r="AL79" i="2"/>
  <c r="AK62" i="2"/>
  <c r="AO62" i="2"/>
  <c r="AL62" i="2"/>
  <c r="AM62" i="2"/>
  <c r="AJ62" i="2"/>
  <c r="AN62" i="2"/>
  <c r="L6" i="2"/>
  <c r="AJ7" i="2"/>
  <c r="AN7" i="2"/>
  <c r="AK7" i="2"/>
  <c r="AO7" i="2"/>
  <c r="AL7" i="2"/>
  <c r="AM7" i="2"/>
  <c r="AJ23" i="2"/>
  <c r="AN23" i="2"/>
  <c r="AK23" i="2"/>
  <c r="AO23" i="2"/>
  <c r="AL23" i="2"/>
  <c r="AM23" i="2"/>
  <c r="AJ39" i="2"/>
  <c r="AN39" i="2"/>
  <c r="AK39" i="2"/>
  <c r="AO39" i="2"/>
  <c r="AL39" i="2"/>
  <c r="AM39" i="2"/>
  <c r="AJ55" i="2"/>
  <c r="AN55" i="2"/>
  <c r="AK55" i="2"/>
  <c r="AO55" i="2"/>
  <c r="AL55" i="2"/>
  <c r="AM55" i="2"/>
  <c r="AM71" i="2"/>
  <c r="AJ71" i="2"/>
  <c r="AN71" i="2"/>
  <c r="AK71" i="2"/>
  <c r="AO71" i="2"/>
  <c r="AL71" i="2"/>
  <c r="AM87" i="2"/>
  <c r="AJ87" i="2"/>
  <c r="AN87" i="2"/>
  <c r="AK87" i="2"/>
  <c r="AO87" i="2"/>
  <c r="AL87" i="2"/>
  <c r="AL14" i="2"/>
  <c r="AM14" i="2"/>
  <c r="AJ14" i="2"/>
  <c r="AN14" i="2"/>
  <c r="AK14" i="2"/>
  <c r="AO14" i="2"/>
  <c r="AL46" i="2"/>
  <c r="AM46" i="2"/>
  <c r="AJ46" i="2"/>
  <c r="AN46" i="2"/>
  <c r="AK46" i="2"/>
  <c r="AO46" i="2"/>
  <c r="AK78" i="2"/>
  <c r="AO78" i="2"/>
  <c r="AL78" i="2"/>
  <c r="AM78" i="2"/>
  <c r="AJ78" i="2"/>
  <c r="AN78" i="2"/>
  <c r="AL28" i="2"/>
  <c r="AM28" i="2"/>
  <c r="AJ28" i="2"/>
  <c r="AN28" i="2"/>
  <c r="AK28" i="2"/>
  <c r="AO28" i="2"/>
  <c r="AL8" i="2"/>
  <c r="AM8" i="2"/>
  <c r="AJ8" i="2"/>
  <c r="AN8" i="2"/>
  <c r="AK8" i="2"/>
  <c r="AO8" i="2"/>
  <c r="AK92" i="2"/>
  <c r="AO92" i="2"/>
  <c r="AL92" i="2"/>
  <c r="AM92" i="2"/>
  <c r="AJ92" i="2"/>
  <c r="AN92" i="2"/>
  <c r="AJ47" i="2"/>
  <c r="AN47" i="2"/>
  <c r="AK47" i="2"/>
  <c r="AO47" i="2"/>
  <c r="AL47" i="2"/>
  <c r="AM47" i="2"/>
  <c r="AK94" i="2"/>
  <c r="AO94" i="2"/>
  <c r="AL94" i="2"/>
  <c r="AM94" i="2"/>
  <c r="AJ94" i="2"/>
  <c r="AN94" i="2"/>
  <c r="AL56" i="2"/>
  <c r="AM56" i="2"/>
  <c r="AJ56" i="2"/>
  <c r="AN56" i="2"/>
  <c r="AK56" i="2"/>
  <c r="AO56" i="2"/>
  <c r="AJ11" i="2"/>
  <c r="AN11" i="2"/>
  <c r="AK11" i="2"/>
  <c r="AO11" i="2"/>
  <c r="AL11" i="2"/>
  <c r="AM11" i="2"/>
  <c r="AJ27" i="2"/>
  <c r="AN27" i="2"/>
  <c r="AK27" i="2"/>
  <c r="AO27" i="2"/>
  <c r="AL27" i="2"/>
  <c r="AM27" i="2"/>
  <c r="AJ43" i="2"/>
  <c r="AN43" i="2"/>
  <c r="AK43" i="2"/>
  <c r="AO43" i="2"/>
  <c r="AL43" i="2"/>
  <c r="AM43" i="2"/>
  <c r="AJ59" i="2"/>
  <c r="AN59" i="2"/>
  <c r="AK59" i="2"/>
  <c r="AO59" i="2"/>
  <c r="AL59" i="2"/>
  <c r="AM59" i="2"/>
  <c r="AM75" i="2"/>
  <c r="AJ75" i="2"/>
  <c r="AN75" i="2"/>
  <c r="AK75" i="2"/>
  <c r="AO75" i="2"/>
  <c r="AL75" i="2"/>
  <c r="AL22" i="2"/>
  <c r="AM22" i="2"/>
  <c r="AJ22" i="2"/>
  <c r="AN22" i="2"/>
  <c r="AK22" i="2"/>
  <c r="AO22" i="2"/>
  <c r="AL54" i="2"/>
  <c r="AM54" i="2"/>
  <c r="AJ54" i="2"/>
  <c r="AN54" i="2"/>
  <c r="AK54" i="2"/>
  <c r="AO54" i="2"/>
  <c r="AK86" i="2"/>
  <c r="AO86" i="2"/>
  <c r="AL86" i="2"/>
  <c r="AM86" i="2"/>
  <c r="AJ86" i="2"/>
  <c r="AN86" i="2"/>
  <c r="AJ13" i="2"/>
  <c r="AN13" i="2"/>
  <c r="AK13" i="2"/>
  <c r="AO13" i="2"/>
  <c r="AL13" i="2"/>
  <c r="AM13" i="2"/>
  <c r="AJ25" i="2"/>
  <c r="AN25" i="2"/>
  <c r="AK25" i="2"/>
  <c r="AO25" i="2"/>
  <c r="AL25" i="2"/>
  <c r="AM25" i="2"/>
  <c r="AJ37" i="2"/>
  <c r="AN37" i="2"/>
  <c r="AK37" i="2"/>
  <c r="AO37" i="2"/>
  <c r="AL37" i="2"/>
  <c r="AM37" i="2"/>
  <c r="AJ53" i="2"/>
  <c r="AN53" i="2"/>
  <c r="AK53" i="2"/>
  <c r="AO53" i="2"/>
  <c r="AL53" i="2"/>
  <c r="AM53" i="2"/>
  <c r="AM69" i="2"/>
  <c r="AJ69" i="2"/>
  <c r="AN69" i="2"/>
  <c r="AK69" i="2"/>
  <c r="AO69" i="2"/>
  <c r="AL69" i="2"/>
  <c r="AM93" i="2"/>
  <c r="AJ93" i="2"/>
  <c r="AN93" i="2"/>
  <c r="AK93" i="2"/>
  <c r="AO93" i="2"/>
  <c r="AL93" i="2"/>
  <c r="AJ9" i="2"/>
  <c r="AN9" i="2"/>
  <c r="AK9" i="2"/>
  <c r="AO9" i="2"/>
  <c r="AL9" i="2"/>
  <c r="AM9" i="2"/>
  <c r="AJ29" i="2"/>
  <c r="AN29" i="2"/>
  <c r="AK29" i="2"/>
  <c r="AO29" i="2"/>
  <c r="AL29" i="2"/>
  <c r="AM29" i="2"/>
  <c r="AJ49" i="2"/>
  <c r="AN49" i="2"/>
  <c r="AK49" i="2"/>
  <c r="AO49" i="2"/>
  <c r="AL49" i="2"/>
  <c r="AM49" i="2"/>
  <c r="AM65" i="2"/>
  <c r="AJ65" i="2"/>
  <c r="AN65" i="2"/>
  <c r="AK65" i="2"/>
  <c r="AO65" i="2"/>
  <c r="AL65" i="2"/>
  <c r="AM77" i="2"/>
  <c r="AJ77" i="2"/>
  <c r="AN77" i="2"/>
  <c r="AK77" i="2"/>
  <c r="AO77" i="2"/>
  <c r="AL77" i="2"/>
  <c r="AM89" i="2"/>
  <c r="AJ89" i="2"/>
  <c r="AN89" i="2"/>
  <c r="AK89" i="2"/>
  <c r="AO89" i="2"/>
  <c r="AL89" i="2"/>
  <c r="AL36" i="2"/>
  <c r="AM36" i="2"/>
  <c r="AJ36" i="2"/>
  <c r="AN36" i="2"/>
  <c r="AK36" i="2"/>
  <c r="AO36" i="2"/>
  <c r="AL20" i="2"/>
  <c r="AM20" i="2"/>
  <c r="AJ20" i="2"/>
  <c r="AN20" i="2"/>
  <c r="AK20" i="2"/>
  <c r="AO20" i="2"/>
  <c r="K8" i="2"/>
  <c r="L7" i="2"/>
  <c r="E699" i="3" l="1"/>
  <c r="F600" i="3"/>
  <c r="C625" i="3"/>
  <c r="B526" i="3"/>
  <c r="E688" i="3"/>
  <c r="F589" i="3"/>
  <c r="E622" i="3"/>
  <c r="F523" i="3"/>
  <c r="C801" i="3"/>
  <c r="B702" i="3"/>
  <c r="E790" i="3"/>
  <c r="F691" i="3"/>
  <c r="B438" i="3"/>
  <c r="C537" i="3"/>
  <c r="C778" i="3"/>
  <c r="B679" i="3"/>
  <c r="E606" i="3"/>
  <c r="F507" i="3"/>
  <c r="C849" i="3"/>
  <c r="B750" i="3"/>
  <c r="C517" i="3"/>
  <c r="B418" i="3"/>
  <c r="C506" i="3"/>
  <c r="B407" i="3"/>
  <c r="C618" i="3"/>
  <c r="B519" i="3"/>
  <c r="E510" i="3"/>
  <c r="F411" i="3"/>
  <c r="E542" i="3"/>
  <c r="F443" i="3"/>
  <c r="E574" i="3"/>
  <c r="F475" i="3"/>
  <c r="E608" i="3"/>
  <c r="F509" i="3"/>
  <c r="E569" i="3"/>
  <c r="F470" i="3"/>
  <c r="E747" i="3"/>
  <c r="F648" i="3"/>
  <c r="C594" i="3"/>
  <c r="B495" i="3"/>
  <c r="C730" i="3"/>
  <c r="B631" i="3"/>
  <c r="C786" i="3"/>
  <c r="B687" i="3"/>
  <c r="C565" i="3"/>
  <c r="B466" i="3"/>
  <c r="C582" i="3"/>
  <c r="B483" i="3"/>
  <c r="C513" i="3"/>
  <c r="B414" i="3"/>
  <c r="C545" i="3"/>
  <c r="B446" i="3"/>
  <c r="C577" i="3"/>
  <c r="B478" i="3"/>
  <c r="E639" i="3"/>
  <c r="F540" i="3"/>
  <c r="C562" i="3"/>
  <c r="B463" i="3"/>
  <c r="B515" i="3"/>
  <c r="C614" i="3"/>
  <c r="E591" i="3"/>
  <c r="F492" i="3"/>
  <c r="E676" i="3"/>
  <c r="F577" i="3"/>
  <c r="E636" i="3"/>
  <c r="F537" i="3"/>
  <c r="C662" i="3"/>
  <c r="B563" i="3"/>
  <c r="E530" i="3"/>
  <c r="F431" i="3"/>
  <c r="E562" i="3"/>
  <c r="F463" i="3"/>
  <c r="E594" i="3"/>
  <c r="F495" i="3"/>
  <c r="E635" i="3"/>
  <c r="F536" i="3"/>
  <c r="B455" i="3"/>
  <c r="C554" i="3"/>
  <c r="C794" i="3"/>
  <c r="B695" i="3"/>
  <c r="E763" i="3"/>
  <c r="F664" i="3"/>
  <c r="C805" i="3"/>
  <c r="B706" i="3"/>
  <c r="C789" i="3"/>
  <c r="B690" i="3"/>
  <c r="E610" i="3"/>
  <c r="F511" i="3"/>
  <c r="C813" i="3"/>
  <c r="B714" i="3"/>
  <c r="B572" i="3"/>
  <c r="C671" i="3"/>
  <c r="E550" i="3"/>
  <c r="F451" i="3"/>
  <c r="E620" i="3"/>
  <c r="F521" i="3"/>
  <c r="C501" i="3"/>
  <c r="B402" i="3"/>
  <c r="E655" i="3"/>
  <c r="F556" i="3"/>
  <c r="F488" i="3"/>
  <c r="E587" i="3"/>
  <c r="C757" i="3"/>
  <c r="B658" i="3"/>
  <c r="E518" i="3"/>
  <c r="F419" i="3"/>
  <c r="E566" i="3"/>
  <c r="F467" i="3"/>
  <c r="E598" i="3"/>
  <c r="F499" i="3"/>
  <c r="E547" i="3"/>
  <c r="F448" i="3"/>
  <c r="C534" i="3"/>
  <c r="B435" i="3"/>
  <c r="E727" i="3"/>
  <c r="F628" i="3"/>
  <c r="C509" i="3"/>
  <c r="B410" i="3"/>
  <c r="C589" i="3"/>
  <c r="B490" i="3"/>
  <c r="F472" i="3"/>
  <c r="E571" i="3"/>
  <c r="C694" i="3"/>
  <c r="B595" i="3"/>
  <c r="C518" i="3"/>
  <c r="B419" i="3"/>
  <c r="B487" i="3"/>
  <c r="C586" i="3"/>
  <c r="E567" i="3"/>
  <c r="F468" i="3"/>
  <c r="E743" i="3"/>
  <c r="F644" i="3"/>
  <c r="C525" i="3"/>
  <c r="B426" i="3"/>
  <c r="C514" i="3"/>
  <c r="B415" i="3"/>
  <c r="E722" i="3"/>
  <c r="F623" i="3"/>
  <c r="E522" i="3"/>
  <c r="F423" i="3"/>
  <c r="E586" i="3"/>
  <c r="F487" i="3"/>
  <c r="E624" i="3"/>
  <c r="F525" i="3"/>
  <c r="C546" i="3"/>
  <c r="B447" i="3"/>
  <c r="E660" i="3"/>
  <c r="F561" i="3"/>
  <c r="E706" i="3"/>
  <c r="F607" i="3"/>
  <c r="C837" i="3"/>
  <c r="B738" i="3"/>
  <c r="C737" i="3"/>
  <c r="B638" i="3"/>
  <c r="E711" i="3"/>
  <c r="F612" i="3"/>
  <c r="C785" i="3"/>
  <c r="B686" i="3"/>
  <c r="C705" i="3"/>
  <c r="B606" i="3"/>
  <c r="E599" i="3"/>
  <c r="F500" i="3"/>
  <c r="E663" i="3"/>
  <c r="F564" i="3"/>
  <c r="C721" i="3"/>
  <c r="B622" i="3"/>
  <c r="F399" i="3"/>
  <c r="E498" i="3"/>
  <c r="E541" i="3"/>
  <c r="F442" i="3"/>
  <c r="C733" i="3"/>
  <c r="B634" i="3"/>
  <c r="E526" i="3"/>
  <c r="F427" i="3"/>
  <c r="E672" i="3"/>
  <c r="F573" i="3"/>
  <c r="E679" i="3"/>
  <c r="F580" i="3"/>
  <c r="C529" i="3"/>
  <c r="B430" i="3"/>
  <c r="C561" i="3"/>
  <c r="B462" i="3"/>
  <c r="C593" i="3"/>
  <c r="B494" i="3"/>
  <c r="B619" i="3"/>
  <c r="C718" i="3"/>
  <c r="F486" i="3"/>
  <c r="E585" i="3"/>
  <c r="E667" i="3"/>
  <c r="F568" i="3"/>
  <c r="C769" i="3"/>
  <c r="B670" i="3"/>
  <c r="C825" i="3"/>
  <c r="B726" i="3"/>
  <c r="C753" i="3"/>
  <c r="B654" i="3"/>
  <c r="E634" i="3"/>
  <c r="F535" i="3"/>
  <c r="C741" i="3"/>
  <c r="B642" i="3"/>
  <c r="E611" i="3"/>
  <c r="F512" i="3"/>
  <c r="E647" i="3"/>
  <c r="F548" i="3"/>
  <c r="C725" i="3"/>
  <c r="B626" i="3"/>
  <c r="E615" i="3"/>
  <c r="F516" i="3"/>
  <c r="E583" i="3"/>
  <c r="F484" i="3"/>
  <c r="F528" i="3"/>
  <c r="E627" i="3"/>
  <c r="E638" i="3"/>
  <c r="F539" i="3"/>
  <c r="C678" i="3"/>
  <c r="B579" i="3"/>
  <c r="E774" i="3"/>
  <c r="F675" i="3"/>
  <c r="F581" i="3"/>
  <c r="E680" i="3"/>
  <c r="C797" i="3"/>
  <c r="B698" i="3"/>
  <c r="E626" i="3"/>
  <c r="F527" i="3"/>
  <c r="E731" i="3"/>
  <c r="F632" i="3"/>
  <c r="B988" i="3"/>
  <c r="F560" i="3"/>
  <c r="E659" i="3"/>
  <c r="E602" i="3"/>
  <c r="F503" i="3"/>
  <c r="C833" i="3"/>
  <c r="B734" i="3"/>
  <c r="C857" i="3"/>
  <c r="B758" i="3"/>
  <c r="C646" i="3"/>
  <c r="B547" i="3"/>
  <c r="B611" i="3"/>
  <c r="C710" i="3"/>
  <c r="B406" i="3"/>
  <c r="C505" i="3"/>
  <c r="C569" i="3"/>
  <c r="B470" i="3"/>
  <c r="C762" i="3"/>
  <c r="B663" i="3"/>
  <c r="E554" i="3"/>
  <c r="F455" i="3"/>
  <c r="E654" i="3"/>
  <c r="F555" i="3"/>
  <c r="C573" i="3"/>
  <c r="B474" i="3"/>
  <c r="B865" i="3"/>
  <c r="C964" i="3"/>
  <c r="E558" i="3"/>
  <c r="F459" i="3"/>
  <c r="E590" i="3"/>
  <c r="F491" i="3"/>
  <c r="E630" i="3"/>
  <c r="F531" i="3"/>
  <c r="C542" i="3"/>
  <c r="B443" i="3"/>
  <c r="C722" i="3"/>
  <c r="B623" i="3"/>
  <c r="C597" i="3"/>
  <c r="B498" i="3"/>
  <c r="C533" i="3"/>
  <c r="B434" i="3"/>
  <c r="F485" i="3"/>
  <c r="E584" i="3"/>
  <c r="E595" i="3"/>
  <c r="F496" i="3"/>
  <c r="E552" i="3"/>
  <c r="F453" i="3"/>
  <c r="C510" i="3"/>
  <c r="B411" i="3"/>
  <c r="C578" i="3"/>
  <c r="B479" i="3"/>
  <c r="E575" i="3"/>
  <c r="F476" i="3"/>
  <c r="E631" i="3"/>
  <c r="F532" i="3"/>
  <c r="C630" i="3"/>
  <c r="B531" i="3"/>
  <c r="C557" i="3"/>
  <c r="B458" i="3"/>
  <c r="C566" i="3"/>
  <c r="B467" i="3"/>
  <c r="F497" i="3"/>
  <c r="E596" i="3"/>
  <c r="E514" i="3"/>
  <c r="F415" i="3"/>
  <c r="E546" i="3"/>
  <c r="F447" i="3"/>
  <c r="E578" i="3"/>
  <c r="F479" i="3"/>
  <c r="E614" i="3"/>
  <c r="F515" i="3"/>
  <c r="E642" i="3"/>
  <c r="F543" i="3"/>
  <c r="C538" i="3"/>
  <c r="B439" i="3"/>
  <c r="E563" i="3"/>
  <c r="F464" i="3"/>
  <c r="C754" i="3"/>
  <c r="B655" i="3"/>
  <c r="E588" i="3"/>
  <c r="F489" i="3"/>
  <c r="C701" i="3"/>
  <c r="B602" i="3"/>
  <c r="E618" i="3"/>
  <c r="F519" i="3"/>
  <c r="C765" i="3"/>
  <c r="B666" i="3"/>
  <c r="E572" i="3"/>
  <c r="F473" i="3"/>
  <c r="E650" i="3"/>
  <c r="F551" i="3"/>
  <c r="C845" i="3"/>
  <c r="B746" i="3"/>
  <c r="E604" i="3"/>
  <c r="F505" i="3"/>
  <c r="F517" i="3"/>
  <c r="E616" i="3"/>
  <c r="B873" i="3"/>
  <c r="C972" i="3"/>
  <c r="C541" i="3"/>
  <c r="B442" i="3"/>
  <c r="C574" i="3"/>
  <c r="B475" i="3"/>
  <c r="E502" i="3"/>
  <c r="F403" i="3"/>
  <c r="E534" i="3"/>
  <c r="F435" i="3"/>
  <c r="E582" i="3"/>
  <c r="F483" i="3"/>
  <c r="E619" i="3"/>
  <c r="F520" i="3"/>
  <c r="C550" i="3"/>
  <c r="B451" i="3"/>
  <c r="F544" i="3"/>
  <c r="E643" i="3"/>
  <c r="E652" i="3"/>
  <c r="F553" i="3"/>
  <c r="C709" i="3"/>
  <c r="B610" i="3"/>
  <c r="C549" i="3"/>
  <c r="B450" i="3"/>
  <c r="C522" i="3"/>
  <c r="B423" i="3"/>
  <c r="C521" i="3"/>
  <c r="B422" i="3"/>
  <c r="C553" i="3"/>
  <c r="B454" i="3"/>
  <c r="C585" i="3"/>
  <c r="B486" i="3"/>
  <c r="C502" i="3"/>
  <c r="B403" i="3"/>
  <c r="C570" i="3"/>
  <c r="B471" i="3"/>
  <c r="C689" i="3"/>
  <c r="B590" i="3"/>
  <c r="E658" i="3"/>
  <c r="F559" i="3"/>
  <c r="C657" i="3"/>
  <c r="B558" i="3"/>
  <c r="C581" i="3"/>
  <c r="B482" i="3"/>
  <c r="C682" i="3"/>
  <c r="B583" i="3"/>
  <c r="E506" i="3"/>
  <c r="F407" i="3"/>
  <c r="E538" i="3"/>
  <c r="F439" i="3"/>
  <c r="E570" i="3"/>
  <c r="F471" i="3"/>
  <c r="E603" i="3"/>
  <c r="F504" i="3"/>
  <c r="E557" i="3"/>
  <c r="F458" i="3"/>
  <c r="E791" i="3"/>
  <c r="F692" i="3"/>
  <c r="C530" i="3"/>
  <c r="B431" i="3"/>
  <c r="C598" i="3"/>
  <c r="B499" i="3"/>
  <c r="E579" i="3"/>
  <c r="F480" i="3"/>
  <c r="C773" i="3"/>
  <c r="B674" i="3"/>
  <c r="C749" i="3"/>
  <c r="B650" i="3"/>
  <c r="K9" i="2"/>
  <c r="L8" i="2"/>
  <c r="AI97" i="3"/>
  <c r="T805" i="3"/>
  <c r="AI353" i="3"/>
  <c r="T975" i="3"/>
  <c r="AI555" i="3"/>
  <c r="T1060" i="3"/>
  <c r="T912" i="3"/>
  <c r="I39" i="3"/>
  <c r="AI983" i="3"/>
  <c r="T919" i="3"/>
  <c r="AI850" i="3"/>
  <c r="T450" i="3"/>
  <c r="AI633" i="3"/>
  <c r="T552" i="3"/>
  <c r="T653" i="3"/>
  <c r="AG11" i="3"/>
  <c r="AI636" i="3"/>
  <c r="T704" i="3"/>
  <c r="AI92" i="3"/>
  <c r="T523" i="3"/>
  <c r="AI499" i="3"/>
  <c r="T484" i="3"/>
  <c r="I53" i="3"/>
  <c r="AG3" i="3"/>
  <c r="AI995" i="3"/>
  <c r="T475" i="3"/>
  <c r="AI872" i="3"/>
  <c r="T520" i="3"/>
  <c r="AI645" i="3"/>
  <c r="I70" i="3"/>
  <c r="M5" i="3"/>
  <c r="R96" i="3"/>
  <c r="T996" i="3"/>
  <c r="S39" i="3"/>
  <c r="K35" i="3"/>
  <c r="AE71" i="3"/>
  <c r="AI35" i="3"/>
  <c r="T353" i="3"/>
  <c r="AI257" i="3"/>
  <c r="T847" i="3"/>
  <c r="T744" i="3"/>
  <c r="AI98" i="3"/>
  <c r="AG5" i="3"/>
  <c r="AI997" i="3"/>
  <c r="AI41" i="3"/>
  <c r="AI522" i="3"/>
  <c r="AI351" i="3"/>
  <c r="AI650" i="3"/>
  <c r="AF74" i="3"/>
  <c r="AI314" i="3"/>
  <c r="AD31" i="3"/>
  <c r="T153" i="3"/>
  <c r="AI135" i="3"/>
  <c r="T270" i="3"/>
  <c r="AI373" i="3"/>
  <c r="T650" i="3"/>
  <c r="R57" i="3"/>
  <c r="AI488" i="3"/>
  <c r="N65" i="3"/>
  <c r="T70" i="3"/>
  <c r="AI141" i="3"/>
  <c r="T203" i="3"/>
  <c r="AI451" i="3"/>
  <c r="T951" i="3"/>
  <c r="AI126" i="3"/>
  <c r="Q70" i="3"/>
  <c r="M14" i="3"/>
  <c r="AG86" i="3"/>
  <c r="AI375" i="3"/>
  <c r="AI138" i="3"/>
  <c r="U13" i="3"/>
  <c r="K50" i="3"/>
  <c r="AI579" i="3"/>
  <c r="R89" i="3"/>
  <c r="AH52" i="3"/>
  <c r="AC60" i="3"/>
  <c r="AI357" i="3"/>
  <c r="AI162" i="3"/>
  <c r="AD36" i="3"/>
  <c r="Q41" i="3"/>
  <c r="AI689" i="3"/>
  <c r="AI8" i="3"/>
  <c r="T833" i="3"/>
  <c r="R8" i="3"/>
  <c r="AI435" i="3"/>
  <c r="AI378" i="3"/>
  <c r="T123" i="3"/>
  <c r="AH45" i="3"/>
  <c r="AI726" i="3"/>
  <c r="AI1081" i="3"/>
  <c r="T106" i="3"/>
  <c r="AG37" i="3"/>
  <c r="AI441" i="3"/>
  <c r="AI750" i="3"/>
  <c r="T963" i="3"/>
  <c r="I89" i="3"/>
  <c r="AI639" i="3"/>
  <c r="AI1069" i="3"/>
  <c r="T741" i="3"/>
  <c r="S34" i="3"/>
  <c r="AI446" i="3"/>
  <c r="P40" i="3"/>
  <c r="T635" i="3"/>
  <c r="O58" i="3"/>
  <c r="AI773" i="3"/>
  <c r="T276" i="3"/>
  <c r="T905" i="3"/>
  <c r="AC63" i="3"/>
  <c r="AI898" i="3"/>
  <c r="AH35" i="3"/>
  <c r="AF37" i="3"/>
  <c r="R36" i="3"/>
  <c r="AI881" i="3"/>
  <c r="AI483" i="3"/>
  <c r="T1078" i="3"/>
  <c r="U90" i="3"/>
  <c r="AI875" i="3"/>
  <c r="Q37" i="3"/>
  <c r="S74" i="3"/>
  <c r="U100" i="3"/>
  <c r="AI785" i="3"/>
  <c r="T76" i="3"/>
  <c r="AH26" i="3"/>
  <c r="AC73" i="3"/>
  <c r="AI946" i="3"/>
  <c r="S3" i="3"/>
  <c r="T481" i="3"/>
  <c r="AI664" i="3"/>
  <c r="S9" i="3"/>
  <c r="AI204" i="3"/>
  <c r="AF8" i="3"/>
  <c r="AI614" i="3"/>
  <c r="Q17" i="3"/>
  <c r="T354" i="3"/>
  <c r="N18" i="3"/>
  <c r="AI1015" i="3"/>
  <c r="T969" i="3"/>
  <c r="AI892" i="3"/>
  <c r="T15" i="3"/>
  <c r="AI665" i="3"/>
  <c r="T871" i="3"/>
  <c r="T451" i="3"/>
  <c r="N23" i="3"/>
  <c r="AI732" i="3"/>
  <c r="T207" i="3"/>
  <c r="AI471" i="3"/>
  <c r="T728" i="3"/>
  <c r="AI819" i="3"/>
  <c r="T1000" i="3"/>
  <c r="R12" i="3"/>
  <c r="AI611" i="3"/>
  <c r="AI1091" i="3"/>
  <c r="T9" i="3"/>
  <c r="AI968" i="3"/>
  <c r="T913" i="3"/>
  <c r="AI741" i="3"/>
  <c r="AE15" i="3"/>
  <c r="AC38" i="3"/>
  <c r="AI651" i="3"/>
  <c r="AC42" i="3"/>
  <c r="AI526" i="3"/>
  <c r="U91" i="3"/>
  <c r="T150" i="3"/>
  <c r="AI195" i="3"/>
  <c r="N16" i="3"/>
  <c r="AI417" i="3"/>
  <c r="AI993" i="3"/>
  <c r="AF77" i="3"/>
  <c r="T906" i="3"/>
  <c r="AC10" i="3"/>
  <c r="K90" i="3"/>
  <c r="AI688" i="3"/>
  <c r="Q50" i="3"/>
  <c r="AI924" i="3"/>
  <c r="AI1049" i="3"/>
  <c r="P55" i="3"/>
  <c r="AI504" i="3"/>
  <c r="O40" i="3"/>
  <c r="N86" i="3"/>
  <c r="AI1071" i="3"/>
  <c r="AE31" i="3"/>
  <c r="AI348" i="3"/>
  <c r="T532" i="3"/>
  <c r="AF22" i="3"/>
  <c r="AE64" i="3"/>
  <c r="N81" i="3"/>
  <c r="I45" i="3"/>
  <c r="AI708" i="3"/>
  <c r="S38" i="3"/>
  <c r="AI944" i="3"/>
  <c r="N78" i="3"/>
  <c r="AI709" i="3"/>
  <c r="AI1026" i="3"/>
  <c r="I41" i="3"/>
  <c r="S99" i="3"/>
  <c r="AI260" i="3"/>
  <c r="AI1050" i="3"/>
  <c r="K31" i="3"/>
  <c r="N58" i="3"/>
  <c r="AI763" i="3"/>
  <c r="AI1058" i="3"/>
  <c r="AE51" i="3"/>
  <c r="U75" i="3"/>
  <c r="AI492" i="3"/>
  <c r="T269" i="3"/>
  <c r="AE56" i="3"/>
  <c r="O74" i="3"/>
  <c r="AI721" i="3"/>
  <c r="AI774" i="3"/>
  <c r="T244" i="3"/>
  <c r="O18" i="3"/>
  <c r="AI992" i="3"/>
  <c r="T314" i="3"/>
  <c r="T100" i="3"/>
  <c r="AE73" i="3"/>
  <c r="AI803" i="3"/>
  <c r="T32" i="3"/>
  <c r="T426" i="3"/>
  <c r="AH7" i="3"/>
  <c r="AI517" i="3"/>
  <c r="T662" i="3"/>
  <c r="T297" i="3"/>
  <c r="N11" i="3"/>
  <c r="AI877" i="3"/>
  <c r="T68" i="3"/>
  <c r="T738" i="3"/>
  <c r="AG34" i="3"/>
  <c r="AI871" i="3"/>
  <c r="P39" i="3"/>
  <c r="AH48" i="3"/>
  <c r="AG98" i="3"/>
  <c r="AI869" i="3"/>
  <c r="T190" i="3"/>
  <c r="U35" i="3"/>
  <c r="M97" i="3"/>
  <c r="AI612" i="3"/>
  <c r="AI764" i="3"/>
  <c r="AG39" i="3"/>
  <c r="U87" i="3"/>
  <c r="AI977" i="3"/>
  <c r="T1044" i="3"/>
  <c r="O59" i="3"/>
  <c r="AG99" i="3"/>
  <c r="AI971" i="3"/>
  <c r="AI772" i="3"/>
  <c r="U58" i="3"/>
  <c r="AI453" i="3"/>
  <c r="AI1038" i="3"/>
  <c r="AF64" i="3"/>
  <c r="U25" i="3"/>
  <c r="AI655" i="3"/>
  <c r="T499" i="3"/>
  <c r="AI730" i="3"/>
  <c r="AI302" i="3"/>
  <c r="AI760" i="3"/>
  <c r="P15" i="3"/>
  <c r="AI508" i="3"/>
  <c r="AC14" i="3"/>
  <c r="AI873" i="3"/>
  <c r="AI78" i="3"/>
  <c r="M89" i="3"/>
  <c r="AI334" i="3"/>
  <c r="T11" i="3"/>
  <c r="AI127" i="3"/>
  <c r="T384" i="3"/>
  <c r="AI349" i="3"/>
  <c r="T933" i="3"/>
  <c r="AI278" i="3"/>
  <c r="R15" i="3"/>
  <c r="AI296" i="3"/>
  <c r="AI854" i="3"/>
  <c r="AI149" i="3"/>
  <c r="AI1018" i="3"/>
  <c r="AI459" i="3"/>
  <c r="T101" i="3"/>
  <c r="AI464" i="3"/>
  <c r="K61" i="3"/>
  <c r="AI410" i="3"/>
  <c r="T81" i="3"/>
  <c r="AI203" i="3"/>
  <c r="T541" i="3"/>
  <c r="AI409" i="3"/>
  <c r="T242" i="3"/>
  <c r="AI574" i="3"/>
  <c r="K48" i="3"/>
  <c r="AI666" i="3"/>
  <c r="P48" i="3"/>
  <c r="T156" i="3"/>
  <c r="AD30" i="3"/>
  <c r="I61" i="3"/>
  <c r="AI1067" i="3"/>
  <c r="AE75" i="3"/>
  <c r="AI460" i="3"/>
  <c r="T63" i="3"/>
  <c r="M32" i="3"/>
  <c r="T938" i="3"/>
  <c r="R27" i="3"/>
  <c r="AE80" i="3"/>
  <c r="AI720" i="3"/>
  <c r="N73" i="3"/>
  <c r="AI956" i="3"/>
  <c r="T1037" i="3"/>
  <c r="M67" i="3"/>
  <c r="T673" i="3"/>
  <c r="M36" i="3"/>
  <c r="AH65" i="3"/>
  <c r="AI160" i="3"/>
  <c r="Q82" i="3"/>
  <c r="AI545" i="3"/>
  <c r="T306" i="3"/>
  <c r="K78" i="3"/>
  <c r="K19" i="3"/>
  <c r="O79" i="3"/>
  <c r="AC94" i="3"/>
  <c r="AI804" i="3"/>
  <c r="N77" i="3"/>
  <c r="AI1040" i="3"/>
  <c r="P75" i="3"/>
  <c r="AI805" i="3"/>
  <c r="T200" i="3"/>
  <c r="AE7" i="3"/>
  <c r="P101" i="3"/>
  <c r="AI1028" i="3"/>
  <c r="T752" i="3"/>
  <c r="AG30" i="3"/>
  <c r="U63" i="3"/>
  <c r="AI913" i="3"/>
  <c r="T622" i="3"/>
  <c r="Q55" i="3"/>
  <c r="AD88" i="3"/>
  <c r="AI529" i="3"/>
  <c r="T794" i="3"/>
  <c r="AF60" i="3"/>
  <c r="AI389" i="3"/>
  <c r="AI320" i="3"/>
  <c r="T907" i="3"/>
  <c r="I56" i="3"/>
  <c r="R75" i="3"/>
  <c r="AI1024" i="3"/>
  <c r="T410" i="3"/>
  <c r="AH50" i="3"/>
  <c r="AI467" i="3"/>
  <c r="T309" i="3"/>
  <c r="T192" i="3"/>
  <c r="O34" i="3"/>
  <c r="N74" i="3"/>
  <c r="AI613" i="3"/>
  <c r="T47" i="3"/>
  <c r="AD11" i="3"/>
  <c r="N36" i="3"/>
  <c r="AI973" i="3"/>
  <c r="T25" i="3"/>
  <c r="M8" i="3"/>
  <c r="AH69" i="3"/>
  <c r="AI967" i="3"/>
  <c r="AI756" i="3"/>
  <c r="AE47" i="3"/>
  <c r="AI30" i="3"/>
  <c r="Q40" i="3"/>
  <c r="T682" i="3"/>
  <c r="K40" i="3"/>
  <c r="AI739" i="3"/>
  <c r="T636" i="3"/>
  <c r="T587" i="3"/>
  <c r="T120" i="3"/>
  <c r="AI474" i="3"/>
  <c r="AF81" i="3"/>
  <c r="T930" i="3"/>
  <c r="O63" i="3"/>
  <c r="AI306" i="3"/>
  <c r="T700" i="3"/>
  <c r="T562" i="3"/>
  <c r="R53" i="3"/>
  <c r="AI106" i="3"/>
  <c r="AI615" i="3"/>
  <c r="AD22" i="3"/>
  <c r="AE67" i="3"/>
  <c r="AI248" i="3"/>
  <c r="N30" i="3"/>
  <c r="T221" i="3"/>
  <c r="AI670" i="3"/>
  <c r="AI491" i="3"/>
  <c r="T238" i="3"/>
  <c r="AI193" i="3"/>
  <c r="T591" i="3"/>
  <c r="AI132" i="3"/>
  <c r="T923" i="3"/>
  <c r="T531" i="3"/>
  <c r="AD91" i="3"/>
  <c r="AI31" i="3"/>
  <c r="T727" i="3"/>
  <c r="AI287" i="3"/>
  <c r="T66" i="3"/>
  <c r="AI509" i="3"/>
  <c r="T988" i="3"/>
  <c r="T931" i="3"/>
  <c r="AF5" i="3"/>
  <c r="AI53" i="3"/>
  <c r="AI448" i="3"/>
  <c r="AI309" i="3"/>
  <c r="AI894" i="3"/>
  <c r="AI511" i="3"/>
  <c r="T122" i="3"/>
  <c r="I77" i="3"/>
  <c r="O3" i="3"/>
  <c r="AI107" i="3"/>
  <c r="T102" i="3"/>
  <c r="AI363" i="3"/>
  <c r="T387" i="3"/>
  <c r="AI62" i="3"/>
  <c r="T809" i="3"/>
  <c r="I58" i="3"/>
  <c r="N71" i="3"/>
  <c r="T955" i="3"/>
  <c r="U45" i="3"/>
  <c r="AE27" i="3"/>
  <c r="R74" i="3"/>
  <c r="AD78" i="3"/>
  <c r="AI642" i="3"/>
  <c r="O89" i="3"/>
  <c r="AI573" i="3"/>
  <c r="T179" i="3"/>
  <c r="AC81" i="3"/>
  <c r="T734" i="3"/>
  <c r="I38" i="3"/>
  <c r="AI376" i="3"/>
  <c r="T311" i="3"/>
  <c r="AI191" i="3"/>
  <c r="T280" i="3"/>
  <c r="S82" i="3"/>
  <c r="S5" i="3"/>
  <c r="T477" i="3"/>
  <c r="N59" i="3"/>
  <c r="AI438" i="3"/>
  <c r="T500" i="3"/>
  <c r="AI213" i="3"/>
  <c r="AI878" i="3"/>
  <c r="T745" i="3"/>
  <c r="U62" i="3"/>
  <c r="I13" i="3"/>
  <c r="AC77" i="3"/>
  <c r="AI540" i="3"/>
  <c r="T940" i="3"/>
  <c r="AI291" i="3"/>
  <c r="T813" i="3"/>
  <c r="AI473" i="3"/>
  <c r="T553" i="3"/>
  <c r="O20" i="3"/>
  <c r="R69" i="3"/>
  <c r="AE79" i="3"/>
  <c r="AI478" i="3"/>
  <c r="Q59" i="3"/>
  <c r="S98" i="3"/>
  <c r="AI228" i="3"/>
  <c r="T868" i="3"/>
  <c r="R23" i="3"/>
  <c r="AC56" i="3"/>
  <c r="AI197" i="3"/>
  <c r="AI64" i="3"/>
  <c r="AF38" i="3"/>
  <c r="AE69" i="3"/>
  <c r="AI42" i="3"/>
  <c r="T492" i="3"/>
  <c r="T784" i="3"/>
  <c r="I21" i="3"/>
  <c r="AI275" i="3"/>
  <c r="T829" i="3"/>
  <c r="T529" i="3"/>
  <c r="AF20" i="3"/>
  <c r="AI519" i="3"/>
  <c r="O61" i="3"/>
  <c r="T149" i="3"/>
  <c r="O38" i="3"/>
  <c r="AI281" i="3"/>
  <c r="M79" i="3"/>
  <c r="T643" i="3"/>
  <c r="K21" i="3"/>
  <c r="AI468" i="3"/>
  <c r="U66" i="3"/>
  <c r="T302" i="3"/>
  <c r="N25" i="3"/>
  <c r="AI286" i="3"/>
  <c r="T867" i="3"/>
  <c r="T633" i="3"/>
  <c r="N55" i="3"/>
  <c r="AI190" i="3"/>
  <c r="AI1077" i="3"/>
  <c r="T823" i="3"/>
  <c r="N60" i="3"/>
  <c r="AI507" i="3"/>
  <c r="T509" i="3"/>
  <c r="T656" i="3"/>
  <c r="AH36" i="3"/>
  <c r="AI643" i="3"/>
  <c r="AI1085" i="3"/>
  <c r="T1089" i="3"/>
  <c r="M77" i="3"/>
  <c r="AI466" i="3"/>
  <c r="T718" i="3"/>
  <c r="T352" i="3"/>
  <c r="S56" i="3"/>
  <c r="AI753" i="3"/>
  <c r="T769" i="3"/>
  <c r="AD17" i="3"/>
  <c r="R73" i="3"/>
  <c r="AI766" i="3"/>
  <c r="K46" i="3"/>
  <c r="T50" i="3"/>
  <c r="AF89" i="3"/>
  <c r="T495" i="3"/>
  <c r="AI752" i="3"/>
  <c r="AE101" i="3"/>
  <c r="T559" i="3"/>
  <c r="T355" i="3"/>
  <c r="I8" i="3"/>
  <c r="AI931" i="3"/>
  <c r="T606" i="3"/>
  <c r="T1022" i="3"/>
  <c r="AC22" i="3"/>
  <c r="AI738" i="3"/>
  <c r="T925" i="3"/>
  <c r="T46" i="3"/>
  <c r="AF73" i="3"/>
  <c r="AI581" i="3"/>
  <c r="N14" i="3"/>
  <c r="T453" i="3"/>
  <c r="AI808" i="3"/>
  <c r="AE39" i="3"/>
  <c r="AF30" i="3"/>
  <c r="T137" i="3"/>
  <c r="AC97" i="3"/>
  <c r="AI600" i="3"/>
  <c r="AE8" i="3"/>
  <c r="T119" i="3"/>
  <c r="AH60" i="3"/>
  <c r="AI856" i="3"/>
  <c r="I63" i="3"/>
  <c r="O11" i="3"/>
  <c r="AH87" i="3"/>
  <c r="AI3" i="3"/>
  <c r="S19" i="3"/>
  <c r="AH19" i="3"/>
  <c r="T949" i="3"/>
  <c r="R85" i="3"/>
  <c r="T56" i="3"/>
  <c r="AD41" i="3"/>
  <c r="AH76" i="3"/>
  <c r="AI951" i="3"/>
  <c r="T1047" i="3"/>
  <c r="S81" i="3"/>
  <c r="AE82" i="3"/>
  <c r="AI786" i="3"/>
  <c r="T503" i="3"/>
  <c r="N37" i="3"/>
  <c r="AG96" i="3"/>
  <c r="AI601" i="3"/>
  <c r="AC70" i="3"/>
  <c r="AI823" i="3"/>
  <c r="T566" i="3"/>
  <c r="AI79" i="3"/>
  <c r="T107" i="3"/>
  <c r="K38" i="3"/>
  <c r="P63" i="3"/>
  <c r="AI668" i="3"/>
  <c r="T1058" i="3"/>
  <c r="AD50" i="3"/>
  <c r="AC79" i="3"/>
  <c r="AI220" i="3"/>
  <c r="T779" i="3"/>
  <c r="I60" i="3"/>
  <c r="U65" i="3"/>
  <c r="AI630" i="3"/>
  <c r="AD12" i="3"/>
  <c r="AD83" i="3"/>
  <c r="AI194" i="3"/>
  <c r="T865" i="3"/>
  <c r="AC50" i="3"/>
  <c r="Q65" i="3"/>
  <c r="T1077" i="3"/>
  <c r="I50" i="3"/>
  <c r="K56" i="3"/>
  <c r="T183" i="3"/>
  <c r="U67" i="3"/>
  <c r="U22" i="3"/>
  <c r="Q69" i="3"/>
  <c r="AI957" i="3"/>
  <c r="T534" i="3"/>
  <c r="AD62" i="3"/>
  <c r="AC54" i="3"/>
  <c r="R88" i="3"/>
  <c r="T431" i="3"/>
  <c r="O33" i="3"/>
  <c r="AC49" i="3"/>
  <c r="M68" i="3"/>
  <c r="K12" i="3"/>
  <c r="AG92" i="3"/>
  <c r="AI294" i="3"/>
  <c r="T739" i="3"/>
  <c r="T216" i="3"/>
  <c r="S35" i="3"/>
  <c r="R31" i="3"/>
  <c r="N91" i="3"/>
  <c r="R54" i="3"/>
  <c r="O76" i="3"/>
  <c r="AC87" i="3"/>
  <c r="Q56" i="3"/>
  <c r="N56" i="3"/>
  <c r="AI547" i="3"/>
  <c r="T965" i="3"/>
  <c r="T743" i="3"/>
  <c r="I68" i="3"/>
  <c r="T603" i="3"/>
  <c r="AH15" i="3"/>
  <c r="O6" i="3"/>
  <c r="U5" i="3"/>
  <c r="S92" i="3"/>
  <c r="T796" i="3"/>
  <c r="T1026" i="3"/>
  <c r="M64" i="3"/>
  <c r="T458" i="3"/>
  <c r="Q4" i="3"/>
  <c r="N48" i="3"/>
  <c r="AI174" i="3"/>
  <c r="U52" i="3"/>
  <c r="AD26" i="3"/>
  <c r="Q99" i="3"/>
  <c r="S43" i="3"/>
  <c r="I79" i="3"/>
  <c r="AI656" i="3"/>
  <c r="T786" i="3"/>
  <c r="AI172" i="3"/>
  <c r="T29" i="3"/>
  <c r="AI582" i="3"/>
  <c r="T922" i="3"/>
  <c r="T793" i="3"/>
  <c r="AI458" i="3"/>
  <c r="T803" i="3"/>
  <c r="T211" i="3"/>
  <c r="AI119" i="3"/>
  <c r="T879" i="3"/>
  <c r="AE6" i="3"/>
  <c r="N94" i="3"/>
  <c r="AI1027" i="3"/>
  <c r="T956" i="3"/>
  <c r="I27" i="3"/>
  <c r="M60" i="3"/>
  <c r="AI904" i="3"/>
  <c r="T1002" i="3"/>
  <c r="N47" i="3"/>
  <c r="O90" i="3"/>
  <c r="AI677" i="3"/>
  <c r="AI179" i="3"/>
  <c r="T390" i="3"/>
  <c r="AI938" i="3"/>
  <c r="AI288" i="3"/>
  <c r="P28" i="3"/>
  <c r="U85" i="3"/>
  <c r="S45" i="3"/>
  <c r="AI696" i="3"/>
  <c r="S13" i="3"/>
  <c r="AC93" i="3"/>
  <c r="AH73" i="3"/>
  <c r="AI332" i="3"/>
  <c r="AF12" i="3"/>
  <c r="U60" i="3"/>
  <c r="Q90" i="3"/>
  <c r="AI742" i="3"/>
  <c r="AI472" i="3"/>
  <c r="T589" i="3"/>
  <c r="T268" i="3"/>
  <c r="AI658" i="3"/>
  <c r="T335" i="3"/>
  <c r="U44" i="3"/>
  <c r="AI270" i="3"/>
  <c r="T361" i="3"/>
  <c r="T1054" i="3"/>
  <c r="AD23" i="3"/>
  <c r="AI63" i="3"/>
  <c r="T926" i="3"/>
  <c r="T420" i="3"/>
  <c r="K54" i="3"/>
  <c r="AI285" i="3"/>
  <c r="T836" i="3"/>
  <c r="AI826" i="3"/>
  <c r="T798" i="3"/>
  <c r="AG82" i="3"/>
  <c r="T182" i="3"/>
  <c r="T348" i="3"/>
  <c r="U12" i="3"/>
  <c r="AI40" i="3"/>
  <c r="AI874" i="3"/>
  <c r="T14" i="3"/>
  <c r="U53" i="3"/>
  <c r="AI85" i="3"/>
  <c r="AI554" i="3"/>
  <c r="T504" i="3"/>
  <c r="I25" i="3"/>
  <c r="AI395" i="3"/>
  <c r="T208" i="3"/>
  <c r="T155" i="3"/>
  <c r="I17" i="3"/>
  <c r="AI825" i="3"/>
  <c r="T1042" i="3"/>
  <c r="AD46" i="3"/>
  <c r="Q85" i="3"/>
  <c r="K6" i="3"/>
  <c r="P89" i="3"/>
  <c r="AG64" i="3"/>
  <c r="N63" i="3"/>
  <c r="T588" i="3"/>
  <c r="R93" i="3"/>
  <c r="AI404" i="3"/>
  <c r="T442" i="3"/>
  <c r="T121" i="3"/>
  <c r="S51" i="3"/>
  <c r="AD3" i="3"/>
  <c r="R92" i="3"/>
  <c r="T771" i="3"/>
  <c r="AE63" i="3"/>
  <c r="Q49" i="3"/>
  <c r="O83" i="3"/>
  <c r="P19" i="3"/>
  <c r="AD100" i="3"/>
  <c r="AI861" i="3"/>
  <c r="AC19" i="3"/>
  <c r="AF42" i="3"/>
  <c r="AH11" i="3"/>
  <c r="N95" i="3"/>
  <c r="N5" i="3"/>
  <c r="S68" i="3"/>
  <c r="O84" i="3"/>
  <c r="AD60" i="3"/>
  <c r="T820" i="3"/>
  <c r="AC59" i="3"/>
  <c r="AI707" i="3"/>
  <c r="T180" i="3"/>
  <c r="T1041" i="3"/>
  <c r="I51" i="3"/>
  <c r="T652" i="3"/>
  <c r="S60" i="3"/>
  <c r="O10" i="3"/>
  <c r="K32" i="3"/>
  <c r="O88" i="3"/>
  <c r="AI590" i="3"/>
  <c r="I66" i="3"/>
  <c r="T279" i="3"/>
  <c r="T881" i="3"/>
  <c r="AE19" i="3"/>
  <c r="AC32" i="3"/>
  <c r="T659" i="3"/>
  <c r="S77" i="3"/>
  <c r="P91" i="3"/>
  <c r="AI1065" i="3"/>
  <c r="O82" i="3"/>
  <c r="AI120" i="3"/>
  <c r="T78" i="3"/>
  <c r="AI73" i="3"/>
  <c r="T511" i="3"/>
  <c r="AI383" i="3"/>
  <c r="T763" i="3"/>
  <c r="AI238" i="3"/>
  <c r="U92" i="3"/>
  <c r="T166" i="3"/>
  <c r="Q29" i="3"/>
  <c r="AF100" i="3"/>
  <c r="T397" i="3"/>
  <c r="T65" i="3"/>
  <c r="AE10" i="3"/>
  <c r="AI346" i="3"/>
  <c r="T188" i="3"/>
  <c r="T174" i="3"/>
  <c r="I67" i="3"/>
  <c r="AI139" i="3"/>
  <c r="T486" i="3"/>
  <c r="O15" i="3"/>
  <c r="N51" i="3"/>
  <c r="AI345" i="3"/>
  <c r="T93" i="3"/>
  <c r="T818" i="3"/>
  <c r="O17" i="3"/>
  <c r="T851" i="3"/>
  <c r="T275" i="3"/>
  <c r="T433" i="3"/>
  <c r="M88" i="3"/>
  <c r="AI280" i="3"/>
  <c r="T89" i="3"/>
  <c r="T819" i="3"/>
  <c r="U98" i="3"/>
  <c r="AI129" i="3"/>
  <c r="T95" i="3"/>
  <c r="T22" i="3"/>
  <c r="P67" i="3"/>
  <c r="AI439" i="3"/>
  <c r="T377" i="3"/>
  <c r="T1090" i="3"/>
  <c r="P6" i="3"/>
  <c r="T722" i="3"/>
  <c r="AI782" i="3"/>
  <c r="U46" i="3"/>
  <c r="M35" i="3"/>
  <c r="AI430" i="3"/>
  <c r="T714" i="3"/>
  <c r="AE52" i="3"/>
  <c r="M20" i="3"/>
  <c r="AI223" i="3"/>
  <c r="T853" i="3"/>
  <c r="I64" i="3"/>
  <c r="U56" i="3"/>
  <c r="AI445" i="3"/>
  <c r="T861" i="3"/>
  <c r="T231" i="3"/>
  <c r="AD90" i="3"/>
  <c r="T623" i="3"/>
  <c r="T215" i="3"/>
  <c r="T761" i="3"/>
  <c r="AH9" i="3"/>
  <c r="AI532" i="3"/>
  <c r="AI758" i="3"/>
  <c r="T227" i="3"/>
  <c r="R62" i="3"/>
  <c r="AI245" i="3"/>
  <c r="AI926" i="3"/>
  <c r="T44" i="3"/>
  <c r="N7" i="3"/>
  <c r="AI340" i="3"/>
  <c r="T402" i="3"/>
  <c r="AD67" i="3"/>
  <c r="AH58" i="3"/>
  <c r="AI857" i="3"/>
  <c r="T1088" i="3"/>
  <c r="S52" i="3"/>
  <c r="AF3" i="3"/>
  <c r="K10" i="3"/>
  <c r="T265" i="3"/>
  <c r="AF51" i="3"/>
  <c r="N38" i="3"/>
  <c r="T141" i="3"/>
  <c r="U97" i="3"/>
  <c r="AI623" i="3"/>
  <c r="T625" i="3"/>
  <c r="AC13" i="3"/>
  <c r="U95" i="3"/>
  <c r="S66" i="3"/>
  <c r="AD77" i="3"/>
  <c r="U9" i="3"/>
  <c r="T778" i="3"/>
  <c r="AE46" i="3"/>
  <c r="T946" i="3"/>
  <c r="AE77" i="3"/>
  <c r="P72" i="3"/>
  <c r="AI702" i="3"/>
  <c r="I87" i="3"/>
  <c r="AC55" i="3"/>
  <c r="M3" i="3"/>
  <c r="AC98" i="3"/>
  <c r="T849" i="3"/>
  <c r="N49" i="3"/>
  <c r="AC80" i="3"/>
  <c r="S64" i="3"/>
  <c r="T163" i="3"/>
  <c r="N31" i="3"/>
  <c r="AI945" i="3"/>
  <c r="R22" i="3"/>
  <c r="AD81" i="3"/>
  <c r="K88" i="3"/>
  <c r="P31" i="3"/>
  <c r="T488" i="3"/>
  <c r="P16" i="3"/>
  <c r="AG63" i="3"/>
  <c r="AF88" i="3"/>
  <c r="T973" i="3"/>
  <c r="AG4" i="3"/>
  <c r="I59" i="3"/>
  <c r="U8" i="3"/>
  <c r="AE88" i="3"/>
  <c r="S17" i="3"/>
  <c r="M22" i="3"/>
  <c r="R48" i="3"/>
  <c r="T187" i="3"/>
  <c r="T958" i="3"/>
  <c r="T239" i="3"/>
  <c r="AI552" i="3"/>
  <c r="T645" i="3"/>
  <c r="AI233" i="3"/>
  <c r="T895" i="3"/>
  <c r="AI292" i="3"/>
  <c r="T953" i="3"/>
  <c r="T915" i="3"/>
  <c r="I4" i="3"/>
  <c r="T367" i="3"/>
  <c r="AD64" i="3"/>
  <c r="I88" i="3"/>
  <c r="T351" i="3"/>
  <c r="T715" i="3"/>
  <c r="S15" i="3"/>
  <c r="AI43" i="3"/>
  <c r="T209" i="3"/>
  <c r="T414" i="3"/>
  <c r="AF14" i="3"/>
  <c r="AI299" i="3"/>
  <c r="T669" i="3"/>
  <c r="T132" i="3"/>
  <c r="O54" i="3"/>
  <c r="AI505" i="3"/>
  <c r="T205" i="3"/>
  <c r="T1072" i="3"/>
  <c r="AF61" i="3"/>
  <c r="R14" i="3"/>
  <c r="T936" i="3"/>
  <c r="T740" i="3"/>
  <c r="K97" i="3"/>
  <c r="AI33" i="3"/>
  <c r="T494" i="3"/>
  <c r="T989" i="3"/>
  <c r="AG70" i="3"/>
  <c r="AI289" i="3"/>
  <c r="T719" i="3"/>
  <c r="I23" i="3"/>
  <c r="AH67" i="3"/>
  <c r="AI484" i="3"/>
  <c r="T971" i="3"/>
  <c r="T968" i="3"/>
  <c r="AI25" i="3"/>
  <c r="AC48" i="3"/>
  <c r="T747" i="3"/>
  <c r="AF16" i="3"/>
  <c r="O42" i="3"/>
  <c r="AI919" i="3"/>
  <c r="T372" i="3"/>
  <c r="N9" i="3"/>
  <c r="O31" i="3"/>
  <c r="AI690" i="3"/>
  <c r="T152" i="3"/>
  <c r="T664" i="3"/>
  <c r="AD32" i="3"/>
  <c r="AI569" i="3"/>
  <c r="K98" i="3"/>
  <c r="T449" i="3"/>
  <c r="AI225" i="3"/>
  <c r="M27" i="3"/>
  <c r="T525" i="3"/>
  <c r="T571" i="3"/>
  <c r="U28" i="3"/>
  <c r="AI572" i="3"/>
  <c r="T918" i="3"/>
  <c r="T131" i="3"/>
  <c r="S72" i="3"/>
  <c r="AI828" i="3"/>
  <c r="T98" i="3"/>
  <c r="T364" i="3"/>
  <c r="S10" i="3"/>
  <c r="AI1064" i="3"/>
  <c r="T521" i="3"/>
  <c r="U70" i="3"/>
  <c r="AI34" i="3"/>
  <c r="T679" i="3"/>
  <c r="T300" i="3"/>
  <c r="P62" i="3"/>
  <c r="T218" i="3"/>
  <c r="AG16" i="3"/>
  <c r="T480" i="3"/>
  <c r="T281" i="3"/>
  <c r="AF69" i="3"/>
  <c r="AC37" i="3"/>
  <c r="AG68" i="3"/>
  <c r="AI925" i="3"/>
  <c r="T721" i="3"/>
  <c r="I18" i="3"/>
  <c r="S87" i="3"/>
  <c r="U29" i="3"/>
  <c r="Q8" i="3"/>
  <c r="AE23" i="3"/>
  <c r="AG44" i="3"/>
  <c r="AD95" i="3"/>
  <c r="T222" i="3"/>
  <c r="AH95" i="3"/>
  <c r="AI134" i="3"/>
  <c r="T175" i="3"/>
  <c r="T866" i="3"/>
  <c r="Q24" i="3"/>
  <c r="AG13" i="3"/>
  <c r="AH3" i="3"/>
  <c r="R46" i="3"/>
  <c r="T632" i="3"/>
  <c r="M65" i="3"/>
  <c r="T245" i="3"/>
  <c r="N52" i="3"/>
  <c r="M63" i="3"/>
  <c r="AI1041" i="3"/>
  <c r="U16" i="3"/>
  <c r="U84" i="3"/>
  <c r="AE41" i="3"/>
  <c r="AG36" i="3"/>
  <c r="T962" i="3"/>
  <c r="Q66" i="3"/>
  <c r="N80" i="3"/>
  <c r="N29" i="3"/>
  <c r="AG15" i="3"/>
  <c r="I20" i="3"/>
  <c r="AI479" i="3"/>
  <c r="T298" i="3"/>
  <c r="AC45" i="3"/>
  <c r="M19" i="3"/>
  <c r="Q94" i="3"/>
  <c r="AF46" i="3"/>
  <c r="AF94" i="3"/>
  <c r="M85" i="3"/>
  <c r="AG17" i="3"/>
  <c r="AI624" i="3"/>
  <c r="T75" i="3"/>
  <c r="AI44" i="3"/>
  <c r="T991" i="3"/>
  <c r="AI368" i="3"/>
  <c r="T1081" i="3"/>
  <c r="T644" i="3"/>
  <c r="I11" i="3"/>
  <c r="AE18" i="3"/>
  <c r="AI1039" i="3"/>
  <c r="T1076" i="3"/>
  <c r="AI916" i="3"/>
  <c r="T463" i="3"/>
  <c r="AI737" i="3"/>
  <c r="T852" i="3"/>
  <c r="T1067" i="3"/>
  <c r="AI571" i="3"/>
  <c r="AI740" i="3"/>
  <c r="R61" i="3"/>
  <c r="AI482" i="3"/>
  <c r="AF25" i="3"/>
  <c r="AI835" i="3"/>
  <c r="AG79" i="3"/>
  <c r="AC31" i="3"/>
  <c r="AI72" i="3"/>
  <c r="AI96" i="3"/>
  <c r="AG45" i="3"/>
  <c r="AI976" i="3"/>
  <c r="AH59" i="3"/>
  <c r="AI765" i="3"/>
  <c r="S4" i="3"/>
  <c r="AC61" i="3"/>
  <c r="AI232" i="3"/>
  <c r="P44" i="3"/>
  <c r="AI682" i="3"/>
  <c r="AH53" i="3"/>
  <c r="N15" i="3"/>
  <c r="AI1043" i="3"/>
  <c r="O97" i="3"/>
  <c r="AI300" i="3"/>
  <c r="AI1025" i="3"/>
  <c r="Q101" i="3"/>
  <c r="T811" i="3"/>
  <c r="P12" i="3"/>
  <c r="N97" i="3"/>
  <c r="AI712" i="3"/>
  <c r="AD18" i="3"/>
  <c r="AI948" i="3"/>
  <c r="T115" i="3"/>
  <c r="N20" i="3"/>
  <c r="T808" i="3"/>
  <c r="M30" i="3"/>
  <c r="AE83" i="3"/>
  <c r="AI1063" i="3"/>
  <c r="K37" i="3"/>
  <c r="AI380" i="3"/>
  <c r="T698" i="3"/>
  <c r="M34" i="3"/>
  <c r="AF68" i="3"/>
  <c r="M17" i="3"/>
  <c r="AG57" i="3"/>
  <c r="AI716" i="3"/>
  <c r="AG97" i="3"/>
  <c r="AI952" i="3"/>
  <c r="Q79" i="3"/>
  <c r="AI733" i="3"/>
  <c r="T478" i="3"/>
  <c r="I22" i="3"/>
  <c r="N28" i="3"/>
  <c r="AI988" i="3"/>
  <c r="T889" i="3"/>
  <c r="T775" i="3"/>
  <c r="R81" i="3"/>
  <c r="AI811" i="3"/>
  <c r="T631" i="3"/>
  <c r="N57" i="3"/>
  <c r="R60" i="3"/>
  <c r="AI503" i="3"/>
  <c r="AI602" i="3"/>
  <c r="T28" i="3"/>
  <c r="O81" i="3"/>
  <c r="AI729" i="3"/>
  <c r="T843" i="3"/>
  <c r="T602" i="3"/>
  <c r="AF18" i="3"/>
  <c r="AI1000" i="3"/>
  <c r="T330" i="3"/>
  <c r="T260" i="3"/>
  <c r="AD86" i="3"/>
  <c r="AI909" i="3"/>
  <c r="T80" i="3"/>
  <c r="T584" i="3"/>
  <c r="AC75" i="3"/>
  <c r="AI541" i="3"/>
  <c r="T710" i="3"/>
  <c r="I95" i="3"/>
  <c r="AG88" i="3"/>
  <c r="AI885" i="3"/>
  <c r="T164" i="3"/>
  <c r="K16" i="3"/>
  <c r="R95" i="3"/>
  <c r="AI895" i="3"/>
  <c r="S85" i="3"/>
  <c r="Q11" i="3"/>
  <c r="AD58" i="3"/>
  <c r="AI336" i="3"/>
  <c r="R9" i="3"/>
  <c r="AH91" i="3"/>
  <c r="P100" i="3"/>
  <c r="AI918" i="3"/>
  <c r="AI860" i="3"/>
  <c r="P73" i="3"/>
  <c r="Q74" i="3"/>
  <c r="AI1001" i="3"/>
  <c r="AC35" i="3"/>
  <c r="AC71" i="3"/>
  <c r="AI202" i="3"/>
  <c r="AI1006" i="3"/>
  <c r="AI868" i="3"/>
  <c r="AI142" i="3"/>
  <c r="AI477" i="3"/>
  <c r="T456" i="3"/>
  <c r="T49" i="3"/>
  <c r="K17" i="3"/>
  <c r="AI679" i="3"/>
  <c r="AD68" i="3"/>
  <c r="T1039" i="3"/>
  <c r="AI934" i="3"/>
  <c r="T445" i="3"/>
  <c r="AD28" i="3"/>
  <c r="AI903" i="3"/>
  <c r="T522" i="3"/>
  <c r="T676" i="3"/>
  <c r="AC99" i="3"/>
  <c r="AI370" i="3"/>
  <c r="T204" i="3"/>
  <c r="AI374" i="3"/>
  <c r="T267" i="3"/>
  <c r="AI167" i="3"/>
  <c r="T469" i="3"/>
  <c r="AI405" i="3"/>
  <c r="AI906" i="3"/>
  <c r="AI510" i="3"/>
  <c r="AF63" i="3"/>
  <c r="AI456" i="3"/>
  <c r="T259" i="3"/>
  <c r="AI173" i="3"/>
  <c r="T893" i="3"/>
  <c r="AI52" i="3"/>
  <c r="T117" i="3"/>
  <c r="AI807" i="3"/>
  <c r="P37" i="3"/>
  <c r="AI434" i="3"/>
  <c r="T97" i="3"/>
  <c r="AI227" i="3"/>
  <c r="T557" i="3"/>
  <c r="AI449" i="3"/>
  <c r="T274" i="3"/>
  <c r="AI855" i="3"/>
  <c r="O66" i="3"/>
  <c r="T376" i="3"/>
  <c r="AG49" i="3"/>
  <c r="AF67" i="3"/>
  <c r="K79" i="3"/>
  <c r="Q72" i="3"/>
  <c r="AI1075" i="3"/>
  <c r="R65" i="3"/>
  <c r="AI428" i="3"/>
  <c r="T1001" i="3"/>
  <c r="N87" i="3"/>
  <c r="T432" i="3"/>
  <c r="R29" i="3"/>
  <c r="K55" i="3"/>
  <c r="AI744" i="3"/>
  <c r="K89" i="3"/>
  <c r="AI980" i="3"/>
  <c r="T133" i="3"/>
  <c r="U10" i="3"/>
  <c r="T834" i="3"/>
  <c r="AH74" i="3"/>
  <c r="M101" i="3"/>
  <c r="AI626" i="3"/>
  <c r="P90" i="3"/>
  <c r="AI553" i="3"/>
  <c r="T466" i="3"/>
  <c r="S79" i="3"/>
  <c r="P9" i="3"/>
  <c r="AH28" i="3"/>
  <c r="AC3" i="3"/>
  <c r="AI1070" i="3"/>
  <c r="AI187" i="3"/>
  <c r="T733" i="3"/>
  <c r="K86" i="3"/>
  <c r="AI829" i="3"/>
  <c r="T232" i="3"/>
  <c r="S65" i="3"/>
  <c r="R80" i="3"/>
  <c r="AI1020" i="3"/>
  <c r="T814" i="3"/>
  <c r="K71" i="3"/>
  <c r="K57" i="3"/>
  <c r="AI937" i="3"/>
  <c r="T654" i="3"/>
  <c r="AD25" i="3"/>
  <c r="AC58" i="3"/>
  <c r="AI537" i="3"/>
  <c r="T139" i="3"/>
  <c r="AD8" i="3"/>
  <c r="AI413" i="3"/>
  <c r="T772" i="3"/>
  <c r="T620" i="3"/>
  <c r="I72" i="3"/>
  <c r="AH94" i="3"/>
  <c r="AI48" i="3"/>
  <c r="T490" i="3"/>
  <c r="Q52" i="3"/>
  <c r="AI212" i="3"/>
  <c r="T357" i="3"/>
  <c r="T844" i="3"/>
  <c r="AF39" i="3"/>
  <c r="AG80" i="3"/>
  <c r="AI637" i="3"/>
  <c r="AE11" i="3"/>
  <c r="M96" i="3"/>
  <c r="AD101" i="3"/>
  <c r="AI981" i="3"/>
  <c r="T824" i="3"/>
  <c r="N92" i="3"/>
  <c r="O78" i="3"/>
  <c r="AI991" i="3"/>
  <c r="AI788" i="3"/>
  <c r="O77" i="3"/>
  <c r="AI70" i="3"/>
  <c r="AE66" i="3"/>
  <c r="O19" i="3"/>
  <c r="P61" i="3"/>
  <c r="AI104" i="3"/>
  <c r="AI71" i="3"/>
  <c r="T759" i="3"/>
  <c r="AI327" i="3"/>
  <c r="T130" i="3"/>
  <c r="AI58" i="3"/>
  <c r="AI942" i="3"/>
  <c r="T1091" i="3"/>
  <c r="AD66" i="3"/>
  <c r="AI77" i="3"/>
  <c r="T501" i="3"/>
  <c r="AI333" i="3"/>
  <c r="T542" i="3"/>
  <c r="AI535" i="3"/>
  <c r="T138" i="3"/>
  <c r="R17" i="3"/>
  <c r="AC52" i="3"/>
  <c r="AI131" i="3"/>
  <c r="T118" i="3"/>
  <c r="AI387" i="3"/>
  <c r="T408" i="3"/>
  <c r="AI102" i="3"/>
  <c r="T91" i="3"/>
  <c r="AF7" i="3"/>
  <c r="S25" i="3"/>
  <c r="T339" i="3"/>
  <c r="M46" i="3"/>
  <c r="T369" i="3"/>
  <c r="AG62" i="3"/>
  <c r="AI394" i="3"/>
  <c r="T273" i="3"/>
  <c r="AI137" i="3"/>
  <c r="T767" i="3"/>
  <c r="AH21" i="3"/>
  <c r="R83" i="3"/>
  <c r="T400" i="3"/>
  <c r="I54" i="3"/>
  <c r="AI470" i="3"/>
  <c r="T391" i="3"/>
  <c r="AI231" i="3"/>
  <c r="T344" i="3"/>
  <c r="T90" i="3"/>
  <c r="R21" i="3"/>
  <c r="T683" i="3"/>
  <c r="S49" i="3"/>
  <c r="AI15" i="3"/>
  <c r="T599" i="3"/>
  <c r="AI237" i="3"/>
  <c r="T226" i="3"/>
  <c r="T347" i="3"/>
  <c r="S63" i="3"/>
  <c r="Q10" i="3"/>
  <c r="AI551" i="3"/>
  <c r="AI37" i="3"/>
  <c r="AI56" i="3"/>
  <c r="AI347" i="3"/>
  <c r="AI152" i="3"/>
  <c r="AI6" i="3"/>
  <c r="T585" i="3"/>
  <c r="AG9" i="3"/>
  <c r="S69" i="3"/>
  <c r="AI255" i="3"/>
  <c r="AI687" i="3"/>
  <c r="O64" i="3"/>
  <c r="K75" i="3"/>
  <c r="AI388" i="3"/>
  <c r="AI527" i="3"/>
  <c r="R38" i="3"/>
  <c r="R35" i="3"/>
  <c r="AI221" i="3"/>
  <c r="T251" i="3"/>
  <c r="T35" i="3"/>
  <c r="U19" i="3"/>
  <c r="AI66" i="3"/>
  <c r="AG75" i="3"/>
  <c r="T992" i="3"/>
  <c r="I37" i="3"/>
  <c r="AI331" i="3"/>
  <c r="AD65" i="3"/>
  <c r="T609" i="3"/>
  <c r="U24" i="3"/>
  <c r="AI575" i="3"/>
  <c r="AD84" i="3"/>
  <c r="T730" i="3"/>
  <c r="N69" i="3"/>
  <c r="AI321" i="3"/>
  <c r="AF76" i="3"/>
  <c r="K15" i="3"/>
  <c r="U101" i="3"/>
  <c r="AI500" i="3"/>
  <c r="U96" i="3"/>
  <c r="I14" i="3"/>
  <c r="P96" i="3"/>
  <c r="AI326" i="3"/>
  <c r="T862" i="3"/>
  <c r="T697" i="3"/>
  <c r="AH90" i="3"/>
  <c r="AI230" i="3"/>
  <c r="AI1042" i="3"/>
  <c r="M10" i="3"/>
  <c r="AF98" i="3"/>
  <c r="AI548" i="3"/>
  <c r="AH16" i="3"/>
  <c r="T1053" i="3"/>
  <c r="AG72" i="3"/>
  <c r="AI683" i="3"/>
  <c r="T753" i="3"/>
  <c r="M49" i="3"/>
  <c r="Q68" i="3"/>
  <c r="AI831" i="3"/>
  <c r="AF21" i="3"/>
  <c r="T5" i="3"/>
  <c r="P65" i="3"/>
  <c r="AI761" i="3"/>
  <c r="AI1022" i="3"/>
  <c r="T326" i="3"/>
  <c r="R5" i="3"/>
  <c r="AI830" i="3"/>
  <c r="N98" i="3"/>
  <c r="T210" i="3"/>
  <c r="AF93" i="3"/>
  <c r="T579" i="3"/>
  <c r="AI784" i="3"/>
  <c r="N99" i="3"/>
  <c r="I24" i="3"/>
  <c r="T890" i="3"/>
  <c r="AC65" i="3"/>
  <c r="AI939" i="3"/>
  <c r="AI1007" i="3"/>
  <c r="T1079" i="3"/>
  <c r="AI884" i="3"/>
  <c r="T569" i="3"/>
  <c r="AI641" i="3"/>
  <c r="T1032" i="3"/>
  <c r="T864" i="3"/>
  <c r="M80" i="3"/>
  <c r="AI644" i="3"/>
  <c r="AH13" i="3"/>
  <c r="AI124" i="3"/>
  <c r="P64" i="3"/>
  <c r="AI534" i="3"/>
  <c r="AF82" i="3"/>
  <c r="I34" i="3"/>
  <c r="AD49" i="3"/>
  <c r="AI1003" i="3"/>
  <c r="P27" i="3"/>
  <c r="AI880" i="3"/>
  <c r="R42" i="3"/>
  <c r="AI669" i="3"/>
  <c r="I15" i="3"/>
  <c r="U18" i="3"/>
  <c r="Q20" i="3"/>
  <c r="T395" i="3"/>
  <c r="AI74" i="3"/>
  <c r="AE36" i="3"/>
  <c r="AI711" i="3"/>
  <c r="AI91" i="3"/>
  <c r="AI1005" i="3"/>
  <c r="AI297" i="3"/>
  <c r="AI1013" i="3"/>
  <c r="Q38" i="3"/>
  <c r="AI258" i="3"/>
  <c r="AC6" i="3"/>
  <c r="T550" i="3"/>
  <c r="AI81" i="3"/>
  <c r="T1084" i="3"/>
  <c r="AI391" i="3"/>
  <c r="I36" i="3"/>
  <c r="N34" i="3"/>
  <c r="AI400" i="3"/>
  <c r="P81" i="3"/>
  <c r="K28" i="3"/>
  <c r="AI175" i="3"/>
  <c r="T709" i="3"/>
  <c r="AI397" i="3"/>
  <c r="T791" i="3"/>
  <c r="R59" i="3"/>
  <c r="AI815" i="3"/>
  <c r="U23" i="3"/>
  <c r="AE13" i="3"/>
  <c r="AI684" i="3"/>
  <c r="O62" i="3"/>
  <c r="AI920" i="3"/>
  <c r="U20" i="3"/>
  <c r="AI166" i="3"/>
  <c r="AI675" i="3"/>
  <c r="R25" i="3"/>
  <c r="S50" i="3"/>
  <c r="AI415" i="3"/>
  <c r="AI298" i="3"/>
  <c r="T94" i="3"/>
  <c r="U30" i="3"/>
  <c r="AI619" i="3"/>
  <c r="AI715" i="3"/>
  <c r="AH29" i="3"/>
  <c r="AD52" i="3"/>
  <c r="AI381" i="3"/>
  <c r="AI322" i="3"/>
  <c r="T162" i="3"/>
  <c r="Q45" i="3"/>
  <c r="AI697" i="3"/>
  <c r="AI1057" i="3"/>
  <c r="T945" i="3"/>
  <c r="R10" i="3"/>
  <c r="AI84" i="3"/>
  <c r="AI718" i="3"/>
  <c r="T392" i="3"/>
  <c r="N44" i="3"/>
  <c r="AI755" i="3"/>
  <c r="AI714" i="3"/>
  <c r="T13" i="3"/>
  <c r="AF75" i="3"/>
  <c r="AI481" i="3"/>
  <c r="AI907" i="3"/>
  <c r="I48" i="3"/>
  <c r="N35" i="3"/>
  <c r="AI663" i="3"/>
  <c r="AI1010" i="3"/>
  <c r="N12" i="3"/>
  <c r="AH99" i="3"/>
  <c r="AI23" i="3"/>
  <c r="N27" i="3"/>
  <c r="T667" i="3"/>
  <c r="AC92" i="3"/>
  <c r="AI797" i="3"/>
  <c r="T105" i="3"/>
  <c r="N21" i="3"/>
  <c r="P98" i="3"/>
  <c r="AI994" i="3"/>
  <c r="M62" i="3"/>
  <c r="T516" i="3"/>
  <c r="AH71" i="3"/>
  <c r="AI905" i="3"/>
  <c r="T604" i="3"/>
  <c r="R45" i="3"/>
  <c r="Q88" i="3"/>
  <c r="AI883" i="3"/>
  <c r="Q86" i="3"/>
  <c r="T325" i="3"/>
  <c r="S100" i="3"/>
  <c r="AI793" i="3"/>
  <c r="T92" i="3"/>
  <c r="K13" i="3"/>
  <c r="AE100" i="3"/>
  <c r="AI978" i="3"/>
  <c r="AI101" i="3"/>
  <c r="T649" i="3"/>
  <c r="AI155" i="3"/>
  <c r="T374" i="3"/>
  <c r="T20" i="3"/>
  <c r="AI279" i="3"/>
  <c r="I91" i="3"/>
  <c r="AG94" i="3"/>
  <c r="AF53" i="3"/>
  <c r="AI1035" i="3"/>
  <c r="T884" i="3"/>
  <c r="AI591" i="3"/>
  <c r="T990" i="3"/>
  <c r="AI88" i="3"/>
  <c r="AF34" i="3"/>
  <c r="O100" i="3"/>
  <c r="AD94" i="3"/>
  <c r="AG32" i="3"/>
  <c r="Q67" i="3"/>
  <c r="K95" i="3"/>
  <c r="AI912" i="3"/>
  <c r="R50" i="3"/>
  <c r="AH82" i="3"/>
  <c r="AC100" i="3"/>
  <c r="AI701" i="3"/>
  <c r="AI352" i="3"/>
  <c r="T508" i="3"/>
  <c r="T291" i="3"/>
  <c r="AI562" i="3"/>
  <c r="AC34" i="3"/>
  <c r="Q89" i="3"/>
  <c r="AI719" i="3"/>
  <c r="T292" i="3"/>
  <c r="T159" i="3"/>
  <c r="I65" i="3"/>
  <c r="AI9" i="3"/>
  <c r="T754" i="3"/>
  <c r="T157" i="3"/>
  <c r="AG35" i="3"/>
  <c r="AI319" i="3"/>
  <c r="T750" i="3"/>
  <c r="AI810" i="3"/>
  <c r="T363" i="3"/>
  <c r="AD29" i="3"/>
  <c r="T957" i="3"/>
  <c r="T332" i="3"/>
  <c r="AD47" i="3"/>
  <c r="AI310" i="3"/>
  <c r="T62" i="3"/>
  <c r="T345" i="3"/>
  <c r="K53" i="3"/>
  <c r="AI103" i="3"/>
  <c r="T948" i="3"/>
  <c r="T693" i="3"/>
  <c r="P60" i="3"/>
  <c r="AI341" i="3"/>
  <c r="AI1014" i="3"/>
  <c r="T202" i="3"/>
  <c r="T1020" i="3"/>
  <c r="AI734" i="3"/>
  <c r="T230" i="3"/>
  <c r="I30" i="3"/>
  <c r="M15" i="3"/>
  <c r="AI200" i="3"/>
  <c r="T1086" i="3"/>
  <c r="S16" i="3"/>
  <c r="Q19" i="3"/>
  <c r="AI109" i="3"/>
  <c r="T135" i="3"/>
  <c r="T305" i="3"/>
  <c r="AC67" i="3"/>
  <c r="T224" i="3"/>
  <c r="U57" i="3"/>
  <c r="AF99" i="3"/>
  <c r="AC15" i="3"/>
  <c r="AD24" i="3"/>
  <c r="AF86" i="3"/>
  <c r="K41" i="3"/>
  <c r="O91" i="3"/>
  <c r="R71" i="3"/>
  <c r="AH80" i="3"/>
  <c r="AI680" i="3"/>
  <c r="T223" i="3"/>
  <c r="AI268" i="3"/>
  <c r="T189" i="3"/>
  <c r="AI678" i="3"/>
  <c r="T1029" i="3"/>
  <c r="T766" i="3"/>
  <c r="AI531" i="3"/>
  <c r="AI32" i="3"/>
  <c r="Q12" i="3"/>
  <c r="AI972" i="3"/>
  <c r="R34" i="3"/>
  <c r="AI745" i="3"/>
  <c r="Q43" i="3"/>
  <c r="M37" i="3"/>
  <c r="AI731" i="3"/>
  <c r="AI1066" i="3"/>
  <c r="AI69" i="3"/>
  <c r="AI954" i="3"/>
  <c r="AI379" i="3"/>
  <c r="T37" i="3"/>
  <c r="AI158" i="3"/>
  <c r="AG38" i="3"/>
  <c r="AI330" i="3"/>
  <c r="T17" i="3"/>
  <c r="AI123" i="3"/>
  <c r="T465" i="3"/>
  <c r="AI329" i="3"/>
  <c r="T114" i="3"/>
  <c r="AI198" i="3"/>
  <c r="AF66" i="3"/>
  <c r="AI1033" i="3"/>
  <c r="AC74" i="3"/>
  <c r="AI1054" i="3"/>
  <c r="AH63" i="3"/>
  <c r="N19" i="3"/>
  <c r="AI1051" i="3"/>
  <c r="O101" i="3"/>
  <c r="AI396" i="3"/>
  <c r="T1048" i="3"/>
  <c r="P11" i="3"/>
  <c r="T99" i="3"/>
  <c r="R86" i="3"/>
  <c r="AF80" i="3"/>
  <c r="AI704" i="3"/>
  <c r="S32" i="3"/>
  <c r="AI940" i="3"/>
  <c r="AI838" i="3"/>
  <c r="O21" i="3"/>
  <c r="T597" i="3"/>
  <c r="AG14" i="3"/>
  <c r="U93" i="3"/>
  <c r="AI1087" i="3"/>
  <c r="S47" i="3"/>
  <c r="AI412" i="3"/>
  <c r="AD5" i="3"/>
  <c r="M98" i="3"/>
  <c r="T627" i="3"/>
  <c r="P26" i="3"/>
  <c r="AG77" i="3"/>
  <c r="AI724" i="3"/>
  <c r="Q3" i="3"/>
  <c r="AI960" i="3"/>
  <c r="K99" i="3"/>
  <c r="AI725" i="3"/>
  <c r="T72" i="3"/>
  <c r="T678" i="3"/>
  <c r="Q16" i="3"/>
  <c r="AI1012" i="3"/>
  <c r="T491" i="3"/>
  <c r="T19" i="3"/>
  <c r="AH77" i="3"/>
  <c r="AI795" i="3"/>
  <c r="T283" i="3"/>
  <c r="T624" i="3"/>
  <c r="AF40" i="3"/>
  <c r="AI513" i="3"/>
  <c r="T725" i="3"/>
  <c r="T108" i="3"/>
  <c r="N75" i="3"/>
  <c r="AI801" i="3"/>
  <c r="AI886" i="3"/>
  <c r="T551" i="3"/>
  <c r="M54" i="3"/>
  <c r="AI1008" i="3"/>
  <c r="T378" i="3"/>
  <c r="T892" i="3"/>
  <c r="AH72" i="3"/>
  <c r="AI917" i="3"/>
  <c r="T96" i="3"/>
  <c r="AC68" i="3"/>
  <c r="N3" i="3"/>
  <c r="AI533" i="3"/>
  <c r="T726" i="3"/>
  <c r="O35" i="3"/>
  <c r="K100" i="3"/>
  <c r="AI893" i="3"/>
  <c r="T196" i="3"/>
  <c r="O60" i="3"/>
  <c r="P95" i="3"/>
  <c r="AI887" i="3"/>
  <c r="AI524" i="3"/>
  <c r="T825" i="3"/>
  <c r="AI457" i="3"/>
  <c r="T403" i="3"/>
  <c r="R19" i="3"/>
  <c r="Q31" i="3"/>
  <c r="AI659" i="3"/>
  <c r="AD51" i="3"/>
  <c r="T79" i="3"/>
  <c r="AI775" i="3"/>
  <c r="AI164" i="3"/>
  <c r="AI989" i="3"/>
  <c r="T885" i="3"/>
  <c r="O57" i="3"/>
  <c r="AI226" i="3"/>
  <c r="AC78" i="3"/>
  <c r="T493" i="3"/>
  <c r="T787" i="3"/>
  <c r="AI26" i="3"/>
  <c r="AG83" i="3"/>
  <c r="T129" i="3"/>
  <c r="S18" i="3"/>
  <c r="AI735" i="3"/>
  <c r="AI927" i="3"/>
  <c r="T1087" i="3"/>
  <c r="T628" i="3"/>
  <c r="T558" i="3"/>
  <c r="Q73" i="3"/>
  <c r="T690" i="3"/>
  <c r="T554" i="3"/>
  <c r="T1004" i="3"/>
  <c r="AE86" i="3"/>
  <c r="AI426" i="3"/>
  <c r="T145" i="3"/>
  <c r="T619" i="3"/>
  <c r="M28" i="3"/>
  <c r="AI219" i="3"/>
  <c r="T605" i="3"/>
  <c r="AG23" i="3"/>
  <c r="K25" i="3"/>
  <c r="AI425" i="3"/>
  <c r="T370" i="3"/>
  <c r="T1085" i="3"/>
  <c r="U15" i="3"/>
  <c r="AC9" i="3"/>
  <c r="T323" i="3"/>
  <c r="T1034" i="3"/>
  <c r="M12" i="3"/>
  <c r="AI512" i="3"/>
  <c r="T366" i="3"/>
  <c r="T262" i="3"/>
  <c r="AC47" i="3"/>
  <c r="AI209" i="3"/>
  <c r="T655" i="3"/>
  <c r="T84" i="3"/>
  <c r="Q13" i="3"/>
  <c r="AI196" i="3"/>
  <c r="T1036" i="3"/>
  <c r="T894" i="3"/>
  <c r="AE28" i="3"/>
  <c r="T863" i="3"/>
  <c r="AI890" i="3"/>
  <c r="T168" i="3"/>
  <c r="R43" i="3"/>
  <c r="AI47" i="3"/>
  <c r="T127" i="3"/>
  <c r="T694" i="3"/>
  <c r="N32" i="3"/>
  <c r="AI303" i="3"/>
  <c r="T24" i="3"/>
  <c r="T464" i="3"/>
  <c r="AG67" i="3"/>
  <c r="AI18" i="3"/>
  <c r="T381" i="3"/>
  <c r="T407" i="3"/>
  <c r="R70" i="3"/>
  <c r="T296" i="3"/>
  <c r="T401" i="3"/>
  <c r="P45" i="3"/>
  <c r="U64" i="3"/>
  <c r="AI564" i="3"/>
  <c r="T51" i="3"/>
  <c r="O44" i="3"/>
  <c r="AI1078" i="3"/>
  <c r="AG51" i="3"/>
  <c r="T272" i="3"/>
  <c r="T6" i="3"/>
  <c r="T253" i="3"/>
  <c r="R4" i="3"/>
  <c r="AI67" i="3"/>
  <c r="T872" i="3"/>
  <c r="Q71" i="3"/>
  <c r="AI163" i="3"/>
  <c r="T502" i="3"/>
  <c r="T535" i="3"/>
  <c r="AH86" i="3"/>
  <c r="AI385" i="3"/>
  <c r="T125" i="3"/>
  <c r="T1021" i="3"/>
  <c r="AC4" i="3"/>
  <c r="T706" i="3"/>
  <c r="T421" i="3"/>
  <c r="N8" i="3"/>
  <c r="Q93" i="3"/>
  <c r="AI480" i="3"/>
  <c r="T334" i="3"/>
  <c r="AG18" i="3"/>
  <c r="I98" i="3"/>
  <c r="AI169" i="3"/>
  <c r="T639" i="3"/>
  <c r="M7" i="3"/>
  <c r="AG48" i="3"/>
  <c r="AI36" i="3"/>
  <c r="T1019" i="3"/>
  <c r="AI1030" i="3"/>
  <c r="M18" i="3"/>
  <c r="T543" i="3"/>
  <c r="T555" i="3"/>
  <c r="T586" i="3"/>
  <c r="R41" i="3"/>
  <c r="AI7" i="3"/>
  <c r="T746" i="3"/>
  <c r="T614" i="3"/>
  <c r="AE30" i="3"/>
  <c r="AI263" i="3"/>
  <c r="T874" i="3"/>
  <c r="T839" i="3"/>
  <c r="P66" i="3"/>
  <c r="AI501" i="3"/>
  <c r="T976" i="3"/>
  <c r="T295" i="3"/>
  <c r="K101" i="3"/>
  <c r="T943" i="3"/>
  <c r="T380" i="3"/>
  <c r="T574" i="3"/>
  <c r="R20" i="3"/>
  <c r="AI13" i="3"/>
  <c r="T580" i="3"/>
  <c r="T688" i="3"/>
  <c r="R64" i="3"/>
  <c r="AI269" i="3"/>
  <c r="T882" i="3"/>
  <c r="AG89" i="3"/>
  <c r="AI419" i="3"/>
  <c r="T760" i="3"/>
  <c r="AI833" i="3"/>
  <c r="S11" i="3"/>
  <c r="AI647" i="3"/>
  <c r="R87" i="3"/>
  <c r="T774" i="3"/>
  <c r="R56" i="3"/>
  <c r="AI747" i="3"/>
  <c r="U27" i="3"/>
  <c r="AI216" i="3"/>
  <c r="T110" i="3"/>
  <c r="AI113" i="3"/>
  <c r="T527" i="3"/>
  <c r="AI423" i="3"/>
  <c r="T795" i="3"/>
  <c r="AI208" i="3"/>
  <c r="M93" i="3"/>
  <c r="AI414" i="3"/>
  <c r="T570" i="3"/>
  <c r="AI207" i="3"/>
  <c r="T672" i="3"/>
  <c r="AI429" i="3"/>
  <c r="T1045" i="3"/>
  <c r="AI638" i="3"/>
  <c r="P79" i="3"/>
  <c r="AI516" i="3"/>
  <c r="AI1086" i="3"/>
  <c r="AI229" i="3"/>
  <c r="AI822" i="3"/>
  <c r="AI276" i="3"/>
  <c r="T58" i="3"/>
  <c r="T595" i="3"/>
  <c r="Q28" i="3"/>
  <c r="AI27" i="3"/>
  <c r="T38" i="3"/>
  <c r="AI283" i="3"/>
  <c r="T171" i="3"/>
  <c r="AI489" i="3"/>
  <c r="T681" i="3"/>
  <c r="T611" i="3"/>
  <c r="AF70" i="3"/>
  <c r="T732" i="3"/>
  <c r="P80" i="3"/>
  <c r="T660" i="3"/>
  <c r="S84" i="3"/>
  <c r="S58" i="3"/>
  <c r="AI1083" i="3"/>
  <c r="S44" i="3"/>
  <c r="AI487" i="3"/>
  <c r="T960" i="3"/>
  <c r="I85" i="3"/>
  <c r="T1057" i="3"/>
  <c r="S62" i="3"/>
  <c r="AH84" i="3"/>
  <c r="AI800" i="3"/>
  <c r="AD76" i="3"/>
  <c r="AI1036" i="3"/>
  <c r="T213" i="3"/>
  <c r="M13" i="3"/>
  <c r="Q64" i="3"/>
  <c r="AH24" i="3"/>
  <c r="K91" i="3"/>
  <c r="AI722" i="3"/>
  <c r="AI133" i="3"/>
  <c r="AI910" i="3"/>
  <c r="AE21" i="3"/>
  <c r="AD93" i="3"/>
  <c r="T947" i="3"/>
  <c r="N40" i="3"/>
  <c r="AI392" i="3"/>
  <c r="T854" i="3"/>
  <c r="AI211" i="3"/>
  <c r="T749" i="3"/>
  <c r="AI393" i="3"/>
  <c r="T396" i="3"/>
  <c r="T264" i="3"/>
  <c r="K70" i="3"/>
  <c r="AH81" i="3"/>
  <c r="AI1044" i="3"/>
  <c r="T837" i="3"/>
  <c r="S76" i="3"/>
  <c r="AI447" i="3"/>
  <c r="T716" i="3"/>
  <c r="T686" i="3"/>
  <c r="M39" i="3"/>
  <c r="P54" i="3"/>
  <c r="AI609" i="3"/>
  <c r="T479" i="3"/>
  <c r="U11" i="3"/>
  <c r="AI469" i="3"/>
  <c r="AI990" i="3"/>
  <c r="T964" i="3"/>
  <c r="P71" i="3"/>
  <c r="U89" i="3"/>
  <c r="AI176" i="3"/>
  <c r="T998" i="3"/>
  <c r="AH66" i="3"/>
  <c r="AI308" i="3"/>
  <c r="T10" i="3"/>
  <c r="AF48" i="3"/>
  <c r="O47" i="3"/>
  <c r="AI201" i="3"/>
  <c r="T1023" i="3"/>
  <c r="N17" i="3"/>
  <c r="U6" i="3"/>
  <c r="AI148" i="3"/>
  <c r="T186" i="3"/>
  <c r="M91" i="3"/>
  <c r="P23" i="3"/>
  <c r="AI206" i="3"/>
  <c r="T1043" i="3"/>
  <c r="T263" i="3"/>
  <c r="AG19" i="3"/>
  <c r="AI110" i="3"/>
  <c r="AI695" i="3"/>
  <c r="AC8" i="3"/>
  <c r="N54" i="3"/>
  <c r="AI264" i="3"/>
  <c r="T544" i="3"/>
  <c r="T920" i="3"/>
  <c r="Q7" i="3"/>
  <c r="AI563" i="3"/>
  <c r="AI751" i="3"/>
  <c r="T876" i="3"/>
  <c r="M73" i="3"/>
  <c r="AI386" i="3"/>
  <c r="T832" i="3"/>
  <c r="T288" i="3"/>
  <c r="AD63" i="3"/>
  <c r="AI186" i="3"/>
  <c r="AI1061" i="3"/>
  <c r="T86" i="3"/>
  <c r="I96" i="3"/>
  <c r="AI502" i="3"/>
  <c r="AG33" i="3"/>
  <c r="T349" i="3"/>
  <c r="S55" i="3"/>
  <c r="T452" i="3"/>
  <c r="AI520" i="3"/>
  <c r="O16" i="3"/>
  <c r="T447" i="3"/>
  <c r="AE26" i="3"/>
  <c r="N83" i="3"/>
  <c r="AI915" i="3"/>
  <c r="T241" i="3"/>
  <c r="AG52" i="3"/>
  <c r="AG53" i="3"/>
  <c r="AI674" i="3"/>
  <c r="T701" i="3"/>
  <c r="AD85" i="3"/>
  <c r="N61" i="3"/>
  <c r="AI565" i="3"/>
  <c r="I81" i="3"/>
  <c r="T845" i="3"/>
  <c r="AI145" i="3"/>
  <c r="AG47" i="3"/>
  <c r="T1069" i="3"/>
  <c r="T304" i="3"/>
  <c r="AF28" i="3"/>
  <c r="AI584" i="3"/>
  <c r="T476" i="3"/>
  <c r="T359" i="3"/>
  <c r="AH46" i="3"/>
  <c r="AI840" i="3"/>
  <c r="T815" i="3"/>
  <c r="T412" i="3"/>
  <c r="Q53" i="3"/>
  <c r="AI1076" i="3"/>
  <c r="I62" i="3"/>
  <c r="T576" i="3"/>
  <c r="AI768" i="3"/>
  <c r="U50" i="3"/>
  <c r="T1061" i="3"/>
  <c r="T82" i="3"/>
  <c r="S67" i="3"/>
  <c r="AI935" i="3"/>
  <c r="P18" i="3"/>
  <c r="T515" i="3"/>
  <c r="O37" i="3"/>
  <c r="AI754" i="3"/>
  <c r="N24" i="3"/>
  <c r="T954" i="3"/>
  <c r="O55" i="3"/>
  <c r="AI585" i="3"/>
  <c r="M58" i="3"/>
  <c r="T393" i="3"/>
  <c r="AI76" i="3"/>
  <c r="R51" i="3"/>
  <c r="AD33" i="3"/>
  <c r="AH44" i="3"/>
  <c r="O51" i="3"/>
  <c r="AI588" i="3"/>
  <c r="T696" i="3"/>
  <c r="O71" i="3"/>
  <c r="T870" i="3"/>
  <c r="P77" i="3"/>
  <c r="S59" i="3"/>
  <c r="I80" i="3"/>
  <c r="K72" i="3"/>
  <c r="T425" i="3"/>
  <c r="T225" i="3"/>
  <c r="T666" i="3"/>
  <c r="Q91" i="3"/>
  <c r="AI323" i="3"/>
  <c r="T685" i="3"/>
  <c r="T994" i="3"/>
  <c r="AC88" i="3"/>
  <c r="AI38" i="3"/>
  <c r="T651" i="3"/>
  <c r="T712" i="3"/>
  <c r="AI544" i="3"/>
  <c r="P42" i="3"/>
  <c r="T1005" i="3"/>
  <c r="R58" i="3"/>
  <c r="O96" i="3"/>
  <c r="AI1074" i="3"/>
  <c r="T55" i="3"/>
  <c r="AD61" i="3"/>
  <c r="I86" i="3"/>
  <c r="AI816" i="3"/>
  <c r="T735" i="3"/>
  <c r="I99" i="3"/>
  <c r="AH47" i="3"/>
  <c r="AI1052" i="3"/>
  <c r="I97" i="3"/>
  <c r="T980" i="3"/>
  <c r="AI185" i="3"/>
  <c r="O24" i="3"/>
  <c r="T850" i="3"/>
  <c r="T285" i="3"/>
  <c r="K66" i="3"/>
  <c r="AI943" i="3"/>
  <c r="T567" i="3"/>
  <c r="T409" i="3"/>
  <c r="AF35" i="3"/>
  <c r="AI770" i="3"/>
  <c r="T109" i="3"/>
  <c r="T640" i="3"/>
  <c r="Q54" i="3"/>
  <c r="AI577" i="3"/>
  <c r="S54" i="3"/>
  <c r="T545" i="3"/>
  <c r="AI792" i="3"/>
  <c r="M51" i="3"/>
  <c r="T807" i="3"/>
  <c r="T731" i="3"/>
  <c r="M31" i="3"/>
  <c r="AI580" i="3"/>
  <c r="AD43" i="3"/>
  <c r="T978" i="3"/>
  <c r="K73" i="3"/>
  <c r="AI836" i="3"/>
  <c r="K84" i="3"/>
  <c r="AH100" i="3"/>
  <c r="AI436" i="3"/>
  <c r="M71" i="3"/>
  <c r="T601" i="3"/>
  <c r="I28" i="3"/>
  <c r="T801" i="3"/>
  <c r="AH49" i="3"/>
  <c r="R68" i="3"/>
  <c r="AD38" i="3"/>
  <c r="T596" i="3"/>
  <c r="AF10" i="3"/>
  <c r="AI17" i="3"/>
  <c r="T677" i="3"/>
  <c r="AI273" i="3"/>
  <c r="T911" i="3"/>
  <c r="AI452" i="3"/>
  <c r="T974" i="3"/>
  <c r="T1011" i="3"/>
  <c r="AD56" i="3"/>
  <c r="AI111" i="3"/>
  <c r="T855" i="3"/>
  <c r="AI367" i="3"/>
  <c r="T322" i="3"/>
  <c r="AI82" i="3"/>
  <c r="T1073" i="3"/>
  <c r="T446" i="3"/>
  <c r="AE34" i="3"/>
  <c r="AI620" i="3"/>
  <c r="T1046" i="3"/>
  <c r="AI28" i="3"/>
  <c r="T665" i="3"/>
  <c r="AI304" i="3"/>
  <c r="T154" i="3"/>
  <c r="T607" i="3"/>
  <c r="R37" i="3"/>
  <c r="AI979" i="3"/>
  <c r="T134" i="3"/>
  <c r="AI842" i="3"/>
  <c r="T429" i="3"/>
  <c r="AI629" i="3"/>
  <c r="T219" i="3"/>
  <c r="T800" i="3"/>
  <c r="K30" i="3"/>
  <c r="Q27" i="3"/>
  <c r="AC64" i="3"/>
  <c r="T538" i="3"/>
  <c r="AF78" i="3"/>
  <c r="AI418" i="3"/>
  <c r="T289" i="3"/>
  <c r="AI177" i="3"/>
  <c r="T783" i="3"/>
  <c r="T924" i="3"/>
  <c r="R16" i="3"/>
  <c r="T720" i="3"/>
  <c r="AE65" i="3"/>
  <c r="AI536" i="3"/>
  <c r="T517" i="3"/>
  <c r="AI271" i="3"/>
  <c r="T173" i="3"/>
  <c r="T170" i="3"/>
  <c r="AF24" i="3"/>
  <c r="P4" i="3"/>
  <c r="AF57" i="3"/>
  <c r="AI55" i="3"/>
  <c r="AI607" i="3"/>
  <c r="AI293" i="3"/>
  <c r="AI631" i="3"/>
  <c r="I6" i="3"/>
  <c r="AI178" i="3"/>
  <c r="R24" i="3"/>
  <c r="T513" i="3"/>
  <c r="AI61" i="3"/>
  <c r="T413" i="3"/>
  <c r="AI371" i="3"/>
  <c r="T435" i="3"/>
  <c r="AI46" i="3"/>
  <c r="T961" i="3"/>
  <c r="T178" i="3"/>
  <c r="K74" i="3"/>
  <c r="AI295" i="3"/>
  <c r="AC76" i="3"/>
  <c r="T368" i="3"/>
  <c r="S80" i="3"/>
  <c r="AI495" i="3"/>
  <c r="P70" i="3"/>
  <c r="T827" i="3"/>
  <c r="AD42" i="3"/>
  <c r="AI277" i="3"/>
  <c r="P82" i="3"/>
  <c r="T1024" i="3"/>
  <c r="AH20" i="3"/>
  <c r="AI122" i="3"/>
  <c r="K59" i="3"/>
  <c r="T680" i="3"/>
  <c r="AG76" i="3"/>
  <c r="AI355" i="3"/>
  <c r="K92" i="3"/>
  <c r="T379" i="3"/>
  <c r="AH70" i="3"/>
  <c r="AI599" i="3"/>
  <c r="AI635" i="3"/>
  <c r="S78" i="3"/>
  <c r="AE4" i="3"/>
  <c r="AI361" i="3"/>
  <c r="AI242" i="3"/>
  <c r="S20" i="3"/>
  <c r="AH101" i="3"/>
  <c r="AI559" i="3"/>
  <c r="AI671" i="3"/>
  <c r="I94" i="3"/>
  <c r="S28" i="3"/>
  <c r="AI366" i="3"/>
  <c r="AH14" i="3"/>
  <c r="T505" i="3"/>
  <c r="AH32" i="3"/>
  <c r="AI757" i="3"/>
  <c r="T59" i="3"/>
  <c r="S21" i="3"/>
  <c r="AC57" i="3"/>
  <c r="AI798" i="3"/>
  <c r="K26" i="3"/>
  <c r="T848" i="3"/>
  <c r="AC53" i="3"/>
  <c r="AI859" i="3"/>
  <c r="AI1046" i="3"/>
  <c r="T1056" i="3"/>
  <c r="U86" i="3"/>
  <c r="AI847" i="3"/>
  <c r="S27" i="3"/>
  <c r="T85" i="3"/>
  <c r="AG71" i="3"/>
  <c r="AI769" i="3"/>
  <c r="T12" i="3"/>
  <c r="T406" i="3"/>
  <c r="R7" i="3"/>
  <c r="AI882" i="3"/>
  <c r="M99" i="3"/>
  <c r="P24" i="3"/>
  <c r="K93" i="3"/>
  <c r="K11" i="3"/>
  <c r="T331" i="3"/>
  <c r="AE91" i="3"/>
  <c r="I5" i="3"/>
  <c r="AF33" i="3"/>
  <c r="R77" i="3"/>
  <c r="AI947" i="3"/>
  <c r="T198" i="3"/>
  <c r="Q51" i="3"/>
  <c r="AG93" i="3"/>
  <c r="AI778" i="3"/>
  <c r="T514" i="3"/>
  <c r="R11" i="3"/>
  <c r="U81" i="3"/>
  <c r="AI597" i="3"/>
  <c r="AF91" i="3"/>
  <c r="AI342" i="3"/>
  <c r="AI982" i="3"/>
  <c r="AI462" i="3"/>
  <c r="T45" i="3"/>
  <c r="AC20" i="3"/>
  <c r="U73" i="3"/>
  <c r="AI616" i="3"/>
  <c r="T610" i="3"/>
  <c r="AG25" i="3"/>
  <c r="AG100" i="3"/>
  <c r="AI12" i="3"/>
  <c r="T40" i="3"/>
  <c r="AC36" i="3"/>
  <c r="R79" i="3"/>
  <c r="AI240" i="3"/>
  <c r="AI75" i="3"/>
  <c r="T310" i="3"/>
  <c r="T1080" i="3"/>
  <c r="AI199" i="3"/>
  <c r="T375" i="3"/>
  <c r="AD45" i="3"/>
  <c r="Q96" i="3"/>
  <c r="AI1031" i="3"/>
  <c r="R30" i="3"/>
  <c r="S42" i="3"/>
  <c r="O43" i="3"/>
  <c r="AI908" i="3"/>
  <c r="AE38" i="3"/>
  <c r="AD55" i="3"/>
  <c r="K3" i="3"/>
  <c r="AI681" i="3"/>
  <c r="AI259" i="3"/>
  <c r="T648" i="3"/>
  <c r="T185" i="3"/>
  <c r="AI494" i="3"/>
  <c r="M52" i="3"/>
  <c r="U3" i="3"/>
  <c r="AE93" i="3"/>
  <c r="AI746" i="3"/>
  <c r="T984" i="3"/>
  <c r="M70" i="3"/>
  <c r="AI523" i="3"/>
  <c r="AI362" i="3"/>
  <c r="AI130" i="3"/>
  <c r="AI344" i="3"/>
  <c r="T388" i="3"/>
  <c r="T1035" i="3"/>
  <c r="K36" i="3"/>
  <c r="T821" i="3"/>
  <c r="O94" i="3"/>
  <c r="AI762" i="3"/>
  <c r="U49" i="3"/>
  <c r="I84" i="3"/>
  <c r="AG85" i="3"/>
  <c r="AI605" i="3"/>
  <c r="K18" i="3"/>
  <c r="T356" i="3"/>
  <c r="T436" i="3"/>
  <c r="AH56" i="3"/>
  <c r="O36" i="3"/>
  <c r="S70" i="3"/>
  <c r="R76" i="3"/>
  <c r="AI592" i="3"/>
  <c r="T440" i="3"/>
  <c r="U88" i="3"/>
  <c r="AF84" i="3"/>
  <c r="AI848" i="3"/>
  <c r="T1055" i="3"/>
  <c r="P30" i="3"/>
  <c r="K64" i="3"/>
  <c r="AI1084" i="3"/>
  <c r="AG90" i="3"/>
  <c r="AI759" i="3"/>
  <c r="AI570" i="3"/>
  <c r="AI39" i="3"/>
  <c r="T333" i="3"/>
  <c r="M45" i="3"/>
  <c r="O75" i="3"/>
  <c r="AI975" i="3"/>
  <c r="T572" i="3"/>
  <c r="U39" i="3"/>
  <c r="N70" i="3"/>
  <c r="AI834" i="3"/>
  <c r="T27" i="3"/>
  <c r="AG54" i="3"/>
  <c r="AF95" i="3"/>
  <c r="AI673" i="3"/>
  <c r="AI99" i="3"/>
  <c r="T358" i="3"/>
  <c r="T582" i="3"/>
  <c r="AI239" i="3"/>
  <c r="T290" i="3"/>
  <c r="U4" i="3"/>
  <c r="AE76" i="3"/>
  <c r="AI676" i="3"/>
  <c r="Q33" i="3"/>
  <c r="U51" i="3"/>
  <c r="R100" i="3"/>
  <c r="AI252" i="3"/>
  <c r="AD14" i="3"/>
  <c r="P3" i="3"/>
  <c r="AI662" i="3"/>
  <c r="M87" i="3"/>
  <c r="I10" i="3"/>
  <c r="N66" i="3"/>
  <c r="U32" i="3"/>
  <c r="K27" i="3"/>
  <c r="T970" i="3"/>
  <c r="T261" i="3"/>
  <c r="U82" i="3"/>
  <c r="K5" i="3"/>
  <c r="AI648" i="3"/>
  <c r="T483" i="3"/>
  <c r="AI140" i="3"/>
  <c r="T1071" i="3"/>
  <c r="AI550" i="3"/>
  <c r="T952" i="3"/>
  <c r="T437" i="3"/>
  <c r="R78" i="3"/>
  <c r="AI999" i="3"/>
  <c r="K24" i="3"/>
  <c r="AI876" i="3"/>
  <c r="Q30" i="3"/>
  <c r="AI649" i="3"/>
  <c r="AC41" i="3"/>
  <c r="M44" i="3"/>
  <c r="Q81" i="3"/>
  <c r="AI652" i="3"/>
  <c r="T972" i="3"/>
  <c r="AI156" i="3"/>
  <c r="T485" i="3"/>
  <c r="AI566" i="3"/>
  <c r="T474" i="3"/>
  <c r="T927" i="3"/>
  <c r="M53" i="3"/>
  <c r="AI1011" i="3"/>
  <c r="T454" i="3"/>
  <c r="AI888" i="3"/>
  <c r="T176" i="3"/>
  <c r="AI661" i="3"/>
  <c r="T806" i="3"/>
  <c r="T194" i="3"/>
  <c r="AE24" i="3"/>
  <c r="AE55" i="3"/>
  <c r="AI234" i="3"/>
  <c r="AH55" i="3"/>
  <c r="T315" i="3"/>
  <c r="AI115" i="3"/>
  <c r="T900" i="3"/>
  <c r="AI337" i="3"/>
  <c r="U80" i="3"/>
  <c r="AC5" i="3"/>
  <c r="AI272" i="3"/>
  <c r="AE72" i="3"/>
  <c r="T373" i="3"/>
  <c r="AI121" i="3"/>
  <c r="I47" i="3"/>
  <c r="AI431" i="3"/>
  <c r="P14" i="3"/>
  <c r="AH8" i="3"/>
  <c r="AI799" i="3"/>
  <c r="M6" i="3"/>
  <c r="K23" i="3"/>
  <c r="AI215" i="3"/>
  <c r="Q61" i="3"/>
  <c r="AI284" i="3"/>
  <c r="AI1009" i="3"/>
  <c r="N93" i="3"/>
  <c r="T877" i="3"/>
  <c r="AF27" i="3"/>
  <c r="AE17" i="3"/>
  <c r="AI692" i="3"/>
  <c r="AF65" i="3"/>
  <c r="AI928" i="3"/>
  <c r="AH75" i="3"/>
  <c r="AI693" i="3"/>
  <c r="AI328" i="3"/>
  <c r="T617" i="3"/>
  <c r="M57" i="3"/>
  <c r="AI455" i="3"/>
  <c r="AI654" i="3"/>
  <c r="T533" i="3"/>
  <c r="AD39" i="3"/>
  <c r="AI710" i="3"/>
  <c r="AI475" i="3"/>
  <c r="T910" i="3"/>
  <c r="U34" i="3"/>
  <c r="AI437" i="3"/>
  <c r="AI686" i="3"/>
  <c r="T399" i="3"/>
  <c r="AE42" i="3"/>
  <c r="AI705" i="3"/>
  <c r="AI1089" i="3"/>
  <c r="T1052" i="3"/>
  <c r="Q75" i="3"/>
  <c r="AI180" i="3"/>
  <c r="AI899" i="3"/>
  <c r="T729" i="3"/>
  <c r="N64" i="3"/>
  <c r="AI771" i="3"/>
  <c r="AI192" i="3"/>
  <c r="K62" i="3"/>
  <c r="AF4" i="3"/>
  <c r="AI498" i="3"/>
  <c r="T467" i="3"/>
  <c r="I29" i="3"/>
  <c r="S91" i="3"/>
  <c r="AI851" i="3"/>
  <c r="T817" i="3"/>
  <c r="AE16" i="3"/>
  <c r="AG26" i="3"/>
  <c r="AI839" i="3"/>
  <c r="Q14" i="3"/>
  <c r="T699" i="3"/>
  <c r="AD70" i="3"/>
  <c r="AI789" i="3"/>
  <c r="T169" i="3"/>
  <c r="AH51" i="3"/>
  <c r="K44" i="3"/>
  <c r="AI962" i="3"/>
  <c r="AI21" i="3"/>
  <c r="T860" i="3"/>
  <c r="AD98" i="3"/>
  <c r="AI897" i="3"/>
  <c r="T1031" i="3"/>
  <c r="AF49" i="3"/>
  <c r="AG74" i="3"/>
  <c r="AI891" i="3"/>
  <c r="AI45" i="3"/>
  <c r="T42" i="3"/>
  <c r="K63" i="3"/>
  <c r="AI865" i="3"/>
  <c r="T172" i="3"/>
  <c r="S14" i="3"/>
  <c r="N76" i="3"/>
  <c r="AI608" i="3"/>
  <c r="AI748" i="3"/>
  <c r="I76" i="3"/>
  <c r="AI224" i="3"/>
  <c r="S40" i="3"/>
  <c r="T510" i="3"/>
  <c r="AI594" i="3"/>
  <c r="R6" i="3"/>
  <c r="R72" i="3"/>
  <c r="AI266" i="3"/>
  <c r="T124" i="3"/>
  <c r="T23" i="3"/>
  <c r="AD96" i="3"/>
  <c r="AI59" i="3"/>
  <c r="T422" i="3"/>
  <c r="T240" i="3"/>
  <c r="AF15" i="3"/>
  <c r="AI265" i="3"/>
  <c r="T328" i="3"/>
  <c r="AI578" i="3"/>
  <c r="T43" i="3"/>
  <c r="AI1002" i="3"/>
  <c r="T983" i="3"/>
  <c r="T316" i="3"/>
  <c r="AD4" i="3"/>
  <c r="AI743" i="3"/>
  <c r="T324" i="3"/>
  <c r="T313" i="3"/>
  <c r="AC30" i="3"/>
  <c r="AI49" i="3"/>
  <c r="T770" i="3"/>
  <c r="T629" i="3"/>
  <c r="AH17" i="3"/>
  <c r="AI359" i="3"/>
  <c r="T782" i="3"/>
  <c r="T856" i="3"/>
  <c r="T128" i="3"/>
  <c r="AI382" i="3"/>
  <c r="AI870" i="3"/>
  <c r="P46" i="3"/>
  <c r="U48" i="3"/>
  <c r="AI350" i="3"/>
  <c r="T254" i="3"/>
  <c r="AH25" i="3"/>
  <c r="U54" i="3"/>
  <c r="AI143" i="3"/>
  <c r="T1012" i="3"/>
  <c r="AF19" i="3"/>
  <c r="M61" i="3"/>
  <c r="AI365" i="3"/>
  <c r="T1006" i="3"/>
  <c r="T250" i="3"/>
  <c r="AD74" i="3"/>
  <c r="T642" i="3"/>
  <c r="T246" i="3"/>
  <c r="T613" i="3"/>
  <c r="AC89" i="3"/>
  <c r="AI360" i="3"/>
  <c r="AI634" i="3"/>
  <c r="T899" i="3"/>
  <c r="AD72" i="3"/>
  <c r="M86" i="3"/>
  <c r="AI812" i="3"/>
  <c r="T977" i="3"/>
  <c r="AF56" i="3"/>
  <c r="K96" i="3"/>
  <c r="AI1048" i="3"/>
  <c r="T71" i="3"/>
  <c r="AD71" i="3"/>
  <c r="AH98" i="3"/>
  <c r="AI622" i="3"/>
  <c r="O48" i="3"/>
  <c r="I90" i="3"/>
  <c r="N43" i="3"/>
  <c r="R91" i="3"/>
  <c r="T657" i="3"/>
  <c r="AH89" i="3"/>
  <c r="N45" i="3"/>
  <c r="T342" i="3"/>
  <c r="I31" i="3"/>
  <c r="AI703" i="3"/>
  <c r="T689" i="3"/>
  <c r="T671" i="3"/>
  <c r="U42" i="3"/>
  <c r="T277" i="3"/>
  <c r="Q23" i="3"/>
  <c r="AC23" i="3"/>
  <c r="AC12" i="3"/>
  <c r="O87" i="3"/>
  <c r="T842" i="3"/>
  <c r="K29" i="3"/>
  <c r="AI54" i="3"/>
  <c r="T790" i="3"/>
  <c r="P34" i="3"/>
  <c r="O70" i="3"/>
  <c r="T684" i="3"/>
  <c r="AF44" i="3"/>
  <c r="AH4" i="3"/>
  <c r="T768" i="3"/>
  <c r="AF41" i="3"/>
  <c r="AC91" i="3"/>
  <c r="N46" i="3"/>
  <c r="O93" i="3"/>
  <c r="AI961" i="3"/>
  <c r="T583" i="3"/>
  <c r="Q76" i="3"/>
  <c r="AD48" i="3"/>
  <c r="AG28" i="3"/>
  <c r="T459" i="3"/>
  <c r="R90" i="3"/>
  <c r="I35" i="3"/>
  <c r="AE22" i="3"/>
  <c r="T498" i="3"/>
  <c r="I33" i="3"/>
  <c r="T564" i="3"/>
  <c r="AC17" i="3"/>
  <c r="T914" i="3"/>
  <c r="AG20" i="3"/>
  <c r="S22" i="3"/>
  <c r="T612" i="3"/>
  <c r="T755" i="3"/>
  <c r="R63" i="3"/>
  <c r="P57" i="3"/>
  <c r="T986" i="3"/>
  <c r="S48" i="3"/>
  <c r="AG10" i="3"/>
  <c r="AI640" i="3"/>
  <c r="K4" i="3"/>
  <c r="AI108" i="3"/>
  <c r="O4" i="3"/>
  <c r="AI518" i="3"/>
  <c r="AE59" i="3"/>
  <c r="K76" i="3"/>
  <c r="AF97" i="3"/>
  <c r="AI1023" i="3"/>
  <c r="R32" i="3"/>
  <c r="AI900" i="3"/>
  <c r="P41" i="3"/>
  <c r="AI657" i="3"/>
  <c r="T191" i="3"/>
  <c r="T299" i="3"/>
  <c r="Q22" i="3"/>
  <c r="AI660" i="3"/>
  <c r="T3" i="3"/>
  <c r="AI188" i="3"/>
  <c r="T921" i="3"/>
  <c r="AI598" i="3"/>
  <c r="T167" i="3"/>
  <c r="T1007" i="3"/>
  <c r="AD53" i="3"/>
  <c r="AI1019" i="3"/>
  <c r="T87" i="3"/>
  <c r="AI896" i="3"/>
  <c r="T256" i="3"/>
  <c r="AI685" i="3"/>
  <c r="T303" i="3"/>
  <c r="T7" i="3"/>
  <c r="AC25" i="3"/>
  <c r="Q32" i="3"/>
  <c r="AI144" i="3"/>
  <c r="AH57" i="3"/>
  <c r="T193" i="3"/>
  <c r="AI171" i="3"/>
  <c r="I78" i="3"/>
  <c r="AI377" i="3"/>
  <c r="AG7" i="3"/>
  <c r="P7" i="3"/>
  <c r="AI558" i="3"/>
  <c r="N85" i="3"/>
  <c r="T869" i="3"/>
  <c r="AI161" i="3"/>
  <c r="U26" i="3"/>
  <c r="AI4" i="3"/>
  <c r="AI1017" i="3"/>
  <c r="R66" i="3"/>
  <c r="AI846" i="3"/>
  <c r="R39" i="3"/>
  <c r="U61" i="3"/>
  <c r="AI1047" i="3"/>
  <c r="O65" i="3"/>
  <c r="AI316" i="3"/>
  <c r="AI586" i="3"/>
  <c r="R55" i="3"/>
  <c r="T942" i="3"/>
  <c r="O29" i="3"/>
  <c r="P5" i="3"/>
  <c r="AI700" i="3"/>
  <c r="N33" i="3"/>
  <c r="AI936" i="3"/>
  <c r="AH79" i="3"/>
  <c r="AI717" i="3"/>
  <c r="AI1073" i="3"/>
  <c r="T777" i="3"/>
  <c r="K58" i="3"/>
  <c r="AI100" i="3"/>
  <c r="AI767" i="3"/>
  <c r="T634" i="3"/>
  <c r="M38" i="3"/>
  <c r="AI779" i="3"/>
  <c r="AI384" i="3"/>
  <c r="T1017" i="3"/>
  <c r="AD35" i="3"/>
  <c r="AI461" i="3"/>
  <c r="AI783" i="3"/>
  <c r="T812" i="3"/>
  <c r="AE62" i="3"/>
  <c r="AI713" i="3"/>
  <c r="T329" i="3"/>
  <c r="Q26" i="3"/>
  <c r="N100" i="3"/>
  <c r="AI984" i="3"/>
  <c r="AI698" i="3"/>
  <c r="M75" i="3"/>
  <c r="R97" i="3"/>
  <c r="AI787" i="3"/>
  <c r="T16" i="3"/>
  <c r="T346" i="3"/>
  <c r="P53" i="3"/>
  <c r="AI525" i="3"/>
  <c r="T646" i="3"/>
  <c r="T340" i="3"/>
  <c r="AE9" i="3"/>
  <c r="AI867" i="3"/>
  <c r="T36" i="3"/>
  <c r="T658" i="3"/>
  <c r="P33" i="3"/>
  <c r="AI879" i="3"/>
  <c r="AD9" i="3"/>
  <c r="T859" i="3"/>
  <c r="AG78" i="3"/>
  <c r="AI813" i="3"/>
  <c r="T233" i="3"/>
  <c r="AH33" i="3"/>
  <c r="AC82" i="3"/>
  <c r="AI604" i="3"/>
  <c r="AI181" i="3"/>
  <c r="T966" i="3"/>
  <c r="N79" i="3"/>
  <c r="AI921" i="3"/>
  <c r="T830" i="3"/>
  <c r="Q58" i="3"/>
  <c r="AE96" i="3"/>
  <c r="AI963" i="3"/>
  <c r="AI205" i="3"/>
  <c r="T908" i="3"/>
  <c r="R99" i="3"/>
  <c r="AI16" i="3"/>
  <c r="T30" i="3"/>
  <c r="AD97" i="3"/>
  <c r="AH88" i="3"/>
  <c r="AI632" i="3"/>
  <c r="AI780" i="3"/>
  <c r="AI1021" i="3"/>
  <c r="AI546" i="3"/>
  <c r="U41" i="3"/>
  <c r="T247" i="3"/>
  <c r="AI866" i="3"/>
  <c r="T8" i="3"/>
  <c r="N10" i="3"/>
  <c r="AI290" i="3"/>
  <c r="T140" i="3"/>
  <c r="T343" i="3"/>
  <c r="I83" i="3"/>
  <c r="AI83" i="3"/>
  <c r="T438" i="3"/>
  <c r="T565" i="3"/>
  <c r="AE49" i="3"/>
  <c r="AI305" i="3"/>
  <c r="T360" i="3"/>
  <c r="T616" i="3"/>
  <c r="T48" i="3"/>
  <c r="AI222" i="3"/>
  <c r="T1015" i="3"/>
  <c r="T427" i="3"/>
  <c r="U7" i="3"/>
  <c r="AI184" i="3"/>
  <c r="T57" i="3"/>
  <c r="I49" i="3"/>
  <c r="P32" i="3"/>
  <c r="AI89" i="3"/>
  <c r="T31" i="3"/>
  <c r="AE33" i="3"/>
  <c r="M23" i="3"/>
  <c r="AI399" i="3"/>
  <c r="T271" i="3"/>
  <c r="AI958" i="3"/>
  <c r="AF17" i="3"/>
  <c r="T626" i="3"/>
  <c r="T997" i="3"/>
  <c r="T897" i="3"/>
  <c r="R3" i="3"/>
  <c r="AI390" i="3"/>
  <c r="T318" i="3"/>
  <c r="T418" i="3"/>
  <c r="S95" i="3"/>
  <c r="AI183" i="3"/>
  <c r="T1033" i="3"/>
  <c r="T695" i="3"/>
  <c r="P99" i="3"/>
  <c r="AI421" i="3"/>
  <c r="AI970" i="3"/>
  <c r="T266" i="3"/>
  <c r="U77" i="3"/>
  <c r="T802" i="3"/>
  <c r="T151" i="3"/>
  <c r="AE12" i="3"/>
  <c r="AC33" i="3"/>
  <c r="AI486" i="3"/>
  <c r="T1010" i="3"/>
  <c r="I57" i="3"/>
  <c r="R52" i="3"/>
  <c r="AI189" i="3"/>
  <c r="T934" i="3"/>
  <c r="T1016" i="3"/>
  <c r="AE5" i="3"/>
  <c r="AI116" i="3"/>
  <c r="T181" i="3"/>
  <c r="S94" i="3"/>
  <c r="AI844" i="3"/>
  <c r="T638" i="3"/>
  <c r="AE25" i="3"/>
  <c r="P97" i="3"/>
  <c r="AI1080" i="3"/>
  <c r="T308" i="3"/>
  <c r="U74" i="3"/>
  <c r="AI114" i="3"/>
  <c r="T1063" i="3"/>
  <c r="T668" i="3"/>
  <c r="AF9" i="3"/>
  <c r="T528" i="3"/>
  <c r="AG56" i="3"/>
  <c r="AH34" i="3"/>
  <c r="I100" i="3"/>
  <c r="Q18" i="3"/>
  <c r="T444" i="3"/>
  <c r="AF13" i="3"/>
  <c r="AI941" i="3"/>
  <c r="T1014" i="3"/>
  <c r="M11" i="3"/>
  <c r="S97" i="3"/>
  <c r="R28" i="3"/>
  <c r="I12" i="3"/>
  <c r="O27" i="3"/>
  <c r="P83" i="3"/>
  <c r="AF87" i="3"/>
  <c r="T598" i="3"/>
  <c r="AC27" i="3"/>
  <c r="AI214" i="3"/>
  <c r="T675" i="3"/>
  <c r="O28" i="3"/>
  <c r="S29" i="3"/>
  <c r="T434" i="3"/>
  <c r="K82" i="3"/>
  <c r="AD80" i="3"/>
  <c r="T822" i="3"/>
  <c r="M69" i="3"/>
  <c r="T341" i="3"/>
  <c r="N50" i="3"/>
  <c r="AI420" i="3"/>
  <c r="T880" i="3"/>
  <c r="T904" i="3"/>
  <c r="Q80" i="3"/>
  <c r="K49" i="3"/>
  <c r="AC46" i="3"/>
  <c r="T248" i="3"/>
  <c r="T1008" i="3"/>
  <c r="S6" i="3"/>
  <c r="AH68" i="3"/>
  <c r="T928" i="3"/>
  <c r="AI90" i="3"/>
  <c r="T637" i="3"/>
  <c r="M21" i="3"/>
  <c r="O13" i="3"/>
  <c r="O22" i="3"/>
  <c r="AC7" i="3"/>
  <c r="AH12" i="3"/>
  <c r="AD15" i="3"/>
  <c r="T536" i="3"/>
  <c r="AG22" i="3"/>
  <c r="T556" i="3"/>
  <c r="T993" i="3"/>
  <c r="AC101" i="3"/>
  <c r="AI736" i="3"/>
  <c r="AG8" i="3"/>
  <c r="AI476" i="3"/>
  <c r="P8" i="3"/>
  <c r="AI827" i="3"/>
  <c r="Q63" i="3"/>
  <c r="AG58" i="3"/>
  <c r="AI691" i="3"/>
  <c r="AI416" i="3"/>
  <c r="AF23" i="3"/>
  <c r="AI996" i="3"/>
  <c r="AI325" i="3"/>
  <c r="AI814" i="3"/>
  <c r="AI118" i="3"/>
  <c r="R13" i="3"/>
  <c r="AI136" i="3"/>
  <c r="T981" i="3"/>
  <c r="AI93" i="3"/>
  <c r="T826" i="3"/>
  <c r="AI403" i="3"/>
  <c r="T53" i="3"/>
  <c r="AI318" i="3"/>
  <c r="AC39" i="3"/>
  <c r="AI354" i="3"/>
  <c r="T33" i="3"/>
  <c r="AI147" i="3"/>
  <c r="T487" i="3"/>
  <c r="AI369" i="3"/>
  <c r="T146" i="3"/>
  <c r="AI358" i="3"/>
  <c r="O68" i="3"/>
  <c r="AI862" i="3"/>
  <c r="AG41" i="3"/>
  <c r="T939" i="3"/>
  <c r="K65" i="3"/>
  <c r="AG6" i="3"/>
  <c r="AI1059" i="3"/>
  <c r="AG101" i="3"/>
  <c r="AI364" i="3"/>
  <c r="T789" i="3"/>
  <c r="AG12" i="3"/>
  <c r="T236" i="3"/>
  <c r="AE98" i="3"/>
  <c r="AD79" i="3"/>
  <c r="AI728" i="3"/>
  <c r="AF83" i="3"/>
  <c r="AI964" i="3"/>
  <c r="T647" i="3"/>
  <c r="S88" i="3"/>
  <c r="T593" i="3"/>
  <c r="AD34" i="3"/>
  <c r="AC90" i="3"/>
  <c r="AI1079" i="3"/>
  <c r="AD92" i="3"/>
  <c r="AI444" i="3"/>
  <c r="Q15" i="3"/>
  <c r="S73" i="3"/>
  <c r="T707" i="3"/>
  <c r="AG27" i="3"/>
  <c r="AF92" i="3"/>
  <c r="AI796" i="3"/>
  <c r="AG65" i="3"/>
  <c r="AI1032" i="3"/>
  <c r="U59" i="3"/>
  <c r="AI749" i="3"/>
  <c r="T104" i="3"/>
  <c r="T758" i="3"/>
  <c r="AH18" i="3"/>
  <c r="AI1004" i="3"/>
  <c r="T560" i="3"/>
  <c r="T873" i="3"/>
  <c r="M59" i="3"/>
  <c r="AI843" i="3"/>
  <c r="T424" i="3"/>
  <c r="T858" i="3"/>
  <c r="O46" i="3"/>
  <c r="AI521" i="3"/>
  <c r="AI806" i="3"/>
  <c r="T116" i="3"/>
  <c r="P59" i="3"/>
  <c r="AI809" i="3"/>
  <c r="T83" i="3"/>
  <c r="AD27" i="3"/>
  <c r="N89" i="3"/>
  <c r="AI1016" i="3"/>
  <c r="T394" i="3"/>
  <c r="N13" i="3"/>
  <c r="AI443" i="3"/>
  <c r="T293" i="3"/>
  <c r="T112" i="3"/>
  <c r="AF32" i="3"/>
  <c r="M56" i="3"/>
  <c r="AI557" i="3"/>
  <c r="T742" i="3"/>
  <c r="M9" i="3"/>
  <c r="AH93" i="3"/>
  <c r="AI901" i="3"/>
  <c r="T228" i="3"/>
  <c r="AG24" i="3"/>
  <c r="O95" i="3"/>
  <c r="AI911" i="3"/>
  <c r="AI125" i="3"/>
  <c r="T932" i="3"/>
  <c r="AI497" i="3"/>
  <c r="T898" i="3"/>
  <c r="T419" i="3"/>
  <c r="N39" i="3"/>
  <c r="AI699" i="3"/>
  <c r="AI422" i="3"/>
  <c r="AI538" i="3"/>
  <c r="AI998" i="3"/>
  <c r="AI324" i="3"/>
  <c r="P78" i="3"/>
  <c r="T1040" i="3"/>
  <c r="Q62" i="3"/>
  <c r="AI282" i="3"/>
  <c r="AI791" i="3"/>
  <c r="T546" i="3"/>
  <c r="T950" i="3"/>
  <c r="AI50" i="3"/>
  <c r="AG81" i="3"/>
  <c r="T243" i="3"/>
  <c r="AD54" i="3"/>
  <c r="AI24" i="3"/>
  <c r="T841" i="3"/>
  <c r="T147" i="3"/>
  <c r="T985" i="3"/>
  <c r="T590" i="3"/>
  <c r="Q77" i="3"/>
  <c r="K20" i="3"/>
  <c r="T287" i="3"/>
  <c r="N53" i="3"/>
  <c r="K14" i="3"/>
  <c r="AI450" i="3"/>
  <c r="T161" i="3"/>
  <c r="T519" i="3"/>
  <c r="O14" i="3"/>
  <c r="AI243" i="3"/>
  <c r="T621" i="3"/>
  <c r="T282" i="3"/>
  <c r="O52" i="3"/>
  <c r="AI465" i="3"/>
  <c r="T548" i="3"/>
  <c r="T1050" i="3"/>
  <c r="N26" i="3"/>
  <c r="I69" i="3"/>
  <c r="T568" i="3"/>
  <c r="T64" i="3"/>
  <c r="U17" i="3"/>
  <c r="AI568" i="3"/>
  <c r="T462" i="3"/>
  <c r="T362" i="3"/>
  <c r="P49" i="3"/>
  <c r="AI249" i="3"/>
  <c r="T703" i="3"/>
  <c r="T41" i="3"/>
  <c r="M25" i="3"/>
  <c r="AI356" i="3"/>
  <c r="T482" i="3"/>
  <c r="AI256" i="3"/>
  <c r="S61" i="3"/>
  <c r="T136" i="3"/>
  <c r="T857" i="3"/>
  <c r="O12" i="3"/>
  <c r="AH97" i="3"/>
  <c r="AI87" i="3"/>
  <c r="T255" i="3"/>
  <c r="I3" i="3"/>
  <c r="AC95" i="3"/>
  <c r="AI343" i="3"/>
  <c r="T88" i="3"/>
  <c r="P25" i="3"/>
  <c r="M95" i="3"/>
  <c r="AI561" i="3"/>
  <c r="T748" i="3"/>
  <c r="T428" i="3"/>
  <c r="AI65" i="3"/>
  <c r="P50" i="3"/>
  <c r="T423" i="3"/>
  <c r="AC51" i="3"/>
  <c r="P52" i="3"/>
  <c r="AI1090" i="3"/>
  <c r="T756" i="3"/>
  <c r="O56" i="3"/>
  <c r="K67" i="3"/>
  <c r="AI820" i="3"/>
  <c r="T184" i="3"/>
  <c r="T284" i="3"/>
  <c r="K9" i="3"/>
  <c r="AI1056" i="3"/>
  <c r="AI5" i="3"/>
  <c r="AI1062" i="3"/>
  <c r="T878" i="3"/>
  <c r="AG61" i="3"/>
  <c r="AI315" i="3"/>
  <c r="T144" i="3"/>
  <c r="T886" i="3"/>
  <c r="AD87" i="3"/>
  <c r="AI274" i="3"/>
  <c r="T600" i="3"/>
  <c r="T717" i="3"/>
  <c r="AC16" i="3"/>
  <c r="T692" i="3"/>
  <c r="AH92" i="3"/>
  <c r="AG42" i="3"/>
  <c r="AE32" i="3"/>
  <c r="T443" i="3"/>
  <c r="P17" i="3"/>
  <c r="R82" i="3"/>
  <c r="AI1037" i="3"/>
  <c r="T592" i="3"/>
  <c r="AE20" i="3"/>
  <c r="M94" i="3"/>
  <c r="AH6" i="3"/>
  <c r="S8" i="3"/>
  <c r="K47" i="3"/>
  <c r="O53" i="3"/>
  <c r="K52" i="3"/>
  <c r="T383" i="3"/>
  <c r="AG43" i="3"/>
  <c r="AI845" i="3"/>
  <c r="T835" i="3"/>
  <c r="N62" i="3"/>
  <c r="R84" i="3"/>
  <c r="Q25" i="3"/>
  <c r="AF96" i="3"/>
  <c r="U83" i="3"/>
  <c r="R40" i="3"/>
  <c r="N101" i="3"/>
  <c r="U72" i="3"/>
  <c r="AF50" i="3"/>
  <c r="AI627" i="3"/>
  <c r="T788" i="3"/>
  <c r="O39" i="3"/>
  <c r="AE68" i="3"/>
  <c r="Q46" i="3"/>
  <c r="AD44" i="3"/>
  <c r="Q83" i="3"/>
  <c r="T257" i="3"/>
  <c r="AC11" i="3"/>
  <c r="AC96" i="3"/>
  <c r="T1003" i="3"/>
  <c r="AI250" i="3"/>
  <c r="O9" i="3"/>
  <c r="AH10" i="3"/>
  <c r="AI933" i="3"/>
  <c r="AF79" i="3"/>
  <c r="T415" i="3"/>
  <c r="AH37" i="3"/>
  <c r="AE99" i="3"/>
  <c r="K69" i="3"/>
  <c r="AE90" i="3"/>
  <c r="N72" i="3"/>
  <c r="T888" i="3"/>
  <c r="AI440" i="3"/>
  <c r="T206" i="3"/>
  <c r="AI153" i="3"/>
  <c r="T575" i="3"/>
  <c r="AI463" i="3"/>
  <c r="T891" i="3"/>
  <c r="AI542" i="3"/>
  <c r="Q92" i="3"/>
  <c r="AI454" i="3"/>
  <c r="T618" i="3"/>
  <c r="AI247" i="3"/>
  <c r="T736" i="3"/>
  <c r="AI485" i="3"/>
  <c r="AI974" i="3"/>
  <c r="T547" i="3"/>
  <c r="O5" i="3"/>
  <c r="AI556" i="3"/>
  <c r="T1025" i="3"/>
  <c r="AI253" i="3"/>
  <c r="T537" i="3"/>
  <c r="AI372" i="3"/>
  <c r="T74" i="3"/>
  <c r="T979" i="3"/>
  <c r="AH30" i="3"/>
  <c r="AI51" i="3"/>
  <c r="T54" i="3"/>
  <c r="AI307" i="3"/>
  <c r="T235" i="3"/>
  <c r="AI22" i="3"/>
  <c r="T713" i="3"/>
  <c r="T995" i="3"/>
  <c r="O72" i="3"/>
  <c r="Q42" i="3"/>
  <c r="M42" i="3"/>
  <c r="T52" i="3"/>
  <c r="Q9" i="3"/>
  <c r="P94" i="3"/>
  <c r="AI610" i="3"/>
  <c r="S101" i="3"/>
  <c r="AI549" i="3"/>
  <c r="T416" i="3"/>
  <c r="I101" i="3"/>
  <c r="AE40" i="3"/>
  <c r="AE85" i="3"/>
  <c r="M55" i="3"/>
  <c r="AI824" i="3"/>
  <c r="O49" i="3"/>
  <c r="AI1060" i="3"/>
  <c r="T935" i="3"/>
  <c r="AE84" i="3"/>
  <c r="T371" i="3"/>
  <c r="AE57" i="3"/>
  <c r="AI398" i="3"/>
  <c r="T457" i="3"/>
  <c r="AI157" i="3"/>
  <c r="T77" i="3"/>
  <c r="R33" i="3"/>
  <c r="P56" i="3"/>
  <c r="T1027" i="3"/>
  <c r="AG40" i="3"/>
  <c r="AI496" i="3"/>
  <c r="AI790" i="3"/>
  <c r="AI267" i="3"/>
  <c r="T797" i="3"/>
  <c r="AI433" i="3"/>
  <c r="T439" i="3"/>
  <c r="T61" i="3"/>
  <c r="S71" i="3"/>
  <c r="AC66" i="3"/>
  <c r="AI112" i="3"/>
  <c r="T944" i="3"/>
  <c r="K77" i="3"/>
  <c r="AI68" i="3"/>
  <c r="T780" i="3"/>
  <c r="T143" i="3"/>
  <c r="AD40" i="3"/>
  <c r="Q95" i="3"/>
  <c r="AI617" i="3"/>
  <c r="T999" i="3"/>
  <c r="O98" i="3"/>
  <c r="AI493" i="3"/>
  <c r="T902" i="3"/>
  <c r="AD20" i="3"/>
  <c r="AE95" i="3"/>
  <c r="AI251" i="3"/>
  <c r="T472" i="3"/>
  <c r="P74" i="3"/>
  <c r="S12" i="3"/>
  <c r="AI490" i="3"/>
  <c r="T1013" i="3"/>
  <c r="T69" i="3"/>
  <c r="AF36" i="3"/>
  <c r="AI241" i="3"/>
  <c r="T1068" i="3"/>
  <c r="T563" i="3"/>
  <c r="AD19" i="3"/>
  <c r="AI244" i="3"/>
  <c r="T496" i="3"/>
  <c r="T142" i="3"/>
  <c r="S23" i="3"/>
  <c r="AI246" i="3"/>
  <c r="AI262" i="3"/>
  <c r="T417" i="3"/>
  <c r="AE53" i="3"/>
  <c r="AI150" i="3"/>
  <c r="AI408" i="3"/>
  <c r="T663" i="3"/>
  <c r="AE58" i="3"/>
  <c r="AI424" i="3"/>
  <c r="T301" i="3"/>
  <c r="AI618" i="3"/>
  <c r="Q34" i="3"/>
  <c r="AI603" i="3"/>
  <c r="AI1053" i="3"/>
  <c r="T982" i="3"/>
  <c r="U76" i="3"/>
  <c r="AI442" i="3"/>
  <c r="T258" i="3"/>
  <c r="T336" i="3"/>
  <c r="AF72" i="3"/>
  <c r="AI210" i="3"/>
  <c r="AI128" i="3"/>
  <c r="T1028" i="3"/>
  <c r="AG73" i="3"/>
  <c r="AI528" i="3"/>
  <c r="AG50" i="3"/>
  <c r="T18" i="3"/>
  <c r="Q6" i="3"/>
  <c r="T473" i="3"/>
  <c r="AI105" i="3"/>
  <c r="AE94" i="3"/>
  <c r="T468" i="3"/>
  <c r="T1049" i="3"/>
  <c r="AC21" i="3"/>
  <c r="AI923" i="3"/>
  <c r="T321" i="3"/>
  <c r="T540" i="3"/>
  <c r="AG21" i="3"/>
  <c r="AI706" i="3"/>
  <c r="T781" i="3"/>
  <c r="T249" i="3"/>
  <c r="O73" i="3"/>
  <c r="AI589" i="3"/>
  <c r="I46" i="3"/>
  <c r="T909" i="3"/>
  <c r="AI776" i="3"/>
  <c r="M47" i="3"/>
  <c r="T608" i="3"/>
  <c r="T21" i="3"/>
  <c r="O30" i="3"/>
  <c r="AI576" i="3"/>
  <c r="N4" i="3"/>
  <c r="T471" i="3"/>
  <c r="Q48" i="3"/>
  <c r="AI832" i="3"/>
  <c r="I82" i="3"/>
  <c r="T757" i="3"/>
  <c r="AH5" i="3"/>
  <c r="AI1068" i="3"/>
  <c r="AE14" i="3"/>
  <c r="T1082" i="3"/>
  <c r="AI864" i="3"/>
  <c r="R49" i="3"/>
  <c r="K68" i="3"/>
  <c r="AC18" i="3"/>
  <c r="R101" i="3"/>
  <c r="AI959" i="3"/>
  <c r="AC24" i="3"/>
  <c r="K7" i="3"/>
  <c r="O92" i="3"/>
  <c r="AI802" i="3"/>
  <c r="AG29" i="3"/>
  <c r="AC40" i="3"/>
  <c r="AG66" i="3"/>
  <c r="AI593" i="3"/>
  <c r="M100" i="3"/>
  <c r="P93" i="3"/>
  <c r="T518" i="3"/>
  <c r="AG95" i="3"/>
  <c r="T765" i="3"/>
  <c r="S33" i="3"/>
  <c r="AE3" i="3"/>
  <c r="AI596" i="3"/>
  <c r="T1074" i="3"/>
  <c r="U47" i="3"/>
  <c r="U71" i="3"/>
  <c r="AI852" i="3"/>
  <c r="T441" i="3"/>
  <c r="I44" i="3"/>
  <c r="R98" i="3"/>
  <c r="AI1088" i="3"/>
  <c r="AI165" i="3"/>
  <c r="AI1082" i="3"/>
  <c r="T875" i="3"/>
  <c r="N96" i="3"/>
  <c r="AI20" i="3"/>
  <c r="T165" i="3"/>
  <c r="T448" i="3"/>
  <c r="K94" i="3"/>
  <c r="AI841" i="3"/>
  <c r="AE48" i="3"/>
  <c r="I26" i="3"/>
  <c r="AG59" i="3"/>
  <c r="O86" i="3"/>
  <c r="T630" i="3"/>
  <c r="AH42" i="3"/>
  <c r="O32" i="3"/>
  <c r="T1066" i="3"/>
  <c r="I32" i="3"/>
  <c r="AI543" i="3"/>
  <c r="T506" i="3"/>
  <c r="T455" i="3"/>
  <c r="K39" i="3"/>
  <c r="T320" i="3"/>
  <c r="O26" i="3"/>
  <c r="AD59" i="3"/>
  <c r="O7" i="3"/>
  <c r="AH83" i="3"/>
  <c r="AI1034" i="3"/>
  <c r="M24" i="3"/>
  <c r="S90" i="3"/>
  <c r="AI80" i="3"/>
  <c r="T148" i="3"/>
  <c r="M26" i="3"/>
  <c r="M84" i="3"/>
  <c r="U36" i="3"/>
  <c r="O67" i="3"/>
  <c r="I93" i="3"/>
  <c r="K60" i="3"/>
  <c r="AH78" i="3"/>
  <c r="AH22" i="3"/>
  <c r="AD10" i="3"/>
  <c r="AI929" i="3"/>
  <c r="T73" i="3"/>
  <c r="K80" i="3"/>
  <c r="AF101" i="3"/>
  <c r="AH23" i="3"/>
  <c r="S46" i="3"/>
  <c r="Q87" i="3"/>
  <c r="I71" i="3"/>
  <c r="M76" i="3"/>
  <c r="AI1072" i="3"/>
  <c r="AD73" i="3"/>
  <c r="AI986" i="3"/>
  <c r="T103" i="3"/>
  <c r="N82" i="3"/>
  <c r="T641" i="3"/>
  <c r="T197" i="3"/>
  <c r="AC84" i="3"/>
  <c r="AI821" i="3"/>
  <c r="P20" i="3"/>
  <c r="P58" i="3"/>
  <c r="AI587" i="3"/>
  <c r="AH40" i="3"/>
  <c r="I7" i="3"/>
  <c r="AI57" i="3"/>
  <c r="T773" i="3"/>
  <c r="AI313" i="3"/>
  <c r="T959" i="3"/>
  <c r="AI515" i="3"/>
  <c r="T1038" i="3"/>
  <c r="T126" i="3"/>
  <c r="AG55" i="3"/>
  <c r="AI151" i="3"/>
  <c r="T887" i="3"/>
  <c r="AI407" i="3"/>
  <c r="T386" i="3"/>
  <c r="AI625" i="3"/>
  <c r="T1009" i="3"/>
  <c r="T573" i="3"/>
  <c r="P10" i="3"/>
  <c r="AI628" i="3"/>
  <c r="T840" i="3"/>
  <c r="AI60" i="3"/>
  <c r="T702" i="3"/>
  <c r="AI432" i="3"/>
  <c r="T234" i="3"/>
  <c r="T687" i="3"/>
  <c r="U40" i="3"/>
  <c r="AI987" i="3"/>
  <c r="T214" i="3"/>
  <c r="AI858" i="3"/>
  <c r="T530" i="3"/>
  <c r="AI653" i="3"/>
  <c r="T526" i="3"/>
  <c r="T917" i="3"/>
  <c r="S31" i="3"/>
  <c r="N41" i="3"/>
  <c r="AH31" i="3"/>
  <c r="T319" i="3"/>
  <c r="O80" i="3"/>
  <c r="AI11" i="3"/>
  <c r="T337" i="3"/>
  <c r="AI217" i="3"/>
  <c r="T831" i="3"/>
  <c r="T1030" i="3"/>
  <c r="R18" i="3"/>
  <c r="AE60" i="3"/>
  <c r="S41" i="3"/>
  <c r="AI560" i="3"/>
  <c r="T549" i="3"/>
  <c r="AI311" i="3"/>
  <c r="T237" i="3"/>
  <c r="T460" i="3"/>
  <c r="AI154" i="3"/>
  <c r="M29" i="3"/>
  <c r="AI1029" i="3"/>
  <c r="AI95" i="3"/>
  <c r="T561" i="3"/>
  <c r="AI317" i="3"/>
  <c r="T577" i="3"/>
  <c r="R47" i="3"/>
  <c r="AI338" i="3"/>
  <c r="O25" i="3"/>
  <c r="T113" i="3"/>
  <c r="AI117" i="3"/>
  <c r="T430" i="3"/>
  <c r="AI427" i="3"/>
  <c r="T810" i="3"/>
  <c r="AI86" i="3"/>
  <c r="AD75" i="3"/>
  <c r="T338" i="3"/>
  <c r="S75" i="3"/>
  <c r="AI335" i="3"/>
  <c r="M78" i="3"/>
  <c r="T724" i="3"/>
  <c r="K81" i="3"/>
  <c r="AI539" i="3"/>
  <c r="S93" i="3"/>
  <c r="T987" i="3"/>
  <c r="U43" i="3"/>
  <c r="AI301" i="3"/>
  <c r="AE37" i="3"/>
  <c r="T708" i="3"/>
  <c r="U33" i="3"/>
  <c r="AI146" i="3"/>
  <c r="AI595" i="3"/>
  <c r="U14" i="3"/>
  <c r="R67" i="3"/>
  <c r="AI411" i="3"/>
  <c r="AI218" i="3"/>
  <c r="Q60" i="3"/>
  <c r="AH41" i="3"/>
  <c r="AI694" i="3"/>
  <c r="AI168" i="3"/>
  <c r="T26" i="3"/>
  <c r="P36" i="3"/>
  <c r="AI401" i="3"/>
  <c r="AI402" i="3"/>
  <c r="T883" i="3"/>
  <c r="I73" i="3"/>
  <c r="AI583" i="3"/>
  <c r="AI312" i="3"/>
  <c r="T581" i="3"/>
  <c r="K33" i="3"/>
  <c r="AI406" i="3"/>
  <c r="AD7" i="3"/>
  <c r="T539" i="3"/>
  <c r="Q57" i="3"/>
  <c r="AI781" i="3"/>
  <c r="T212" i="3"/>
  <c r="T764" i="3"/>
  <c r="AF62" i="3"/>
  <c r="AI930" i="3"/>
  <c r="Q21" i="3"/>
  <c r="T1018" i="3"/>
  <c r="M33" i="3"/>
  <c r="AI889" i="3"/>
  <c r="T967" i="3"/>
  <c r="T838" i="3"/>
  <c r="AD89" i="3"/>
  <c r="AI863" i="3"/>
  <c r="N22" i="3"/>
  <c r="T286" i="3"/>
  <c r="AC72" i="3"/>
  <c r="AI777" i="3"/>
  <c r="T60" i="3"/>
  <c r="T816" i="3"/>
  <c r="AF59" i="3"/>
  <c r="AI914" i="3"/>
  <c r="AG69" i="3"/>
  <c r="AD16" i="3"/>
  <c r="Q97" i="3"/>
  <c r="AI182" i="3"/>
  <c r="T1059" i="3"/>
  <c r="U79" i="3"/>
  <c r="T799" i="3"/>
  <c r="N6" i="3"/>
  <c r="K85" i="3"/>
  <c r="AI955" i="3"/>
  <c r="T278" i="3"/>
  <c r="I55" i="3"/>
  <c r="U99" i="3"/>
  <c r="AI794" i="3"/>
  <c r="T594" i="3"/>
  <c r="AE45" i="3"/>
  <c r="AH64" i="3"/>
  <c r="AI621" i="3"/>
  <c r="AI19" i="3"/>
  <c r="T294" i="3"/>
  <c r="T711" i="3"/>
  <c r="AI159" i="3"/>
  <c r="T365" i="3"/>
  <c r="P22" i="3"/>
  <c r="AC83" i="3"/>
  <c r="AI672" i="3"/>
  <c r="K8" i="3"/>
  <c r="AC26" i="3"/>
  <c r="O99" i="3"/>
  <c r="AI236" i="3"/>
  <c r="O8" i="3"/>
  <c r="P38" i="3"/>
  <c r="AE78" i="3"/>
  <c r="AI646" i="3"/>
  <c r="AI235" i="3"/>
  <c r="T470" i="3"/>
  <c r="T252" i="3"/>
  <c r="AI530" i="3"/>
  <c r="K45" i="3"/>
  <c r="AE97" i="3"/>
  <c r="M90" i="3"/>
  <c r="AI1055" i="3"/>
  <c r="AD6" i="3"/>
  <c r="AE74" i="3"/>
  <c r="P86" i="3"/>
  <c r="AI932" i="3"/>
  <c r="AG46" i="3"/>
  <c r="AE92" i="3"/>
  <c r="AI261" i="3"/>
  <c r="AI950" i="3"/>
  <c r="AI514" i="3"/>
  <c r="T937" i="3"/>
  <c r="T217" i="3"/>
  <c r="AI818" i="3"/>
  <c r="T578" i="3"/>
  <c r="S37" i="3"/>
  <c r="AI723" i="3"/>
  <c r="T916" i="3"/>
  <c r="T670" i="3"/>
  <c r="M50" i="3"/>
  <c r="AI29" i="3"/>
  <c r="T792" i="3"/>
  <c r="T195" i="3"/>
  <c r="I9" i="3"/>
  <c r="AI339" i="3"/>
  <c r="T160" i="3"/>
  <c r="T199" i="3"/>
  <c r="AH54" i="3"/>
  <c r="AI10" i="3"/>
  <c r="AI902" i="3"/>
  <c r="T220" i="3"/>
  <c r="AF45" i="3"/>
  <c r="AD99" i="3"/>
  <c r="N67" i="3"/>
  <c r="T737" i="3"/>
  <c r="T405" i="3"/>
  <c r="O69" i="3"/>
  <c r="T1064" i="3"/>
  <c r="AF55" i="3"/>
  <c r="AI727" i="3"/>
  <c r="T705" i="3"/>
  <c r="T751" i="3"/>
  <c r="M43" i="3"/>
  <c r="T1065" i="3"/>
  <c r="AC69" i="3"/>
  <c r="K22" i="3"/>
  <c r="Q39" i="3"/>
  <c r="O45" i="3"/>
  <c r="P21" i="3"/>
  <c r="S30" i="3"/>
  <c r="AI94" i="3"/>
  <c r="T111" i="3"/>
  <c r="P47" i="3"/>
  <c r="M16" i="3"/>
  <c r="T317" i="3"/>
  <c r="O50" i="3"/>
  <c r="U38" i="3"/>
  <c r="Q35" i="3"/>
  <c r="AD57" i="3"/>
  <c r="T229" i="3"/>
  <c r="AE50" i="3"/>
  <c r="AC62" i="3"/>
  <c r="AI985" i="3"/>
  <c r="T903" i="3"/>
  <c r="M81" i="3"/>
  <c r="AG84" i="3"/>
  <c r="P35" i="3"/>
  <c r="Q47" i="3"/>
  <c r="K83" i="3"/>
  <c r="AH96" i="3"/>
  <c r="P76" i="3"/>
  <c r="S57" i="3"/>
  <c r="I75" i="3"/>
  <c r="U94" i="3"/>
  <c r="AE35" i="3"/>
  <c r="T497" i="3"/>
  <c r="AI14" i="3"/>
  <c r="P87" i="3"/>
  <c r="T389" i="3"/>
  <c r="Q98" i="3"/>
  <c r="AG87" i="3"/>
  <c r="T177" i="3"/>
  <c r="T661" i="3"/>
  <c r="AH62" i="3"/>
  <c r="AI170" i="3"/>
  <c r="AI922" i="3"/>
  <c r="T158" i="3"/>
  <c r="U69" i="3"/>
  <c r="AF29" i="3"/>
  <c r="P88" i="3"/>
  <c r="Q36" i="3"/>
  <c r="T398" i="3"/>
  <c r="M92" i="3"/>
  <c r="T461" i="3"/>
  <c r="M72" i="3"/>
  <c r="AI949" i="3"/>
  <c r="AD69" i="3"/>
  <c r="AD13" i="3"/>
  <c r="O85" i="3"/>
  <c r="N68" i="3"/>
  <c r="I43" i="3"/>
  <c r="AF31" i="3"/>
  <c r="P43" i="3"/>
  <c r="U55" i="3"/>
  <c r="T674" i="3"/>
  <c r="P29" i="3"/>
  <c r="AI254" i="3"/>
  <c r="T723" i="3"/>
  <c r="T896" i="3"/>
  <c r="K34" i="3"/>
  <c r="T327" i="3"/>
  <c r="AF47" i="3"/>
  <c r="R44" i="3"/>
  <c r="M41" i="3"/>
  <c r="O41" i="3"/>
  <c r="T512" i="3"/>
  <c r="AE54" i="3"/>
  <c r="AI506" i="3"/>
  <c r="T901" i="3"/>
  <c r="T67" i="3"/>
  <c r="I52" i="3"/>
  <c r="K51" i="3"/>
  <c r="Q5" i="3"/>
  <c r="AE44" i="3"/>
  <c r="T615" i="3"/>
  <c r="AE87" i="3"/>
  <c r="T1062" i="3"/>
  <c r="S7" i="3"/>
  <c r="T1051" i="3"/>
  <c r="AI965" i="3"/>
  <c r="R26" i="3"/>
  <c r="P51" i="3"/>
  <c r="AI853" i="3"/>
  <c r="S89" i="3"/>
  <c r="U68" i="3"/>
  <c r="AI969" i="3"/>
  <c r="U37" i="3"/>
  <c r="N88" i="3"/>
  <c r="AH38" i="3"/>
  <c r="Q84" i="3"/>
  <c r="AI817" i="3"/>
  <c r="T929" i="3"/>
  <c r="T804" i="3"/>
  <c r="AD82" i="3"/>
  <c r="AC28" i="3"/>
  <c r="P92" i="3"/>
  <c r="AC43" i="3"/>
  <c r="AE61" i="3"/>
  <c r="T524" i="3"/>
  <c r="AG60" i="3"/>
  <c r="AC86" i="3"/>
  <c r="AI1045" i="3"/>
  <c r="M83" i="3"/>
  <c r="S24" i="3"/>
  <c r="S86" i="3"/>
  <c r="N84" i="3"/>
  <c r="T691" i="3"/>
  <c r="AE43" i="3"/>
  <c r="AH43" i="3"/>
  <c r="U21" i="3"/>
  <c r="T489" i="3"/>
  <c r="AC44" i="3"/>
  <c r="AI837" i="3"/>
  <c r="P13" i="3"/>
  <c r="M40" i="3"/>
  <c r="M74" i="3"/>
  <c r="AH27" i="3"/>
  <c r="I92" i="3"/>
  <c r="AH61" i="3"/>
  <c r="AC85" i="3"/>
  <c r="S83" i="3"/>
  <c r="T507" i="3"/>
  <c r="AF58" i="3"/>
  <c r="AI667" i="3"/>
  <c r="T828" i="3"/>
  <c r="T307" i="3"/>
  <c r="I19" i="3"/>
  <c r="T1083" i="3"/>
  <c r="M48" i="3"/>
  <c r="AE89" i="3"/>
  <c r="T34" i="3"/>
  <c r="K43" i="3"/>
  <c r="AI966" i="3"/>
  <c r="P69" i="3"/>
  <c r="T846" i="3"/>
  <c r="T4" i="3"/>
  <c r="M82" i="3"/>
  <c r="AG31" i="3"/>
  <c r="T1075" i="3"/>
  <c r="AD21" i="3"/>
  <c r="Q100" i="3"/>
  <c r="T762" i="3"/>
  <c r="S96" i="3"/>
  <c r="AF52" i="3"/>
  <c r="AF85" i="3"/>
  <c r="AI849" i="3"/>
  <c r="T1070" i="3"/>
  <c r="P84" i="3"/>
  <c r="K42" i="3"/>
  <c r="S53" i="3"/>
  <c r="T385" i="3"/>
  <c r="Q44" i="3"/>
  <c r="U31" i="3"/>
  <c r="T785" i="3"/>
  <c r="P68" i="3"/>
  <c r="AI567" i="3"/>
  <c r="T39" i="3"/>
  <c r="T404" i="3"/>
  <c r="AH39" i="3"/>
  <c r="T941" i="3"/>
  <c r="AG91" i="3"/>
  <c r="M4" i="3"/>
  <c r="AF11" i="3"/>
  <c r="N42" i="3"/>
  <c r="T411" i="3"/>
  <c r="S26" i="3"/>
  <c r="AH85" i="3"/>
  <c r="AI606" i="3"/>
  <c r="I42" i="3"/>
  <c r="AF54" i="3"/>
  <c r="AE70" i="3"/>
  <c r="AD37" i="3"/>
  <c r="AF71" i="3"/>
  <c r="K87" i="3"/>
  <c r="AF90" i="3"/>
  <c r="N90" i="3"/>
  <c r="T776" i="3"/>
  <c r="AE29" i="3"/>
  <c r="AI953" i="3"/>
  <c r="T350" i="3"/>
  <c r="U78" i="3"/>
  <c r="Q78" i="3"/>
  <c r="AC29" i="3"/>
  <c r="M66" i="3"/>
  <c r="R94" i="3"/>
  <c r="AE81" i="3"/>
  <c r="AF43" i="3"/>
  <c r="I74" i="3"/>
  <c r="I40" i="3"/>
  <c r="I16" i="3"/>
  <c r="S36" i="3"/>
  <c r="P85" i="3"/>
  <c r="O23" i="3"/>
  <c r="T382" i="3"/>
  <c r="T201" i="3"/>
  <c r="AF26" i="3"/>
  <c r="T312" i="3"/>
  <c r="AF6" i="3"/>
  <c r="T1" i="3" l="1"/>
  <c r="AI1" i="3"/>
  <c r="H12" i="2"/>
  <c r="O11" i="2"/>
  <c r="E702" i="3"/>
  <c r="F603" i="3"/>
  <c r="C800" i="3"/>
  <c r="B701" i="3"/>
  <c r="E684" i="3"/>
  <c r="F585" i="3"/>
  <c r="E890" i="3"/>
  <c r="F791" i="3"/>
  <c r="E637" i="3"/>
  <c r="F538" i="3"/>
  <c r="C788" i="3"/>
  <c r="B689" i="3"/>
  <c r="C652" i="3"/>
  <c r="B553" i="3"/>
  <c r="C808" i="3"/>
  <c r="B709" i="3"/>
  <c r="E718" i="3"/>
  <c r="F619" i="3"/>
  <c r="C673" i="3"/>
  <c r="B574" i="3"/>
  <c r="E703" i="3"/>
  <c r="F604" i="3"/>
  <c r="C853" i="3"/>
  <c r="B754" i="3"/>
  <c r="E645" i="3"/>
  <c r="F546" i="3"/>
  <c r="C696" i="3"/>
  <c r="B597" i="3"/>
  <c r="E689" i="3"/>
  <c r="F590" i="3"/>
  <c r="E753" i="3"/>
  <c r="F654" i="3"/>
  <c r="C685" i="3"/>
  <c r="B586" i="3"/>
  <c r="C713" i="3"/>
  <c r="B614" i="3"/>
  <c r="E715" i="3"/>
  <c r="F616" i="3"/>
  <c r="C809" i="3"/>
  <c r="B710" i="3"/>
  <c r="E725" i="3"/>
  <c r="F626" i="3"/>
  <c r="C777" i="3"/>
  <c r="B678" i="3"/>
  <c r="E714" i="3"/>
  <c r="F615" i="3"/>
  <c r="E746" i="3"/>
  <c r="F647" i="3"/>
  <c r="B741" i="3"/>
  <c r="C840" i="3"/>
  <c r="B753" i="3"/>
  <c r="C852" i="3"/>
  <c r="B769" i="3"/>
  <c r="C868" i="3"/>
  <c r="C692" i="3"/>
  <c r="B593" i="3"/>
  <c r="C628" i="3"/>
  <c r="B529" i="3"/>
  <c r="E771" i="3"/>
  <c r="F672" i="3"/>
  <c r="B733" i="3"/>
  <c r="C832" i="3"/>
  <c r="E762" i="3"/>
  <c r="F663" i="3"/>
  <c r="C804" i="3"/>
  <c r="B705" i="3"/>
  <c r="E810" i="3"/>
  <c r="F711" i="3"/>
  <c r="B837" i="3"/>
  <c r="C936" i="3"/>
  <c r="E759" i="3"/>
  <c r="F660" i="3"/>
  <c r="E723" i="3"/>
  <c r="F624" i="3"/>
  <c r="E621" i="3"/>
  <c r="F522" i="3"/>
  <c r="C613" i="3"/>
  <c r="B514" i="3"/>
  <c r="E842" i="3"/>
  <c r="F743" i="3"/>
  <c r="C793" i="3"/>
  <c r="B694" i="3"/>
  <c r="C688" i="3"/>
  <c r="B589" i="3"/>
  <c r="E826" i="3"/>
  <c r="F727" i="3"/>
  <c r="E646" i="3"/>
  <c r="F547" i="3"/>
  <c r="E665" i="3"/>
  <c r="F566" i="3"/>
  <c r="B757" i="3"/>
  <c r="C856" i="3"/>
  <c r="E754" i="3"/>
  <c r="F655" i="3"/>
  <c r="E719" i="3"/>
  <c r="F620" i="3"/>
  <c r="E709" i="3"/>
  <c r="F610" i="3"/>
  <c r="B805" i="3"/>
  <c r="C904" i="3"/>
  <c r="C893" i="3"/>
  <c r="B794" i="3"/>
  <c r="E734" i="3"/>
  <c r="F635" i="3"/>
  <c r="E661" i="3"/>
  <c r="F562" i="3"/>
  <c r="C761" i="3"/>
  <c r="B662" i="3"/>
  <c r="E775" i="3"/>
  <c r="F676" i="3"/>
  <c r="E738" i="3"/>
  <c r="F639" i="3"/>
  <c r="C644" i="3"/>
  <c r="B545" i="3"/>
  <c r="C681" i="3"/>
  <c r="B582" i="3"/>
  <c r="C885" i="3"/>
  <c r="B786" i="3"/>
  <c r="C693" i="3"/>
  <c r="B594" i="3"/>
  <c r="E668" i="3"/>
  <c r="F569" i="3"/>
  <c r="E673" i="3"/>
  <c r="F574" i="3"/>
  <c r="E609" i="3"/>
  <c r="F510" i="3"/>
  <c r="C605" i="3"/>
  <c r="B506" i="3"/>
  <c r="B849" i="3"/>
  <c r="C948" i="3"/>
  <c r="C877" i="3"/>
  <c r="B778" i="3"/>
  <c r="F790" i="3"/>
  <c r="E889" i="3"/>
  <c r="E721" i="3"/>
  <c r="F622" i="3"/>
  <c r="C724" i="3"/>
  <c r="B625" i="3"/>
  <c r="C697" i="3"/>
  <c r="B598" i="3"/>
  <c r="C781" i="3"/>
  <c r="B682" i="3"/>
  <c r="C601" i="3"/>
  <c r="B502" i="3"/>
  <c r="C621" i="3"/>
  <c r="B522" i="3"/>
  <c r="E633" i="3"/>
  <c r="F534" i="3"/>
  <c r="F650" i="3"/>
  <c r="E749" i="3"/>
  <c r="E730" i="3"/>
  <c r="F631" i="3"/>
  <c r="E651" i="3"/>
  <c r="F552" i="3"/>
  <c r="C641" i="3"/>
  <c r="B542" i="3"/>
  <c r="C745" i="3"/>
  <c r="B646" i="3"/>
  <c r="B833" i="3"/>
  <c r="C932" i="3"/>
  <c r="E779" i="3"/>
  <c r="F680" i="3"/>
  <c r="E726" i="3"/>
  <c r="F627" i="3"/>
  <c r="E597" i="3"/>
  <c r="F498" i="3"/>
  <c r="C770" i="3"/>
  <c r="B671" i="3"/>
  <c r="B749" i="3"/>
  <c r="C848" i="3"/>
  <c r="E656" i="3"/>
  <c r="F557" i="3"/>
  <c r="E605" i="3"/>
  <c r="F506" i="3"/>
  <c r="E757" i="3"/>
  <c r="F658" i="3"/>
  <c r="C684" i="3"/>
  <c r="B585" i="3"/>
  <c r="C648" i="3"/>
  <c r="B549" i="3"/>
  <c r="C649" i="3"/>
  <c r="B550" i="3"/>
  <c r="E601" i="3"/>
  <c r="F502" i="3"/>
  <c r="B845" i="3"/>
  <c r="C944" i="3"/>
  <c r="E671" i="3"/>
  <c r="F572" i="3"/>
  <c r="E717" i="3"/>
  <c r="F618" i="3"/>
  <c r="E687" i="3"/>
  <c r="F588" i="3"/>
  <c r="E662" i="3"/>
  <c r="F563" i="3"/>
  <c r="E741" i="3"/>
  <c r="F642" i="3"/>
  <c r="E677" i="3"/>
  <c r="F578" i="3"/>
  <c r="E613" i="3"/>
  <c r="F514" i="3"/>
  <c r="C665" i="3"/>
  <c r="B566" i="3"/>
  <c r="C729" i="3"/>
  <c r="B630" i="3"/>
  <c r="E674" i="3"/>
  <c r="F575" i="3"/>
  <c r="C609" i="3"/>
  <c r="B510" i="3"/>
  <c r="E694" i="3"/>
  <c r="F595" i="3"/>
  <c r="C632" i="3"/>
  <c r="B533" i="3"/>
  <c r="C821" i="3"/>
  <c r="B722" i="3"/>
  <c r="E729" i="3"/>
  <c r="F630" i="3"/>
  <c r="E657" i="3"/>
  <c r="F558" i="3"/>
  <c r="C672" i="3"/>
  <c r="B573" i="3"/>
  <c r="F554" i="3"/>
  <c r="E653" i="3"/>
  <c r="C668" i="3"/>
  <c r="B569" i="3"/>
  <c r="B857" i="3"/>
  <c r="C956" i="3"/>
  <c r="F602" i="3"/>
  <c r="E701" i="3"/>
  <c r="C817" i="3"/>
  <c r="B718" i="3"/>
  <c r="E670" i="3"/>
  <c r="F571" i="3"/>
  <c r="E686" i="3"/>
  <c r="F587" i="3"/>
  <c r="C653" i="3"/>
  <c r="B554" i="3"/>
  <c r="C636" i="3"/>
  <c r="B537" i="3"/>
  <c r="B773" i="3"/>
  <c r="C872" i="3"/>
  <c r="C756" i="3"/>
  <c r="B657" i="3"/>
  <c r="B765" i="3"/>
  <c r="C864" i="3"/>
  <c r="C637" i="3"/>
  <c r="B538" i="3"/>
  <c r="E713" i="3"/>
  <c r="F614" i="3"/>
  <c r="C656" i="3"/>
  <c r="B557" i="3"/>
  <c r="C677" i="3"/>
  <c r="B578" i="3"/>
  <c r="C861" i="3"/>
  <c r="B762" i="3"/>
  <c r="E678" i="3"/>
  <c r="F579" i="3"/>
  <c r="C629" i="3"/>
  <c r="B530" i="3"/>
  <c r="E669" i="3"/>
  <c r="F570" i="3"/>
  <c r="C680" i="3"/>
  <c r="B581" i="3"/>
  <c r="C669" i="3"/>
  <c r="B570" i="3"/>
  <c r="C620" i="3"/>
  <c r="B521" i="3"/>
  <c r="F652" i="3"/>
  <c r="E751" i="3"/>
  <c r="E681" i="3"/>
  <c r="F582" i="3"/>
  <c r="C640" i="3"/>
  <c r="B541" i="3"/>
  <c r="E742" i="3"/>
  <c r="F643" i="3"/>
  <c r="B972" i="3"/>
  <c r="E695" i="3"/>
  <c r="F596" i="3"/>
  <c r="E683" i="3"/>
  <c r="F584" i="3"/>
  <c r="B964" i="3"/>
  <c r="C604" i="3"/>
  <c r="B505" i="3"/>
  <c r="E758" i="3"/>
  <c r="F659" i="3"/>
  <c r="E830" i="3"/>
  <c r="F731" i="3"/>
  <c r="B797" i="3"/>
  <c r="C896" i="3"/>
  <c r="E873" i="3"/>
  <c r="F774" i="3"/>
  <c r="F638" i="3"/>
  <c r="E737" i="3"/>
  <c r="E682" i="3"/>
  <c r="F583" i="3"/>
  <c r="B725" i="3"/>
  <c r="C824" i="3"/>
  <c r="E710" i="3"/>
  <c r="F611" i="3"/>
  <c r="F634" i="3"/>
  <c r="E733" i="3"/>
  <c r="C924" i="3"/>
  <c r="B825" i="3"/>
  <c r="E766" i="3"/>
  <c r="F667" i="3"/>
  <c r="C660" i="3"/>
  <c r="B561" i="3"/>
  <c r="E778" i="3"/>
  <c r="F679" i="3"/>
  <c r="E625" i="3"/>
  <c r="F526" i="3"/>
  <c r="E640" i="3"/>
  <c r="F541" i="3"/>
  <c r="B721" i="3"/>
  <c r="C820" i="3"/>
  <c r="E698" i="3"/>
  <c r="F599" i="3"/>
  <c r="B785" i="3"/>
  <c r="C884" i="3"/>
  <c r="B737" i="3"/>
  <c r="C836" i="3"/>
  <c r="E805" i="3"/>
  <c r="F706" i="3"/>
  <c r="C645" i="3"/>
  <c r="B546" i="3"/>
  <c r="E685" i="3"/>
  <c r="F586" i="3"/>
  <c r="E821" i="3"/>
  <c r="F722" i="3"/>
  <c r="C624" i="3"/>
  <c r="B525" i="3"/>
  <c r="E666" i="3"/>
  <c r="F567" i="3"/>
  <c r="C617" i="3"/>
  <c r="B518" i="3"/>
  <c r="C608" i="3"/>
  <c r="B509" i="3"/>
  <c r="C633" i="3"/>
  <c r="B534" i="3"/>
  <c r="E697" i="3"/>
  <c r="F598" i="3"/>
  <c r="E617" i="3"/>
  <c r="F518" i="3"/>
  <c r="C600" i="3"/>
  <c r="B501" i="3"/>
  <c r="E649" i="3"/>
  <c r="F550" i="3"/>
  <c r="B813" i="3"/>
  <c r="C912" i="3"/>
  <c r="B789" i="3"/>
  <c r="C888" i="3"/>
  <c r="E862" i="3"/>
  <c r="F763" i="3"/>
  <c r="E693" i="3"/>
  <c r="F594" i="3"/>
  <c r="E629" i="3"/>
  <c r="F530" i="3"/>
  <c r="E735" i="3"/>
  <c r="F636" i="3"/>
  <c r="E690" i="3"/>
  <c r="F591" i="3"/>
  <c r="C661" i="3"/>
  <c r="B562" i="3"/>
  <c r="C676" i="3"/>
  <c r="B577" i="3"/>
  <c r="C612" i="3"/>
  <c r="B513" i="3"/>
  <c r="C664" i="3"/>
  <c r="B565" i="3"/>
  <c r="C829" i="3"/>
  <c r="B730" i="3"/>
  <c r="E846" i="3"/>
  <c r="F747" i="3"/>
  <c r="E707" i="3"/>
  <c r="F608" i="3"/>
  <c r="E641" i="3"/>
  <c r="F542" i="3"/>
  <c r="C717" i="3"/>
  <c r="B618" i="3"/>
  <c r="C616" i="3"/>
  <c r="B517" i="3"/>
  <c r="E705" i="3"/>
  <c r="F606" i="3"/>
  <c r="B801" i="3"/>
  <c r="C900" i="3"/>
  <c r="F688" i="3"/>
  <c r="E787" i="3"/>
  <c r="E798" i="3"/>
  <c r="F699" i="3"/>
  <c r="K10" i="2"/>
  <c r="L9" i="2"/>
  <c r="H13" i="2" l="1"/>
  <c r="O12" i="2"/>
  <c r="B888" i="3"/>
  <c r="C987" i="3"/>
  <c r="B900" i="3"/>
  <c r="B912" i="3"/>
  <c r="C923" i="3"/>
  <c r="B824" i="3"/>
  <c r="E850" i="3"/>
  <c r="F751" i="3"/>
  <c r="B864" i="3"/>
  <c r="C963" i="3"/>
  <c r="E800" i="3"/>
  <c r="F701" i="3"/>
  <c r="B932" i="3"/>
  <c r="B904" i="3"/>
  <c r="B856" i="3"/>
  <c r="C955" i="3"/>
  <c r="B852" i="3"/>
  <c r="C951" i="3"/>
  <c r="C935" i="3"/>
  <c r="B836" i="3"/>
  <c r="E832" i="3"/>
  <c r="F733" i="3"/>
  <c r="F737" i="3"/>
  <c r="E836" i="3"/>
  <c r="B896" i="3"/>
  <c r="E794" i="3"/>
  <c r="F695" i="3"/>
  <c r="B872" i="3"/>
  <c r="C971" i="3"/>
  <c r="E897" i="3"/>
  <c r="F897" i="3" s="1"/>
  <c r="F798" i="3"/>
  <c r="C715" i="3"/>
  <c r="B616" i="3"/>
  <c r="E740" i="3"/>
  <c r="F641" i="3"/>
  <c r="E945" i="3"/>
  <c r="F846" i="3"/>
  <c r="C763" i="3"/>
  <c r="B664" i="3"/>
  <c r="C775" i="3"/>
  <c r="B676" i="3"/>
  <c r="E789" i="3"/>
  <c r="F690" i="3"/>
  <c r="E728" i="3"/>
  <c r="F629" i="3"/>
  <c r="E961" i="3"/>
  <c r="F862" i="3"/>
  <c r="C699" i="3"/>
  <c r="B600" i="3"/>
  <c r="E796" i="3"/>
  <c r="F697" i="3"/>
  <c r="C707" i="3"/>
  <c r="B608" i="3"/>
  <c r="F666" i="3"/>
  <c r="E765" i="3"/>
  <c r="E920" i="3"/>
  <c r="F821" i="3"/>
  <c r="C744" i="3"/>
  <c r="B645" i="3"/>
  <c r="F698" i="3"/>
  <c r="E797" i="3"/>
  <c r="E739" i="3"/>
  <c r="F640" i="3"/>
  <c r="E877" i="3"/>
  <c r="F778" i="3"/>
  <c r="E865" i="3"/>
  <c r="F766" i="3"/>
  <c r="F758" i="3"/>
  <c r="E857" i="3"/>
  <c r="C739" i="3"/>
  <c r="B640" i="3"/>
  <c r="C768" i="3"/>
  <c r="B669" i="3"/>
  <c r="E768" i="3"/>
  <c r="F669" i="3"/>
  <c r="E777" i="3"/>
  <c r="F678" i="3"/>
  <c r="C776" i="3"/>
  <c r="B677" i="3"/>
  <c r="E812" i="3"/>
  <c r="F713" i="3"/>
  <c r="C752" i="3"/>
  <c r="B653" i="3"/>
  <c r="E769" i="3"/>
  <c r="F670" i="3"/>
  <c r="B668" i="3"/>
  <c r="C767" i="3"/>
  <c r="C771" i="3"/>
  <c r="B672" i="3"/>
  <c r="E828" i="3"/>
  <c r="F729" i="3"/>
  <c r="C731" i="3"/>
  <c r="B632" i="3"/>
  <c r="C708" i="3"/>
  <c r="B609" i="3"/>
  <c r="B729" i="3"/>
  <c r="C828" i="3"/>
  <c r="E712" i="3"/>
  <c r="F613" i="3"/>
  <c r="F741" i="3"/>
  <c r="E840" i="3"/>
  <c r="E786" i="3"/>
  <c r="F687" i="3"/>
  <c r="E770" i="3"/>
  <c r="F671" i="3"/>
  <c r="E700" i="3"/>
  <c r="F601" i="3"/>
  <c r="C747" i="3"/>
  <c r="B648" i="3"/>
  <c r="E856" i="3"/>
  <c r="F757" i="3"/>
  <c r="E755" i="3"/>
  <c r="F656" i="3"/>
  <c r="C869" i="3"/>
  <c r="B770" i="3"/>
  <c r="F726" i="3"/>
  <c r="E825" i="3"/>
  <c r="C740" i="3"/>
  <c r="B641" i="3"/>
  <c r="F730" i="3"/>
  <c r="E829" i="3"/>
  <c r="E732" i="3"/>
  <c r="F633" i="3"/>
  <c r="C700" i="3"/>
  <c r="B601" i="3"/>
  <c r="C796" i="3"/>
  <c r="B697" i="3"/>
  <c r="E820" i="3"/>
  <c r="F721" i="3"/>
  <c r="B877" i="3"/>
  <c r="C976" i="3"/>
  <c r="C704" i="3"/>
  <c r="B605" i="3"/>
  <c r="F673" i="3"/>
  <c r="E772" i="3"/>
  <c r="C792" i="3"/>
  <c r="B693" i="3"/>
  <c r="C780" i="3"/>
  <c r="B681" i="3"/>
  <c r="E837" i="3"/>
  <c r="F738" i="3"/>
  <c r="B761" i="3"/>
  <c r="C860" i="3"/>
  <c r="E833" i="3"/>
  <c r="F734" i="3"/>
  <c r="E818" i="3"/>
  <c r="F719" i="3"/>
  <c r="E745" i="3"/>
  <c r="F646" i="3"/>
  <c r="C787" i="3"/>
  <c r="B688" i="3"/>
  <c r="F842" i="3"/>
  <c r="E941" i="3"/>
  <c r="F941" i="3" s="1"/>
  <c r="E720" i="3"/>
  <c r="F621" i="3"/>
  <c r="E858" i="3"/>
  <c r="F759" i="3"/>
  <c r="E909" i="3"/>
  <c r="F810" i="3"/>
  <c r="F762" i="3"/>
  <c r="E861" i="3"/>
  <c r="E870" i="3"/>
  <c r="F771" i="3"/>
  <c r="B692" i="3"/>
  <c r="C791" i="3"/>
  <c r="E845" i="3"/>
  <c r="F746" i="3"/>
  <c r="B777" i="3"/>
  <c r="C876" i="3"/>
  <c r="B809" i="3"/>
  <c r="C908" i="3"/>
  <c r="C812" i="3"/>
  <c r="B713" i="3"/>
  <c r="F753" i="3"/>
  <c r="E852" i="3"/>
  <c r="C795" i="3"/>
  <c r="B696" i="3"/>
  <c r="B853" i="3"/>
  <c r="C952" i="3"/>
  <c r="C772" i="3"/>
  <c r="B673" i="3"/>
  <c r="C907" i="3"/>
  <c r="B808" i="3"/>
  <c r="C887" i="3"/>
  <c r="B788" i="3"/>
  <c r="F890" i="3"/>
  <c r="E989" i="3"/>
  <c r="F989" i="3" s="1"/>
  <c r="C899" i="3"/>
  <c r="B800" i="3"/>
  <c r="E782" i="3"/>
  <c r="F683" i="3"/>
  <c r="B956" i="3"/>
  <c r="E752" i="3"/>
  <c r="F653" i="3"/>
  <c r="B944" i="3"/>
  <c r="B848" i="3"/>
  <c r="C947" i="3"/>
  <c r="E848" i="3"/>
  <c r="F749" i="3"/>
  <c r="E988" i="3"/>
  <c r="F889" i="3"/>
  <c r="B948" i="3"/>
  <c r="B936" i="3"/>
  <c r="C931" i="3"/>
  <c r="B832" i="3"/>
  <c r="B868" i="3"/>
  <c r="C967" i="3"/>
  <c r="C939" i="3"/>
  <c r="B840" i="3"/>
  <c r="E886" i="3"/>
  <c r="F787" i="3"/>
  <c r="B884" i="3"/>
  <c r="C983" i="3"/>
  <c r="C919" i="3"/>
  <c r="B820" i="3"/>
  <c r="F705" i="3"/>
  <c r="E804" i="3"/>
  <c r="C816" i="3"/>
  <c r="B717" i="3"/>
  <c r="E806" i="3"/>
  <c r="F707" i="3"/>
  <c r="B829" i="3"/>
  <c r="C928" i="3"/>
  <c r="C711" i="3"/>
  <c r="B612" i="3"/>
  <c r="C760" i="3"/>
  <c r="B661" i="3"/>
  <c r="E834" i="3"/>
  <c r="F735" i="3"/>
  <c r="E792" i="3"/>
  <c r="F693" i="3"/>
  <c r="E748" i="3"/>
  <c r="F649" i="3"/>
  <c r="E716" i="3"/>
  <c r="F617" i="3"/>
  <c r="C732" i="3"/>
  <c r="B633" i="3"/>
  <c r="C716" i="3"/>
  <c r="B617" i="3"/>
  <c r="C723" i="3"/>
  <c r="B624" i="3"/>
  <c r="E784" i="3"/>
  <c r="F685" i="3"/>
  <c r="F805" i="3"/>
  <c r="E904" i="3"/>
  <c r="E724" i="3"/>
  <c r="F625" i="3"/>
  <c r="B660" i="3"/>
  <c r="C759" i="3"/>
  <c r="B924" i="3"/>
  <c r="E809" i="3"/>
  <c r="F710" i="3"/>
  <c r="E781" i="3"/>
  <c r="F682" i="3"/>
  <c r="E972" i="3"/>
  <c r="F873" i="3"/>
  <c r="E929" i="3"/>
  <c r="F830" i="3"/>
  <c r="B604" i="3"/>
  <c r="C703" i="3"/>
  <c r="F742" i="3"/>
  <c r="E841" i="3"/>
  <c r="E780" i="3"/>
  <c r="F681" i="3"/>
  <c r="C719" i="3"/>
  <c r="B620" i="3"/>
  <c r="C779" i="3"/>
  <c r="B680" i="3"/>
  <c r="C728" i="3"/>
  <c r="B629" i="3"/>
  <c r="B861" i="3"/>
  <c r="C960" i="3"/>
  <c r="C755" i="3"/>
  <c r="B656" i="3"/>
  <c r="C736" i="3"/>
  <c r="B637" i="3"/>
  <c r="C855" i="3"/>
  <c r="B756" i="3"/>
  <c r="B636" i="3"/>
  <c r="C735" i="3"/>
  <c r="E785" i="3"/>
  <c r="F686" i="3"/>
  <c r="B817" i="3"/>
  <c r="C916" i="3"/>
  <c r="E756" i="3"/>
  <c r="F657" i="3"/>
  <c r="B821" i="3"/>
  <c r="C920" i="3"/>
  <c r="E793" i="3"/>
  <c r="F694" i="3"/>
  <c r="E773" i="3"/>
  <c r="F674" i="3"/>
  <c r="C764" i="3"/>
  <c r="B665" i="3"/>
  <c r="E776" i="3"/>
  <c r="F677" i="3"/>
  <c r="E761" i="3"/>
  <c r="F662" i="3"/>
  <c r="E816" i="3"/>
  <c r="F717" i="3"/>
  <c r="C748" i="3"/>
  <c r="B649" i="3"/>
  <c r="C783" i="3"/>
  <c r="B684" i="3"/>
  <c r="E704" i="3"/>
  <c r="F605" i="3"/>
  <c r="F597" i="3"/>
  <c r="E696" i="3"/>
  <c r="E878" i="3"/>
  <c r="F779" i="3"/>
  <c r="B745" i="3"/>
  <c r="C844" i="3"/>
  <c r="E750" i="3"/>
  <c r="F651" i="3"/>
  <c r="C720" i="3"/>
  <c r="B621" i="3"/>
  <c r="B781" i="3"/>
  <c r="C880" i="3"/>
  <c r="C823" i="3"/>
  <c r="B724" i="3"/>
  <c r="E708" i="3"/>
  <c r="F609" i="3"/>
  <c r="E767" i="3"/>
  <c r="F668" i="3"/>
  <c r="B885" i="3"/>
  <c r="C984" i="3"/>
  <c r="C743" i="3"/>
  <c r="B644" i="3"/>
  <c r="E874" i="3"/>
  <c r="F775" i="3"/>
  <c r="E760" i="3"/>
  <c r="F661" i="3"/>
  <c r="B893" i="3"/>
  <c r="C992" i="3"/>
  <c r="E808" i="3"/>
  <c r="F709" i="3"/>
  <c r="E853" i="3"/>
  <c r="F754" i="3"/>
  <c r="E764" i="3"/>
  <c r="F665" i="3"/>
  <c r="F826" i="3"/>
  <c r="E925" i="3"/>
  <c r="F925" i="3" s="1"/>
  <c r="B793" i="3"/>
  <c r="C892" i="3"/>
  <c r="C712" i="3"/>
  <c r="B613" i="3"/>
  <c r="E822" i="3"/>
  <c r="F723" i="3"/>
  <c r="B804" i="3"/>
  <c r="C903" i="3"/>
  <c r="C727" i="3"/>
  <c r="B628" i="3"/>
  <c r="E813" i="3"/>
  <c r="F714" i="3"/>
  <c r="E824" i="3"/>
  <c r="F725" i="3"/>
  <c r="E814" i="3"/>
  <c r="F715" i="3"/>
  <c r="C784" i="3"/>
  <c r="B685" i="3"/>
  <c r="E788" i="3"/>
  <c r="F689" i="3"/>
  <c r="E744" i="3"/>
  <c r="F645" i="3"/>
  <c r="E802" i="3"/>
  <c r="F703" i="3"/>
  <c r="E817" i="3"/>
  <c r="F718" i="3"/>
  <c r="C751" i="3"/>
  <c r="B652" i="3"/>
  <c r="E736" i="3"/>
  <c r="F637" i="3"/>
  <c r="F684" i="3"/>
  <c r="E783" i="3"/>
  <c r="E801" i="3"/>
  <c r="F702" i="3"/>
  <c r="L10" i="2"/>
  <c r="K11" i="2"/>
  <c r="H14" i="2" l="1"/>
  <c r="O13" i="2"/>
  <c r="E807" i="3"/>
  <c r="F708" i="3"/>
  <c r="E977" i="3"/>
  <c r="F878" i="3"/>
  <c r="C847" i="3"/>
  <c r="B748" i="3"/>
  <c r="C863" i="3"/>
  <c r="B764" i="3"/>
  <c r="E884" i="3"/>
  <c r="F785" i="3"/>
  <c r="B855" i="3"/>
  <c r="C954" i="3"/>
  <c r="C827" i="3"/>
  <c r="B728" i="3"/>
  <c r="C818" i="3"/>
  <c r="B719" i="3"/>
  <c r="F929" i="3"/>
  <c r="C858" i="3"/>
  <c r="B759" i="3"/>
  <c r="E903" i="3"/>
  <c r="F804" i="3"/>
  <c r="B983" i="3"/>
  <c r="B1047" i="3"/>
  <c r="F848" i="3"/>
  <c r="E947" i="3"/>
  <c r="B899" i="3"/>
  <c r="C891" i="3"/>
  <c r="B792" i="3"/>
  <c r="C830" i="3"/>
  <c r="B731" i="3"/>
  <c r="F769" i="3"/>
  <c r="E868" i="3"/>
  <c r="E876" i="3"/>
  <c r="F777" i="3"/>
  <c r="C867" i="3"/>
  <c r="B768" i="3"/>
  <c r="C798" i="3"/>
  <c r="B699" i="3"/>
  <c r="C874" i="3"/>
  <c r="B775" i="3"/>
  <c r="F945" i="3"/>
  <c r="C814" i="3"/>
  <c r="B715" i="3"/>
  <c r="E935" i="3"/>
  <c r="F836" i="3"/>
  <c r="B892" i="3"/>
  <c r="C991" i="3"/>
  <c r="B844" i="3"/>
  <c r="C943" i="3"/>
  <c r="E795" i="3"/>
  <c r="F696" i="3"/>
  <c r="B920" i="3"/>
  <c r="B916" i="3"/>
  <c r="C834" i="3"/>
  <c r="B735" i="3"/>
  <c r="B960" i="3"/>
  <c r="C802" i="3"/>
  <c r="B703" i="3"/>
  <c r="C822" i="3"/>
  <c r="B723" i="3"/>
  <c r="C831" i="3"/>
  <c r="B732" i="3"/>
  <c r="F748" i="3"/>
  <c r="E847" i="3"/>
  <c r="F834" i="3"/>
  <c r="E933" i="3"/>
  <c r="C810" i="3"/>
  <c r="B711" i="3"/>
  <c r="E905" i="3"/>
  <c r="F806" i="3"/>
  <c r="B939" i="3"/>
  <c r="B931" i="3"/>
  <c r="B947" i="3"/>
  <c r="B952" i="3"/>
  <c r="E951" i="3"/>
  <c r="F852" i="3"/>
  <c r="B908" i="3"/>
  <c r="B860" i="3"/>
  <c r="C959" i="3"/>
  <c r="E871" i="3"/>
  <c r="F772" i="3"/>
  <c r="B976" i="3"/>
  <c r="C866" i="3"/>
  <c r="B767" i="3"/>
  <c r="E864" i="3"/>
  <c r="F765" i="3"/>
  <c r="B935" i="3"/>
  <c r="E899" i="3"/>
  <c r="F800" i="3"/>
  <c r="E949" i="3"/>
  <c r="F949" i="3" s="1"/>
  <c r="F850" i="3"/>
  <c r="E901" i="3"/>
  <c r="F901" i="3" s="1"/>
  <c r="F802" i="3"/>
  <c r="F874" i="3"/>
  <c r="E973" i="3"/>
  <c r="F973" i="3" s="1"/>
  <c r="E849" i="3"/>
  <c r="F750" i="3"/>
  <c r="E860" i="3"/>
  <c r="F761" i="3"/>
  <c r="E855" i="3"/>
  <c r="F756" i="3"/>
  <c r="E880" i="3"/>
  <c r="F781" i="3"/>
  <c r="F904" i="3"/>
  <c r="B1055" i="3"/>
  <c r="C871" i="3"/>
  <c r="B772" i="3"/>
  <c r="B812" i="3"/>
  <c r="C911" i="3"/>
  <c r="F833" i="3"/>
  <c r="E932" i="3"/>
  <c r="C846" i="3"/>
  <c r="B747" i="3"/>
  <c r="C870" i="3"/>
  <c r="B771" i="3"/>
  <c r="F812" i="3"/>
  <c r="E911" i="3"/>
  <c r="E976" i="3"/>
  <c r="F877" i="3"/>
  <c r="F920" i="3"/>
  <c r="E827" i="3"/>
  <c r="F728" i="3"/>
  <c r="B955" i="3"/>
  <c r="F801" i="3"/>
  <c r="E900" i="3"/>
  <c r="E835" i="3"/>
  <c r="F736" i="3"/>
  <c r="E916" i="3"/>
  <c r="F817" i="3"/>
  <c r="E843" i="3"/>
  <c r="F744" i="3"/>
  <c r="C883" i="3"/>
  <c r="B784" i="3"/>
  <c r="E923" i="3"/>
  <c r="F824" i="3"/>
  <c r="C826" i="3"/>
  <c r="B727" i="3"/>
  <c r="E921" i="3"/>
  <c r="F822" i="3"/>
  <c r="E863" i="3"/>
  <c r="F764" i="3"/>
  <c r="E907" i="3"/>
  <c r="F808" i="3"/>
  <c r="E859" i="3"/>
  <c r="F760" i="3"/>
  <c r="C842" i="3"/>
  <c r="B743" i="3"/>
  <c r="E866" i="3"/>
  <c r="F767" i="3"/>
  <c r="C922" i="3"/>
  <c r="B823" i="3"/>
  <c r="C819" i="3"/>
  <c r="B720" i="3"/>
  <c r="C882" i="3"/>
  <c r="B783" i="3"/>
  <c r="E915" i="3"/>
  <c r="F816" i="3"/>
  <c r="E875" i="3"/>
  <c r="F776" i="3"/>
  <c r="E872" i="3"/>
  <c r="F773" i="3"/>
  <c r="C835" i="3"/>
  <c r="B736" i="3"/>
  <c r="C878" i="3"/>
  <c r="B779" i="3"/>
  <c r="E879" i="3"/>
  <c r="F780" i="3"/>
  <c r="F972" i="3"/>
  <c r="E908" i="3"/>
  <c r="F809" i="3"/>
  <c r="B928" i="3"/>
  <c r="B967" i="3"/>
  <c r="F988" i="3"/>
  <c r="E851" i="3"/>
  <c r="F752" i="3"/>
  <c r="E881" i="3"/>
  <c r="F782" i="3"/>
  <c r="B907" i="3"/>
  <c r="E944" i="3"/>
  <c r="F845" i="3"/>
  <c r="E969" i="3"/>
  <c r="F870" i="3"/>
  <c r="F909" i="3"/>
  <c r="E819" i="3"/>
  <c r="F720" i="3"/>
  <c r="C886" i="3"/>
  <c r="B787" i="3"/>
  <c r="F818" i="3"/>
  <c r="E917" i="3"/>
  <c r="C879" i="3"/>
  <c r="B780" i="3"/>
  <c r="C895" i="3"/>
  <c r="B796" i="3"/>
  <c r="E831" i="3"/>
  <c r="F732" i="3"/>
  <c r="C839" i="3"/>
  <c r="B740" i="3"/>
  <c r="B869" i="3"/>
  <c r="C968" i="3"/>
  <c r="E955" i="3"/>
  <c r="F856" i="3"/>
  <c r="E799" i="3"/>
  <c r="F700" i="3"/>
  <c r="E885" i="3"/>
  <c r="F786" i="3"/>
  <c r="E811" i="3"/>
  <c r="F712" i="3"/>
  <c r="C807" i="3"/>
  <c r="B708" i="3"/>
  <c r="E927" i="3"/>
  <c r="F828" i="3"/>
  <c r="C851" i="3"/>
  <c r="B752" i="3"/>
  <c r="C875" i="3"/>
  <c r="B776" i="3"/>
  <c r="E867" i="3"/>
  <c r="F768" i="3"/>
  <c r="C838" i="3"/>
  <c r="B739" i="3"/>
  <c r="F865" i="3"/>
  <c r="E964" i="3"/>
  <c r="E838" i="3"/>
  <c r="F739" i="3"/>
  <c r="C843" i="3"/>
  <c r="B744" i="3"/>
  <c r="E895" i="3"/>
  <c r="F796" i="3"/>
  <c r="F961" i="3"/>
  <c r="E888" i="3"/>
  <c r="F789" i="3"/>
  <c r="C862" i="3"/>
  <c r="B763" i="3"/>
  <c r="E839" i="3"/>
  <c r="F740" i="3"/>
  <c r="E893" i="3"/>
  <c r="F794" i="3"/>
  <c r="B951" i="3"/>
  <c r="B963" i="3"/>
  <c r="B987" i="3"/>
  <c r="C850" i="3"/>
  <c r="B751" i="3"/>
  <c r="E887" i="3"/>
  <c r="F788" i="3"/>
  <c r="E913" i="3"/>
  <c r="F913" i="3" s="1"/>
  <c r="F814" i="3"/>
  <c r="E912" i="3"/>
  <c r="F813" i="3"/>
  <c r="C811" i="3"/>
  <c r="B712" i="3"/>
  <c r="E952" i="3"/>
  <c r="F853" i="3"/>
  <c r="E803" i="3"/>
  <c r="F704" i="3"/>
  <c r="E892" i="3"/>
  <c r="F793" i="3"/>
  <c r="C854" i="3"/>
  <c r="B755" i="3"/>
  <c r="B1043" i="3"/>
  <c r="B887" i="3"/>
  <c r="C986" i="3"/>
  <c r="C894" i="3"/>
  <c r="B795" i="3"/>
  <c r="F858" i="3"/>
  <c r="E957" i="3"/>
  <c r="F957" i="3" s="1"/>
  <c r="E844" i="3"/>
  <c r="F745" i="3"/>
  <c r="E936" i="3"/>
  <c r="F837" i="3"/>
  <c r="C803" i="3"/>
  <c r="B704" i="3"/>
  <c r="E919" i="3"/>
  <c r="F820" i="3"/>
  <c r="C799" i="3"/>
  <c r="B700" i="3"/>
  <c r="E854" i="3"/>
  <c r="F755" i="3"/>
  <c r="E869" i="3"/>
  <c r="F770" i="3"/>
  <c r="C806" i="3"/>
  <c r="B707" i="3"/>
  <c r="E882" i="3"/>
  <c r="F783" i="3"/>
  <c r="B903" i="3"/>
  <c r="B992" i="3"/>
  <c r="B984" i="3"/>
  <c r="B880" i="3"/>
  <c r="C979" i="3"/>
  <c r="E940" i="3"/>
  <c r="F841" i="3"/>
  <c r="E823" i="3"/>
  <c r="F724" i="3"/>
  <c r="E883" i="3"/>
  <c r="F784" i="3"/>
  <c r="B716" i="3"/>
  <c r="C815" i="3"/>
  <c r="E815" i="3"/>
  <c r="F716" i="3"/>
  <c r="E891" i="3"/>
  <c r="F792" i="3"/>
  <c r="C859" i="3"/>
  <c r="B760" i="3"/>
  <c r="C915" i="3"/>
  <c r="B816" i="3"/>
  <c r="B919" i="3"/>
  <c r="E985" i="3"/>
  <c r="F886" i="3"/>
  <c r="B876" i="3"/>
  <c r="C975" i="3"/>
  <c r="C890" i="3"/>
  <c r="B791" i="3"/>
  <c r="F861" i="3"/>
  <c r="E960" i="3"/>
  <c r="E928" i="3"/>
  <c r="F829" i="3"/>
  <c r="E924" i="3"/>
  <c r="F825" i="3"/>
  <c r="F840" i="3"/>
  <c r="E939" i="3"/>
  <c r="C927" i="3"/>
  <c r="B828" i="3"/>
  <c r="E956" i="3"/>
  <c r="F857" i="3"/>
  <c r="E896" i="3"/>
  <c r="F797" i="3"/>
  <c r="B971" i="3"/>
  <c r="F832" i="3"/>
  <c r="E931" i="3"/>
  <c r="B923" i="3"/>
  <c r="L11" i="2"/>
  <c r="K12" i="2"/>
  <c r="E986" i="3" l="1"/>
  <c r="F887" i="3"/>
  <c r="B878" i="3"/>
  <c r="C977" i="3"/>
  <c r="E971" i="3"/>
  <c r="F872" i="3"/>
  <c r="F915" i="3"/>
  <c r="E965" i="3"/>
  <c r="F866" i="3"/>
  <c r="E958" i="3"/>
  <c r="F859" i="3"/>
  <c r="E962" i="3"/>
  <c r="F863" i="3"/>
  <c r="C925" i="3"/>
  <c r="B826" i="3"/>
  <c r="F916" i="3"/>
  <c r="F911" i="3"/>
  <c r="B911" i="3"/>
  <c r="F864" i="3"/>
  <c r="E963" i="3"/>
  <c r="B1051" i="3"/>
  <c r="F933" i="3"/>
  <c r="C933" i="3"/>
  <c r="B834" i="3"/>
  <c r="E894" i="3"/>
  <c r="F795" i="3"/>
  <c r="C913" i="3"/>
  <c r="B814" i="3"/>
  <c r="B874" i="3"/>
  <c r="C973" i="3"/>
  <c r="B867" i="3"/>
  <c r="C966" i="3"/>
  <c r="B891" i="3"/>
  <c r="C990" i="3"/>
  <c r="B954" i="3"/>
  <c r="F939" i="3"/>
  <c r="F912" i="3"/>
  <c r="B883" i="3"/>
  <c r="C982" i="3"/>
  <c r="F956" i="3"/>
  <c r="F928" i="3"/>
  <c r="B890" i="3"/>
  <c r="C989" i="3"/>
  <c r="F985" i="3"/>
  <c r="F882" i="3"/>
  <c r="E981" i="3"/>
  <c r="F981" i="3" s="1"/>
  <c r="F869" i="3"/>
  <c r="E968" i="3"/>
  <c r="C898" i="3"/>
  <c r="B799" i="3"/>
  <c r="C902" i="3"/>
  <c r="B803" i="3"/>
  <c r="E943" i="3"/>
  <c r="F844" i="3"/>
  <c r="B894" i="3"/>
  <c r="E938" i="3"/>
  <c r="F938" i="3" s="1"/>
  <c r="F839" i="3"/>
  <c r="E987" i="3"/>
  <c r="F888" i="3"/>
  <c r="F895" i="3"/>
  <c r="E937" i="3"/>
  <c r="F838" i="3"/>
  <c r="C937" i="3"/>
  <c r="B838" i="3"/>
  <c r="B875" i="3"/>
  <c r="C974" i="3"/>
  <c r="F927" i="3"/>
  <c r="E910" i="3"/>
  <c r="F811" i="3"/>
  <c r="E898" i="3"/>
  <c r="F898" i="3" s="1"/>
  <c r="F799" i="3"/>
  <c r="E930" i="3"/>
  <c r="F831" i="3"/>
  <c r="B879" i="3"/>
  <c r="C978" i="3"/>
  <c r="B886" i="3"/>
  <c r="C985" i="3"/>
  <c r="F944" i="3"/>
  <c r="B846" i="3"/>
  <c r="C945" i="3"/>
  <c r="E954" i="3"/>
  <c r="F855" i="3"/>
  <c r="E948" i="3"/>
  <c r="F849" i="3"/>
  <c r="F899" i="3"/>
  <c r="E970" i="3"/>
  <c r="F970" i="3" s="1"/>
  <c r="F871" i="3"/>
  <c r="F905" i="3"/>
  <c r="C930" i="3"/>
  <c r="B831" i="3"/>
  <c r="C901" i="3"/>
  <c r="B802" i="3"/>
  <c r="B943" i="3"/>
  <c r="B858" i="3"/>
  <c r="C957" i="3"/>
  <c r="C917" i="3"/>
  <c r="B818" i="3"/>
  <c r="B863" i="3"/>
  <c r="C962" i="3"/>
  <c r="F977" i="3"/>
  <c r="E990" i="3"/>
  <c r="F891" i="3"/>
  <c r="B968" i="3"/>
  <c r="E980" i="3"/>
  <c r="F881" i="3"/>
  <c r="C918" i="3"/>
  <c r="B819" i="3"/>
  <c r="F960" i="3"/>
  <c r="B975" i="3"/>
  <c r="B859" i="3"/>
  <c r="C958" i="3"/>
  <c r="E914" i="3"/>
  <c r="F914" i="3" s="1"/>
  <c r="F815" i="3"/>
  <c r="E982" i="3"/>
  <c r="F883" i="3"/>
  <c r="F940" i="3"/>
  <c r="B986" i="3"/>
  <c r="B854" i="3"/>
  <c r="C953" i="3"/>
  <c r="E902" i="3"/>
  <c r="F803" i="3"/>
  <c r="C910" i="3"/>
  <c r="B811" i="3"/>
  <c r="B850" i="3"/>
  <c r="C949" i="3"/>
  <c r="F964" i="3"/>
  <c r="F917" i="3"/>
  <c r="E950" i="3"/>
  <c r="F851" i="3"/>
  <c r="E978" i="3"/>
  <c r="F879" i="3"/>
  <c r="C934" i="3"/>
  <c r="B835" i="3"/>
  <c r="E974" i="3"/>
  <c r="F875" i="3"/>
  <c r="B882" i="3"/>
  <c r="C981" i="3"/>
  <c r="B922" i="3"/>
  <c r="B842" i="3"/>
  <c r="C941" i="3"/>
  <c r="F907" i="3"/>
  <c r="F921" i="3"/>
  <c r="F923" i="3"/>
  <c r="E942" i="3"/>
  <c r="F843" i="3"/>
  <c r="E934" i="3"/>
  <c r="F835" i="3"/>
  <c r="F932" i="3"/>
  <c r="B866" i="3"/>
  <c r="C965" i="3"/>
  <c r="B959" i="3"/>
  <c r="F951" i="3"/>
  <c r="E946" i="3"/>
  <c r="F847" i="3"/>
  <c r="F935" i="3"/>
  <c r="C897" i="3"/>
  <c r="B798" i="3"/>
  <c r="E975" i="3"/>
  <c r="F876" i="3"/>
  <c r="C929" i="3"/>
  <c r="B830" i="3"/>
  <c r="F947" i="3"/>
  <c r="B915" i="3"/>
  <c r="E922" i="3"/>
  <c r="F823" i="3"/>
  <c r="E991" i="3"/>
  <c r="F892" i="3"/>
  <c r="F952" i="3"/>
  <c r="F931" i="3"/>
  <c r="F896" i="3"/>
  <c r="B927" i="3"/>
  <c r="F924" i="3"/>
  <c r="C914" i="3"/>
  <c r="B815" i="3"/>
  <c r="B979" i="3"/>
  <c r="C905" i="3"/>
  <c r="B806" i="3"/>
  <c r="E953" i="3"/>
  <c r="F854" i="3"/>
  <c r="F919" i="3"/>
  <c r="F936" i="3"/>
  <c r="E992" i="3"/>
  <c r="F893" i="3"/>
  <c r="B862" i="3"/>
  <c r="C961" i="3"/>
  <c r="B843" i="3"/>
  <c r="C942" i="3"/>
  <c r="E966" i="3"/>
  <c r="F867" i="3"/>
  <c r="B851" i="3"/>
  <c r="C950" i="3"/>
  <c r="C906" i="3"/>
  <c r="B807" i="3"/>
  <c r="F885" i="3"/>
  <c r="E984" i="3"/>
  <c r="F955" i="3"/>
  <c r="C938" i="3"/>
  <c r="B839" i="3"/>
  <c r="B895" i="3"/>
  <c r="E918" i="3"/>
  <c r="F819" i="3"/>
  <c r="F969" i="3"/>
  <c r="F908" i="3"/>
  <c r="F900" i="3"/>
  <c r="E926" i="3"/>
  <c r="F827" i="3"/>
  <c r="F976" i="3"/>
  <c r="B870" i="3"/>
  <c r="C969" i="3"/>
  <c r="B871" i="3"/>
  <c r="C970" i="3"/>
  <c r="E979" i="3"/>
  <c r="F880" i="3"/>
  <c r="E959" i="3"/>
  <c r="F860" i="3"/>
  <c r="C909" i="3"/>
  <c r="B810" i="3"/>
  <c r="C921" i="3"/>
  <c r="B822" i="3"/>
  <c r="B991" i="3"/>
  <c r="E967" i="3"/>
  <c r="F868" i="3"/>
  <c r="F903" i="3"/>
  <c r="C926" i="3"/>
  <c r="B827" i="3"/>
  <c r="E983" i="3"/>
  <c r="F884" i="3"/>
  <c r="B847" i="3"/>
  <c r="C946" i="3"/>
  <c r="E906" i="3"/>
  <c r="F807" i="3"/>
  <c r="K13" i="2"/>
  <c r="L12" i="2"/>
  <c r="U162" i="3"/>
  <c r="K118" i="3"/>
  <c r="Q120" i="3"/>
  <c r="S168" i="3"/>
  <c r="I109" i="3"/>
  <c r="I180" i="3"/>
  <c r="AF275" i="3"/>
  <c r="M201" i="3"/>
  <c r="Q283" i="3"/>
  <c r="AG135" i="3"/>
  <c r="AC257" i="3"/>
  <c r="Q299" i="3"/>
  <c r="Q157" i="3"/>
  <c r="AD326" i="3"/>
  <c r="AH251" i="3"/>
  <c r="AG127" i="3"/>
  <c r="S1046" i="3"/>
  <c r="S117" i="3"/>
  <c r="AE251" i="3"/>
  <c r="I123" i="3"/>
  <c r="P134" i="3"/>
  <c r="AD179" i="3"/>
  <c r="U116" i="3"/>
  <c r="AH148" i="3"/>
  <c r="U149" i="3"/>
  <c r="P124" i="3"/>
  <c r="S493" i="3"/>
  <c r="AE201" i="3"/>
  <c r="AF178" i="3"/>
  <c r="I119" i="3"/>
  <c r="S269" i="3"/>
  <c r="M313" i="3"/>
  <c r="AC185" i="3"/>
  <c r="AC190" i="3"/>
  <c r="O147" i="3"/>
  <c r="Q179" i="3"/>
  <c r="AC1091" i="3"/>
  <c r="O1088" i="3"/>
  <c r="M272" i="3"/>
  <c r="N216" i="3"/>
  <c r="K130" i="3"/>
  <c r="AE1080" i="3"/>
  <c r="U264" i="3"/>
  <c r="S318" i="3"/>
  <c r="P177" i="3"/>
  <c r="N118" i="3"/>
  <c r="P1080" i="3"/>
  <c r="AG116" i="3"/>
  <c r="S262" i="3"/>
  <c r="AE187" i="3"/>
  <c r="S289" i="3"/>
  <c r="AD296" i="3"/>
  <c r="P1046" i="3"/>
  <c r="I169" i="3"/>
  <c r="R119" i="3"/>
  <c r="AE370" i="3"/>
  <c r="AG257" i="3"/>
  <c r="AC997" i="3"/>
  <c r="AE1083" i="3"/>
  <c r="P298" i="3"/>
  <c r="AE382" i="3"/>
  <c r="AH187" i="3"/>
  <c r="I356" i="3"/>
  <c r="R277" i="3"/>
  <c r="N161" i="3"/>
  <c r="U363" i="3"/>
  <c r="AF401" i="3"/>
  <c r="N121" i="3"/>
  <c r="AE206" i="3"/>
  <c r="AG409" i="3"/>
  <c r="AC342" i="3"/>
  <c r="K408" i="3"/>
  <c r="R157" i="3"/>
  <c r="K349" i="3"/>
  <c r="I445" i="3"/>
  <c r="AE1034" i="3"/>
  <c r="Q1002" i="3"/>
  <c r="P271" i="3"/>
  <c r="P404" i="3"/>
  <c r="O197" i="3"/>
  <c r="S341" i="3"/>
  <c r="O445" i="3"/>
  <c r="I332" i="3"/>
  <c r="N146" i="3"/>
  <c r="R323" i="3"/>
  <c r="AE383" i="3"/>
  <c r="AG189" i="3"/>
  <c r="S127" i="3"/>
  <c r="P129" i="3"/>
  <c r="Q469" i="3"/>
  <c r="AH348" i="3"/>
  <c r="N191" i="3"/>
  <c r="P386" i="3"/>
  <c r="AH359" i="3"/>
  <c r="P1013" i="3"/>
  <c r="AE121" i="3"/>
  <c r="N308" i="3"/>
  <c r="O336" i="3"/>
  <c r="K141" i="3"/>
  <c r="P428" i="3"/>
  <c r="K195" i="3"/>
  <c r="AH249" i="3"/>
  <c r="AE429" i="3"/>
  <c r="I190" i="3"/>
  <c r="I384" i="3"/>
  <c r="AC371" i="3"/>
  <c r="N997" i="3"/>
  <c r="AG401" i="3"/>
  <c r="AF350" i="3"/>
  <c r="Q198" i="3"/>
  <c r="M1088" i="3"/>
  <c r="Q445" i="3"/>
  <c r="R429" i="3"/>
  <c r="R134" i="3"/>
  <c r="K152" i="3"/>
  <c r="AH176" i="3"/>
  <c r="AC222" i="3"/>
  <c r="U343" i="3"/>
  <c r="I417" i="3"/>
  <c r="R1079" i="3"/>
  <c r="AG122" i="3"/>
  <c r="P296" i="3"/>
  <c r="P272" i="3"/>
  <c r="AG208" i="3"/>
  <c r="N204" i="3"/>
  <c r="R217" i="3"/>
  <c r="AF121" i="3"/>
  <c r="O194" i="3"/>
  <c r="AC212" i="3"/>
  <c r="AD142" i="3"/>
  <c r="I270" i="3"/>
  <c r="AC288" i="3"/>
  <c r="K315" i="3"/>
  <c r="R351" i="3"/>
  <c r="K169" i="3"/>
  <c r="N142" i="3"/>
  <c r="AE249" i="3"/>
  <c r="U310" i="3"/>
  <c r="AE1003" i="3"/>
  <c r="S314" i="3"/>
  <c r="S349" i="3"/>
  <c r="AD177" i="3"/>
  <c r="O105" i="3"/>
  <c r="AE126" i="3"/>
  <c r="AF249" i="3"/>
  <c r="AH305" i="3"/>
  <c r="P220" i="3"/>
  <c r="AH355" i="3"/>
  <c r="N267" i="3"/>
  <c r="AC262" i="3"/>
  <c r="S275" i="3"/>
  <c r="Q211" i="3"/>
  <c r="S279" i="3"/>
  <c r="M375" i="3"/>
  <c r="AF400" i="3"/>
  <c r="AD182" i="3"/>
  <c r="AH306" i="3"/>
  <c r="I1079" i="3"/>
  <c r="K298" i="3"/>
  <c r="O382" i="3"/>
  <c r="AH441" i="3"/>
  <c r="AF393" i="3"/>
  <c r="S1069" i="3"/>
  <c r="Q996" i="3"/>
  <c r="Q180" i="3"/>
  <c r="R235" i="3"/>
  <c r="N493" i="3"/>
  <c r="AH250" i="3"/>
  <c r="U461" i="3"/>
  <c r="M239" i="3"/>
  <c r="AD1034" i="3"/>
  <c r="Q201" i="3"/>
  <c r="S104" i="3"/>
  <c r="AF302" i="3"/>
  <c r="AG273" i="3"/>
  <c r="N395" i="3"/>
  <c r="AH304" i="3"/>
  <c r="AH150" i="3"/>
  <c r="AF259" i="3"/>
  <c r="AD337" i="3"/>
  <c r="AC338" i="3"/>
  <c r="AD361" i="3"/>
  <c r="M308" i="3"/>
  <c r="P314" i="3"/>
  <c r="K1013" i="3"/>
  <c r="O243" i="3"/>
  <c r="Q244" i="3"/>
  <c r="AG309" i="3"/>
  <c r="AF102" i="3"/>
  <c r="AF104" i="3"/>
  <c r="AG315" i="3"/>
  <c r="S390" i="3"/>
  <c r="R246" i="3"/>
  <c r="U156" i="3"/>
  <c r="M252" i="3"/>
  <c r="O229" i="3"/>
  <c r="U131" i="3"/>
  <c r="M393" i="3"/>
  <c r="S382" i="3"/>
  <c r="N197" i="3"/>
  <c r="P297" i="3"/>
  <c r="R249" i="3"/>
  <c r="M338" i="3"/>
  <c r="I354" i="3"/>
  <c r="I437" i="3"/>
  <c r="O125" i="3"/>
  <c r="AC1083" i="3"/>
  <c r="AD270" i="3"/>
  <c r="AH235" i="3"/>
  <c r="AE123" i="3"/>
  <c r="R209" i="3"/>
  <c r="AC397" i="3"/>
  <c r="AH141" i="3"/>
  <c r="S219" i="3"/>
  <c r="AH278" i="3"/>
  <c r="AH225" i="3"/>
  <c r="M285" i="3"/>
  <c r="AD493" i="3"/>
  <c r="AC375" i="3"/>
  <c r="Q420" i="3"/>
  <c r="N181" i="3"/>
  <c r="K167" i="3"/>
  <c r="AF299" i="3"/>
  <c r="M120" i="3"/>
  <c r="Q152" i="3"/>
  <c r="AH328" i="3"/>
  <c r="AD277" i="3"/>
  <c r="AF246" i="3"/>
  <c r="M161" i="3"/>
  <c r="AF157" i="3"/>
  <c r="O135" i="3"/>
  <c r="O321" i="3"/>
  <c r="Q368" i="3"/>
  <c r="S1030" i="3"/>
  <c r="M171" i="3"/>
  <c r="S330" i="3"/>
  <c r="R294" i="3"/>
  <c r="Q313" i="3"/>
  <c r="K436" i="3"/>
  <c r="AC391" i="3"/>
  <c r="AE1024" i="3"/>
  <c r="AG267" i="3"/>
  <c r="AF219" i="3"/>
  <c r="M102" i="3"/>
  <c r="P289" i="3"/>
  <c r="AG245" i="3"/>
  <c r="N457" i="3"/>
  <c r="AF461" i="3"/>
  <c r="AH157" i="3"/>
  <c r="Q295" i="3"/>
  <c r="R338" i="3"/>
  <c r="M260" i="3"/>
  <c r="AG207" i="3"/>
  <c r="I328" i="3"/>
  <c r="M428" i="3"/>
  <c r="P218" i="3"/>
  <c r="R1013" i="3"/>
  <c r="M130" i="3"/>
  <c r="U128" i="3"/>
  <c r="S188" i="3"/>
  <c r="U1048" i="3"/>
  <c r="I184" i="3"/>
  <c r="O425" i="3"/>
  <c r="AF139" i="3"/>
  <c r="S145" i="3"/>
  <c r="AE143" i="3"/>
  <c r="O233" i="3"/>
  <c r="I269" i="3"/>
  <c r="K121" i="3"/>
  <c r="K1071" i="3"/>
  <c r="AE103" i="3"/>
  <c r="Q131" i="3"/>
  <c r="AH122" i="3"/>
  <c r="AF137" i="3"/>
  <c r="I370" i="3"/>
  <c r="I366" i="3"/>
  <c r="AC254" i="3"/>
  <c r="R183" i="3"/>
  <c r="AF124" i="3"/>
  <c r="AE156" i="3"/>
  <c r="P157" i="3"/>
  <c r="P128" i="3"/>
  <c r="O275" i="3"/>
  <c r="P293" i="3"/>
  <c r="AG182" i="3"/>
  <c r="R123" i="3"/>
  <c r="S284" i="3"/>
  <c r="AF294" i="3"/>
  <c r="M185" i="3"/>
  <c r="AC194" i="3"/>
  <c r="Q155" i="3"/>
  <c r="Q187" i="3"/>
  <c r="U1091" i="3"/>
  <c r="R1059" i="3"/>
  <c r="R256" i="3"/>
  <c r="AG353" i="3"/>
  <c r="AH134" i="3"/>
  <c r="AC1080" i="3"/>
  <c r="I248" i="3"/>
  <c r="AD353" i="3"/>
  <c r="R215" i="3"/>
  <c r="AF234" i="3"/>
  <c r="AE1063" i="3"/>
  <c r="AD244" i="3"/>
  <c r="AE171" i="3"/>
  <c r="P334" i="3"/>
  <c r="K273" i="3"/>
  <c r="AE452" i="3"/>
  <c r="O283" i="3"/>
  <c r="AG137" i="3"/>
  <c r="N123" i="3"/>
  <c r="P325" i="3"/>
  <c r="AE233" i="3"/>
  <c r="AG215" i="3"/>
  <c r="S1002" i="3"/>
  <c r="R168" i="3"/>
  <c r="R200" i="3"/>
  <c r="M234" i="3"/>
  <c r="AG374" i="3"/>
  <c r="P300" i="3"/>
  <c r="M131" i="3"/>
  <c r="M316" i="3"/>
  <c r="AE304" i="3"/>
  <c r="AF1091" i="3"/>
  <c r="AF214" i="3"/>
  <c r="AE290" i="3"/>
  <c r="I376" i="3"/>
  <c r="AG157" i="3"/>
  <c r="AG181" i="3"/>
  <c r="O312" i="3"/>
  <c r="AE365" i="3"/>
  <c r="N177" i="3"/>
  <c r="R114" i="3"/>
  <c r="Q339" i="3"/>
  <c r="AF397" i="3"/>
  <c r="S173" i="3"/>
  <c r="N436" i="3"/>
  <c r="AG312" i="3"/>
  <c r="U194" i="3"/>
  <c r="R150" i="3"/>
  <c r="AD436" i="3"/>
  <c r="U324" i="3"/>
  <c r="AD194" i="3"/>
  <c r="O131" i="3"/>
  <c r="AC191" i="3"/>
  <c r="O390" i="3"/>
  <c r="K1037" i="3"/>
  <c r="I195" i="3"/>
  <c r="I379" i="3"/>
  <c r="Q397" i="3"/>
  <c r="M1037" i="3"/>
  <c r="K191" i="3"/>
  <c r="U307" i="3"/>
  <c r="I189" i="3"/>
  <c r="AH118" i="3"/>
  <c r="AC144" i="3"/>
  <c r="U369" i="3"/>
  <c r="O508" i="3"/>
  <c r="Q162" i="3"/>
  <c r="I194" i="3"/>
  <c r="AF308" i="3"/>
  <c r="U400" i="3"/>
  <c r="N1013" i="3"/>
  <c r="I1000" i="3"/>
  <c r="AG367" i="3"/>
  <c r="AH146" i="3"/>
  <c r="K1059" i="3"/>
  <c r="AE351" i="3"/>
  <c r="S106" i="3"/>
  <c r="I359" i="3"/>
  <c r="S156" i="3"/>
  <c r="AH184" i="3"/>
  <c r="S243" i="3"/>
  <c r="Q379" i="3"/>
  <c r="AH508" i="3"/>
  <c r="AC267" i="3"/>
  <c r="U279" i="3"/>
  <c r="P1067" i="3"/>
  <c r="AD256" i="3"/>
  <c r="M353" i="3"/>
  <c r="R437" i="3"/>
  <c r="I381" i="3"/>
  <c r="AF1087" i="3"/>
  <c r="AH210" i="3"/>
  <c r="AG363" i="3"/>
  <c r="AG158" i="3"/>
  <c r="AE310" i="3"/>
  <c r="M996" i="3"/>
  <c r="R397" i="3"/>
  <c r="K404" i="3"/>
  <c r="S149" i="3"/>
  <c r="AE146" i="3"/>
  <c r="AG233" i="3"/>
  <c r="S1072" i="3"/>
  <c r="AE112" i="3"/>
  <c r="AF220" i="3"/>
  <c r="U220" i="3"/>
  <c r="N157" i="3"/>
  <c r="R170" i="3"/>
  <c r="Q309" i="3"/>
  <c r="N233" i="3"/>
  <c r="N469" i="3"/>
  <c r="S358" i="3"/>
  <c r="Q170" i="3"/>
  <c r="AC231" i="3"/>
  <c r="AF292" i="3"/>
  <c r="U1087" i="3"/>
  <c r="O234" i="3"/>
  <c r="Q310" i="3"/>
  <c r="N315" i="3"/>
  <c r="AC130" i="3"/>
  <c r="R186" i="3"/>
  <c r="U299" i="3"/>
  <c r="U1083" i="3"/>
  <c r="AE285" i="3"/>
  <c r="K275" i="3"/>
  <c r="P209" i="3"/>
  <c r="AG369" i="3"/>
  <c r="AG226" i="3"/>
  <c r="K1012" i="3"/>
  <c r="Q188" i="3"/>
  <c r="AD164" i="3"/>
  <c r="AD196" i="3"/>
  <c r="AG201" i="3"/>
  <c r="S367" i="3"/>
  <c r="S202" i="3"/>
  <c r="N103" i="3"/>
  <c r="O182" i="3"/>
  <c r="AE120" i="3"/>
  <c r="S286" i="3"/>
  <c r="AC213" i="3"/>
  <c r="AD328" i="3"/>
  <c r="K592" i="3"/>
  <c r="AH154" i="3"/>
  <c r="AF295" i="3"/>
  <c r="AD338" i="3"/>
  <c r="I167" i="3"/>
  <c r="U234" i="3"/>
  <c r="AC421" i="3"/>
  <c r="AD331" i="3"/>
  <c r="O1013" i="3"/>
  <c r="O251" i="3"/>
  <c r="I1067" i="3"/>
  <c r="AH266" i="3"/>
  <c r="AH1088" i="3"/>
  <c r="AF112" i="3"/>
  <c r="N351" i="3"/>
  <c r="AC372" i="3"/>
  <c r="S223" i="3"/>
  <c r="I156" i="3"/>
  <c r="K212" i="3"/>
  <c r="U290" i="3"/>
  <c r="AG147" i="3"/>
  <c r="I340" i="3"/>
  <c r="K332" i="3"/>
  <c r="R117" i="3"/>
  <c r="R222" i="3"/>
  <c r="S233" i="3"/>
  <c r="M330" i="3"/>
  <c r="AG336" i="3"/>
  <c r="AC392" i="3"/>
  <c r="AH1030" i="3"/>
  <c r="O1087" i="3"/>
  <c r="Q289" i="3"/>
  <c r="K295" i="3"/>
  <c r="AE131" i="3"/>
  <c r="S365" i="3"/>
  <c r="I311" i="3"/>
  <c r="O162" i="3"/>
  <c r="N234" i="3"/>
  <c r="AG117" i="3"/>
  <c r="I148" i="3"/>
  <c r="AF287" i="3"/>
  <c r="AD346" i="3"/>
  <c r="S229" i="3"/>
  <c r="P461" i="3"/>
  <c r="I185" i="3"/>
  <c r="AC171" i="3"/>
  <c r="AF217" i="3"/>
  <c r="Q128" i="3"/>
  <c r="Q160" i="3"/>
  <c r="AF445" i="3"/>
  <c r="AG376" i="3"/>
  <c r="Q202" i="3"/>
  <c r="AC177" i="3"/>
  <c r="AE162" i="3"/>
  <c r="S207" i="3"/>
  <c r="AD320" i="3"/>
  <c r="AC437" i="3"/>
  <c r="AC118" i="3"/>
  <c r="AD175" i="3"/>
  <c r="U269" i="3"/>
  <c r="Q270" i="3"/>
  <c r="N294" i="3"/>
  <c r="M392" i="3"/>
  <c r="AC343" i="3"/>
  <c r="R231" i="3"/>
  <c r="AH1056" i="3"/>
  <c r="AC302" i="3"/>
  <c r="AG205" i="3"/>
  <c r="O265" i="3"/>
  <c r="N350" i="3"/>
  <c r="M449" i="3"/>
  <c r="M367" i="3"/>
  <c r="O166" i="3"/>
  <c r="K378" i="3"/>
  <c r="R330" i="3"/>
  <c r="AH333" i="3"/>
  <c r="U1072" i="3"/>
  <c r="AC376" i="3"/>
  <c r="S174" i="3"/>
  <c r="AD226" i="3"/>
  <c r="P267" i="3"/>
  <c r="AG134" i="3"/>
  <c r="K140" i="3"/>
  <c r="AG214" i="3"/>
  <c r="N1048" i="3"/>
  <c r="I188" i="3"/>
  <c r="P253" i="3"/>
  <c r="AD155" i="3"/>
  <c r="AF149" i="3"/>
  <c r="AC147" i="3"/>
  <c r="U345" i="3"/>
  <c r="U260" i="3"/>
  <c r="AE262" i="3"/>
  <c r="S196" i="3"/>
  <c r="AE111" i="3"/>
  <c r="AH314" i="3"/>
  <c r="AG1091" i="3"/>
  <c r="K206" i="3"/>
  <c r="AD107" i="3"/>
  <c r="M362" i="3"/>
  <c r="AC175" i="3"/>
  <c r="U1003" i="3"/>
  <c r="M132" i="3"/>
  <c r="N230" i="3"/>
  <c r="M116" i="3"/>
  <c r="Q292" i="3"/>
  <c r="K297" i="3"/>
  <c r="AH193" i="3"/>
  <c r="I111" i="3"/>
  <c r="K338" i="3"/>
  <c r="P260" i="3"/>
  <c r="P142" i="3"/>
  <c r="AC182" i="3"/>
  <c r="R131" i="3"/>
  <c r="Q163" i="3"/>
  <c r="M149" i="3"/>
  <c r="R1072" i="3"/>
  <c r="K296" i="3"/>
  <c r="O240" i="3"/>
  <c r="S185" i="3"/>
  <c r="AD207" i="3"/>
  <c r="AE205" i="3"/>
  <c r="Q224" i="3"/>
  <c r="P1040" i="3"/>
  <c r="AH1087" i="3"/>
  <c r="Q263" i="3"/>
  <c r="AG996" i="3"/>
  <c r="M1091" i="3"/>
  <c r="N175" i="3"/>
  <c r="P302" i="3"/>
  <c r="P265" i="3"/>
  <c r="O202" i="3"/>
  <c r="AC326" i="3"/>
  <c r="AH125" i="3"/>
  <c r="AH114" i="3"/>
  <c r="P282" i="3"/>
  <c r="AF366" i="3"/>
  <c r="AF262" i="3"/>
  <c r="O110" i="3"/>
  <c r="K268" i="3"/>
  <c r="AC245" i="3"/>
  <c r="AF324" i="3"/>
  <c r="AH327" i="3"/>
  <c r="R1087" i="3"/>
  <c r="AE139" i="3"/>
  <c r="AC315" i="3"/>
  <c r="K351" i="3"/>
  <c r="U1030" i="3"/>
  <c r="Q222" i="3"/>
  <c r="AC413" i="3"/>
  <c r="AD349" i="3"/>
  <c r="R109" i="3"/>
  <c r="AH223" i="3"/>
  <c r="U465" i="3"/>
  <c r="I348" i="3"/>
  <c r="N145" i="3"/>
  <c r="K1083" i="3"/>
  <c r="O384" i="3"/>
  <c r="AH371" i="3"/>
  <c r="U177" i="3"/>
  <c r="S432" i="3"/>
  <c r="O364" i="3"/>
  <c r="P109" i="3"/>
  <c r="U158" i="3"/>
  <c r="AE363" i="3"/>
  <c r="AH576" i="3"/>
  <c r="Q194" i="3"/>
  <c r="U132" i="3"/>
  <c r="AD421" i="3"/>
  <c r="I460" i="3"/>
  <c r="AF1037" i="3"/>
  <c r="AE203" i="3"/>
  <c r="N312" i="3"/>
  <c r="N218" i="3"/>
  <c r="U144" i="3"/>
  <c r="AF441" i="3"/>
  <c r="M384" i="3"/>
  <c r="K153" i="3"/>
  <c r="R122" i="3"/>
  <c r="Q351" i="3"/>
  <c r="AE319" i="3"/>
  <c r="AE315" i="3"/>
  <c r="M1056" i="3"/>
  <c r="I198" i="3"/>
  <c r="R343" i="3"/>
  <c r="K165" i="3"/>
  <c r="AF238" i="3"/>
  <c r="M203" i="3"/>
  <c r="N293" i="3"/>
  <c r="AG154" i="3"/>
  <c r="AC424" i="3"/>
  <c r="K376" i="3"/>
  <c r="N246" i="3"/>
  <c r="AF1071" i="3"/>
  <c r="AH1067" i="3"/>
  <c r="AH192" i="3"/>
  <c r="M251" i="3"/>
  <c r="R441" i="3"/>
  <c r="Q113" i="3"/>
  <c r="I1024" i="3"/>
  <c r="AH265" i="3"/>
  <c r="AD1063" i="3"/>
  <c r="S240" i="3"/>
  <c r="S285" i="3"/>
  <c r="I524" i="3"/>
  <c r="K405" i="3"/>
  <c r="S1062" i="3"/>
  <c r="S239" i="3"/>
  <c r="R408" i="3"/>
  <c r="AF170" i="3"/>
  <c r="AH221" i="3"/>
  <c r="AF240" i="3"/>
  <c r="K372" i="3"/>
  <c r="U308" i="3"/>
  <c r="O153" i="3"/>
  <c r="K150" i="3"/>
  <c r="U366" i="3"/>
  <c r="AE1059" i="3"/>
  <c r="AC124" i="3"/>
  <c r="U433" i="3"/>
  <c r="AD229" i="3"/>
  <c r="R113" i="3"/>
  <c r="K174" i="3"/>
  <c r="M282" i="3"/>
  <c r="AC366" i="3"/>
  <c r="N456" i="3"/>
  <c r="AC308" i="3"/>
  <c r="S110" i="3"/>
  <c r="AC239" i="3"/>
  <c r="AD212" i="3"/>
  <c r="Q191" i="3"/>
  <c r="M242" i="3"/>
  <c r="K364" i="3"/>
  <c r="M397" i="3"/>
  <c r="AH1048" i="3"/>
  <c r="K190" i="3"/>
  <c r="N244" i="3"/>
  <c r="AG1087" i="3"/>
  <c r="AC292" i="3"/>
  <c r="K425" i="3"/>
  <c r="R276" i="3"/>
  <c r="AH452" i="3"/>
  <c r="U174" i="3"/>
  <c r="AH104" i="3"/>
  <c r="Q196" i="3"/>
  <c r="AC287" i="3"/>
  <c r="AC253" i="3"/>
  <c r="AD400" i="3"/>
  <c r="U374" i="3"/>
  <c r="M113" i="3"/>
  <c r="N107" i="3"/>
  <c r="M108" i="3"/>
  <c r="AF283" i="3"/>
  <c r="M270" i="3"/>
  <c r="O342" i="3"/>
  <c r="AE380" i="3"/>
  <c r="AF169" i="3"/>
  <c r="AF243" i="3"/>
  <c r="K233" i="3"/>
  <c r="AD330" i="3"/>
  <c r="AH217" i="3"/>
  <c r="I278" i="3"/>
  <c r="S452" i="3"/>
  <c r="M320" i="3"/>
  <c r="O1037" i="3"/>
  <c r="O259" i="3"/>
  <c r="AD248" i="3"/>
  <c r="P155" i="3"/>
  <c r="O1063" i="3"/>
  <c r="AF120" i="3"/>
  <c r="AG290" i="3"/>
  <c r="R465" i="3"/>
  <c r="AF148" i="3"/>
  <c r="O225" i="3"/>
  <c r="N275" i="3"/>
  <c r="N358" i="3"/>
  <c r="U159" i="3"/>
  <c r="M344" i="3"/>
  <c r="AG383" i="3"/>
  <c r="M1003" i="3"/>
  <c r="R206" i="3"/>
  <c r="Q366" i="3"/>
  <c r="R329" i="3"/>
  <c r="S312" i="3"/>
  <c r="U388" i="3"/>
  <c r="Q1046" i="3"/>
  <c r="AH1002" i="3"/>
  <c r="AF265" i="3"/>
  <c r="U107" i="3"/>
  <c r="P135" i="3"/>
  <c r="O392" i="3"/>
  <c r="I391" i="3"/>
  <c r="R1056" i="3"/>
  <c r="AG242" i="3"/>
  <c r="M104" i="3"/>
  <c r="I140" i="3"/>
  <c r="M268" i="3"/>
  <c r="S297" i="3"/>
  <c r="AG314" i="3"/>
  <c r="O1018" i="3"/>
  <c r="AD159" i="3"/>
  <c r="AG345" i="3"/>
  <c r="AD195" i="3"/>
  <c r="P136" i="3"/>
  <c r="Q168" i="3"/>
  <c r="AE412" i="3"/>
  <c r="AH440" i="3"/>
  <c r="AD129" i="3"/>
  <c r="N163" i="3"/>
  <c r="AC119" i="3"/>
  <c r="AD1080" i="3"/>
  <c r="M391" i="3"/>
  <c r="AG387" i="3"/>
  <c r="M223" i="3"/>
  <c r="R179" i="3"/>
  <c r="I284" i="3"/>
  <c r="O281" i="3"/>
  <c r="O286" i="3"/>
  <c r="N306" i="3"/>
  <c r="M456" i="3"/>
  <c r="K189" i="3"/>
  <c r="I183" i="3"/>
  <c r="U263" i="3"/>
  <c r="K213" i="3"/>
  <c r="O213" i="3"/>
  <c r="M250" i="3"/>
  <c r="Q340" i="3"/>
  <c r="AC383" i="3"/>
  <c r="N251" i="3"/>
  <c r="M345" i="3"/>
  <c r="AC329" i="3"/>
  <c r="AD395" i="3"/>
  <c r="AC1088" i="3"/>
  <c r="AG308" i="3"/>
  <c r="R1037" i="3"/>
  <c r="Q114" i="3"/>
  <c r="AG108" i="3"/>
  <c r="U152" i="3"/>
  <c r="O461" i="3"/>
  <c r="I176" i="3"/>
  <c r="Q212" i="3"/>
  <c r="AD237" i="3"/>
  <c r="O326" i="3"/>
  <c r="AG131" i="3"/>
  <c r="AH282" i="3"/>
  <c r="U305" i="3"/>
  <c r="AC1087" i="3"/>
  <c r="Q394" i="3"/>
  <c r="R214" i="3"/>
  <c r="AE119" i="3"/>
  <c r="O145" i="3"/>
  <c r="S1013" i="3"/>
  <c r="AC237" i="3"/>
  <c r="K282" i="3"/>
  <c r="AG109" i="3"/>
  <c r="M175" i="3"/>
  <c r="U108" i="3"/>
  <c r="M140" i="3"/>
  <c r="P185" i="3"/>
  <c r="U120" i="3"/>
  <c r="Q252" i="3"/>
  <c r="M477" i="3"/>
  <c r="AG169" i="3"/>
  <c r="I115" i="3"/>
  <c r="K330" i="3"/>
  <c r="Q333" i="3"/>
  <c r="I1069" i="3"/>
  <c r="AC186" i="3"/>
  <c r="R139" i="3"/>
  <c r="Q171" i="3"/>
  <c r="M133" i="3"/>
  <c r="I1072" i="3"/>
  <c r="O280" i="3"/>
  <c r="M232" i="3"/>
  <c r="Q186" i="3"/>
  <c r="K102" i="3"/>
  <c r="I288" i="3"/>
  <c r="AG144" i="3"/>
  <c r="M193" i="3"/>
  <c r="N1034" i="3"/>
  <c r="AE102" i="3"/>
  <c r="AE104" i="3"/>
  <c r="AF1030" i="3"/>
  <c r="I179" i="3"/>
  <c r="AE278" i="3"/>
  <c r="AH205" i="3"/>
  <c r="U150" i="3"/>
  <c r="R1071" i="3"/>
  <c r="AE129" i="3"/>
  <c r="Q118" i="3"/>
  <c r="S266" i="3"/>
  <c r="O357" i="3"/>
  <c r="AG394" i="3"/>
  <c r="AD148" i="3"/>
  <c r="R184" i="3"/>
  <c r="O245" i="3"/>
  <c r="R319" i="3"/>
  <c r="AF429" i="3"/>
  <c r="AE1062" i="3"/>
  <c r="N143" i="3"/>
  <c r="AC347" i="3"/>
  <c r="Q390" i="3"/>
  <c r="U1046" i="3"/>
  <c r="AH425" i="3"/>
  <c r="P398" i="3"/>
  <c r="I436" i="3"/>
  <c r="AD138" i="3"/>
  <c r="AE1069" i="3"/>
  <c r="AD371" i="3"/>
  <c r="AE576" i="3"/>
  <c r="AH1062" i="3"/>
  <c r="AH211" i="3"/>
  <c r="N360" i="3"/>
  <c r="K1069" i="3"/>
  <c r="U297" i="3"/>
  <c r="AG304" i="3"/>
  <c r="AF456" i="3"/>
  <c r="O1040" i="3"/>
  <c r="P365" i="3"/>
  <c r="AF460" i="3"/>
  <c r="AD230" i="3"/>
  <c r="S123" i="3"/>
  <c r="AD391" i="3"/>
  <c r="U351" i="3"/>
  <c r="AC374" i="3"/>
  <c r="K283" i="3"/>
  <c r="P340" i="3"/>
  <c r="S398" i="3"/>
  <c r="S170" i="3"/>
  <c r="S276" i="3"/>
  <c r="U393" i="3"/>
  <c r="AE421" i="3"/>
  <c r="R137" i="3"/>
  <c r="R126" i="3"/>
  <c r="AC121" i="3"/>
  <c r="AG385" i="3"/>
  <c r="AD363" i="3"/>
  <c r="AE230" i="3"/>
  <c r="M360" i="3"/>
  <c r="AG335" i="3"/>
  <c r="AD145" i="3"/>
  <c r="Q209" i="3"/>
  <c r="M373" i="3"/>
  <c r="AH230" i="3"/>
  <c r="U1080" i="3"/>
  <c r="I481" i="3"/>
  <c r="AC340" i="3"/>
  <c r="AF189" i="3"/>
  <c r="R148" i="3"/>
  <c r="AH168" i="3"/>
  <c r="AH200" i="3"/>
  <c r="S413" i="3"/>
  <c r="AD388" i="3"/>
  <c r="O109" i="3"/>
  <c r="R106" i="3"/>
  <c r="AH1080" i="3"/>
  <c r="S280" i="3"/>
  <c r="P232" i="3"/>
  <c r="I371" i="3"/>
  <c r="P460" i="3"/>
  <c r="AF320" i="3"/>
  <c r="AF182" i="3"/>
  <c r="M176" i="3"/>
  <c r="AH1083" i="3"/>
  <c r="U242" i="3"/>
  <c r="R1088" i="3"/>
  <c r="AH248" i="3"/>
  <c r="AF385" i="3"/>
  <c r="U238" i="3"/>
  <c r="N138" i="3"/>
  <c r="AC301" i="3"/>
  <c r="AF174" i="3"/>
  <c r="AG1067" i="3"/>
  <c r="K132" i="3"/>
  <c r="S420" i="3"/>
  <c r="K316" i="3"/>
  <c r="N393" i="3"/>
  <c r="P178" i="3"/>
  <c r="O266" i="3"/>
  <c r="AF357" i="3"/>
  <c r="R405" i="3"/>
  <c r="S360" i="3"/>
  <c r="N254" i="3"/>
  <c r="AC247" i="3"/>
  <c r="AF382" i="3"/>
  <c r="Q199" i="3"/>
  <c r="R263" i="3"/>
  <c r="AE359" i="3"/>
  <c r="Q308" i="3"/>
  <c r="R230" i="3"/>
  <c r="P194" i="3"/>
  <c r="AE109" i="3"/>
  <c r="I202" i="3"/>
  <c r="AG236" i="3"/>
  <c r="N245" i="3"/>
  <c r="R293" i="3"/>
  <c r="AG465" i="3"/>
  <c r="U182" i="3"/>
  <c r="Q108" i="3"/>
  <c r="Q206" i="3"/>
  <c r="AD180" i="3"/>
  <c r="AE235" i="3"/>
  <c r="P388" i="3"/>
  <c r="AC312" i="3"/>
  <c r="M117" i="3"/>
  <c r="N111" i="3"/>
  <c r="AE1012" i="3"/>
  <c r="AF334" i="3"/>
  <c r="M289" i="3"/>
  <c r="U390" i="3"/>
  <c r="Q386" i="3"/>
  <c r="U125" i="3"/>
  <c r="AF251" i="3"/>
  <c r="AH366" i="3"/>
  <c r="I143" i="3"/>
  <c r="N195" i="3"/>
  <c r="M286" i="3"/>
  <c r="R316" i="3"/>
  <c r="I133" i="3"/>
  <c r="O235" i="3"/>
  <c r="U209" i="3"/>
  <c r="AG370" i="3"/>
  <c r="AH310" i="3"/>
  <c r="AC1012" i="3"/>
  <c r="S397" i="3"/>
  <c r="O421" i="3"/>
  <c r="R1030" i="3"/>
  <c r="AF152" i="3"/>
  <c r="AF268" i="3"/>
  <c r="M222" i="3"/>
  <c r="R220" i="3"/>
  <c r="P175" i="3"/>
  <c r="S449" i="3"/>
  <c r="AF114" i="3"/>
  <c r="M192" i="3"/>
  <c r="AH301" i="3"/>
  <c r="M337" i="3"/>
  <c r="N386" i="3"/>
  <c r="AF355" i="3"/>
  <c r="N226" i="3"/>
  <c r="AH1079" i="3"/>
  <c r="K286" i="3"/>
  <c r="I114" i="3"/>
  <c r="U115" i="3"/>
  <c r="AD143" i="3"/>
  <c r="P351" i="3"/>
  <c r="N376" i="3"/>
  <c r="I1056" i="3"/>
  <c r="AF263" i="3"/>
  <c r="I124" i="3"/>
  <c r="K318" i="3"/>
  <c r="R236" i="3"/>
  <c r="AD524" i="3"/>
  <c r="AG444" i="3"/>
  <c r="S1034" i="3"/>
  <c r="R163" i="3"/>
  <c r="AG305" i="3"/>
  <c r="AC112" i="3"/>
  <c r="P144" i="3"/>
  <c r="P524" i="3"/>
  <c r="N380" i="3"/>
  <c r="AD254" i="3"/>
  <c r="K149" i="3"/>
  <c r="AH269" i="3"/>
  <c r="AE127" i="3"/>
  <c r="AG1059" i="3"/>
  <c r="M371" i="3"/>
  <c r="AF343" i="3"/>
  <c r="U230" i="3"/>
  <c r="K183" i="3"/>
  <c r="I333" i="3"/>
  <c r="AC265" i="3"/>
  <c r="P372" i="3"/>
  <c r="K261" i="3"/>
  <c r="O1000" i="3"/>
  <c r="K223" i="3"/>
  <c r="AG228" i="3"/>
  <c r="AC289" i="3"/>
  <c r="U146" i="3"/>
  <c r="M297" i="3"/>
  <c r="O456" i="3"/>
  <c r="K508" i="3"/>
  <c r="AH185" i="3"/>
  <c r="N259" i="3"/>
  <c r="R337" i="3"/>
  <c r="AF284" i="3"/>
  <c r="U396" i="3"/>
  <c r="K244" i="3"/>
  <c r="P361" i="3"/>
  <c r="U1000" i="3"/>
  <c r="AE231" i="3"/>
  <c r="O313" i="3"/>
  <c r="AE281" i="3"/>
  <c r="AG1024" i="3"/>
  <c r="AC192" i="3"/>
  <c r="I314" i="3"/>
  <c r="AF370" i="3"/>
  <c r="U145" i="3"/>
  <c r="M127" i="3"/>
  <c r="AC102" i="3"/>
  <c r="AC104" i="3"/>
  <c r="M129" i="3"/>
  <c r="I118" i="3"/>
  <c r="N280" i="3"/>
  <c r="AE353" i="3"/>
  <c r="Q122" i="3"/>
  <c r="K192" i="3"/>
  <c r="S241" i="3"/>
  <c r="P338" i="3"/>
  <c r="I267" i="3"/>
  <c r="R187" i="3"/>
  <c r="M294" i="3"/>
  <c r="N205" i="3"/>
  <c r="O157" i="3"/>
  <c r="I132" i="3"/>
  <c r="M287" i="3"/>
  <c r="M346" i="3"/>
  <c r="Q177" i="3"/>
  <c r="I127" i="3"/>
  <c r="AE175" i="3"/>
  <c r="I334" i="3"/>
  <c r="AC189" i="3"/>
  <c r="AE198" i="3"/>
  <c r="O287" i="3"/>
  <c r="Q425" i="3"/>
  <c r="S394" i="3"/>
  <c r="R1063" i="3"/>
  <c r="R116" i="3"/>
  <c r="AH292" i="3"/>
  <c r="AE271" i="3"/>
  <c r="S152" i="3"/>
  <c r="O184" i="3"/>
  <c r="AD311" i="3"/>
  <c r="P158" i="3"/>
  <c r="O366" i="3"/>
  <c r="AG330" i="3"/>
  <c r="AC1056" i="3"/>
  <c r="I175" i="3"/>
  <c r="N334" i="3"/>
  <c r="U221" i="3"/>
  <c r="AG198" i="3"/>
  <c r="AE326" i="3"/>
  <c r="AE141" i="3"/>
  <c r="I121" i="3"/>
  <c r="U163" i="3"/>
  <c r="U227" i="3"/>
  <c r="AH262" i="3"/>
  <c r="O136" i="3"/>
  <c r="K259" i="3"/>
  <c r="M291" i="3"/>
  <c r="I416" i="3"/>
  <c r="R417" i="3"/>
  <c r="AC1062" i="3"/>
  <c r="AG143" i="3"/>
  <c r="K377" i="3"/>
  <c r="K457" i="3"/>
  <c r="U1024" i="3"/>
  <c r="AF245" i="3"/>
  <c r="Q328" i="3"/>
  <c r="R315" i="3"/>
  <c r="M138" i="3"/>
  <c r="Q369" i="3"/>
  <c r="M290" i="3"/>
  <c r="AH428" i="3"/>
  <c r="I122" i="3"/>
  <c r="O227" i="3"/>
  <c r="AH331" i="3"/>
  <c r="AH197" i="3"/>
  <c r="AG291" i="3"/>
  <c r="O372" i="3"/>
  <c r="AE381" i="3"/>
  <c r="AE247" i="3"/>
  <c r="Q240" i="3"/>
  <c r="AC332" i="3"/>
  <c r="S189" i="3"/>
  <c r="AC131" i="3"/>
  <c r="O150" i="3"/>
  <c r="K368" i="3"/>
  <c r="Q997" i="3"/>
  <c r="AE199" i="3"/>
  <c r="M385" i="3"/>
  <c r="K401" i="3"/>
  <c r="P1071" i="3"/>
  <c r="AC195" i="3"/>
  <c r="S339" i="3"/>
  <c r="AE193" i="3"/>
  <c r="AD122" i="3"/>
  <c r="N148" i="3"/>
  <c r="S405" i="3"/>
  <c r="I405" i="3"/>
  <c r="K197" i="3"/>
  <c r="AC210" i="3"/>
  <c r="R389" i="3"/>
  <c r="M145" i="3"/>
  <c r="N321" i="3"/>
  <c r="M372" i="3"/>
  <c r="AD386" i="3"/>
  <c r="Q146" i="3"/>
  <c r="Q1067" i="3"/>
  <c r="M432" i="3"/>
  <c r="AG114" i="3"/>
  <c r="R367" i="3"/>
  <c r="AG170" i="3"/>
  <c r="U232" i="3"/>
  <c r="I225" i="3"/>
  <c r="AF359" i="3"/>
  <c r="O440" i="3"/>
  <c r="O219" i="3"/>
  <c r="N289" i="3"/>
  <c r="N296" i="3"/>
  <c r="O255" i="3"/>
  <c r="AH236" i="3"/>
  <c r="AH293" i="3"/>
  <c r="I428" i="3"/>
  <c r="AE1002" i="3"/>
  <c r="M164" i="3"/>
  <c r="AF105" i="3"/>
  <c r="N211" i="3"/>
  <c r="K265" i="3"/>
  <c r="S272" i="3"/>
  <c r="N408" i="3"/>
  <c r="Q429" i="3"/>
  <c r="P1069" i="3"/>
  <c r="U179" i="3"/>
  <c r="Q258" i="3"/>
  <c r="Q330" i="3"/>
  <c r="R361" i="3"/>
  <c r="AH390" i="3"/>
  <c r="AF420" i="3"/>
  <c r="AE389" i="3"/>
  <c r="K178" i="3"/>
  <c r="S179" i="3"/>
  <c r="AH258" i="3"/>
  <c r="AH387" i="3"/>
  <c r="Q253" i="3"/>
  <c r="AE114" i="3"/>
  <c r="O218" i="3"/>
  <c r="AF171" i="3"/>
  <c r="AF253" i="3"/>
  <c r="AG341" i="3"/>
  <c r="K461" i="3"/>
  <c r="M429" i="3"/>
  <c r="K1000" i="3"/>
  <c r="R190" i="3"/>
  <c r="I363" i="3"/>
  <c r="I1087" i="3"/>
  <c r="AH151" i="3"/>
  <c r="P187" i="3"/>
  <c r="AF351" i="3"/>
  <c r="S460" i="3"/>
  <c r="AF226" i="3"/>
  <c r="Q104" i="3"/>
  <c r="AG136" i="3"/>
  <c r="P235" i="3"/>
  <c r="K341" i="3"/>
  <c r="R401" i="3"/>
  <c r="N352" i="3"/>
  <c r="P113" i="3"/>
  <c r="P1018" i="3"/>
  <c r="I353" i="3"/>
  <c r="K326" i="3"/>
  <c r="U168" i="3"/>
  <c r="R295" i="3"/>
  <c r="AG244" i="3"/>
  <c r="O169" i="3"/>
  <c r="AC1046" i="3"/>
  <c r="AE309" i="3"/>
  <c r="AF131" i="3"/>
  <c r="AF228" i="3"/>
  <c r="N270" i="3"/>
  <c r="AC323" i="3"/>
  <c r="S137" i="3"/>
  <c r="U243" i="3"/>
  <c r="S237" i="3"/>
  <c r="P242" i="3"/>
  <c r="O241" i="3"/>
  <c r="AG329" i="3"/>
  <c r="I456" i="3"/>
  <c r="AF328" i="3"/>
  <c r="S193" i="3"/>
  <c r="AC160" i="3"/>
  <c r="N477" i="3"/>
  <c r="AF297" i="3"/>
  <c r="AC409" i="3"/>
  <c r="U349" i="3"/>
  <c r="M304" i="3"/>
  <c r="R996" i="3"/>
  <c r="N282" i="3"/>
  <c r="N309" i="3"/>
  <c r="I337" i="3"/>
  <c r="I312" i="3"/>
  <c r="AH315" i="3"/>
  <c r="Q1030" i="3"/>
  <c r="P190" i="3"/>
  <c r="S192" i="3"/>
  <c r="AF296" i="3"/>
  <c r="K255" i="3"/>
  <c r="AD437" i="3"/>
  <c r="O209" i="3"/>
  <c r="AH162" i="3"/>
  <c r="AC211" i="3"/>
  <c r="R1012" i="3"/>
  <c r="N255" i="3"/>
  <c r="S425" i="3"/>
  <c r="O261" i="3"/>
  <c r="AG344" i="3"/>
  <c r="U1034" i="3"/>
  <c r="AD151" i="3"/>
  <c r="Q1088" i="3"/>
  <c r="AD199" i="3"/>
  <c r="AH289" i="3"/>
  <c r="AC272" i="3"/>
  <c r="S524" i="3"/>
  <c r="N400" i="3"/>
  <c r="S135" i="3"/>
  <c r="AE217" i="3"/>
  <c r="K224" i="3"/>
  <c r="O338" i="3"/>
  <c r="O204" i="3"/>
  <c r="K340" i="3"/>
  <c r="Q223" i="3"/>
  <c r="K171" i="3"/>
  <c r="N112" i="3"/>
  <c r="AD144" i="3"/>
  <c r="S144" i="3"/>
  <c r="P997" i="3"/>
  <c r="N231" i="3"/>
  <c r="U124" i="3"/>
  <c r="U176" i="3"/>
  <c r="AF1024" i="3"/>
  <c r="AE192" i="3"/>
  <c r="P346" i="3"/>
  <c r="S131" i="3"/>
  <c r="N149" i="3"/>
  <c r="AE135" i="3"/>
  <c r="AG362" i="3"/>
  <c r="K284" i="3"/>
  <c r="AD125" i="3"/>
  <c r="P126" i="3"/>
  <c r="AE107" i="3"/>
  <c r="M135" i="3"/>
  <c r="AF130" i="3"/>
  <c r="K196" i="3"/>
  <c r="N341" i="3"/>
  <c r="N345" i="3"/>
  <c r="O267" i="3"/>
  <c r="R191" i="3"/>
  <c r="AE239" i="3"/>
  <c r="AD294" i="3"/>
  <c r="AG265" i="3"/>
  <c r="AG1040" i="3"/>
  <c r="AC196" i="3"/>
  <c r="AG209" i="3"/>
  <c r="Q325" i="3"/>
  <c r="AH115" i="3"/>
  <c r="S263" i="3"/>
  <c r="AG1080" i="3"/>
  <c r="AC524" i="3"/>
  <c r="M110" i="3"/>
  <c r="AE273" i="3"/>
  <c r="AG256" i="3"/>
  <c r="M441" i="3"/>
  <c r="M180" i="3"/>
  <c r="AD309" i="3"/>
  <c r="M233" i="3"/>
  <c r="N1037" i="3"/>
  <c r="AC179" i="3"/>
  <c r="AC269" i="3"/>
  <c r="AH270" i="3"/>
  <c r="AG230" i="3"/>
  <c r="P120" i="3"/>
  <c r="AH208" i="3"/>
  <c r="AD268" i="3"/>
  <c r="Q193" i="3"/>
  <c r="P193" i="3"/>
  <c r="I345" i="3"/>
  <c r="AH284" i="3"/>
  <c r="O146" i="3"/>
  <c r="AE186" i="3"/>
  <c r="K353" i="3"/>
  <c r="N236" i="3"/>
  <c r="AG153" i="3"/>
  <c r="N1083" i="3"/>
  <c r="AF272" i="3"/>
  <c r="I298" i="3"/>
  <c r="AG193" i="3"/>
  <c r="AE279" i="3"/>
  <c r="O160" i="3"/>
  <c r="O192" i="3"/>
  <c r="P1048" i="3"/>
  <c r="P162" i="3"/>
  <c r="P345" i="3"/>
  <c r="AF269" i="3"/>
  <c r="AG1056" i="3"/>
  <c r="AE183" i="3"/>
  <c r="I294" i="3"/>
  <c r="S205" i="3"/>
  <c r="K142" i="3"/>
  <c r="AD1071" i="3"/>
  <c r="Q125" i="3"/>
  <c r="AC137" i="3"/>
  <c r="AG179" i="3"/>
  <c r="AF258" i="3"/>
  <c r="K120" i="3"/>
  <c r="AF206" i="3"/>
  <c r="R378" i="3"/>
  <c r="Q388" i="3"/>
  <c r="AF367" i="3"/>
  <c r="N336" i="3"/>
  <c r="N1002" i="3"/>
  <c r="R147" i="3"/>
  <c r="AD297" i="3"/>
  <c r="U121" i="3"/>
  <c r="N106" i="3"/>
  <c r="U309" i="3"/>
  <c r="AD461" i="3"/>
  <c r="Q456" i="3"/>
  <c r="P196" i="3"/>
  <c r="AF321" i="3"/>
  <c r="I209" i="3"/>
  <c r="AF106" i="3"/>
  <c r="N130" i="3"/>
  <c r="N328" i="3"/>
  <c r="AF380" i="3"/>
  <c r="U173" i="3"/>
  <c r="Q373" i="3"/>
  <c r="O386" i="3"/>
  <c r="S210" i="3"/>
  <c r="N262" i="3"/>
  <c r="S343" i="3"/>
  <c r="O220" i="3"/>
  <c r="O190" i="3"/>
  <c r="AC135" i="3"/>
  <c r="M191" i="3"/>
  <c r="AG375" i="3"/>
  <c r="O997" i="3"/>
  <c r="N203" i="3"/>
  <c r="S332" i="3"/>
  <c r="M226" i="3"/>
  <c r="AG436" i="3"/>
  <c r="O368" i="3"/>
  <c r="AC300" i="3"/>
  <c r="R153" i="3"/>
  <c r="AD126" i="3"/>
  <c r="I389" i="3"/>
  <c r="R493" i="3"/>
  <c r="P456" i="3"/>
  <c r="P223" i="3"/>
  <c r="AD401" i="3"/>
  <c r="R421" i="3"/>
  <c r="AG997" i="3"/>
  <c r="M349" i="3"/>
  <c r="AE204" i="3"/>
  <c r="AF375" i="3"/>
  <c r="U154" i="3"/>
  <c r="Q421" i="3"/>
  <c r="U317" i="3"/>
  <c r="AF267" i="3"/>
  <c r="AG1071" i="3"/>
  <c r="K996" i="3"/>
  <c r="AG140" i="3"/>
  <c r="M225" i="3"/>
  <c r="AH398" i="3"/>
  <c r="K117" i="3"/>
  <c r="Q227" i="3"/>
  <c r="AD273" i="3"/>
  <c r="AD1067" i="3"/>
  <c r="S298" i="3"/>
  <c r="AG493" i="3"/>
  <c r="R469" i="3"/>
  <c r="AG576" i="3"/>
  <c r="AD152" i="3"/>
  <c r="AD259" i="3"/>
  <c r="Q1080" i="3"/>
  <c r="AF286" i="3"/>
  <c r="N213" i="3"/>
  <c r="M376" i="3"/>
  <c r="AG456" i="3"/>
  <c r="AC238" i="3"/>
  <c r="I1040" i="3"/>
  <c r="AG195" i="3"/>
  <c r="M178" i="3"/>
  <c r="AH329" i="3"/>
  <c r="P313" i="3"/>
  <c r="I360" i="3"/>
  <c r="Q440" i="3"/>
  <c r="K386" i="3"/>
  <c r="P182" i="3"/>
  <c r="U191" i="3"/>
  <c r="P207" i="3"/>
  <c r="N324" i="3"/>
  <c r="R508" i="3"/>
  <c r="AG254" i="3"/>
  <c r="I226" i="3"/>
  <c r="AF179" i="3"/>
  <c r="N237" i="3"/>
  <c r="AC291" i="3"/>
  <c r="AH469" i="3"/>
  <c r="AE293" i="3"/>
  <c r="U223" i="3"/>
  <c r="K194" i="3"/>
  <c r="P308" i="3"/>
  <c r="P1062" i="3"/>
  <c r="P163" i="3"/>
  <c r="P195" i="3"/>
  <c r="P389" i="3"/>
  <c r="AF444" i="3"/>
  <c r="S178" i="3"/>
  <c r="K108" i="3"/>
  <c r="AH255" i="3"/>
  <c r="AD251" i="3"/>
  <c r="K309" i="3"/>
  <c r="I308" i="3"/>
  <c r="K321" i="3"/>
  <c r="AD1062" i="3"/>
  <c r="P211" i="3"/>
  <c r="N269" i="3"/>
  <c r="S132" i="3"/>
  <c r="U188" i="3"/>
  <c r="K413" i="3"/>
  <c r="K308" i="3"/>
  <c r="AG129" i="3"/>
  <c r="U105" i="3"/>
  <c r="AD119" i="3"/>
  <c r="P330" i="3"/>
  <c r="K361" i="3"/>
  <c r="O457" i="3"/>
  <c r="P436" i="3"/>
  <c r="AH1037" i="3"/>
  <c r="U251" i="3"/>
  <c r="S350" i="3"/>
  <c r="AD263" i="3"/>
  <c r="N362" i="3"/>
  <c r="U284" i="3"/>
  <c r="R412" i="3"/>
  <c r="U340" i="3"/>
  <c r="U197" i="3"/>
  <c r="AC164" i="3"/>
  <c r="AC250" i="3"/>
  <c r="S245" i="3"/>
  <c r="AH341" i="3"/>
  <c r="Q274" i="3"/>
  <c r="K374" i="3"/>
  <c r="U208" i="3"/>
  <c r="Q214" i="3"/>
  <c r="I266" i="3"/>
  <c r="I306" i="3"/>
  <c r="R303" i="3"/>
  <c r="S456" i="3"/>
  <c r="P174" i="3"/>
  <c r="Q140" i="3"/>
  <c r="AH214" i="3"/>
  <c r="N264" i="3"/>
  <c r="AG318" i="3"/>
  <c r="Q331" i="3"/>
  <c r="M276" i="3"/>
  <c r="AD1056" i="3"/>
  <c r="M211" i="3"/>
  <c r="M256" i="3"/>
  <c r="AE148" i="3"/>
  <c r="AH237" i="3"/>
  <c r="AE314" i="3"/>
  <c r="P204" i="3"/>
  <c r="AC106" i="3"/>
  <c r="AF155" i="3"/>
  <c r="U1067" i="3"/>
  <c r="I228" i="3"/>
  <c r="I273" i="3"/>
  <c r="AH376" i="3"/>
  <c r="AC339" i="3"/>
  <c r="R267" i="3"/>
  <c r="S139" i="3"/>
  <c r="R260" i="3"/>
  <c r="P255" i="3"/>
  <c r="O330" i="3"/>
  <c r="M387" i="3"/>
  <c r="AE428" i="3"/>
  <c r="M159" i="3"/>
  <c r="U1063" i="3"/>
  <c r="R120" i="3"/>
  <c r="AE592" i="3"/>
  <c r="AD156" i="3"/>
  <c r="AD267" i="3"/>
  <c r="N239" i="3"/>
  <c r="S136" i="3"/>
  <c r="U196" i="3"/>
  <c r="S1024" i="3"/>
  <c r="AE196" i="3"/>
  <c r="S253" i="3"/>
  <c r="Q143" i="3"/>
  <c r="Q119" i="3"/>
  <c r="K291" i="3"/>
  <c r="P357" i="3"/>
  <c r="Q1083" i="3"/>
  <c r="M114" i="3"/>
  <c r="U206" i="3"/>
  <c r="AE115" i="3"/>
  <c r="M141" i="3"/>
  <c r="M184" i="3"/>
  <c r="U245" i="3"/>
  <c r="AH291" i="3"/>
  <c r="AG1037" i="3"/>
  <c r="AC183" i="3"/>
  <c r="AH228" i="3"/>
  <c r="M278" i="3"/>
  <c r="AD105" i="3"/>
  <c r="AC184" i="3"/>
  <c r="K250" i="3"/>
  <c r="O244" i="3"/>
  <c r="AH326" i="3"/>
  <c r="AH119" i="3"/>
  <c r="M271" i="3"/>
  <c r="AF1063" i="3"/>
  <c r="N1062" i="3"/>
  <c r="AD114" i="3"/>
  <c r="S221" i="3"/>
  <c r="M224" i="3"/>
  <c r="P149" i="3"/>
  <c r="AD184" i="3"/>
  <c r="AG266" i="3"/>
  <c r="R345" i="3"/>
  <c r="AG138" i="3"/>
  <c r="M179" i="3"/>
  <c r="K260" i="3"/>
  <c r="U281" i="3"/>
  <c r="AF185" i="3"/>
  <c r="O124" i="3"/>
  <c r="R318" i="3"/>
  <c r="S236" i="3"/>
  <c r="S169" i="3"/>
  <c r="S230" i="3"/>
  <c r="I147" i="3"/>
  <c r="I199" i="3"/>
  <c r="R1000" i="3"/>
  <c r="AE190" i="3"/>
  <c r="AD298" i="3"/>
  <c r="AF493" i="3"/>
  <c r="P133" i="3"/>
  <c r="AE1018" i="3"/>
  <c r="R1003" i="3"/>
  <c r="U136" i="3"/>
  <c r="AG190" i="3"/>
  <c r="K310" i="3"/>
  <c r="O168" i="3"/>
  <c r="O200" i="3"/>
  <c r="M197" i="3"/>
  <c r="M162" i="3"/>
  <c r="P337" i="3"/>
  <c r="AG284" i="3"/>
  <c r="AG283" i="3"/>
  <c r="N187" i="3"/>
  <c r="K278" i="3"/>
  <c r="R296" i="3"/>
  <c r="AD1030" i="3"/>
  <c r="AD1079" i="3"/>
  <c r="M997" i="3"/>
  <c r="Q135" i="3"/>
  <c r="S191" i="3"/>
  <c r="AF1013" i="3"/>
  <c r="M124" i="3"/>
  <c r="O222" i="3"/>
  <c r="K370" i="3"/>
  <c r="AH195" i="3"/>
  <c r="M437" i="3"/>
  <c r="S303" i="3"/>
  <c r="AE169" i="3"/>
  <c r="Q396" i="3"/>
  <c r="P383" i="3"/>
  <c r="AD1091" i="3"/>
  <c r="Q1013" i="3"/>
  <c r="AE364" i="3"/>
  <c r="N261" i="3"/>
  <c r="AF161" i="3"/>
  <c r="M196" i="3"/>
  <c r="K355" i="3"/>
  <c r="I375" i="3"/>
  <c r="AE185" i="3"/>
  <c r="U134" i="3"/>
  <c r="S461" i="3"/>
  <c r="U405" i="3"/>
  <c r="S165" i="3"/>
  <c r="AF358" i="3"/>
  <c r="M323" i="3"/>
  <c r="I113" i="3"/>
  <c r="K394" i="3"/>
  <c r="AC432" i="3"/>
  <c r="AH381" i="3"/>
  <c r="AF194" i="3"/>
  <c r="AC136" i="3"/>
  <c r="AE209" i="3"/>
  <c r="Q389" i="3"/>
  <c r="O1083" i="3"/>
  <c r="I211" i="3"/>
  <c r="S416" i="3"/>
  <c r="U170" i="3"/>
  <c r="Q380" i="3"/>
  <c r="U322" i="3"/>
  <c r="U469" i="3"/>
  <c r="AD137" i="3"/>
  <c r="AD130" i="3"/>
  <c r="AD146" i="3"/>
  <c r="U437" i="3"/>
  <c r="O158" i="3"/>
  <c r="AC198" i="3"/>
  <c r="AD456" i="3"/>
  <c r="AC576" i="3"/>
  <c r="AG1013" i="3"/>
  <c r="P1024" i="3"/>
  <c r="AE344" i="3"/>
  <c r="Q230" i="3"/>
  <c r="S1088" i="3"/>
  <c r="AF322" i="3"/>
  <c r="N356" i="3"/>
  <c r="AF193" i="3"/>
  <c r="R142" i="3"/>
  <c r="U272" i="3"/>
  <c r="Q353" i="3"/>
  <c r="K277" i="3"/>
  <c r="AC244" i="3"/>
  <c r="O113" i="3"/>
  <c r="AC234" i="3"/>
  <c r="AE221" i="3"/>
  <c r="Q248" i="3"/>
  <c r="AD225" i="3"/>
  <c r="AD417" i="3"/>
  <c r="M379" i="3"/>
  <c r="AE125" i="3"/>
  <c r="K160" i="3"/>
  <c r="AC378" i="3"/>
  <c r="AG1088" i="3"/>
  <c r="O317" i="3"/>
  <c r="P342" i="3"/>
  <c r="Q377" i="3"/>
  <c r="Q432" i="3"/>
  <c r="R169" i="3"/>
  <c r="AE110" i="3"/>
  <c r="S211" i="3"/>
  <c r="Q337" i="3"/>
  <c r="Q217" i="3"/>
  <c r="N449" i="3"/>
  <c r="AE347" i="3"/>
  <c r="M177" i="3"/>
  <c r="U1071" i="3"/>
  <c r="R130" i="3"/>
  <c r="AG211" i="3"/>
  <c r="AF1080" i="3"/>
  <c r="N323" i="3"/>
  <c r="AF339" i="3"/>
  <c r="N202" i="3"/>
  <c r="Q151" i="3"/>
  <c r="AF187" i="3"/>
  <c r="AD350" i="3"/>
  <c r="I301" i="3"/>
  <c r="AD508" i="3"/>
  <c r="AC452" i="3"/>
  <c r="O223" i="3"/>
  <c r="P198" i="3"/>
  <c r="AC1071" i="3"/>
  <c r="AD218" i="3"/>
  <c r="P171" i="3"/>
  <c r="P203" i="3"/>
  <c r="P421" i="3"/>
  <c r="S348" i="3"/>
  <c r="S186" i="3"/>
  <c r="AH116" i="3"/>
  <c r="P160" i="3"/>
  <c r="S295" i="3"/>
  <c r="AE266" i="3"/>
  <c r="U339" i="3"/>
  <c r="P239" i="3"/>
  <c r="R1002" i="3"/>
  <c r="AE227" i="3"/>
  <c r="N260" i="3"/>
  <c r="AH140" i="3"/>
  <c r="U214" i="3"/>
  <c r="M358" i="3"/>
  <c r="I444" i="3"/>
  <c r="Q150" i="3"/>
  <c r="AC117" i="3"/>
  <c r="AH241" i="3"/>
  <c r="K269" i="3"/>
  <c r="AD313" i="3"/>
  <c r="K397" i="3"/>
  <c r="K433" i="3"/>
  <c r="U1037" i="3"/>
  <c r="U259" i="3"/>
  <c r="P996" i="3"/>
  <c r="K279" i="3"/>
  <c r="AH357" i="3"/>
  <c r="AE333" i="3"/>
  <c r="N396" i="3"/>
  <c r="K1056" i="3"/>
  <c r="AE152" i="3"/>
  <c r="N346" i="3"/>
  <c r="AD293" i="3"/>
  <c r="M237" i="3"/>
  <c r="AH309" i="3"/>
  <c r="Q321" i="3"/>
  <c r="O114" i="3"/>
  <c r="AH370" i="3"/>
  <c r="Q250" i="3"/>
  <c r="Q249" i="3"/>
  <c r="U576" i="3"/>
  <c r="AE340" i="3"/>
  <c r="S226" i="3"/>
  <c r="M174" i="3"/>
  <c r="P156" i="3"/>
  <c r="AC138" i="3"/>
  <c r="AG240" i="3"/>
  <c r="R274" i="3"/>
  <c r="Q272" i="3"/>
  <c r="AG440" i="3"/>
  <c r="R199" i="3"/>
  <c r="Q124" i="3"/>
  <c r="S232" i="3"/>
  <c r="O212" i="3"/>
  <c r="Q350" i="3"/>
  <c r="N592" i="3"/>
  <c r="AH397" i="3"/>
  <c r="I181" i="3"/>
  <c r="AC159" i="3"/>
  <c r="AF1012" i="3"/>
  <c r="AG313" i="3"/>
  <c r="AF213" i="3"/>
  <c r="R354" i="3"/>
  <c r="U303" i="3"/>
  <c r="Q254" i="3"/>
  <c r="S143" i="3"/>
  <c r="AD161" i="3"/>
  <c r="Q318" i="3"/>
  <c r="M452" i="3"/>
  <c r="Q404" i="3"/>
  <c r="AE997" i="3"/>
  <c r="AD163" i="3"/>
  <c r="AF996" i="3"/>
  <c r="AF128" i="3"/>
  <c r="S380" i="3"/>
  <c r="U524" i="3"/>
  <c r="AC1069" i="3"/>
  <c r="N247" i="3"/>
  <c r="AH144" i="3"/>
  <c r="AD222" i="3"/>
  <c r="S1040" i="3"/>
  <c r="AE200" i="3"/>
  <c r="M245" i="3"/>
  <c r="O1071" i="3"/>
  <c r="M123" i="3"/>
  <c r="AE301" i="3"/>
  <c r="U306" i="3"/>
  <c r="I153" i="3"/>
  <c r="AD118" i="3"/>
  <c r="S222" i="3"/>
  <c r="AF123" i="3"/>
  <c r="N1046" i="3"/>
  <c r="AD188" i="3"/>
  <c r="K350" i="3"/>
  <c r="AG301" i="3"/>
  <c r="AD134" i="3"/>
  <c r="M183" i="3"/>
  <c r="AC361" i="3"/>
  <c r="O270" i="3"/>
  <c r="AC1024" i="3"/>
  <c r="AC188" i="3"/>
  <c r="AC261" i="3"/>
  <c r="AG250" i="3"/>
  <c r="S326" i="3"/>
  <c r="AD123" i="3"/>
  <c r="O310" i="3"/>
  <c r="U1012" i="3"/>
  <c r="I161" i="3"/>
  <c r="R118" i="3"/>
  <c r="Q342" i="3"/>
  <c r="AD208" i="3"/>
  <c r="AE1013" i="3"/>
  <c r="R188" i="3"/>
  <c r="R257" i="3"/>
  <c r="AC337" i="3"/>
  <c r="P138" i="3"/>
  <c r="AD183" i="3"/>
  <c r="S361" i="3"/>
  <c r="I265" i="3"/>
  <c r="U153" i="3"/>
  <c r="O128" i="3"/>
  <c r="AD285" i="3"/>
  <c r="M493" i="3"/>
  <c r="O178" i="3"/>
  <c r="P246" i="3"/>
  <c r="AC306" i="3"/>
  <c r="AE334" i="3"/>
  <c r="K185" i="3"/>
  <c r="AE194" i="3"/>
  <c r="AF285" i="3"/>
  <c r="R275" i="3"/>
  <c r="AE1091" i="3"/>
  <c r="N114" i="3"/>
  <c r="N224" i="3"/>
  <c r="P292" i="3"/>
  <c r="U130" i="3"/>
  <c r="AC207" i="3"/>
  <c r="O176" i="3"/>
  <c r="N214" i="3"/>
  <c r="P181" i="3"/>
  <c r="AD166" i="3"/>
  <c r="AG338" i="3"/>
  <c r="AD333" i="3"/>
  <c r="AE394" i="3"/>
  <c r="I191" i="3"/>
  <c r="AG289" i="3"/>
  <c r="AH272" i="3"/>
  <c r="R1046" i="3"/>
  <c r="AE173" i="3"/>
  <c r="I105" i="3"/>
  <c r="U151" i="3"/>
  <c r="U203" i="3"/>
  <c r="M215" i="3"/>
  <c r="O132" i="3"/>
  <c r="AD243" i="3"/>
  <c r="R325" i="3"/>
  <c r="R258" i="3"/>
  <c r="R481" i="3"/>
  <c r="AH437" i="3"/>
  <c r="N139" i="3"/>
  <c r="AC336" i="3"/>
  <c r="AH432" i="3"/>
  <c r="AC1030" i="3"/>
  <c r="K113" i="3"/>
  <c r="U278" i="3"/>
  <c r="AH321" i="3"/>
  <c r="S113" i="3"/>
  <c r="AD200" i="3"/>
  <c r="K304" i="3"/>
  <c r="K440" i="3"/>
  <c r="R149" i="3"/>
  <c r="AH183" i="3"/>
  <c r="U449" i="3"/>
  <c r="AH1000" i="3"/>
  <c r="AE237" i="3"/>
  <c r="AE390" i="3"/>
  <c r="N311" i="3"/>
  <c r="U1056" i="3"/>
  <c r="P390" i="3"/>
  <c r="I316" i="3"/>
  <c r="M230" i="3"/>
  <c r="R127" i="3"/>
  <c r="P449" i="3"/>
  <c r="P290" i="3"/>
  <c r="AE449" i="3"/>
  <c r="AG326" i="3"/>
  <c r="AH343" i="3"/>
  <c r="M204" i="3"/>
  <c r="I1013" i="3"/>
  <c r="AC154" i="3"/>
  <c r="S381" i="3"/>
  <c r="AD379" i="3"/>
  <c r="O141" i="3"/>
  <c r="S335" i="3"/>
  <c r="AC199" i="3"/>
  <c r="K524" i="3"/>
  <c r="R1048" i="3"/>
  <c r="AC202" i="3"/>
  <c r="AF307" i="3"/>
  <c r="R165" i="3"/>
  <c r="N1000" i="3"/>
  <c r="AE220" i="3"/>
  <c r="I385" i="3"/>
  <c r="AG202" i="3"/>
  <c r="AH1063" i="3"/>
  <c r="M592" i="3"/>
  <c r="AC381" i="3"/>
  <c r="AD460" i="3"/>
  <c r="Q154" i="3"/>
  <c r="I256" i="3"/>
  <c r="M160" i="3"/>
  <c r="M412" i="3"/>
  <c r="AG307" i="3"/>
  <c r="K1079" i="3"/>
  <c r="AC242" i="3"/>
  <c r="M342" i="3"/>
  <c r="S224" i="3"/>
  <c r="O292" i="3"/>
  <c r="AH412" i="3"/>
  <c r="S347" i="3"/>
  <c r="U1062" i="3"/>
  <c r="P164" i="3"/>
  <c r="P358" i="3"/>
  <c r="M1059" i="3"/>
  <c r="AD281" i="3"/>
  <c r="AD288" i="3"/>
  <c r="R416" i="3"/>
  <c r="AC398" i="3"/>
  <c r="AH149" i="3"/>
  <c r="AG126" i="3"/>
  <c r="AH227" i="3"/>
  <c r="Q338" i="3"/>
  <c r="K228" i="3"/>
  <c r="AD373" i="3"/>
  <c r="M354" i="3"/>
  <c r="P161" i="3"/>
  <c r="R174" i="3"/>
  <c r="P167" i="3"/>
  <c r="AD227" i="3"/>
  <c r="Q367" i="3"/>
  <c r="S311" i="3"/>
  <c r="AG174" i="3"/>
  <c r="N210" i="3"/>
  <c r="AF163" i="3"/>
  <c r="M1062" i="3"/>
  <c r="S250" i="3"/>
  <c r="U241" i="3"/>
  <c r="S304" i="3"/>
  <c r="U122" i="3"/>
  <c r="AD186" i="3"/>
  <c r="N1059" i="3"/>
  <c r="I1083" i="3"/>
  <c r="R143" i="3"/>
  <c r="P179" i="3"/>
  <c r="AC417" i="3"/>
  <c r="O356" i="3"/>
  <c r="AE1000" i="3"/>
  <c r="AH1003" i="3"/>
  <c r="U240" i="3"/>
  <c r="M148" i="3"/>
  <c r="K409" i="3"/>
  <c r="M257" i="3"/>
  <c r="AE345" i="3"/>
  <c r="U202" i="3"/>
  <c r="I1002" i="3"/>
  <c r="AH194" i="3"/>
  <c r="O361" i="3"/>
  <c r="K156" i="3"/>
  <c r="Q235" i="3"/>
  <c r="Q360" i="3"/>
  <c r="M300" i="3"/>
  <c r="AE1048" i="3"/>
  <c r="Q378" i="3"/>
  <c r="I135" i="3"/>
  <c r="R284" i="3"/>
  <c r="Q294" i="3"/>
  <c r="R387" i="3"/>
  <c r="AD332" i="3"/>
  <c r="AE105" i="3"/>
  <c r="AH295" i="3"/>
  <c r="S234" i="3"/>
  <c r="M155" i="3"/>
  <c r="S306" i="3"/>
  <c r="U302" i="3"/>
  <c r="AF371" i="3"/>
  <c r="S238" i="3"/>
  <c r="O156" i="3"/>
  <c r="AH253" i="3"/>
  <c r="U235" i="3"/>
  <c r="AD201" i="3"/>
  <c r="AD282" i="3"/>
  <c r="Q371" i="3"/>
  <c r="I197" i="3"/>
  <c r="AC325" i="3"/>
  <c r="P370" i="3"/>
  <c r="P366" i="3"/>
  <c r="M261" i="3"/>
  <c r="K336" i="3"/>
  <c r="S125" i="3"/>
  <c r="K186" i="3"/>
  <c r="S172" i="3"/>
  <c r="K205" i="3"/>
  <c r="S216" i="3"/>
  <c r="M377" i="3"/>
  <c r="O380" i="3"/>
  <c r="Q145" i="3"/>
  <c r="K203" i="3"/>
  <c r="AF136" i="3"/>
  <c r="P216" i="3"/>
  <c r="AD382" i="3"/>
  <c r="N322" i="3"/>
  <c r="S363" i="3"/>
  <c r="U445" i="3"/>
  <c r="P151" i="3"/>
  <c r="O102" i="3"/>
  <c r="O104" i="3"/>
  <c r="Q278" i="3"/>
  <c r="I296" i="3"/>
  <c r="N388" i="3"/>
  <c r="K363" i="3"/>
  <c r="AG210" i="3"/>
  <c r="AF147" i="3"/>
  <c r="AE166" i="3"/>
  <c r="O337" i="3"/>
  <c r="U381" i="3"/>
  <c r="AH233" i="3"/>
  <c r="AF118" i="3"/>
  <c r="R167" i="3"/>
  <c r="N104" i="3"/>
  <c r="AD136" i="3"/>
  <c r="AH132" i="3"/>
  <c r="AD158" i="3"/>
  <c r="AE226" i="3"/>
  <c r="AE116" i="3"/>
  <c r="R156" i="3"/>
  <c r="M105" i="3"/>
  <c r="AE188" i="3"/>
  <c r="Q382" i="3"/>
  <c r="AH477" i="3"/>
  <c r="S1071" i="3"/>
  <c r="P131" i="3"/>
  <c r="I249" i="3"/>
  <c r="S329" i="3"/>
  <c r="S121" i="3"/>
  <c r="N122" i="3"/>
  <c r="AG295" i="3"/>
  <c r="Q127" i="3"/>
  <c r="M126" i="3"/>
  <c r="R192" i="3"/>
  <c r="I409" i="3"/>
  <c r="Q233" i="3"/>
  <c r="K254" i="3"/>
  <c r="AD187" i="3"/>
  <c r="AH128" i="3"/>
  <c r="AH160" i="3"/>
  <c r="AE1046" i="3"/>
  <c r="AC140" i="3"/>
  <c r="N180" i="3"/>
  <c r="U250" i="3"/>
  <c r="M103" i="3"/>
  <c r="K305" i="3"/>
  <c r="AF260" i="3"/>
  <c r="O436" i="3"/>
  <c r="N170" i="3"/>
  <c r="AH127" i="3"/>
  <c r="Q159" i="3"/>
  <c r="K344" i="3"/>
  <c r="N310" i="3"/>
  <c r="R342" i="3"/>
  <c r="S248" i="3"/>
  <c r="U181" i="3"/>
  <c r="N279" i="3"/>
  <c r="I221" i="3"/>
  <c r="K232" i="3"/>
  <c r="AD1040" i="3"/>
  <c r="K162" i="3"/>
  <c r="Q242" i="3"/>
  <c r="N1067" i="3"/>
  <c r="AF1056" i="3"/>
  <c r="N183" i="3"/>
  <c r="AC313" i="3"/>
  <c r="S265" i="3"/>
  <c r="AF198" i="3"/>
  <c r="M1071" i="3"/>
  <c r="AG145" i="3"/>
  <c r="AG115" i="3"/>
  <c r="P309" i="3"/>
  <c r="AC362" i="3"/>
  <c r="R283" i="3"/>
  <c r="AE136" i="3"/>
  <c r="AG287" i="3"/>
  <c r="U253" i="3"/>
  <c r="S271" i="3"/>
  <c r="K314" i="3"/>
  <c r="I157" i="3"/>
  <c r="K151" i="3"/>
  <c r="K320" i="3"/>
  <c r="AE401" i="3"/>
  <c r="I192" i="3"/>
  <c r="AC477" i="3"/>
  <c r="K354" i="3"/>
  <c r="N416" i="3"/>
  <c r="M142" i="3"/>
  <c r="AE391" i="3"/>
  <c r="U336" i="3"/>
  <c r="AG1018" i="3"/>
  <c r="P130" i="3"/>
  <c r="AD242" i="3"/>
  <c r="S457" i="3"/>
  <c r="K1024" i="3"/>
  <c r="AH350" i="3"/>
  <c r="P469" i="3"/>
  <c r="U190" i="3"/>
  <c r="AG262" i="3"/>
  <c r="AG389" i="3"/>
  <c r="N373" i="3"/>
  <c r="AH190" i="3"/>
  <c r="Q109" i="3"/>
  <c r="AD413" i="3"/>
  <c r="S354" i="3"/>
  <c r="U1013" i="3"/>
  <c r="AD219" i="3"/>
  <c r="I395" i="3"/>
  <c r="O465" i="3"/>
  <c r="AC132" i="3"/>
  <c r="M195" i="3"/>
  <c r="O365" i="3"/>
  <c r="N193" i="3"/>
  <c r="N173" i="3"/>
  <c r="AH461" i="3"/>
  <c r="U460" i="3"/>
  <c r="Q354" i="3"/>
  <c r="R223" i="3"/>
  <c r="AF469" i="3"/>
  <c r="AG355" i="3"/>
  <c r="P145" i="3"/>
  <c r="O377" i="3"/>
  <c r="P387" i="3"/>
  <c r="R371" i="3"/>
  <c r="M207" i="3"/>
  <c r="AE331" i="3"/>
  <c r="S444" i="3"/>
  <c r="Q185" i="3"/>
  <c r="O140" i="3"/>
  <c r="AH164" i="3"/>
  <c r="AH196" i="3"/>
  <c r="AC373" i="3"/>
  <c r="AH383" i="3"/>
  <c r="AC109" i="3"/>
  <c r="I234" i="3"/>
  <c r="K221" i="3"/>
  <c r="AD996" i="3"/>
  <c r="O232" i="3"/>
  <c r="P285" i="3"/>
  <c r="P392" i="3"/>
  <c r="AC395" i="3"/>
  <c r="N1018" i="3"/>
  <c r="M168" i="3"/>
  <c r="K1018" i="3"/>
  <c r="I219" i="3"/>
  <c r="AH213" i="3"/>
  <c r="Q232" i="3"/>
  <c r="AF369" i="3"/>
  <c r="Q436" i="3"/>
  <c r="S130" i="3"/>
  <c r="M266" i="3"/>
  <c r="O345" i="3"/>
  <c r="N1063" i="3"/>
  <c r="AC128" i="3"/>
  <c r="N344" i="3"/>
  <c r="M364" i="3"/>
  <c r="S261" i="3"/>
  <c r="K182" i="3"/>
  <c r="P266" i="3"/>
  <c r="AH345" i="3"/>
  <c r="U255" i="3"/>
  <c r="M420" i="3"/>
  <c r="S118" i="3"/>
  <c r="O231" i="3"/>
  <c r="AH493" i="3"/>
  <c r="Q195" i="3"/>
  <c r="AD258" i="3"/>
  <c r="Q416" i="3"/>
  <c r="AE384" i="3"/>
  <c r="AH1024" i="3"/>
  <c r="R194" i="3"/>
  <c r="S331" i="3"/>
  <c r="I1062" i="3"/>
  <c r="K225" i="3"/>
  <c r="AF346" i="3"/>
  <c r="AD314" i="3"/>
  <c r="AG592" i="3"/>
  <c r="U178" i="3"/>
  <c r="AH1012" i="3"/>
  <c r="Q200" i="3"/>
  <c r="U268" i="3"/>
  <c r="I245" i="3"/>
  <c r="AG381" i="3"/>
  <c r="P592" i="3"/>
  <c r="I117" i="3"/>
  <c r="P1034" i="3"/>
  <c r="S1067" i="3"/>
  <c r="Q1071" i="3"/>
  <c r="AC317" i="3"/>
  <c r="AH288" i="3"/>
  <c r="AE432" i="3"/>
  <c r="O173" i="3"/>
  <c r="AE222" i="3"/>
  <c r="K362" i="3"/>
  <c r="U135" i="3"/>
  <c r="Q284" i="3"/>
  <c r="AC270" i="3"/>
  <c r="N365" i="3"/>
  <c r="M465" i="3"/>
  <c r="AE137" i="3"/>
  <c r="P378" i="3"/>
  <c r="O250" i="3"/>
  <c r="M279" i="3"/>
  <c r="U996" i="3"/>
  <c r="U365" i="3"/>
  <c r="AC319" i="3"/>
  <c r="AH106" i="3"/>
  <c r="M156" i="3"/>
  <c r="AG292" i="3"/>
  <c r="R346" i="3"/>
  <c r="AH244" i="3"/>
  <c r="S167" i="3"/>
  <c r="I412" i="3"/>
  <c r="O118" i="3"/>
  <c r="M425" i="3"/>
  <c r="AD257" i="3"/>
  <c r="M305" i="3"/>
  <c r="P481" i="3"/>
  <c r="P508" i="3"/>
  <c r="AH997" i="3"/>
  <c r="S1079" i="3"/>
  <c r="AG281" i="3"/>
  <c r="U103" i="3"/>
  <c r="K135" i="3"/>
  <c r="R204" i="3"/>
  <c r="I351" i="3"/>
  <c r="AH166" i="3"/>
  <c r="AC219" i="3"/>
  <c r="I1012" i="3"/>
  <c r="O252" i="3"/>
  <c r="N292" i="3"/>
  <c r="U425" i="3"/>
  <c r="M321" i="3"/>
  <c r="N372" i="3"/>
  <c r="M151" i="3"/>
  <c r="S366" i="3"/>
  <c r="AC284" i="3"/>
  <c r="P132" i="3"/>
  <c r="Q164" i="3"/>
  <c r="K311" i="3"/>
  <c r="S254" i="3"/>
  <c r="U139" i="3"/>
  <c r="AD299" i="3"/>
  <c r="AC123" i="3"/>
  <c r="K1088" i="3"/>
  <c r="Q355" i="3"/>
  <c r="Q343" i="3"/>
  <c r="I230" i="3"/>
  <c r="K175" i="3"/>
  <c r="AD228" i="3"/>
  <c r="U273" i="3"/>
  <c r="P286" i="3"/>
  <c r="P369" i="3"/>
  <c r="S576" i="3"/>
  <c r="R239" i="3"/>
  <c r="N171" i="3"/>
  <c r="I286" i="3"/>
  <c r="AE342" i="3"/>
  <c r="AF221" i="3"/>
  <c r="AH201" i="3"/>
  <c r="AD352" i="3"/>
  <c r="Q332" i="3"/>
  <c r="Q166" i="3"/>
  <c r="I107" i="3"/>
  <c r="AC299" i="3"/>
  <c r="AE361" i="3"/>
  <c r="R1080" i="3"/>
  <c r="AC314" i="3"/>
  <c r="S162" i="3"/>
  <c r="AG231" i="3"/>
  <c r="R333" i="3"/>
  <c r="P270" i="3"/>
  <c r="P105" i="3"/>
  <c r="P197" i="3"/>
  <c r="I293" i="3"/>
  <c r="K220" i="3"/>
  <c r="AH283" i="3"/>
  <c r="AD131" i="3"/>
  <c r="AD279" i="3"/>
  <c r="O1067" i="3"/>
  <c r="M157" i="3"/>
  <c r="P122" i="3"/>
  <c r="AC205" i="3"/>
  <c r="Q216" i="3"/>
  <c r="AG1046" i="3"/>
  <c r="AD192" i="3"/>
  <c r="O301" i="3"/>
  <c r="M357" i="3"/>
  <c r="M134" i="3"/>
  <c r="M187" i="3"/>
  <c r="N228" i="3"/>
  <c r="AC273" i="3"/>
  <c r="O189" i="3"/>
  <c r="N120" i="3"/>
  <c r="N274" i="3"/>
  <c r="AG212" i="3"/>
  <c r="R182" i="3"/>
  <c r="P115" i="3"/>
  <c r="AE338" i="3"/>
  <c r="M361" i="3"/>
  <c r="AD1024" i="3"/>
  <c r="I182" i="3"/>
  <c r="M274" i="3"/>
  <c r="R382" i="3"/>
  <c r="AC142" i="3"/>
  <c r="P1072" i="3"/>
  <c r="AF232" i="3"/>
  <c r="P287" i="3"/>
  <c r="AG130" i="3"/>
  <c r="Q102" i="3"/>
  <c r="O172" i="3"/>
  <c r="O206" i="3"/>
  <c r="Q173" i="3"/>
  <c r="M170" i="3"/>
  <c r="P305" i="3"/>
  <c r="P228" i="3"/>
  <c r="O262" i="3"/>
  <c r="U133" i="3"/>
  <c r="AG317" i="3"/>
  <c r="R288" i="3"/>
  <c r="P1030" i="3"/>
  <c r="N169" i="3"/>
  <c r="AG111" i="3"/>
  <c r="AH143" i="3"/>
  <c r="P199" i="3"/>
  <c r="U997" i="3"/>
  <c r="N132" i="3"/>
  <c r="AE214" i="3"/>
  <c r="S378" i="3"/>
  <c r="AH179" i="3"/>
  <c r="Q481" i="3"/>
  <c r="O352" i="3"/>
  <c r="AE161" i="3"/>
  <c r="O155" i="3"/>
  <c r="Q576" i="3"/>
  <c r="U106" i="3"/>
  <c r="AC206" i="3"/>
  <c r="N307" i="3"/>
  <c r="Q460" i="3"/>
  <c r="S105" i="3"/>
  <c r="M206" i="3"/>
  <c r="AE387" i="3"/>
  <c r="AD420" i="3"/>
  <c r="AE145" i="3"/>
  <c r="K146" i="3"/>
  <c r="AD308" i="3"/>
  <c r="AC416" i="3"/>
  <c r="S177" i="3"/>
  <c r="AC220" i="3"/>
  <c r="AE386" i="3"/>
  <c r="M109" i="3"/>
  <c r="N283" i="3"/>
  <c r="AD457" i="3"/>
  <c r="Q428" i="3"/>
  <c r="Q190" i="3"/>
  <c r="S128" i="3"/>
  <c r="AG293" i="3"/>
  <c r="I369" i="3"/>
  <c r="AH1013" i="3"/>
  <c r="I165" i="3"/>
  <c r="U352" i="3"/>
  <c r="AE218" i="3"/>
  <c r="I136" i="3"/>
  <c r="N368" i="3"/>
  <c r="U376" i="3"/>
  <c r="AG223" i="3"/>
  <c r="K114" i="3"/>
  <c r="AF417" i="3"/>
  <c r="S465" i="3"/>
  <c r="I401" i="3"/>
  <c r="M1048" i="3"/>
  <c r="N194" i="3"/>
  <c r="M328" i="3"/>
  <c r="AD169" i="3"/>
  <c r="R383" i="3"/>
  <c r="AC320" i="3"/>
  <c r="N330" i="3"/>
  <c r="AF210" i="3"/>
  <c r="AD1088" i="3"/>
  <c r="R452" i="3"/>
  <c r="AE246" i="3"/>
  <c r="AE113" i="3"/>
  <c r="Q1059" i="3"/>
  <c r="U224" i="3"/>
  <c r="U292" i="3"/>
  <c r="AE332" i="3"/>
  <c r="AF109" i="3"/>
  <c r="K258" i="3"/>
  <c r="R265" i="3"/>
  <c r="AD1012" i="3"/>
  <c r="I128" i="3"/>
  <c r="AF212" i="3"/>
  <c r="R404" i="3"/>
  <c r="AG121" i="3"/>
  <c r="R164" i="3"/>
  <c r="AE295" i="3"/>
  <c r="I1059" i="3"/>
  <c r="AG270" i="3"/>
  <c r="Q205" i="3"/>
  <c r="I374" i="3"/>
  <c r="U276" i="3"/>
  <c r="AC169" i="3"/>
  <c r="AE138" i="3"/>
  <c r="U199" i="3"/>
  <c r="M186" i="3"/>
  <c r="AE269" i="3"/>
  <c r="AG302" i="3"/>
  <c r="N424" i="3"/>
  <c r="R177" i="3"/>
  <c r="M508" i="3"/>
  <c r="I238" i="3"/>
  <c r="S199" i="3"/>
  <c r="S102" i="3"/>
  <c r="AG417" i="3"/>
  <c r="AH170" i="3"/>
  <c r="Q226" i="3"/>
  <c r="AF159" i="3"/>
  <c r="AF191" i="3"/>
  <c r="P201" i="3"/>
  <c r="O249" i="3"/>
  <c r="S355" i="3"/>
  <c r="AC126" i="3"/>
  <c r="AH198" i="3"/>
  <c r="AG1063" i="3"/>
  <c r="P1079" i="3"/>
  <c r="S147" i="3"/>
  <c r="AG183" i="3"/>
  <c r="AE311" i="3"/>
  <c r="N348" i="3"/>
  <c r="AF239" i="3"/>
  <c r="AH996" i="3"/>
  <c r="AC232" i="3"/>
  <c r="AD160" i="3"/>
  <c r="Q370" i="3"/>
  <c r="AD249" i="3"/>
  <c r="P429" i="3"/>
  <c r="U198" i="3"/>
  <c r="R1034" i="3"/>
  <c r="AG113" i="3"/>
  <c r="AC333" i="3"/>
  <c r="Q144" i="3"/>
  <c r="AH222" i="3"/>
  <c r="N302" i="3"/>
  <c r="P169" i="3"/>
  <c r="K222" i="3"/>
  <c r="I325" i="3"/>
  <c r="I357" i="3"/>
  <c r="S260" i="3"/>
  <c r="AH286" i="3"/>
  <c r="K391" i="3"/>
  <c r="AH413" i="3"/>
  <c r="I214" i="3"/>
  <c r="K245" i="3"/>
  <c r="O242" i="3"/>
  <c r="I257" i="3"/>
  <c r="M299" i="3"/>
  <c r="O376" i="3"/>
  <c r="U367" i="3"/>
  <c r="Q106" i="3"/>
  <c r="AF997" i="3"/>
  <c r="O297" i="3"/>
  <c r="I206" i="3"/>
  <c r="AE477" i="3"/>
  <c r="AE291" i="3"/>
  <c r="AF229" i="3"/>
  <c r="AC114" i="3"/>
  <c r="Q409" i="3"/>
  <c r="AE243" i="3"/>
  <c r="AG123" i="3"/>
  <c r="I305" i="3"/>
  <c r="O413" i="3"/>
  <c r="P226" i="3"/>
  <c r="AH1071" i="3"/>
  <c r="P148" i="3"/>
  <c r="P222" i="3"/>
  <c r="AE248" i="3"/>
  <c r="AG298" i="3"/>
  <c r="Q347" i="3"/>
  <c r="AH408" i="3"/>
  <c r="P1056" i="3"/>
  <c r="N242" i="3"/>
  <c r="R240" i="3"/>
  <c r="Q156" i="3"/>
  <c r="N196" i="3"/>
  <c r="U229" i="3"/>
  <c r="AF1018" i="3"/>
  <c r="N155" i="3"/>
  <c r="O1080" i="3"/>
  <c r="O108" i="3"/>
  <c r="AF270" i="3"/>
  <c r="U280" i="3"/>
  <c r="O388" i="3"/>
  <c r="O400" i="3"/>
  <c r="O210" i="3"/>
  <c r="I155" i="3"/>
  <c r="AE232" i="3"/>
  <c r="O305" i="3"/>
  <c r="K358" i="3"/>
  <c r="R356" i="3"/>
  <c r="K230" i="3"/>
  <c r="K179" i="3"/>
  <c r="N116" i="3"/>
  <c r="S148" i="3"/>
  <c r="U148" i="3"/>
  <c r="N354" i="3"/>
  <c r="AF1000" i="3"/>
  <c r="AE163" i="3"/>
  <c r="O333" i="3"/>
  <c r="AF289" i="3"/>
  <c r="I130" i="3"/>
  <c r="AG164" i="3"/>
  <c r="AD339" i="3"/>
  <c r="AG360" i="3"/>
  <c r="AH181" i="3"/>
  <c r="R141" i="3"/>
  <c r="AH257" i="3"/>
  <c r="AC330" i="3"/>
  <c r="AF277" i="3"/>
  <c r="AG351" i="3"/>
  <c r="U452" i="3"/>
  <c r="AG324" i="3"/>
  <c r="AC161" i="3"/>
  <c r="AF181" i="3"/>
  <c r="M408" i="3"/>
  <c r="N117" i="3"/>
  <c r="AD378" i="3"/>
  <c r="AH135" i="3"/>
  <c r="P191" i="3"/>
  <c r="AE191" i="3"/>
  <c r="P176" i="3"/>
  <c r="U104" i="3"/>
  <c r="M136" i="3"/>
  <c r="AE238" i="3"/>
  <c r="R105" i="3"/>
  <c r="O268" i="3"/>
  <c r="Q245" i="3"/>
  <c r="Q197" i="3"/>
  <c r="M107" i="3"/>
  <c r="K306" i="3"/>
  <c r="O228" i="3"/>
  <c r="S146" i="3"/>
  <c r="N174" i="3"/>
  <c r="AD135" i="3"/>
  <c r="Q167" i="3"/>
  <c r="M153" i="3"/>
  <c r="I207" i="3"/>
  <c r="AG288" i="3"/>
  <c r="P240" i="3"/>
  <c r="M190" i="3"/>
  <c r="R310" i="3"/>
  <c r="U296" i="3"/>
  <c r="O216" i="3"/>
  <c r="R193" i="3"/>
  <c r="P166" i="3"/>
  <c r="S310" i="3"/>
  <c r="S1012" i="3"/>
  <c r="S1056" i="3"/>
  <c r="I187" i="3"/>
  <c r="AE286" i="3"/>
  <c r="AE213" i="3"/>
  <c r="AH142" i="3"/>
  <c r="M1079" i="3"/>
  <c r="AH129" i="3"/>
  <c r="S119" i="3"/>
  <c r="O282" i="3"/>
  <c r="Q345" i="3"/>
  <c r="P215" i="3"/>
  <c r="AE140" i="3"/>
  <c r="U252" i="3"/>
  <c r="I237" i="3"/>
  <c r="O360" i="3"/>
  <c r="AC428" i="3"/>
  <c r="AE165" i="3"/>
  <c r="U379" i="3"/>
  <c r="AD387" i="3"/>
  <c r="R125" i="3"/>
  <c r="I196" i="3"/>
  <c r="AF282" i="3"/>
  <c r="M324" i="3"/>
  <c r="Q153" i="3"/>
  <c r="P200" i="3"/>
  <c r="P452" i="3"/>
  <c r="P311" i="3"/>
  <c r="I173" i="3"/>
  <c r="AC134" i="3"/>
  <c r="O344" i="3"/>
  <c r="M374" i="3"/>
  <c r="AF223" i="3"/>
  <c r="N301" i="3"/>
  <c r="AC268" i="3"/>
  <c r="AD109" i="3"/>
  <c r="AC215" i="3"/>
  <c r="M312" i="3"/>
  <c r="N429" i="3"/>
  <c r="O1069" i="3"/>
  <c r="K384" i="3"/>
  <c r="AD445" i="3"/>
  <c r="S327" i="3"/>
  <c r="N215" i="3"/>
  <c r="N227" i="3"/>
  <c r="AC457" i="3"/>
  <c r="S231" i="3"/>
  <c r="K287" i="3"/>
  <c r="U377" i="3"/>
  <c r="AD481" i="3"/>
  <c r="AD153" i="3"/>
  <c r="I193" i="3"/>
  <c r="P1000" i="3"/>
  <c r="AE460" i="3"/>
  <c r="R158" i="3"/>
  <c r="AE202" i="3"/>
  <c r="N397" i="3"/>
  <c r="AC387" i="3"/>
  <c r="S997" i="3"/>
  <c r="AH121" i="3"/>
  <c r="M417" i="3"/>
  <c r="AH246" i="3"/>
  <c r="AH1072" i="3"/>
  <c r="U375" i="3"/>
  <c r="AD398" i="3"/>
  <c r="AH189" i="3"/>
  <c r="O144" i="3"/>
  <c r="AH172" i="3"/>
  <c r="AH206" i="3"/>
  <c r="P303" i="3"/>
  <c r="I373" i="3"/>
  <c r="AD110" i="3"/>
  <c r="I242" i="3"/>
  <c r="I342" i="3"/>
  <c r="O272" i="3"/>
  <c r="O224" i="3"/>
  <c r="I387" i="3"/>
  <c r="AH449" i="3"/>
  <c r="O117" i="3"/>
  <c r="R160" i="3"/>
  <c r="I252" i="3"/>
  <c r="I1088" i="3"/>
  <c r="AG286" i="3"/>
  <c r="AC296" i="3"/>
  <c r="O293" i="3"/>
  <c r="I320" i="3"/>
  <c r="I246" i="3"/>
  <c r="O134" i="3"/>
  <c r="AF257" i="3"/>
  <c r="M182" i="3"/>
  <c r="S996" i="3"/>
  <c r="AH136" i="3"/>
  <c r="AG372" i="3"/>
  <c r="R381" i="3"/>
  <c r="O371" i="3"/>
  <c r="P186" i="3"/>
  <c r="M301" i="3"/>
  <c r="AH337" i="3"/>
  <c r="S244" i="3"/>
  <c r="U323" i="3"/>
  <c r="AH1069" i="3"/>
  <c r="O239" i="3"/>
  <c r="P275" i="3"/>
  <c r="Q203" i="3"/>
  <c r="K271" i="3"/>
  <c r="U328" i="3"/>
  <c r="O375" i="3"/>
  <c r="AE223" i="3"/>
  <c r="K198" i="3"/>
  <c r="AH465" i="3"/>
  <c r="P1002" i="3"/>
  <c r="AE252" i="3"/>
  <c r="AE253" i="3"/>
  <c r="Q261" i="3"/>
  <c r="AC440" i="3"/>
  <c r="AH1059" i="3"/>
  <c r="Q176" i="3"/>
  <c r="AG222" i="3"/>
  <c r="I236" i="3"/>
  <c r="M350" i="3"/>
  <c r="R444" i="3"/>
  <c r="K328" i="3"/>
  <c r="AD1002" i="3"/>
  <c r="R477" i="3"/>
  <c r="N1003" i="3"/>
  <c r="AF313" i="3"/>
  <c r="N281" i="3"/>
  <c r="AF374" i="3"/>
  <c r="AC384" i="3"/>
  <c r="AH133" i="3"/>
  <c r="N235" i="3"/>
  <c r="AC345" i="3"/>
  <c r="N305" i="3"/>
  <c r="S333" i="3"/>
  <c r="Q307" i="3"/>
  <c r="AC429" i="3"/>
  <c r="U137" i="3"/>
  <c r="AC153" i="3"/>
  <c r="O276" i="3"/>
  <c r="U325" i="3"/>
  <c r="AH207" i="3"/>
  <c r="AF1003" i="3"/>
  <c r="N379" i="3"/>
  <c r="N349" i="3"/>
  <c r="R238" i="3"/>
  <c r="AE160" i="3"/>
  <c r="P268" i="3"/>
  <c r="AC243" i="3"/>
  <c r="P127" i="3"/>
  <c r="AF304" i="3"/>
  <c r="AF465" i="3"/>
  <c r="I223" i="3"/>
  <c r="I253" i="3"/>
  <c r="K241" i="3"/>
  <c r="M306" i="3"/>
  <c r="O308" i="3"/>
  <c r="K428" i="3"/>
  <c r="P326" i="3"/>
  <c r="AG294" i="3"/>
  <c r="AC221" i="3"/>
  <c r="U111" i="3"/>
  <c r="M139" i="3"/>
  <c r="N392" i="3"/>
  <c r="AD389" i="3"/>
  <c r="AD106" i="3"/>
  <c r="K227" i="3"/>
  <c r="N318" i="3"/>
  <c r="N152" i="3"/>
  <c r="AD252" i="3"/>
  <c r="R253" i="3"/>
  <c r="S393" i="3"/>
  <c r="AH110" i="3"/>
  <c r="AE155" i="3"/>
  <c r="U337" i="3"/>
  <c r="AD203" i="3"/>
  <c r="P140" i="3"/>
  <c r="Q172" i="3"/>
  <c r="O379" i="3"/>
  <c r="AH238" i="3"/>
  <c r="U143" i="3"/>
  <c r="K217" i="3"/>
  <c r="AH131" i="3"/>
  <c r="S1063" i="3"/>
  <c r="AC277" i="3"/>
  <c r="N1030" i="3"/>
  <c r="M163" i="3"/>
  <c r="U338" i="3"/>
  <c r="U313" i="3"/>
  <c r="AE445" i="3"/>
  <c r="S278" i="3"/>
  <c r="S293" i="3"/>
  <c r="AC1000" i="3"/>
  <c r="AG155" i="3"/>
  <c r="AH260" i="3"/>
  <c r="K270" i="3"/>
  <c r="I126" i="3"/>
  <c r="U342" i="3"/>
  <c r="AC380" i="3"/>
  <c r="AE408" i="3"/>
  <c r="O181" i="3"/>
  <c r="AH378" i="3"/>
  <c r="K357" i="3"/>
  <c r="M269" i="3"/>
  <c r="AG347" i="3"/>
  <c r="U358" i="3"/>
  <c r="AF311" i="3"/>
  <c r="I997" i="3"/>
  <c r="AG239" i="3"/>
  <c r="O334" i="3"/>
  <c r="M317" i="3"/>
  <c r="O1024" i="3"/>
  <c r="O238" i="3"/>
  <c r="AC251" i="3"/>
  <c r="AF409" i="3"/>
  <c r="I141" i="3"/>
  <c r="N135" i="3"/>
  <c r="O207" i="3"/>
  <c r="AC1003" i="3"/>
  <c r="R121" i="3"/>
  <c r="O126" i="3"/>
  <c r="AH296" i="3"/>
  <c r="R255" i="3"/>
  <c r="AF122" i="3"/>
  <c r="R196" i="3"/>
  <c r="K249" i="3"/>
  <c r="AC305" i="3"/>
  <c r="U254" i="3"/>
  <c r="AD191" i="3"/>
  <c r="S313" i="3"/>
  <c r="AD213" i="3"/>
  <c r="AG161" i="3"/>
  <c r="AE124" i="3"/>
  <c r="AC225" i="3"/>
  <c r="AH382" i="3"/>
  <c r="AH182" i="3"/>
  <c r="P119" i="3"/>
  <c r="I299" i="3"/>
  <c r="I302" i="3"/>
  <c r="R189" i="3"/>
  <c r="I186" i="3"/>
  <c r="R225" i="3"/>
  <c r="O346" i="3"/>
  <c r="K1091" i="3"/>
  <c r="I1080" i="3"/>
  <c r="R216" i="3"/>
  <c r="AH268" i="3"/>
  <c r="K134" i="3"/>
  <c r="K1072" i="3"/>
  <c r="O180" i="3"/>
  <c r="S235" i="3"/>
  <c r="AH177" i="3"/>
  <c r="AD174" i="3"/>
  <c r="AG306" i="3"/>
  <c r="U361" i="3"/>
  <c r="M1046" i="3"/>
  <c r="AE211" i="3"/>
  <c r="N207" i="3"/>
  <c r="O288" i="3"/>
  <c r="I394" i="3"/>
  <c r="N137" i="3"/>
  <c r="S115" i="3"/>
  <c r="P159" i="3"/>
  <c r="U219" i="3"/>
  <c r="O394" i="3"/>
  <c r="N136" i="3"/>
  <c r="M235" i="3"/>
  <c r="R341" i="3"/>
  <c r="N219" i="3"/>
  <c r="I208" i="3"/>
  <c r="N576" i="3"/>
  <c r="N165" i="3"/>
  <c r="R307" i="3"/>
  <c r="K276" i="3"/>
  <c r="Q1091" i="3"/>
  <c r="AD214" i="3"/>
  <c r="AH335" i="3"/>
  <c r="AE229" i="3"/>
  <c r="R138" i="3"/>
  <c r="S214" i="3"/>
  <c r="AE324" i="3"/>
  <c r="AD300" i="3"/>
  <c r="AC149" i="3"/>
  <c r="AH199" i="3"/>
  <c r="AG469" i="3"/>
  <c r="Q1069" i="3"/>
  <c r="AH346" i="3"/>
  <c r="AH349" i="3"/>
  <c r="M339" i="3"/>
  <c r="AF1040" i="3"/>
  <c r="R326" i="3"/>
  <c r="K444" i="3"/>
  <c r="O332" i="3"/>
  <c r="M119" i="3"/>
  <c r="AG445" i="3"/>
  <c r="AD358" i="3"/>
  <c r="AC290" i="3"/>
  <c r="AC1013" i="3"/>
  <c r="AE189" i="3"/>
  <c r="AF323" i="3"/>
  <c r="U166" i="3"/>
  <c r="P277" i="3"/>
  <c r="AE356" i="3"/>
  <c r="R424" i="3"/>
  <c r="K161" i="3"/>
  <c r="S122" i="3"/>
  <c r="AF356" i="3"/>
  <c r="AG429" i="3"/>
  <c r="P405" i="3"/>
  <c r="AD197" i="3"/>
  <c r="AH303" i="3"/>
  <c r="R413" i="3"/>
  <c r="Q149" i="3"/>
  <c r="I319" i="3"/>
  <c r="AD220" i="3"/>
  <c r="P397" i="3"/>
  <c r="S158" i="3"/>
  <c r="S320" i="3"/>
  <c r="N524" i="3"/>
  <c r="P189" i="3"/>
  <c r="AE144" i="3"/>
  <c r="K280" i="3"/>
  <c r="Q255" i="3"/>
  <c r="AF327" i="3"/>
  <c r="I220" i="3"/>
  <c r="O1079" i="3"/>
  <c r="O263" i="3"/>
  <c r="P205" i="3"/>
  <c r="AH232" i="3"/>
  <c r="AH287" i="3"/>
  <c r="S401" i="3"/>
  <c r="M395" i="3"/>
  <c r="M1087" i="3"/>
  <c r="K168" i="3"/>
  <c r="U354" i="3"/>
  <c r="P1063" i="3"/>
  <c r="AE289" i="3"/>
  <c r="AE296" i="3"/>
  <c r="AC236" i="3"/>
  <c r="AH368" i="3"/>
  <c r="O149" i="3"/>
  <c r="AE142" i="3"/>
  <c r="K219" i="3"/>
  <c r="Q305" i="3"/>
  <c r="AE260" i="3"/>
  <c r="K352" i="3"/>
  <c r="M363" i="3"/>
  <c r="AE157" i="3"/>
  <c r="AG1079" i="3"/>
  <c r="S159" i="3"/>
  <c r="AH219" i="3"/>
  <c r="K322" i="3"/>
  <c r="M355" i="3"/>
  <c r="AG110" i="3"/>
  <c r="U231" i="3"/>
  <c r="AF167" i="3"/>
  <c r="M1018" i="3"/>
  <c r="S370" i="3"/>
  <c r="AC233" i="3"/>
  <c r="Q457" i="3"/>
  <c r="Q1024" i="3"/>
  <c r="AC226" i="3"/>
  <c r="O396" i="3"/>
  <c r="S1083" i="3"/>
  <c r="AG159" i="3"/>
  <c r="AG191" i="3"/>
  <c r="Q352" i="3"/>
  <c r="AF437" i="3"/>
  <c r="M231" i="3"/>
  <c r="Q1012" i="3"/>
  <c r="AC208" i="3"/>
  <c r="M243" i="3"/>
  <c r="K325" i="3"/>
  <c r="R460" i="3"/>
  <c r="Q319" i="3"/>
  <c r="AD113" i="3"/>
  <c r="I1034" i="3"/>
  <c r="K239" i="3"/>
  <c r="AD162" i="3"/>
  <c r="S160" i="3"/>
  <c r="AH259" i="3"/>
  <c r="AE375" i="3"/>
  <c r="N125" i="3"/>
  <c r="AG235" i="3"/>
  <c r="I282" i="3"/>
  <c r="AC139" i="3"/>
  <c r="P333" i="3"/>
  <c r="AH317" i="3"/>
  <c r="I336" i="3"/>
  <c r="AC141" i="3"/>
  <c r="I222" i="3"/>
  <c r="P237" i="3"/>
  <c r="M258" i="3"/>
  <c r="U233" i="3"/>
  <c r="AD217" i="3"/>
  <c r="P465" i="3"/>
  <c r="R221" i="3"/>
  <c r="AD238" i="3"/>
  <c r="U109" i="3"/>
  <c r="N192" i="3"/>
  <c r="R425" i="3"/>
  <c r="N250" i="3"/>
  <c r="Q359" i="3"/>
  <c r="AC354" i="3"/>
  <c r="AE197" i="3"/>
  <c r="AC341" i="3"/>
  <c r="P409" i="3"/>
  <c r="I362" i="3"/>
  <c r="AG322" i="3"/>
  <c r="M356" i="3"/>
  <c r="K125" i="3"/>
  <c r="N1079" i="3"/>
  <c r="U160" i="3"/>
  <c r="AE150" i="3"/>
  <c r="AE224" i="3"/>
  <c r="N285" i="3"/>
  <c r="U592" i="3"/>
  <c r="AF141" i="3"/>
  <c r="R211" i="3"/>
  <c r="AF132" i="3"/>
  <c r="R224" i="3"/>
  <c r="O493" i="3"/>
  <c r="I250" i="3"/>
  <c r="I347" i="3"/>
  <c r="AG1034" i="3"/>
  <c r="R159" i="3"/>
  <c r="O1059" i="3"/>
  <c r="AD211" i="3"/>
  <c r="AC281" i="3"/>
  <c r="I264" i="3"/>
  <c r="AH384" i="3"/>
  <c r="R254" i="3"/>
  <c r="AC143" i="3"/>
  <c r="AD284" i="3"/>
  <c r="P208" i="3"/>
  <c r="O306" i="3"/>
  <c r="P445" i="3"/>
  <c r="AG1030" i="3"/>
  <c r="M167" i="3"/>
  <c r="AC1067" i="3"/>
  <c r="S124" i="3"/>
  <c r="AG441" i="3"/>
  <c r="O444" i="3"/>
  <c r="AC412" i="3"/>
  <c r="S1000" i="3"/>
  <c r="U112" i="3"/>
  <c r="M144" i="3"/>
  <c r="O185" i="3"/>
  <c r="Q121" i="3"/>
  <c r="N160" i="3"/>
  <c r="N200" i="3"/>
  <c r="AG177" i="3"/>
  <c r="M111" i="3"/>
  <c r="M329" i="3"/>
  <c r="M334" i="3"/>
  <c r="AD1000" i="3"/>
  <c r="N178" i="3"/>
  <c r="O143" i="3"/>
  <c r="Q175" i="3"/>
  <c r="P137" i="3"/>
  <c r="P102" i="3"/>
  <c r="P280" i="3"/>
  <c r="AF224" i="3"/>
  <c r="AG194" i="3"/>
  <c r="K207" i="3"/>
  <c r="K272" i="3"/>
  <c r="AF353" i="3"/>
  <c r="AH173" i="3"/>
  <c r="M166" i="3"/>
  <c r="AG1072" i="3"/>
  <c r="S108" i="3"/>
  <c r="P247" i="3"/>
  <c r="AE195" i="3"/>
  <c r="AF317" i="3"/>
  <c r="K342" i="3"/>
  <c r="M1030" i="3"/>
  <c r="R1083" i="3"/>
  <c r="S103" i="3"/>
  <c r="O370" i="3"/>
  <c r="AD301" i="3"/>
  <c r="O1046" i="3"/>
  <c r="R128" i="3"/>
  <c r="U318" i="3"/>
  <c r="U493" i="3"/>
  <c r="I326" i="3"/>
  <c r="O395" i="3"/>
  <c r="M1083" i="3"/>
  <c r="P147" i="3"/>
  <c r="M293" i="3"/>
  <c r="N320" i="3"/>
  <c r="K1030" i="3"/>
  <c r="I200" i="3"/>
  <c r="AG276" i="3"/>
  <c r="S421" i="3"/>
  <c r="AG105" i="3"/>
  <c r="M200" i="3"/>
  <c r="R456" i="3"/>
  <c r="M400" i="3"/>
  <c r="AG141" i="3"/>
  <c r="I138" i="3"/>
  <c r="M368" i="3"/>
  <c r="AF354" i="3"/>
  <c r="S181" i="3"/>
  <c r="S437" i="3"/>
  <c r="AF405" i="3"/>
  <c r="AC1040" i="3"/>
  <c r="AE283" i="3"/>
  <c r="AC327" i="3"/>
  <c r="P230" i="3"/>
  <c r="O1048" i="3"/>
  <c r="M370" i="3"/>
  <c r="AG352" i="3"/>
  <c r="AE373" i="3"/>
  <c r="AD283" i="3"/>
  <c r="P354" i="3"/>
  <c r="N433" i="3"/>
  <c r="S182" i="3"/>
  <c r="O393" i="3"/>
  <c r="AH416" i="3"/>
  <c r="Q449" i="3"/>
  <c r="M137" i="3"/>
  <c r="S371" i="3"/>
  <c r="M199" i="3"/>
  <c r="Q412" i="3"/>
  <c r="AD1048" i="3"/>
  <c r="AE210" i="3"/>
  <c r="R420" i="3"/>
  <c r="U380" i="3"/>
  <c r="Q126" i="3"/>
  <c r="K199" i="3"/>
  <c r="I508" i="3"/>
  <c r="AF202" i="3"/>
  <c r="N1080" i="3"/>
  <c r="AG333" i="3"/>
  <c r="M106" i="3"/>
  <c r="I465" i="3"/>
  <c r="AC148" i="3"/>
  <c r="AH180" i="3"/>
  <c r="K235" i="3"/>
  <c r="AH363" i="3"/>
  <c r="AE392" i="3"/>
  <c r="AD1083" i="3"/>
  <c r="I258" i="3"/>
  <c r="P288" i="3"/>
  <c r="M264" i="3"/>
  <c r="AG255" i="3"/>
  <c r="I276" i="3"/>
  <c r="AE400" i="3"/>
  <c r="P118" i="3"/>
  <c r="K164" i="3"/>
  <c r="AC390" i="3"/>
  <c r="P1059" i="3"/>
  <c r="S317" i="3"/>
  <c r="AF280" i="3"/>
  <c r="K331" i="3"/>
  <c r="AC282" i="3"/>
  <c r="R173" i="3"/>
  <c r="O138" i="3"/>
  <c r="N241" i="3"/>
  <c r="AG102" i="3"/>
  <c r="AG104" i="3"/>
  <c r="Q290" i="3"/>
  <c r="M405" i="3"/>
  <c r="M181" i="3"/>
  <c r="AE1071" i="3"/>
  <c r="N134" i="3"/>
  <c r="AE241" i="3"/>
  <c r="AH338" i="3"/>
  <c r="AF204" i="3"/>
  <c r="AH445" i="3"/>
  <c r="I210" i="3"/>
  <c r="N287" i="3"/>
  <c r="AG346" i="3"/>
  <c r="AG227" i="3"/>
  <c r="P279" i="3"/>
  <c r="S375" i="3"/>
  <c r="M351" i="3"/>
  <c r="O230" i="3"/>
  <c r="P202" i="3"/>
  <c r="N1071" i="3"/>
  <c r="U226" i="3"/>
  <c r="Q493" i="3"/>
  <c r="AG237" i="3"/>
  <c r="N375" i="3"/>
  <c r="N1024" i="3"/>
  <c r="Q1063" i="3"/>
  <c r="Q184" i="3"/>
  <c r="M152" i="3"/>
  <c r="Q275" i="3"/>
  <c r="M409" i="3"/>
  <c r="I335" i="3"/>
  <c r="M247" i="3"/>
  <c r="R1018" i="3"/>
  <c r="P250" i="3"/>
  <c r="AG112" i="3"/>
  <c r="K294" i="3"/>
  <c r="P221" i="3"/>
  <c r="S384" i="3"/>
  <c r="U360" i="3"/>
  <c r="O154" i="3"/>
  <c r="N243" i="3"/>
  <c r="AD305" i="3"/>
  <c r="I330" i="3"/>
  <c r="AC334" i="3"/>
  <c r="R449" i="3"/>
  <c r="AD315" i="3"/>
  <c r="Q1037" i="3"/>
  <c r="M165" i="3"/>
  <c r="P121" i="3"/>
  <c r="O291" i="3"/>
  <c r="O1072" i="3"/>
  <c r="AF108" i="3"/>
  <c r="AF319" i="3"/>
  <c r="AF315" i="3"/>
  <c r="U193" i="3"/>
  <c r="AE164" i="3"/>
  <c r="AD236" i="3"/>
  <c r="N314" i="3"/>
  <c r="AH139" i="3"/>
  <c r="N461" i="3"/>
  <c r="K348" i="3"/>
  <c r="I996" i="3"/>
  <c r="AG477" i="3"/>
  <c r="P233" i="3"/>
  <c r="P299" i="3"/>
  <c r="K417" i="3"/>
  <c r="AH247" i="3"/>
  <c r="M326" i="3"/>
  <c r="R278" i="3"/>
  <c r="AF146" i="3"/>
  <c r="U119" i="3"/>
  <c r="AH147" i="3"/>
  <c r="I424" i="3"/>
  <c r="Q137" i="3"/>
  <c r="R203" i="3"/>
  <c r="P294" i="3"/>
  <c r="K274" i="3"/>
  <c r="AE274" i="3"/>
  <c r="AH212" i="3"/>
  <c r="AD385" i="3"/>
  <c r="P359" i="3"/>
  <c r="AC110" i="3"/>
  <c r="K159" i="3"/>
  <c r="U330" i="3"/>
  <c r="AC116" i="3"/>
  <c r="Q148" i="3"/>
  <c r="Q323" i="3"/>
  <c r="AC405" i="3"/>
  <c r="M210" i="3"/>
  <c r="AE147" i="3"/>
  <c r="AE154" i="3"/>
  <c r="K139" i="3"/>
  <c r="O354" i="3"/>
  <c r="U398" i="3"/>
  <c r="M122" i="3"/>
  <c r="AD167" i="3"/>
  <c r="AG299" i="3"/>
  <c r="AD286" i="3"/>
  <c r="Q334" i="3"/>
  <c r="I388" i="3"/>
  <c r="O420" i="3"/>
  <c r="AG1000" i="3"/>
  <c r="I159" i="3"/>
  <c r="I361" i="3"/>
  <c r="Q281" i="3"/>
  <c r="AC103" i="3"/>
  <c r="N253" i="3"/>
  <c r="R244" i="3"/>
  <c r="N201" i="3"/>
  <c r="AF145" i="3"/>
  <c r="K1034" i="3"/>
  <c r="R305" i="3"/>
  <c r="P284" i="3"/>
  <c r="AG310" i="3"/>
  <c r="I344" i="3"/>
  <c r="O314" i="3"/>
  <c r="M267" i="3"/>
  <c r="AG247" i="3"/>
  <c r="O302" i="3"/>
  <c r="N273" i="3"/>
  <c r="AE1040" i="3"/>
  <c r="M254" i="3"/>
  <c r="S290" i="3"/>
  <c r="Q341" i="3"/>
  <c r="I145" i="3"/>
  <c r="AG139" i="3"/>
  <c r="AF1072" i="3"/>
  <c r="AC108" i="3"/>
  <c r="M125" i="3"/>
  <c r="O130" i="3"/>
  <c r="AE264" i="3"/>
  <c r="AF318" i="3"/>
  <c r="AF126" i="3"/>
  <c r="K200" i="3"/>
  <c r="P241" i="3"/>
  <c r="P306" i="3"/>
  <c r="U267" i="3"/>
  <c r="R195" i="3"/>
  <c r="AC286" i="3"/>
  <c r="S296" i="3"/>
  <c r="M112" i="3"/>
  <c r="AE216" i="3"/>
  <c r="AE292" i="3"/>
  <c r="O193" i="3"/>
  <c r="P107" i="3"/>
  <c r="AD362" i="3"/>
  <c r="U217" i="3"/>
  <c r="P380" i="3"/>
  <c r="I174" i="3"/>
  <c r="AD255" i="3"/>
  <c r="AG268" i="3"/>
  <c r="AD149" i="3"/>
  <c r="R102" i="3"/>
  <c r="M288" i="3"/>
  <c r="AH353" i="3"/>
  <c r="AG185" i="3"/>
  <c r="AD310" i="3"/>
  <c r="AC156" i="3"/>
  <c r="O188" i="3"/>
  <c r="M1040" i="3"/>
  <c r="K166" i="3"/>
  <c r="N366" i="3"/>
  <c r="Q329" i="3"/>
  <c r="O1056" i="3"/>
  <c r="P1037" i="3"/>
  <c r="AE313" i="3"/>
  <c r="U213" i="3"/>
  <c r="O198" i="3"/>
  <c r="I215" i="3"/>
  <c r="AC125" i="3"/>
  <c r="K123" i="3"/>
  <c r="S171" i="3"/>
  <c r="AH234" i="3"/>
  <c r="Q247" i="3"/>
  <c r="N140" i="3"/>
  <c r="R251" i="3"/>
  <c r="R309" i="3"/>
  <c r="AE395" i="3"/>
  <c r="R373" i="3"/>
  <c r="S1087" i="3"/>
  <c r="M147" i="3"/>
  <c r="AD404" i="3"/>
  <c r="K359" i="3"/>
  <c r="O1030" i="3"/>
  <c r="AD275" i="3"/>
  <c r="AH323" i="3"/>
  <c r="AE417" i="3"/>
  <c r="AF142" i="3"/>
  <c r="AH385" i="3"/>
  <c r="U277" i="3"/>
  <c r="S1018" i="3"/>
  <c r="I134" i="3"/>
  <c r="K263" i="3"/>
  <c r="U293" i="3"/>
  <c r="AF197" i="3"/>
  <c r="R250" i="3"/>
  <c r="M444" i="3"/>
  <c r="Q398" i="3"/>
  <c r="AF1048" i="3"/>
  <c r="AC364" i="3"/>
  <c r="I275" i="3"/>
  <c r="M238" i="3"/>
  <c r="O123" i="3"/>
  <c r="AE348" i="3"/>
  <c r="AD359" i="3"/>
  <c r="AH319" i="3"/>
  <c r="S283" i="3"/>
  <c r="AC230" i="3"/>
  <c r="S220" i="3"/>
  <c r="M1013" i="3"/>
  <c r="S369" i="3"/>
  <c r="AG340" i="3"/>
  <c r="U404" i="3"/>
  <c r="AD141" i="3"/>
  <c r="AG481" i="3"/>
  <c r="M1024" i="3"/>
  <c r="R398" i="3"/>
  <c r="Q348" i="3"/>
  <c r="N186" i="3"/>
  <c r="N338" i="3"/>
  <c r="AG365" i="3"/>
  <c r="AE1037" i="3"/>
  <c r="M146" i="3"/>
  <c r="AE360" i="3"/>
  <c r="AF230" i="3"/>
  <c r="Q1072" i="3"/>
  <c r="U321" i="3"/>
  <c r="AF379" i="3"/>
  <c r="Q189" i="3"/>
  <c r="K148" i="3"/>
  <c r="AC264" i="3"/>
  <c r="R298" i="3"/>
  <c r="AF432" i="3"/>
  <c r="AD396" i="3"/>
  <c r="AC1079" i="3"/>
  <c r="O271" i="3"/>
  <c r="Q296" i="3"/>
  <c r="AD112" i="3"/>
  <c r="I152" i="3"/>
  <c r="S391" i="3"/>
  <c r="O311" i="3"/>
  <c r="AG1062" i="3"/>
  <c r="P172" i="3"/>
  <c r="O449" i="3"/>
  <c r="M1067" i="3"/>
  <c r="R273" i="3"/>
  <c r="R280" i="3"/>
  <c r="AF381" i="3"/>
  <c r="S319" i="3"/>
  <c r="P153" i="3"/>
  <c r="AC146" i="3"/>
  <c r="AF242" i="3"/>
  <c r="Q306" i="3"/>
  <c r="M333" i="3"/>
  <c r="I309" i="3"/>
  <c r="U315" i="3"/>
  <c r="S109" i="3"/>
  <c r="R146" i="3"/>
  <c r="U171" i="3"/>
  <c r="Q234" i="3"/>
  <c r="AE371" i="3"/>
  <c r="K390" i="3"/>
  <c r="AE254" i="3"/>
  <c r="U239" i="3"/>
  <c r="AF175" i="3"/>
  <c r="AE245" i="3"/>
  <c r="S309" i="3"/>
  <c r="AF340" i="3"/>
  <c r="AH322" i="3"/>
  <c r="AC223" i="3"/>
  <c r="S247" i="3"/>
  <c r="AF508" i="3"/>
  <c r="N198" i="3"/>
  <c r="AG167" i="3"/>
  <c r="AG199" i="3"/>
  <c r="P413" i="3"/>
  <c r="AG332" i="3"/>
  <c r="S190" i="3"/>
  <c r="K1003" i="3"/>
  <c r="AC353" i="3"/>
  <c r="R259" i="3"/>
  <c r="AG282" i="3"/>
  <c r="AE327" i="3"/>
  <c r="AG311" i="3"/>
  <c r="AD117" i="3"/>
  <c r="K103" i="3"/>
  <c r="O329" i="3"/>
  <c r="N128" i="3"/>
  <c r="S180" i="3"/>
  <c r="AD369" i="3"/>
  <c r="AF449" i="3"/>
  <c r="M154" i="3"/>
  <c r="AG243" i="3"/>
  <c r="U301" i="3"/>
  <c r="AD329" i="3"/>
  <c r="AD334" i="3"/>
  <c r="P368" i="3"/>
  <c r="AE377" i="3"/>
  <c r="K105" i="3"/>
  <c r="I235" i="3"/>
  <c r="AD120" i="3"/>
  <c r="AH152" i="3"/>
  <c r="AD157" i="3"/>
  <c r="Q141" i="3"/>
  <c r="M382" i="3"/>
  <c r="I322" i="3"/>
  <c r="AH178" i="3"/>
  <c r="M115" i="3"/>
  <c r="P269" i="3"/>
  <c r="M302" i="3"/>
  <c r="R185" i="3"/>
  <c r="N182" i="3"/>
  <c r="S151" i="3"/>
  <c r="Q183" i="3"/>
  <c r="AE1030" i="3"/>
  <c r="M1072" i="3"/>
  <c r="AD264" i="3"/>
  <c r="Q208" i="3"/>
  <c r="S138" i="3"/>
  <c r="AH102" i="3"/>
  <c r="AC256" i="3"/>
  <c r="Q298" i="3"/>
  <c r="O177" i="3"/>
  <c r="AD170" i="3"/>
  <c r="P1088" i="3"/>
  <c r="S120" i="3"/>
  <c r="AD262" i="3"/>
  <c r="N199" i="3"/>
  <c r="R281" i="3"/>
  <c r="K288" i="3"/>
  <c r="AD1046" i="3"/>
  <c r="I177" i="3"/>
  <c r="R111" i="3"/>
  <c r="P341" i="3"/>
  <c r="AF241" i="3"/>
  <c r="Q1079" i="3"/>
  <c r="AE132" i="3"/>
  <c r="O285" i="3"/>
  <c r="N425" i="3"/>
  <c r="AH203" i="3"/>
  <c r="U216" i="3"/>
  <c r="Q1087" i="3"/>
  <c r="AD147" i="3"/>
  <c r="AC331" i="3"/>
  <c r="Q424" i="3"/>
  <c r="AF1046" i="3"/>
  <c r="I1071" i="3"/>
  <c r="R457" i="3"/>
  <c r="AD452" i="3"/>
  <c r="AG142" i="3"/>
  <c r="AD206" i="3"/>
  <c r="U225" i="3"/>
  <c r="P408" i="3"/>
  <c r="AG149" i="3"/>
  <c r="AH191" i="3"/>
  <c r="AG320" i="3"/>
  <c r="Q365" i="3"/>
  <c r="K1087" i="3"/>
  <c r="P393" i="3"/>
  <c r="O576" i="3"/>
  <c r="AC1048" i="3"/>
  <c r="U386" i="3"/>
  <c r="I372" i="3"/>
  <c r="U189" i="3"/>
  <c r="K1046" i="3"/>
  <c r="R1024" i="3"/>
  <c r="AH404" i="3"/>
  <c r="K997" i="3"/>
  <c r="I203" i="3"/>
  <c r="O374" i="3"/>
  <c r="AG368" i="3"/>
  <c r="I1037" i="3"/>
  <c r="S154" i="3"/>
  <c r="I420" i="3"/>
  <c r="AD405" i="3"/>
  <c r="N153" i="3"/>
  <c r="AG229" i="3"/>
  <c r="AD327" i="3"/>
  <c r="I331" i="3"/>
  <c r="R197" i="3"/>
  <c r="AF218" i="3"/>
  <c r="N377" i="3"/>
  <c r="AD165" i="3"/>
  <c r="O592" i="3"/>
  <c r="AE339" i="3"/>
  <c r="N390" i="3"/>
  <c r="AG150" i="3"/>
  <c r="M381" i="3"/>
  <c r="M209" i="3"/>
  <c r="AG238" i="3"/>
  <c r="U384" i="3"/>
  <c r="AF1088" i="3"/>
  <c r="AH188" i="3"/>
  <c r="P243" i="3"/>
  <c r="K395" i="3"/>
  <c r="N113" i="3"/>
  <c r="I227" i="3"/>
  <c r="R289" i="3"/>
  <c r="AF264" i="3"/>
  <c r="R248" i="3"/>
  <c r="P318" i="3"/>
  <c r="I396" i="3"/>
  <c r="AF412" i="3"/>
  <c r="AC1002" i="3"/>
  <c r="P168" i="3"/>
  <c r="M319" i="3"/>
  <c r="M1063" i="3"/>
  <c r="Q273" i="3"/>
  <c r="AH256" i="3"/>
  <c r="R320" i="3"/>
  <c r="AH374" i="3"/>
  <c r="AH153" i="3"/>
  <c r="O142" i="3"/>
  <c r="R362" i="3"/>
  <c r="AE1088" i="3"/>
  <c r="S116" i="3"/>
  <c r="O398" i="3"/>
  <c r="R261" i="3"/>
  <c r="P165" i="3"/>
  <c r="R178" i="3"/>
  <c r="N291" i="3"/>
  <c r="U362" i="3"/>
  <c r="AH312" i="3"/>
  <c r="AF433" i="3"/>
  <c r="AG178" i="3"/>
  <c r="I218" i="3"/>
  <c r="N252" i="3"/>
  <c r="M1002" i="3"/>
  <c r="P234" i="3"/>
  <c r="Q207" i="3"/>
  <c r="AD340" i="3"/>
  <c r="S126" i="3"/>
  <c r="AD190" i="3"/>
  <c r="AH330" i="3"/>
  <c r="R1062" i="3"/>
  <c r="AD274" i="3"/>
  <c r="N382" i="3"/>
  <c r="K383" i="3"/>
  <c r="I327" i="3"/>
  <c r="O226" i="3"/>
  <c r="K1067" i="3"/>
  <c r="Q192" i="3"/>
  <c r="Q225" i="3"/>
  <c r="AH297" i="3"/>
  <c r="AE316" i="3"/>
  <c r="U327" i="3"/>
  <c r="AH218" i="3"/>
  <c r="I1018" i="3"/>
  <c r="Q210" i="3"/>
  <c r="AG124" i="3"/>
  <c r="AD278" i="3"/>
  <c r="R205" i="3"/>
  <c r="U436" i="3"/>
  <c r="AH393" i="3"/>
  <c r="AC214" i="3"/>
  <c r="R241" i="3"/>
  <c r="AD306" i="3"/>
  <c r="AE329" i="3"/>
  <c r="U294" i="3"/>
  <c r="AE374" i="3"/>
  <c r="AD347" i="3"/>
  <c r="AC1037" i="3"/>
  <c r="AC181" i="3"/>
  <c r="M1012" i="3"/>
  <c r="K147" i="3"/>
  <c r="AF1059" i="3"/>
  <c r="AF116" i="3"/>
  <c r="O391" i="3"/>
  <c r="AH340" i="3"/>
  <c r="AD223" i="3"/>
  <c r="AE168" i="3"/>
  <c r="P493" i="3"/>
  <c r="AG103" i="3"/>
  <c r="AC155" i="3"/>
  <c r="N303" i="3"/>
  <c r="K429" i="3"/>
  <c r="K493" i="3"/>
  <c r="AF235" i="3"/>
  <c r="K345" i="3"/>
  <c r="R269" i="3"/>
  <c r="AH320" i="3"/>
  <c r="R129" i="3"/>
  <c r="AE1079" i="3"/>
  <c r="K317" i="3"/>
  <c r="Q251" i="3"/>
  <c r="AF127" i="3"/>
  <c r="AC358" i="3"/>
  <c r="R355" i="3"/>
  <c r="R166" i="3"/>
  <c r="K211" i="3"/>
  <c r="AE317" i="3"/>
  <c r="AD287" i="3"/>
  <c r="AF225" i="3"/>
  <c r="AG275" i="3"/>
  <c r="N329" i="3"/>
  <c r="AE424" i="3"/>
  <c r="N189" i="3"/>
  <c r="AC163" i="3"/>
  <c r="O269" i="3"/>
  <c r="AH124" i="3"/>
  <c r="N156" i="3"/>
  <c r="Q375" i="3"/>
  <c r="AH433" i="3"/>
  <c r="M218" i="3"/>
  <c r="AE151" i="3"/>
  <c r="AG264" i="3"/>
  <c r="AE1072" i="3"/>
  <c r="AE307" i="3"/>
  <c r="M396" i="3"/>
  <c r="N126" i="3"/>
  <c r="R171" i="3"/>
  <c r="O217" i="3"/>
  <c r="I317" i="3"/>
  <c r="Q302" i="3"/>
  <c r="AD477" i="3"/>
  <c r="AD290" i="3"/>
  <c r="AF247" i="3"/>
  <c r="AE167" i="3"/>
  <c r="N313" i="3"/>
  <c r="AG213" i="3"/>
  <c r="I281" i="3"/>
  <c r="O477" i="3"/>
  <c r="AF349" i="3"/>
  <c r="AE335" i="3"/>
  <c r="AG166" i="3"/>
  <c r="I103" i="3"/>
  <c r="R306" i="3"/>
  <c r="AC228" i="3"/>
  <c r="N102" i="3"/>
  <c r="S372" i="3"/>
  <c r="AG433" i="3"/>
  <c r="AF1069" i="3"/>
  <c r="AH394" i="3"/>
  <c r="R286" i="3"/>
  <c r="P213" i="3"/>
  <c r="Q181" i="3"/>
  <c r="N206" i="3"/>
  <c r="S107" i="3"/>
  <c r="AF326" i="3"/>
  <c r="K127" i="3"/>
  <c r="P263" i="3"/>
  <c r="AC1059" i="3"/>
  <c r="AG1083" i="3"/>
  <c r="M118" i="3"/>
  <c r="N265" i="3"/>
  <c r="N240" i="3"/>
  <c r="P141" i="3"/>
  <c r="M188" i="3"/>
  <c r="Q291" i="3"/>
  <c r="K366" i="3"/>
  <c r="S1037" i="3"/>
  <c r="AC187" i="3"/>
  <c r="I217" i="3"/>
  <c r="AD289" i="3"/>
  <c r="AG246" i="3"/>
  <c r="AD116" i="3"/>
  <c r="AF255" i="3"/>
  <c r="R252" i="3"/>
  <c r="U165" i="3"/>
  <c r="P111" i="3"/>
  <c r="Q357" i="3"/>
  <c r="M228" i="3"/>
  <c r="S150" i="3"/>
  <c r="I178" i="3"/>
  <c r="O318" i="3"/>
  <c r="M212" i="3"/>
  <c r="AD133" i="3"/>
  <c r="I102" i="3"/>
  <c r="Q264" i="3"/>
  <c r="AC274" i="3"/>
  <c r="AH186" i="3"/>
  <c r="R207" i="3"/>
  <c r="O164" i="3"/>
  <c r="O196" i="3"/>
  <c r="AD193" i="3"/>
  <c r="P170" i="3"/>
  <c r="R357" i="3"/>
  <c r="AC217" i="3"/>
  <c r="AE106" i="3"/>
  <c r="P117" i="3"/>
  <c r="U258" i="3"/>
  <c r="AD1059" i="3"/>
  <c r="Q142" i="3"/>
  <c r="I283" i="3"/>
  <c r="AF129" i="3"/>
  <c r="K110" i="3"/>
  <c r="U183" i="3"/>
  <c r="AH271" i="3"/>
  <c r="N394" i="3"/>
  <c r="N144" i="3"/>
  <c r="O295" i="3"/>
  <c r="N266" i="3"/>
  <c r="M433" i="3"/>
  <c r="M307" i="3"/>
  <c r="P1087" i="3"/>
  <c r="R151" i="3"/>
  <c r="Q393" i="3"/>
  <c r="O121" i="3"/>
  <c r="AC200" i="3"/>
  <c r="AF201" i="3"/>
  <c r="AD336" i="3"/>
  <c r="AC157" i="3"/>
  <c r="P206" i="3"/>
  <c r="AH367" i="3"/>
  <c r="O433" i="3"/>
  <c r="AE177" i="3"/>
  <c r="U142" i="3"/>
  <c r="AC389" i="3"/>
  <c r="AC592" i="3"/>
  <c r="AG173" i="3"/>
  <c r="K392" i="3"/>
  <c r="M335" i="3"/>
  <c r="S194" i="3"/>
  <c r="Q215" i="3"/>
  <c r="S277" i="3"/>
  <c r="U244" i="3"/>
  <c r="S197" i="3"/>
  <c r="O127" i="3"/>
  <c r="K187" i="3"/>
  <c r="AD383" i="3"/>
  <c r="AE469" i="3"/>
  <c r="AE149" i="3"/>
  <c r="U316" i="3"/>
  <c r="AH420" i="3"/>
  <c r="AD1037" i="3"/>
  <c r="R1040" i="3"/>
  <c r="S440" i="3"/>
  <c r="Q316" i="3"/>
  <c r="Q110" i="3"/>
  <c r="U140" i="3"/>
  <c r="U440" i="3"/>
  <c r="I367" i="3"/>
  <c r="N158" i="3"/>
  <c r="N190" i="3"/>
  <c r="P261" i="3"/>
  <c r="P576" i="3"/>
  <c r="U185" i="3"/>
  <c r="AC203" i="3"/>
  <c r="AE396" i="3"/>
  <c r="P210" i="3"/>
  <c r="K1080" i="3"/>
  <c r="N374" i="3"/>
  <c r="AG106" i="3"/>
  <c r="K229" i="3"/>
  <c r="AC152" i="3"/>
  <c r="K240" i="3"/>
  <c r="AC285" i="3"/>
  <c r="S477" i="3"/>
  <c r="AH113" i="3"/>
  <c r="K242" i="3"/>
  <c r="M281" i="3"/>
  <c r="AE288" i="3"/>
  <c r="I318" i="3"/>
  <c r="U212" i="3"/>
  <c r="AG428" i="3"/>
  <c r="N364" i="3"/>
  <c r="AG1002" i="3"/>
  <c r="M172" i="3"/>
  <c r="U1079" i="3"/>
  <c r="K234" i="3"/>
  <c r="M221" i="3"/>
  <c r="O264" i="3"/>
  <c r="Q268" i="3"/>
  <c r="K238" i="3"/>
  <c r="AE134" i="3"/>
  <c r="S187" i="3"/>
  <c r="AH279" i="3"/>
  <c r="N299" i="3"/>
  <c r="AG334" i="3"/>
  <c r="R576" i="3"/>
  <c r="AD381" i="3"/>
  <c r="AG277" i="3"/>
  <c r="AG162" i="3"/>
  <c r="AG187" i="3"/>
  <c r="Q271" i="3"/>
  <c r="R339" i="3"/>
  <c r="AG408" i="3"/>
  <c r="AE267" i="3"/>
  <c r="U247" i="3"/>
  <c r="AF183" i="3"/>
  <c r="U477" i="3"/>
  <c r="Q266" i="3"/>
  <c r="AG425" i="3"/>
  <c r="S379" i="3"/>
  <c r="O186" i="3"/>
  <c r="N1088" i="3"/>
  <c r="AH126" i="3"/>
  <c r="AD139" i="3"/>
  <c r="AG175" i="3"/>
  <c r="R335" i="3"/>
  <c r="O349" i="3"/>
  <c r="AG1069" i="3"/>
  <c r="K1063" i="3"/>
  <c r="K248" i="3"/>
  <c r="AH274" i="3"/>
  <c r="U378" i="3"/>
  <c r="Q301" i="3"/>
  <c r="AF303" i="3"/>
  <c r="AD239" i="3"/>
  <c r="AD1018" i="3"/>
  <c r="AG219" i="3"/>
  <c r="S217" i="3"/>
  <c r="K136" i="3"/>
  <c r="S200" i="3"/>
  <c r="AH352" i="3"/>
  <c r="AF331" i="3"/>
  <c r="AF158" i="3"/>
  <c r="AG251" i="3"/>
  <c r="P362" i="3"/>
  <c r="M217" i="3"/>
  <c r="AD302" i="3"/>
  <c r="AH273" i="3"/>
  <c r="R432" i="3"/>
  <c r="AC105" i="3"/>
  <c r="I243" i="3"/>
  <c r="P264" i="3"/>
  <c r="AC151" i="3"/>
  <c r="S305" i="3"/>
  <c r="U334" i="3"/>
  <c r="M416" i="3"/>
  <c r="AF364" i="3"/>
  <c r="N1056" i="3"/>
  <c r="N172" i="3"/>
  <c r="U222" i="3"/>
  <c r="P245" i="3"/>
  <c r="AH325" i="3"/>
  <c r="S356" i="3"/>
  <c r="S373" i="3"/>
  <c r="P1012" i="3"/>
  <c r="P301" i="3"/>
  <c r="AD291" i="3"/>
  <c r="AE305" i="3"/>
  <c r="AD380" i="3"/>
  <c r="R348" i="3"/>
  <c r="AH1046" i="3"/>
  <c r="N1087" i="3"/>
  <c r="U200" i="3"/>
  <c r="AG280" i="3"/>
  <c r="U353" i="3"/>
  <c r="S359" i="3"/>
  <c r="AG358" i="3"/>
  <c r="I1048" i="3"/>
  <c r="AE234" i="3"/>
  <c r="P1003" i="3"/>
  <c r="M318" i="3"/>
  <c r="R297" i="3"/>
  <c r="AG321" i="3"/>
  <c r="S368" i="3"/>
  <c r="N185" i="3"/>
  <c r="AC167" i="3"/>
  <c r="O1003" i="3"/>
  <c r="O294" i="3"/>
  <c r="I205" i="3"/>
  <c r="N384" i="3"/>
  <c r="P457" i="3"/>
  <c r="AH202" i="3"/>
  <c r="N151" i="3"/>
  <c r="AH158" i="3"/>
  <c r="AG357" i="3"/>
  <c r="U416" i="3"/>
  <c r="U332" i="3"/>
  <c r="N223" i="3"/>
  <c r="R175" i="3"/>
  <c r="N108" i="3"/>
  <c r="AD140" i="3"/>
  <c r="Q136" i="3"/>
  <c r="AF390" i="3"/>
  <c r="AC400" i="3"/>
  <c r="P231" i="3"/>
  <c r="AE179" i="3"/>
  <c r="N278" i="3"/>
  <c r="O205" i="3"/>
  <c r="AG156" i="3"/>
  <c r="AC227" i="3"/>
  <c r="AF377" i="3"/>
  <c r="AH424" i="3"/>
  <c r="AC129" i="3"/>
  <c r="AD115" i="3"/>
  <c r="I151" i="3"/>
  <c r="O260" i="3"/>
  <c r="S357" i="3"/>
  <c r="P401" i="3"/>
  <c r="N481" i="3"/>
  <c r="P317" i="3"/>
  <c r="P420" i="3"/>
  <c r="AE306" i="3"/>
  <c r="I149" i="3"/>
  <c r="AD295" i="3"/>
  <c r="U204" i="3"/>
  <c r="U175" i="3"/>
  <c r="I150" i="3"/>
  <c r="I285" i="3"/>
  <c r="AD276" i="3"/>
  <c r="N383" i="3"/>
  <c r="P254" i="3"/>
  <c r="AC172" i="3"/>
  <c r="I201" i="3"/>
  <c r="Q358" i="3"/>
  <c r="S257" i="3"/>
  <c r="S308" i="3"/>
  <c r="AE312" i="3"/>
  <c r="M169" i="3"/>
  <c r="AC174" i="3"/>
  <c r="R135" i="3"/>
  <c r="AH167" i="3"/>
  <c r="N127" i="3"/>
  <c r="AH216" i="3"/>
  <c r="AC385" i="3"/>
  <c r="U320" i="3"/>
  <c r="Q105" i="3"/>
  <c r="AF231" i="3"/>
  <c r="R1067" i="3"/>
  <c r="N452" i="3"/>
  <c r="AC350" i="3"/>
  <c r="K387" i="3"/>
  <c r="I139" i="3"/>
  <c r="AF1083" i="3"/>
  <c r="AH481" i="3"/>
  <c r="AF140" i="3"/>
  <c r="I441" i="3"/>
  <c r="AG361" i="3"/>
  <c r="Q238" i="3"/>
  <c r="AE299" i="3"/>
  <c r="O1012" i="3"/>
  <c r="AG364" i="3"/>
  <c r="K334" i="3"/>
  <c r="AC111" i="3"/>
  <c r="M413" i="3"/>
  <c r="AH145" i="3"/>
  <c r="I131" i="3"/>
  <c r="U249" i="3"/>
  <c r="AD441" i="3"/>
  <c r="AG160" i="3"/>
  <c r="S337" i="3"/>
  <c r="Q1034" i="3"/>
  <c r="S203" i="3"/>
  <c r="K236" i="3"/>
  <c r="K327" i="3"/>
  <c r="Q246" i="3"/>
  <c r="AC180" i="3"/>
  <c r="I290" i="3"/>
  <c r="M249" i="3"/>
  <c r="AC508" i="3"/>
  <c r="K246" i="3"/>
  <c r="AC178" i="3"/>
  <c r="O151" i="3"/>
  <c r="AC107" i="3"/>
  <c r="S353" i="3"/>
  <c r="P417" i="3"/>
  <c r="U141" i="3"/>
  <c r="S164" i="3"/>
  <c r="AC295" i="3"/>
  <c r="AD261" i="3"/>
  <c r="AC297" i="3"/>
  <c r="AH354" i="3"/>
  <c r="S161" i="3"/>
  <c r="AE242" i="3"/>
  <c r="I289" i="3"/>
  <c r="K264" i="3"/>
  <c r="N437" i="3"/>
  <c r="AG248" i="3"/>
  <c r="AH592" i="3"/>
  <c r="AF125" i="3"/>
  <c r="U186" i="3"/>
  <c r="I1063" i="3"/>
  <c r="I116" i="3"/>
  <c r="AG168" i="3"/>
  <c r="S340" i="3"/>
  <c r="AH372" i="3"/>
  <c r="AF177" i="3"/>
  <c r="I104" i="3"/>
  <c r="O208" i="3"/>
  <c r="R268" i="3"/>
  <c r="O335" i="3"/>
  <c r="P331" i="3"/>
  <c r="AC469" i="3"/>
  <c r="Q304" i="3"/>
  <c r="R181" i="3"/>
  <c r="AD154" i="3"/>
  <c r="AE362" i="3"/>
  <c r="AF330" i="3"/>
  <c r="AH294" i="3"/>
  <c r="P347" i="3"/>
  <c r="P276" i="3"/>
  <c r="P1091" i="3"/>
  <c r="AD210" i="3"/>
  <c r="AG260" i="3"/>
  <c r="P278" i="3"/>
  <c r="N290" i="3"/>
  <c r="S299" i="3"/>
  <c r="O358" i="3"/>
  <c r="AF186" i="3"/>
  <c r="I239" i="3"/>
  <c r="O175" i="3"/>
  <c r="O211" i="3"/>
  <c r="U167" i="3"/>
  <c r="R311" i="3"/>
  <c r="AH395" i="3"/>
  <c r="Q262" i="3"/>
  <c r="Q111" i="3"/>
  <c r="Q282" i="3"/>
  <c r="AG337" i="3"/>
  <c r="N359" i="3"/>
  <c r="AD253" i="3"/>
  <c r="AG398" i="3"/>
  <c r="M348" i="3"/>
  <c r="Q1003" i="3"/>
  <c r="AG192" i="3"/>
  <c r="K251" i="3"/>
  <c r="R331" i="3"/>
  <c r="AE268" i="3"/>
  <c r="AH209" i="3"/>
  <c r="O137" i="3"/>
  <c r="R172" i="3"/>
  <c r="M325" i="3"/>
  <c r="M241" i="3"/>
  <c r="AE457" i="3"/>
  <c r="AD390" i="3"/>
  <c r="AF383" i="3"/>
  <c r="I349" i="3"/>
  <c r="I304" i="3"/>
  <c r="M366" i="3"/>
  <c r="AE244" i="3"/>
  <c r="I592" i="3"/>
  <c r="K416" i="3"/>
  <c r="N355" i="3"/>
  <c r="K421" i="3"/>
  <c r="AH307" i="3"/>
  <c r="AC386" i="3"/>
  <c r="O460" i="3"/>
  <c r="S385" i="3"/>
  <c r="M460" i="3"/>
  <c r="K465" i="3"/>
  <c r="Q385" i="3"/>
  <c r="N387" i="3"/>
  <c r="P373" i="3"/>
  <c r="AF457" i="3"/>
  <c r="N420" i="3"/>
  <c r="K281" i="3"/>
  <c r="AC344" i="3"/>
  <c r="I329" i="3"/>
  <c r="AF153" i="3"/>
  <c r="M378" i="3"/>
  <c r="K201" i="3"/>
  <c r="S282" i="3"/>
  <c r="I154" i="3"/>
  <c r="K243" i="3"/>
  <c r="M389" i="3"/>
  <c r="U348" i="3"/>
  <c r="AF254" i="3"/>
  <c r="AE180" i="3"/>
  <c r="AE275" i="3"/>
  <c r="U350" i="3"/>
  <c r="AD370" i="3"/>
  <c r="R524" i="3"/>
  <c r="Q130" i="3"/>
  <c r="AE170" i="3"/>
  <c r="AG216" i="3"/>
  <c r="AG225" i="3"/>
  <c r="AF154" i="3"/>
  <c r="O325" i="3"/>
  <c r="AD412" i="3"/>
  <c r="AH436" i="3"/>
  <c r="K109" i="3"/>
  <c r="P106" i="3"/>
  <c r="S213" i="3"/>
  <c r="AC216" i="3"/>
  <c r="U287" i="3"/>
  <c r="I440" i="3"/>
  <c r="AC396" i="3"/>
  <c r="AE122" i="3"/>
  <c r="AG279" i="3"/>
  <c r="AF168" i="3"/>
  <c r="AF200" i="3"/>
  <c r="AF107" i="3"/>
  <c r="R336" i="3"/>
  <c r="N141" i="3"/>
  <c r="AC263" i="3"/>
  <c r="AF205" i="3"/>
  <c r="S256" i="3"/>
  <c r="U385" i="3"/>
  <c r="U371" i="3"/>
  <c r="Q433" i="3"/>
  <c r="Q169" i="3"/>
  <c r="R108" i="3"/>
  <c r="S225" i="3"/>
  <c r="AC346" i="3"/>
  <c r="M343" i="3"/>
  <c r="K324" i="3"/>
  <c r="K449" i="3"/>
  <c r="S469" i="3"/>
  <c r="AD181" i="3"/>
  <c r="S198" i="3"/>
  <c r="AH242" i="3"/>
  <c r="AE1067" i="3"/>
  <c r="AG278" i="3"/>
  <c r="P344" i="3"/>
  <c r="AG373" i="3"/>
  <c r="I1091" i="3"/>
  <c r="AD1087" i="3"/>
  <c r="S112" i="3"/>
  <c r="AH156" i="3"/>
  <c r="AF344" i="3"/>
  <c r="M284" i="3"/>
  <c r="K481" i="3"/>
  <c r="AE352" i="3"/>
  <c r="O247" i="3"/>
  <c r="AE212" i="3"/>
  <c r="AF237" i="3"/>
  <c r="I457" i="3"/>
  <c r="AE257" i="3"/>
  <c r="R364" i="3"/>
  <c r="R394" i="3"/>
  <c r="K107" i="3"/>
  <c r="S242" i="3"/>
  <c r="U102" i="3"/>
  <c r="P319" i="3"/>
  <c r="M424" i="3"/>
  <c r="AC404" i="3"/>
  <c r="M296" i="3"/>
  <c r="S215" i="3"/>
  <c r="Q112" i="3"/>
  <c r="R353" i="3"/>
  <c r="U236" i="3"/>
  <c r="Q437" i="3"/>
  <c r="K375" i="3"/>
  <c r="M457" i="3"/>
  <c r="U138" i="3"/>
  <c r="R176" i="3"/>
  <c r="I297" i="3"/>
  <c r="AE325" i="3"/>
  <c r="AC365" i="3"/>
  <c r="U481" i="3"/>
  <c r="M298" i="3"/>
  <c r="AE321" i="3"/>
  <c r="AH358" i="3"/>
  <c r="N401" i="3"/>
  <c r="K303" i="3"/>
  <c r="U417" i="3"/>
  <c r="O416" i="3"/>
  <c r="P371" i="3"/>
  <c r="U424" i="3"/>
  <c r="AG377" i="3"/>
  <c r="P322" i="3"/>
  <c r="I212" i="3"/>
  <c r="O428" i="3"/>
  <c r="N335" i="3"/>
  <c r="U304" i="3"/>
  <c r="Q376" i="3"/>
  <c r="AF347" i="3"/>
  <c r="I339" i="3"/>
  <c r="AC276" i="3"/>
  <c r="M440" i="3"/>
  <c r="N1040" i="3"/>
  <c r="AF144" i="3"/>
  <c r="K170" i="3"/>
  <c r="AC241" i="3"/>
  <c r="Q117" i="3"/>
  <c r="Q1000" i="3"/>
  <c r="AF143" i="3"/>
  <c r="U195" i="3"/>
  <c r="Q228" i="3"/>
  <c r="I268" i="3"/>
  <c r="P312" i="3"/>
  <c r="AD360" i="3"/>
  <c r="AH254" i="3"/>
  <c r="AH169" i="3"/>
  <c r="I261" i="3"/>
  <c r="AC201" i="3"/>
  <c r="AD241" i="3"/>
  <c r="AH457" i="3"/>
  <c r="AF134" i="3"/>
  <c r="Q158" i="3"/>
  <c r="AH123" i="3"/>
  <c r="R155" i="3"/>
  <c r="AC158" i="3"/>
  <c r="Q256" i="3"/>
  <c r="Q363" i="3"/>
  <c r="S307" i="3"/>
  <c r="I137" i="3"/>
  <c r="AH1018" i="3"/>
  <c r="U192" i="3"/>
  <c r="O107" i="3"/>
  <c r="Q236" i="3"/>
  <c r="U300" i="3"/>
  <c r="U347" i="3"/>
  <c r="AH174" i="3"/>
  <c r="AF279" i="3"/>
  <c r="O221" i="3"/>
  <c r="I240" i="3"/>
  <c r="AD205" i="3"/>
  <c r="R228" i="3"/>
  <c r="AC363" i="3"/>
  <c r="O122" i="3"/>
  <c r="I279" i="3"/>
  <c r="Q280" i="3"/>
  <c r="AC318" i="3"/>
  <c r="AG172" i="3"/>
  <c r="M336" i="3"/>
  <c r="I307" i="3"/>
  <c r="U129" i="3"/>
  <c r="I112" i="3"/>
  <c r="AE255" i="3"/>
  <c r="S252" i="3"/>
  <c r="AC367" i="3"/>
  <c r="AH401" i="3"/>
  <c r="I397" i="3"/>
  <c r="N343" i="3"/>
  <c r="Q165" i="3"/>
  <c r="K154" i="3"/>
  <c r="AC357" i="3"/>
  <c r="P217" i="3"/>
  <c r="O289" i="3"/>
  <c r="O373" i="3"/>
  <c r="AH229" i="3"/>
  <c r="O254" i="3"/>
  <c r="K210" i="3"/>
  <c r="AH334" i="3"/>
  <c r="AD317" i="3"/>
  <c r="I338" i="3"/>
  <c r="P441" i="3"/>
  <c r="S412" i="3"/>
  <c r="AH1040" i="3"/>
  <c r="AF215" i="3"/>
  <c r="O187" i="3"/>
  <c r="AD234" i="3"/>
  <c r="S175" i="3"/>
  <c r="AD444" i="3"/>
  <c r="AC441" i="3"/>
  <c r="O129" i="3"/>
  <c r="P123" i="3"/>
  <c r="AF266" i="3"/>
  <c r="S338" i="3"/>
  <c r="I398" i="3"/>
  <c r="R245" i="3"/>
  <c r="U457" i="3"/>
  <c r="AC356" i="3"/>
  <c r="K218" i="3"/>
  <c r="AD128" i="3"/>
  <c r="R243" i="3"/>
  <c r="AD325" i="3"/>
  <c r="AE287" i="3"/>
  <c r="M469" i="3"/>
  <c r="R385" i="3"/>
  <c r="AF110" i="3"/>
  <c r="P188" i="3"/>
  <c r="K257" i="3"/>
  <c r="K337" i="3"/>
  <c r="R308" i="3"/>
  <c r="Q312" i="3"/>
  <c r="M436" i="3"/>
  <c r="AC355" i="3"/>
  <c r="AD384" i="3"/>
  <c r="K360" i="3"/>
  <c r="I343" i="3"/>
  <c r="AH379" i="3"/>
  <c r="M220" i="3"/>
  <c r="AH389" i="3"/>
  <c r="O348" i="3"/>
  <c r="AH396" i="3"/>
  <c r="O401" i="3"/>
  <c r="M388" i="3"/>
  <c r="Q408" i="3"/>
  <c r="AF396" i="3"/>
  <c r="AD469" i="3"/>
  <c r="N371" i="3"/>
  <c r="R327" i="3"/>
  <c r="AG397" i="3"/>
  <c r="AF314" i="3"/>
  <c r="I163" i="3"/>
  <c r="M219" i="3"/>
  <c r="P103" i="3"/>
  <c r="P384" i="3"/>
  <c r="AF117" i="3"/>
  <c r="I378" i="3"/>
  <c r="AF325" i="3"/>
  <c r="AF233" i="3"/>
  <c r="R313" i="3"/>
  <c r="AF378" i="3"/>
  <c r="AD409" i="3"/>
  <c r="U1069" i="3"/>
  <c r="I168" i="3"/>
  <c r="K382" i="3"/>
  <c r="Q477" i="3"/>
  <c r="M295" i="3"/>
  <c r="N398" i="3"/>
  <c r="Q392" i="3"/>
  <c r="K177" i="3"/>
  <c r="I170" i="3"/>
  <c r="AE298" i="3"/>
  <c r="AE493" i="3"/>
  <c r="U409" i="3"/>
  <c r="P256" i="3"/>
  <c r="I383" i="3"/>
  <c r="AH215" i="3"/>
  <c r="Q1018" i="3"/>
  <c r="R317" i="3"/>
  <c r="AE280" i="3"/>
  <c r="Q311" i="3"/>
  <c r="N319" i="3"/>
  <c r="N465" i="3"/>
  <c r="U169" i="3"/>
  <c r="AG234" i="3"/>
  <c r="O148" i="3"/>
  <c r="AF180" i="3"/>
  <c r="U395" i="3"/>
  <c r="AC321" i="3"/>
  <c r="S374" i="3"/>
  <c r="P125" i="3"/>
  <c r="AC310" i="3"/>
  <c r="AD342" i="3"/>
  <c r="O248" i="3"/>
  <c r="U288" i="3"/>
  <c r="U387" i="3"/>
  <c r="I287" i="3"/>
  <c r="AF173" i="3"/>
  <c r="P1083" i="3"/>
  <c r="I144" i="3"/>
  <c r="N184" i="3"/>
  <c r="U312" i="3"/>
  <c r="AC360" i="3"/>
  <c r="N317" i="3"/>
  <c r="AC449" i="3"/>
  <c r="R1069" i="3"/>
  <c r="AC150" i="3"/>
  <c r="U211" i="3"/>
  <c r="M1080" i="3"/>
  <c r="R358" i="3"/>
  <c r="M273" i="3"/>
  <c r="M315" i="3"/>
  <c r="K138" i="3"/>
  <c r="M198" i="3"/>
  <c r="N1012" i="3"/>
  <c r="S140" i="3"/>
  <c r="AG392" i="3"/>
  <c r="K329" i="3"/>
  <c r="P229" i="3"/>
  <c r="M390" i="3"/>
  <c r="Q1040" i="3"/>
  <c r="AC283" i="3"/>
  <c r="AE425" i="3"/>
  <c r="S409" i="3"/>
  <c r="R282" i="3"/>
  <c r="P324" i="3"/>
  <c r="K398" i="3"/>
  <c r="S129" i="3"/>
  <c r="AH111" i="3"/>
  <c r="R279" i="3"/>
  <c r="AF1067" i="3"/>
  <c r="K204" i="3"/>
  <c r="I229" i="3"/>
  <c r="AG379" i="3"/>
  <c r="AC388" i="3"/>
  <c r="R247" i="3"/>
  <c r="AD124" i="3"/>
  <c r="R152" i="3"/>
  <c r="K188" i="3"/>
  <c r="P139" i="3"/>
  <c r="R592" i="3"/>
  <c r="O253" i="3"/>
  <c r="O1034" i="3"/>
  <c r="AF1079" i="3"/>
  <c r="P214" i="3"/>
  <c r="AD111" i="3"/>
  <c r="P416" i="3"/>
  <c r="AD335" i="3"/>
  <c r="M314" i="3"/>
  <c r="K300" i="3"/>
  <c r="AE372" i="3"/>
  <c r="O322" i="3"/>
  <c r="AH339" i="3"/>
  <c r="P412" i="3"/>
  <c r="S429" i="3"/>
  <c r="R340" i="3"/>
  <c r="AG319" i="3"/>
  <c r="O331" i="3"/>
  <c r="R379" i="3"/>
  <c r="U383" i="3"/>
  <c r="AC461" i="3"/>
  <c r="S396" i="3"/>
  <c r="AG437" i="3"/>
  <c r="S351" i="3"/>
  <c r="N209" i="3"/>
  <c r="I244" i="3"/>
  <c r="M359" i="3"/>
  <c r="P307" i="3"/>
  <c r="U335" i="3"/>
  <c r="P323" i="3"/>
  <c r="R271" i="3"/>
  <c r="P352" i="3"/>
  <c r="K253" i="3"/>
  <c r="S157" i="3"/>
  <c r="AF404" i="3"/>
  <c r="U180" i="3"/>
  <c r="AE318" i="3"/>
  <c r="AF208" i="3"/>
  <c r="AE181" i="3"/>
  <c r="AD221" i="3"/>
  <c r="N147" i="3"/>
  <c r="S592" i="3"/>
  <c r="AD132" i="3"/>
  <c r="K231" i="3"/>
  <c r="K302" i="3"/>
  <c r="AG148" i="3"/>
  <c r="I321" i="3"/>
  <c r="AF166" i="3"/>
  <c r="U357" i="3"/>
  <c r="I233" i="3"/>
  <c r="AG316" i="3"/>
  <c r="O397" i="3"/>
  <c r="Q592" i="3"/>
  <c r="R107" i="3"/>
  <c r="P227" i="3"/>
  <c r="AC252" i="3"/>
  <c r="AF524" i="3"/>
  <c r="AH267" i="3"/>
  <c r="I477" i="3"/>
  <c r="AH220" i="3"/>
  <c r="R233" i="3"/>
  <c r="R374" i="3"/>
  <c r="AD173" i="3"/>
  <c r="AF119" i="3"/>
  <c r="AH159" i="3"/>
  <c r="Q139" i="3"/>
  <c r="R314" i="3"/>
  <c r="AC444" i="3"/>
  <c r="R198" i="3"/>
  <c r="S184" i="3"/>
  <c r="O103" i="3"/>
  <c r="S433" i="3"/>
  <c r="AC348" i="3"/>
  <c r="AG331" i="3"/>
  <c r="AD178" i="3"/>
  <c r="N258" i="3"/>
  <c r="U265" i="3"/>
  <c r="AC248" i="3"/>
  <c r="Q213" i="3"/>
  <c r="R328" i="3"/>
  <c r="AE385" i="3"/>
  <c r="O1062" i="3"/>
  <c r="R226" i="3"/>
  <c r="AH264" i="3"/>
  <c r="I274" i="3"/>
  <c r="AG176" i="3"/>
  <c r="P424" i="3"/>
  <c r="N339" i="3"/>
  <c r="AH137" i="3"/>
  <c r="P108" i="3"/>
  <c r="AD318" i="3"/>
  <c r="AF236" i="3"/>
  <c r="AG221" i="3"/>
  <c r="O112" i="3"/>
  <c r="R391" i="3"/>
  <c r="AE436" i="3"/>
  <c r="AH161" i="3"/>
  <c r="M158" i="3"/>
  <c r="AF345" i="3"/>
  <c r="P329" i="3"/>
  <c r="U271" i="3"/>
  <c r="O481" i="3"/>
  <c r="AC293" i="3"/>
  <c r="O246" i="3"/>
  <c r="Q218" i="3"/>
  <c r="AF361" i="3"/>
  <c r="S270" i="3"/>
  <c r="M352" i="3"/>
  <c r="K299" i="3"/>
  <c r="AG390" i="3"/>
  <c r="AE130" i="3"/>
  <c r="I247" i="3"/>
  <c r="O183" i="3"/>
  <c r="AF227" i="3"/>
  <c r="P183" i="3"/>
  <c r="Q401" i="3"/>
  <c r="R312" i="3"/>
  <c r="AC133" i="3"/>
  <c r="Q115" i="3"/>
  <c r="U257" i="3"/>
  <c r="R299" i="3"/>
  <c r="AH347" i="3"/>
  <c r="K237" i="3"/>
  <c r="S352" i="3"/>
  <c r="AH1091" i="3"/>
  <c r="K104" i="3"/>
  <c r="AG200" i="3"/>
  <c r="P259" i="3"/>
  <c r="K312" i="3"/>
  <c r="O367" i="3"/>
  <c r="AE379" i="3"/>
  <c r="N1091" i="3"/>
  <c r="K176" i="3"/>
  <c r="U291" i="3"/>
  <c r="AH362" i="3"/>
  <c r="N276" i="3"/>
  <c r="N340" i="3"/>
  <c r="R349" i="3"/>
  <c r="S336" i="3"/>
  <c r="P291" i="3"/>
  <c r="I315" i="3"/>
  <c r="O327" i="3"/>
  <c r="AE354" i="3"/>
  <c r="U508" i="3"/>
  <c r="AD357" i="3"/>
  <c r="R375" i="3"/>
  <c r="AF363" i="3"/>
  <c r="U397" i="3"/>
  <c r="AE320" i="3"/>
  <c r="AG343" i="3"/>
  <c r="Q336" i="3"/>
  <c r="O355" i="3"/>
  <c r="U429" i="3"/>
  <c r="N445" i="3"/>
  <c r="R365" i="3"/>
  <c r="S395" i="3"/>
  <c r="U1040" i="3"/>
  <c r="N150" i="3"/>
  <c r="K145" i="3"/>
  <c r="O257" i="3"/>
  <c r="AH117" i="3"/>
  <c r="R103" i="3"/>
  <c r="R409" i="3"/>
  <c r="R301" i="3"/>
  <c r="AF333" i="3"/>
  <c r="P251" i="3"/>
  <c r="AE433" i="3"/>
  <c r="P400" i="3"/>
  <c r="Q267" i="3"/>
  <c r="AE184" i="3"/>
  <c r="AF425" i="3"/>
  <c r="S204" i="3"/>
  <c r="I291" i="3"/>
  <c r="K445" i="3"/>
  <c r="U246" i="3"/>
  <c r="AE174" i="3"/>
  <c r="M255" i="3"/>
  <c r="N268" i="3"/>
  <c r="AC115" i="3"/>
  <c r="R272" i="3"/>
  <c r="U274" i="3"/>
  <c r="AH429" i="3"/>
  <c r="AE1087" i="3"/>
  <c r="R270" i="3"/>
  <c r="AG342" i="3"/>
  <c r="AH308" i="3"/>
  <c r="S268" i="3"/>
  <c r="AD465" i="3"/>
  <c r="U161" i="3"/>
  <c r="AG258" i="3"/>
  <c r="R144" i="3"/>
  <c r="AF176" i="3"/>
  <c r="I461" i="3"/>
  <c r="P327" i="3"/>
  <c r="R344" i="3"/>
  <c r="K129" i="3"/>
  <c r="AC271" i="3"/>
  <c r="AG296" i="3"/>
  <c r="P248" i="3"/>
  <c r="AC280" i="3"/>
  <c r="I365" i="3"/>
  <c r="AF408" i="3"/>
  <c r="N129" i="3"/>
  <c r="I108" i="3"/>
  <c r="R292" i="3"/>
  <c r="AH245" i="3"/>
  <c r="K319" i="3"/>
  <c r="N333" i="3"/>
  <c r="M380" i="3"/>
  <c r="AD356" i="3"/>
  <c r="Q161" i="3"/>
  <c r="AH231" i="3"/>
  <c r="Q279" i="3"/>
  <c r="AG1012" i="3"/>
  <c r="Q317" i="3"/>
  <c r="R395" i="3"/>
  <c r="N421" i="3"/>
  <c r="S246" i="3"/>
  <c r="AC1034" i="3"/>
  <c r="K124" i="3"/>
  <c r="S176" i="3"/>
  <c r="U372" i="3"/>
  <c r="N331" i="3"/>
  <c r="P444" i="3"/>
  <c r="AF190" i="3"/>
  <c r="K262" i="3"/>
  <c r="AC382" i="3"/>
  <c r="AE350" i="3"/>
  <c r="Q364" i="3"/>
  <c r="AE368" i="3"/>
  <c r="AF276" i="3"/>
  <c r="Q231" i="3"/>
  <c r="K111" i="3"/>
  <c r="P258" i="3"/>
  <c r="S1080" i="3"/>
  <c r="P377" i="3"/>
  <c r="S321" i="3"/>
  <c r="O452" i="3"/>
  <c r="K396" i="3"/>
  <c r="R262" i="3"/>
  <c r="K116" i="3"/>
  <c r="O298" i="3"/>
  <c r="AG382" i="3"/>
  <c r="M143" i="3"/>
  <c r="AG452" i="3"/>
  <c r="AC359" i="3"/>
  <c r="K106" i="3"/>
  <c r="K180" i="3"/>
  <c r="U237" i="3"/>
  <c r="U282" i="3"/>
  <c r="P433" i="3"/>
  <c r="AH356" i="3"/>
  <c r="P321" i="3"/>
  <c r="O277" i="3"/>
  <c r="K432" i="3"/>
  <c r="S481" i="3"/>
  <c r="U359" i="3"/>
  <c r="AH456" i="3"/>
  <c r="U368" i="3"/>
  <c r="M445" i="3"/>
  <c r="AE322" i="3"/>
  <c r="AD377" i="3"/>
  <c r="N229" i="3"/>
  <c r="U408" i="3"/>
  <c r="M421" i="3"/>
  <c r="N369" i="3"/>
  <c r="O404" i="3"/>
  <c r="AF372" i="3"/>
  <c r="K307" i="3"/>
  <c r="O408" i="3"/>
  <c r="P396" i="3"/>
  <c r="R461" i="3"/>
  <c r="N159" i="3"/>
  <c r="AF203" i="3"/>
  <c r="AH1034" i="3"/>
  <c r="AG323" i="3"/>
  <c r="AF113" i="3"/>
  <c r="R1091" i="3"/>
  <c r="U155" i="3"/>
  <c r="P219" i="3"/>
  <c r="N361" i="3"/>
  <c r="S212" i="3"/>
  <c r="K380" i="3"/>
  <c r="AG508" i="3"/>
  <c r="R133" i="3"/>
  <c r="N188" i="3"/>
  <c r="AC259" i="3"/>
  <c r="S315" i="3"/>
  <c r="Q362" i="3"/>
  <c r="O424" i="3"/>
  <c r="AC246" i="3"/>
  <c r="N162" i="3"/>
  <c r="N131" i="3"/>
  <c r="AH163" i="3"/>
  <c r="U123" i="3"/>
  <c r="P104" i="3"/>
  <c r="R304" i="3"/>
  <c r="AE328" i="3"/>
  <c r="N105" i="3"/>
  <c r="I106" i="3"/>
  <c r="K214" i="3"/>
  <c r="O115" i="3"/>
  <c r="N168" i="3"/>
  <c r="S392" i="3"/>
  <c r="O324" i="3"/>
  <c r="AE118" i="3"/>
  <c r="P310" i="3"/>
  <c r="S342" i="3"/>
  <c r="AF216" i="3"/>
  <c r="AF288" i="3"/>
  <c r="AC209" i="3"/>
  <c r="K385" i="3"/>
  <c r="AC1018" i="3"/>
  <c r="I310" i="3"/>
  <c r="AF248" i="3"/>
  <c r="Q285" i="3"/>
  <c r="AG180" i="3"/>
  <c r="K441" i="3"/>
  <c r="I355" i="3"/>
  <c r="K137" i="3"/>
  <c r="P116" i="3"/>
  <c r="AG274" i="3"/>
  <c r="P236" i="3"/>
  <c r="O387" i="3"/>
  <c r="O116" i="3"/>
  <c r="AD343" i="3"/>
  <c r="AH316" i="3"/>
  <c r="P146" i="3"/>
  <c r="N249" i="3"/>
  <c r="AF305" i="3"/>
  <c r="O351" i="3"/>
  <c r="Q265" i="3"/>
  <c r="AD374" i="3"/>
  <c r="O359" i="3"/>
  <c r="M194" i="3"/>
  <c r="AF329" i="3"/>
  <c r="AH302" i="3"/>
  <c r="N417" i="3"/>
  <c r="AE330" i="3"/>
  <c r="Q417" i="3"/>
  <c r="AH405" i="3"/>
  <c r="Q1048" i="3"/>
  <c r="U283" i="3"/>
  <c r="O195" i="3"/>
  <c r="S258" i="3"/>
  <c r="U187" i="3"/>
  <c r="Q293" i="3"/>
  <c r="AF440" i="3"/>
  <c r="S133" i="3"/>
  <c r="AD127" i="3"/>
  <c r="AC249" i="3"/>
  <c r="U329" i="3"/>
  <c r="AE369" i="3"/>
  <c r="K477" i="3"/>
  <c r="AG328" i="3"/>
  <c r="S1048" i="3"/>
  <c r="K112" i="3"/>
  <c r="AG196" i="3"/>
  <c r="S259" i="3"/>
  <c r="R347" i="3"/>
  <c r="AG252" i="3"/>
  <c r="U456" i="3"/>
  <c r="K133" i="3"/>
  <c r="AD176" i="3"/>
  <c r="M341" i="3"/>
  <c r="P249" i="3"/>
  <c r="S323" i="3"/>
  <c r="AG412" i="3"/>
  <c r="U432" i="3"/>
  <c r="I421" i="3"/>
  <c r="AC369" i="3"/>
  <c r="AH421" i="3"/>
  <c r="S294" i="3"/>
  <c r="P316" i="3"/>
  <c r="U441" i="3"/>
  <c r="AC393" i="3"/>
  <c r="P360" i="3"/>
  <c r="AF413" i="3"/>
  <c r="Q384" i="3"/>
  <c r="N460" i="3"/>
  <c r="AG303" i="3"/>
  <c r="Q381" i="3"/>
  <c r="P339" i="3"/>
  <c r="AD316" i="3"/>
  <c r="AC304" i="3"/>
  <c r="AG391" i="3"/>
  <c r="AG300" i="3"/>
  <c r="R400" i="3"/>
  <c r="N286" i="3"/>
  <c r="O290" i="3"/>
  <c r="AE337" i="3"/>
  <c r="R440" i="3"/>
  <c r="I251" i="3"/>
  <c r="P350" i="3"/>
  <c r="AF291" i="3"/>
  <c r="I146" i="3"/>
  <c r="Q286" i="3"/>
  <c r="AF352" i="3"/>
  <c r="P355" i="3"/>
  <c r="N1069" i="3"/>
  <c r="I172" i="3"/>
  <c r="K346" i="3"/>
  <c r="K131" i="3"/>
  <c r="N325" i="3"/>
  <c r="S386" i="3"/>
  <c r="S508" i="3"/>
  <c r="I158" i="3"/>
  <c r="N232" i="3"/>
  <c r="O274" i="3"/>
  <c r="R161" i="3"/>
  <c r="O341" i="3"/>
  <c r="AE336" i="3"/>
  <c r="AC204" i="3"/>
  <c r="S141" i="3"/>
  <c r="R110" i="3"/>
  <c r="AF273" i="3"/>
  <c r="N256" i="3"/>
  <c r="AF298" i="3"/>
  <c r="AD355" i="3"/>
  <c r="R321" i="3"/>
  <c r="Q174" i="3"/>
  <c r="AE258" i="3"/>
  <c r="AF156" i="3"/>
  <c r="AF188" i="3"/>
  <c r="Q259" i="3"/>
  <c r="S441" i="3"/>
  <c r="AH391" i="3"/>
  <c r="AF1062" i="3"/>
  <c r="AE207" i="3"/>
  <c r="Q288" i="3"/>
  <c r="M240" i="3"/>
  <c r="I272" i="3"/>
  <c r="R372" i="3"/>
  <c r="N220" i="3"/>
  <c r="AF133" i="3"/>
  <c r="U1018" i="3"/>
  <c r="AH252" i="3"/>
  <c r="P477" i="3"/>
  <c r="AF421" i="3"/>
  <c r="I260" i="3"/>
  <c r="O412" i="3"/>
  <c r="M461" i="3"/>
  <c r="K181" i="3"/>
  <c r="M150" i="3"/>
  <c r="S227" i="3"/>
  <c r="S1059" i="3"/>
  <c r="U314" i="3"/>
  <c r="AF392" i="3"/>
  <c r="AC324" i="3"/>
  <c r="S1091" i="3"/>
  <c r="AD202" i="3"/>
  <c r="AE108" i="3"/>
  <c r="P152" i="3"/>
  <c r="I432" i="3"/>
  <c r="N217" i="3"/>
  <c r="P432" i="3"/>
  <c r="K381" i="3"/>
  <c r="K1048" i="3"/>
  <c r="N326" i="3"/>
  <c r="AG253" i="3"/>
  <c r="AG325" i="3"/>
  <c r="K301" i="3"/>
  <c r="M404" i="3"/>
  <c r="AF332" i="3"/>
  <c r="M1034" i="3"/>
  <c r="R234" i="3"/>
  <c r="AF207" i="3"/>
  <c r="AF398" i="3"/>
  <c r="R392" i="3"/>
  <c r="P295" i="3"/>
  <c r="AG393" i="3"/>
  <c r="AC481" i="3"/>
  <c r="AG218" i="3"/>
  <c r="M128" i="3"/>
  <c r="AF274" i="3"/>
  <c r="S346" i="3"/>
  <c r="Q147" i="3"/>
  <c r="Q315" i="3"/>
  <c r="N440" i="3"/>
  <c r="N110" i="3"/>
  <c r="O1002" i="3"/>
  <c r="R350" i="3"/>
  <c r="K266" i="3"/>
  <c r="AG432" i="3"/>
  <c r="AD307" i="3"/>
  <c r="AF293" i="3"/>
  <c r="Q300" i="3"/>
  <c r="AE300" i="3"/>
  <c r="AC436" i="3"/>
  <c r="U373" i="3"/>
  <c r="AG359" i="3"/>
  <c r="I323" i="3"/>
  <c r="AH524" i="3"/>
  <c r="AD416" i="3"/>
  <c r="Q356" i="3"/>
  <c r="R380" i="3"/>
  <c r="AG405" i="3"/>
  <c r="S388" i="3"/>
  <c r="S316" i="3"/>
  <c r="Q465" i="3"/>
  <c r="K323" i="3"/>
  <c r="K456" i="3"/>
  <c r="O524" i="3"/>
  <c r="P335" i="3"/>
  <c r="AD433" i="3"/>
  <c r="O469" i="3"/>
  <c r="K343" i="3"/>
  <c r="S345" i="3"/>
  <c r="AG197" i="3"/>
  <c r="AC370" i="3"/>
  <c r="AC309" i="3"/>
  <c r="AE404" i="3"/>
  <c r="AH342" i="3"/>
  <c r="AF162" i="3"/>
  <c r="N176" i="3"/>
  <c r="K163" i="3"/>
  <c r="M398" i="3"/>
  <c r="AE228" i="3"/>
  <c r="U118" i="3"/>
  <c r="AG128" i="3"/>
  <c r="N167" i="3"/>
  <c r="S273" i="3"/>
  <c r="AF199" i="3"/>
  <c r="AE420" i="3"/>
  <c r="S153" i="3"/>
  <c r="N179" i="3"/>
  <c r="K576" i="3"/>
  <c r="AF151" i="3"/>
  <c r="AG259" i="3"/>
  <c r="U113" i="3"/>
  <c r="AG151" i="3"/>
  <c r="U333" i="3"/>
  <c r="K347" i="3"/>
  <c r="S344" i="3"/>
  <c r="AC168" i="3"/>
  <c r="AC322" i="3"/>
  <c r="O409" i="3"/>
  <c r="R393" i="3"/>
  <c r="AC303" i="3"/>
  <c r="AC166" i="3"/>
  <c r="AC127" i="3"/>
  <c r="AH175" i="3"/>
  <c r="S155" i="3"/>
  <c r="AH388" i="3"/>
  <c r="O303" i="3"/>
  <c r="K202" i="3"/>
  <c r="S206" i="3"/>
  <c r="O111" i="3"/>
  <c r="I493" i="3"/>
  <c r="N444" i="3"/>
  <c r="P328" i="3"/>
  <c r="Q178" i="3"/>
  <c r="N263" i="3"/>
  <c r="I213" i="3"/>
  <c r="AD224" i="3"/>
  <c r="AF342" i="3"/>
  <c r="AD368" i="3"/>
  <c r="AH377" i="3"/>
  <c r="Q134" i="3"/>
  <c r="AD1072" i="3"/>
  <c r="I1003" i="3"/>
  <c r="U298" i="3"/>
  <c r="AG184" i="3"/>
  <c r="AH224" i="3"/>
  <c r="U391" i="3"/>
  <c r="AD1003" i="3"/>
  <c r="AD240" i="3"/>
  <c r="R285" i="3"/>
  <c r="N327" i="3"/>
  <c r="AD365" i="3"/>
  <c r="O120" i="3"/>
  <c r="AH290" i="3"/>
  <c r="AF387" i="3"/>
  <c r="O165" i="3"/>
  <c r="R162" i="3"/>
  <c r="AF337" i="3"/>
  <c r="N284" i="3"/>
  <c r="AH281" i="3"/>
  <c r="S389" i="3"/>
  <c r="AH300" i="3"/>
  <c r="M246" i="3"/>
  <c r="K226" i="3"/>
  <c r="AH313" i="3"/>
  <c r="AF281" i="3"/>
  <c r="N337" i="3"/>
  <c r="AD364" i="3"/>
  <c r="U392" i="3"/>
  <c r="K1040" i="3"/>
  <c r="I262" i="3"/>
  <c r="O191" i="3"/>
  <c r="R242" i="3"/>
  <c r="S195" i="3"/>
  <c r="AF386" i="3"/>
  <c r="S408" i="3"/>
  <c r="Q103" i="3"/>
  <c r="Q322" i="3"/>
  <c r="I241" i="3"/>
  <c r="Q374" i="3"/>
  <c r="I469" i="3"/>
  <c r="M386" i="3"/>
  <c r="M365" i="3"/>
  <c r="AD247" i="3"/>
  <c r="AH112" i="3"/>
  <c r="M214" i="3"/>
  <c r="O378" i="3"/>
  <c r="AH298" i="3"/>
  <c r="I303" i="3"/>
  <c r="R369" i="3"/>
  <c r="U110" i="3"/>
  <c r="P180" i="3"/>
  <c r="AF301" i="3"/>
  <c r="AE357" i="3"/>
  <c r="AH375" i="3"/>
  <c r="AE441" i="3"/>
  <c r="AC352" i="3"/>
  <c r="AE461" i="3"/>
  <c r="P367" i="3"/>
  <c r="AD397" i="3"/>
  <c r="M576" i="3"/>
  <c r="Q395" i="3"/>
  <c r="I277" i="3"/>
  <c r="N385" i="3"/>
  <c r="AD209" i="3"/>
  <c r="AG413" i="3"/>
  <c r="Q372" i="3"/>
  <c r="K293" i="3"/>
  <c r="AG354" i="3"/>
  <c r="K290" i="3"/>
  <c r="P374" i="3"/>
  <c r="AF244" i="3"/>
  <c r="AF316" i="3"/>
  <c r="M369" i="3"/>
  <c r="AC408" i="3"/>
  <c r="AH155" i="3"/>
  <c r="AF195" i="3"/>
  <c r="U295" i="3"/>
  <c r="S324" i="3"/>
  <c r="AC113" i="3"/>
  <c r="AG107" i="3"/>
  <c r="AF341" i="3"/>
  <c r="AG249" i="3"/>
  <c r="R334" i="3"/>
  <c r="N295" i="3"/>
  <c r="Q444" i="3"/>
  <c r="R997" i="3"/>
  <c r="AE172" i="3"/>
  <c r="P252" i="3"/>
  <c r="M253" i="3"/>
  <c r="M303" i="3"/>
  <c r="AH365" i="3"/>
  <c r="AG395" i="3"/>
  <c r="AC173" i="3"/>
  <c r="AE178" i="3"/>
  <c r="AH318" i="3"/>
  <c r="N212" i="3"/>
  <c r="AE250" i="3"/>
  <c r="O256" i="3"/>
  <c r="AF428" i="3"/>
  <c r="U326" i="3"/>
  <c r="Q1062" i="3"/>
  <c r="U289" i="3"/>
  <c r="AG272" i="3"/>
  <c r="K209" i="3"/>
  <c r="P375" i="3"/>
  <c r="R229" i="3"/>
  <c r="O174" i="3"/>
  <c r="AG263" i="3"/>
  <c r="O152" i="3"/>
  <c r="AF184" i="3"/>
  <c r="AH243" i="3"/>
  <c r="N412" i="3"/>
  <c r="R324" i="3"/>
  <c r="U1002" i="3"/>
  <c r="AC279" i="3"/>
  <c r="N288" i="3"/>
  <c r="AD232" i="3"/>
  <c r="K256" i="3"/>
  <c r="AC335" i="3"/>
  <c r="Q204" i="3"/>
  <c r="Q133" i="3"/>
  <c r="P112" i="3"/>
  <c r="P212" i="3"/>
  <c r="O350" i="3"/>
  <c r="AE349" i="3"/>
  <c r="S302" i="3"/>
  <c r="R396" i="3"/>
  <c r="R363" i="3"/>
  <c r="S142" i="3"/>
  <c r="AG203" i="3"/>
  <c r="N1072" i="3"/>
  <c r="AF209" i="3"/>
  <c r="P281" i="3"/>
  <c r="AE261" i="3"/>
  <c r="AC456" i="3"/>
  <c r="AF394" i="3"/>
  <c r="AE996" i="3"/>
  <c r="Q132" i="3"/>
  <c r="I204" i="3"/>
  <c r="AH299" i="3"/>
  <c r="Q314" i="3"/>
  <c r="O347" i="3"/>
  <c r="S134" i="3"/>
  <c r="AD394" i="3"/>
  <c r="Q346" i="3"/>
  <c r="AD250" i="3"/>
  <c r="S291" i="3"/>
  <c r="U205" i="3"/>
  <c r="R368" i="3"/>
  <c r="I125" i="3"/>
  <c r="K115" i="3"/>
  <c r="AD271" i="3"/>
  <c r="AC1063" i="3"/>
  <c r="AD351" i="3"/>
  <c r="AH277" i="3"/>
  <c r="I377" i="3"/>
  <c r="R300" i="3"/>
  <c r="AH226" i="3"/>
  <c r="N124" i="3"/>
  <c r="N225" i="3"/>
  <c r="I425" i="3"/>
  <c r="K155" i="3"/>
  <c r="AD322" i="3"/>
  <c r="AF300" i="3"/>
  <c r="U114" i="3"/>
  <c r="P184" i="3"/>
  <c r="S201" i="3"/>
  <c r="Q257" i="3"/>
  <c r="AH386" i="3"/>
  <c r="K367" i="3"/>
  <c r="AF290" i="3"/>
  <c r="AC316" i="3"/>
  <c r="AC328" i="3"/>
  <c r="AD429" i="3"/>
  <c r="Q335" i="3"/>
  <c r="AH280" i="3"/>
  <c r="AE437" i="3"/>
  <c r="AG297" i="3"/>
  <c r="I386" i="3"/>
  <c r="O323" i="3"/>
  <c r="AD376" i="3"/>
  <c r="O236" i="3"/>
  <c r="N332" i="3"/>
  <c r="AF576" i="3"/>
  <c r="I364" i="3"/>
  <c r="Q391" i="3"/>
  <c r="K339" i="3"/>
  <c r="AH444" i="3"/>
  <c r="I392" i="3"/>
  <c r="Q344" i="3"/>
  <c r="K313" i="3"/>
  <c r="AH261" i="3"/>
  <c r="AD366" i="3"/>
  <c r="AH344" i="3"/>
  <c r="K193" i="3"/>
  <c r="AG119" i="3"/>
  <c r="AG171" i="3"/>
  <c r="I142" i="3"/>
  <c r="AE302" i="3"/>
  <c r="O405" i="3"/>
  <c r="AG460" i="3"/>
  <c r="AD997" i="3"/>
  <c r="R145" i="3"/>
  <c r="I350" i="3"/>
  <c r="Q277" i="3"/>
  <c r="AH417" i="3"/>
  <c r="R433" i="3"/>
  <c r="P395" i="3"/>
  <c r="K173" i="3"/>
  <c r="N166" i="3"/>
  <c r="O139" i="3"/>
  <c r="AH171" i="3"/>
  <c r="AF135" i="3"/>
  <c r="I255" i="3"/>
  <c r="AC401" i="3"/>
  <c r="AG388" i="3"/>
  <c r="N109" i="3"/>
  <c r="P110" i="3"/>
  <c r="Q243" i="3"/>
  <c r="Q123" i="3"/>
  <c r="AE346" i="3"/>
  <c r="AG396" i="3"/>
  <c r="AH336" i="3"/>
  <c r="AC122" i="3"/>
  <c r="M310" i="3"/>
  <c r="I280" i="3"/>
  <c r="I224" i="3"/>
  <c r="AE256" i="3"/>
  <c r="I433" i="3"/>
  <c r="AE133" i="3"/>
  <c r="I263" i="3"/>
  <c r="R213" i="3"/>
  <c r="P224" i="3"/>
  <c r="P332" i="3"/>
  <c r="AG188" i="3"/>
  <c r="M277" i="3"/>
  <c r="M189" i="3"/>
  <c r="AD108" i="3"/>
  <c r="R232" i="3"/>
  <c r="AE225" i="3"/>
  <c r="Q452" i="3"/>
  <c r="U285" i="3"/>
  <c r="AE128" i="3"/>
  <c r="AF335" i="3"/>
  <c r="M1000" i="3"/>
  <c r="P150" i="3"/>
  <c r="O362" i="3"/>
  <c r="AF306" i="3"/>
  <c r="U355" i="3"/>
  <c r="AG356" i="3"/>
  <c r="R332" i="3"/>
  <c r="AG146" i="3"/>
  <c r="AD198" i="3"/>
  <c r="AE284" i="3"/>
  <c r="U286" i="3"/>
  <c r="P336" i="3"/>
  <c r="Q269" i="3"/>
  <c r="O389" i="3"/>
  <c r="Q182" i="3"/>
  <c r="U262" i="3"/>
  <c r="O171" i="3"/>
  <c r="O203" i="3"/>
  <c r="AE376" i="3"/>
  <c r="Q220" i="3"/>
  <c r="K371" i="3"/>
  <c r="U394" i="3"/>
  <c r="N115" i="3"/>
  <c r="N370" i="3"/>
  <c r="S362" i="3"/>
  <c r="R436" i="3"/>
  <c r="K335" i="3"/>
  <c r="AF336" i="3"/>
  <c r="R445" i="3"/>
  <c r="K247" i="3"/>
  <c r="AG120" i="3"/>
  <c r="AG206" i="3"/>
  <c r="AE378" i="3"/>
  <c r="N298" i="3"/>
  <c r="R384" i="3"/>
  <c r="M347" i="3"/>
  <c r="AF1034" i="3"/>
  <c r="R180" i="3"/>
  <c r="M309" i="3"/>
  <c r="AD233" i="3"/>
  <c r="Q524" i="3"/>
  <c r="AF395" i="3"/>
  <c r="S436" i="3"/>
  <c r="I449" i="3"/>
  <c r="U311" i="3"/>
  <c r="S383" i="3"/>
  <c r="AE358" i="3"/>
  <c r="AD348" i="3"/>
  <c r="AH380" i="3"/>
  <c r="AE308" i="3"/>
  <c r="AF391" i="3"/>
  <c r="P376" i="3"/>
  <c r="AE355" i="3"/>
  <c r="K412" i="3"/>
  <c r="U261" i="3"/>
  <c r="AD354" i="3"/>
  <c r="AE405" i="3"/>
  <c r="P353" i="3"/>
  <c r="S300" i="3"/>
  <c r="S428" i="3"/>
  <c r="O343" i="3"/>
  <c r="Q324" i="3"/>
  <c r="M213" i="3"/>
  <c r="S400" i="3"/>
  <c r="S228" i="3"/>
  <c r="U157" i="3"/>
  <c r="I259" i="3"/>
  <c r="M322" i="3"/>
  <c r="R266" i="3"/>
  <c r="N248" i="3"/>
  <c r="S251" i="3"/>
  <c r="AD425" i="3"/>
  <c r="O383" i="3"/>
  <c r="I160" i="3"/>
  <c r="AF252" i="3"/>
  <c r="N297" i="3"/>
  <c r="M229" i="3"/>
  <c r="AE341" i="3"/>
  <c r="AE413" i="3"/>
  <c r="AF138" i="3"/>
  <c r="I162" i="3"/>
  <c r="K208" i="3"/>
  <c r="S287" i="3"/>
  <c r="AC162" i="3"/>
  <c r="AD280" i="3"/>
  <c r="O432" i="3"/>
  <c r="AG339" i="3"/>
  <c r="AH105" i="3"/>
  <c r="I110" i="3"/>
  <c r="Q221" i="3"/>
  <c r="AG232" i="3"/>
  <c r="P225" i="3"/>
  <c r="AD408" i="3"/>
  <c r="S377" i="3"/>
  <c r="AG118" i="3"/>
  <c r="AE263" i="3"/>
  <c r="AF164" i="3"/>
  <c r="AF196" i="3"/>
  <c r="AF103" i="3"/>
  <c r="M524" i="3"/>
  <c r="AG348" i="3"/>
  <c r="AF1002" i="3"/>
  <c r="AD102" i="3"/>
  <c r="M280" i="3"/>
  <c r="AG224" i="3"/>
  <c r="U248" i="3"/>
  <c r="O417" i="3"/>
  <c r="AF416" i="3"/>
  <c r="P262" i="3"/>
  <c r="I120" i="3"/>
  <c r="N164" i="3"/>
  <c r="Q237" i="3"/>
  <c r="AD592" i="3"/>
  <c r="S334" i="3"/>
  <c r="U331" i="3"/>
  <c r="AH369" i="3"/>
  <c r="O161" i="3"/>
  <c r="R154" i="3"/>
  <c r="AH263" i="3"/>
  <c r="N996" i="3"/>
  <c r="AE270" i="3"/>
  <c r="S404" i="3"/>
  <c r="N413" i="3"/>
  <c r="P238" i="3"/>
  <c r="R210" i="3"/>
  <c r="AH120" i="3"/>
  <c r="U164" i="3"/>
  <c r="O320" i="3"/>
  <c r="AD260" i="3"/>
  <c r="O339" i="3"/>
  <c r="AG186" i="3"/>
  <c r="P394" i="3"/>
  <c r="AC493" i="3"/>
  <c r="AF477" i="3"/>
  <c r="Q229" i="3"/>
  <c r="R359" i="3"/>
  <c r="AC465" i="3"/>
  <c r="AC394" i="3"/>
  <c r="AH103" i="3"/>
  <c r="O258" i="3"/>
  <c r="AC1072" i="3"/>
  <c r="AE388" i="3"/>
  <c r="AE303" i="3"/>
  <c r="I358" i="3"/>
  <c r="U270" i="3"/>
  <c r="R428" i="3"/>
  <c r="R218" i="3"/>
  <c r="AG132" i="3"/>
  <c r="K172" i="3"/>
  <c r="AH275" i="3"/>
  <c r="O159" i="3"/>
  <c r="AE367" i="3"/>
  <c r="Q508" i="3"/>
  <c r="M262" i="3"/>
  <c r="P192" i="3"/>
  <c r="AE259" i="3"/>
  <c r="AC266" i="3"/>
  <c r="AF384" i="3"/>
  <c r="AG327" i="3"/>
  <c r="R290" i="3"/>
  <c r="AC433" i="3"/>
  <c r="I429" i="3"/>
  <c r="AD432" i="3"/>
  <c r="AG349" i="3"/>
  <c r="AG350" i="3"/>
  <c r="K365" i="3"/>
  <c r="AF376" i="3"/>
  <c r="AG416" i="3"/>
  <c r="AG261" i="3"/>
  <c r="K400" i="3"/>
  <c r="AD449" i="3"/>
  <c r="Q413" i="3"/>
  <c r="N404" i="3"/>
  <c r="I404" i="3"/>
  <c r="S445" i="3"/>
  <c r="O237" i="3"/>
  <c r="R376" i="3"/>
  <c r="Q276" i="3"/>
  <c r="AD372" i="3"/>
  <c r="O304" i="3"/>
  <c r="AC260" i="3"/>
  <c r="AD121" i="3"/>
  <c r="S424" i="3"/>
  <c r="AD103" i="3"/>
  <c r="O1091" i="3"/>
  <c r="M208" i="3"/>
  <c r="Q219" i="3"/>
  <c r="AC235" i="3"/>
  <c r="AC996" i="3"/>
  <c r="I352" i="3"/>
  <c r="S255" i="3"/>
  <c r="AD171" i="3"/>
  <c r="M383" i="3"/>
  <c r="I171" i="3"/>
  <c r="M265" i="3"/>
  <c r="AF211" i="3"/>
  <c r="I408" i="3"/>
  <c r="AH165" i="3"/>
  <c r="Q260" i="3"/>
  <c r="AF365" i="3"/>
  <c r="U228" i="3"/>
  <c r="U266" i="3"/>
  <c r="AE117" i="3"/>
  <c r="S163" i="3"/>
  <c r="M227" i="3"/>
  <c r="AH364" i="3"/>
  <c r="I1046" i="3"/>
  <c r="AC176" i="3"/>
  <c r="AC229" i="3"/>
  <c r="AC420" i="3"/>
  <c r="K452" i="3"/>
  <c r="AH130" i="3"/>
  <c r="AC170" i="3"/>
  <c r="K143" i="3"/>
  <c r="AF150" i="3"/>
  <c r="AH240" i="3"/>
  <c r="AC460" i="3"/>
  <c r="K215" i="3"/>
  <c r="S218" i="3"/>
  <c r="N222" i="3"/>
  <c r="O119" i="3"/>
  <c r="AC275" i="3"/>
  <c r="N367" i="3"/>
  <c r="AE277" i="3"/>
  <c r="K122" i="3"/>
  <c r="N271" i="3"/>
  <c r="S288" i="3"/>
  <c r="N208" i="3"/>
  <c r="N272" i="3"/>
  <c r="AE397" i="3"/>
  <c r="AG133" i="3"/>
  <c r="K158" i="3"/>
  <c r="N342" i="3"/>
  <c r="K216" i="3"/>
  <c r="P348" i="3"/>
  <c r="U413" i="3"/>
  <c r="M331" i="3"/>
  <c r="AC197" i="3"/>
  <c r="R104" i="3"/>
  <c r="AC224" i="3"/>
  <c r="Q287" i="3"/>
  <c r="P440" i="3"/>
  <c r="K460" i="3"/>
  <c r="R132" i="3"/>
  <c r="I393" i="3"/>
  <c r="AD1069" i="3"/>
  <c r="P154" i="3"/>
  <c r="AG241" i="3"/>
  <c r="AF338" i="3"/>
  <c r="P391" i="3"/>
  <c r="K289" i="3"/>
  <c r="K393" i="3"/>
  <c r="AH138" i="3"/>
  <c r="M202" i="3"/>
  <c r="AG269" i="3"/>
  <c r="AE294" i="3"/>
  <c r="N381" i="3"/>
  <c r="AE159" i="3"/>
  <c r="U420" i="3"/>
  <c r="K369" i="3"/>
  <c r="I231" i="3"/>
  <c r="O167" i="3"/>
  <c r="O199" i="3"/>
  <c r="Q349" i="3"/>
  <c r="AD204" i="3"/>
  <c r="N391" i="3"/>
  <c r="AE215" i="3"/>
  <c r="Q107" i="3"/>
  <c r="S325" i="3"/>
  <c r="AE366" i="3"/>
  <c r="AE398" i="3"/>
  <c r="AC425" i="3"/>
  <c r="AH360" i="3"/>
  <c r="O363" i="3"/>
  <c r="U218" i="3"/>
  <c r="Q116" i="3"/>
  <c r="AD235" i="3"/>
  <c r="AD341" i="3"/>
  <c r="AG285" i="3"/>
  <c r="S292" i="3"/>
  <c r="O429" i="3"/>
  <c r="AD168" i="3"/>
  <c r="AH409" i="3"/>
  <c r="S249" i="3"/>
  <c r="S328" i="3"/>
  <c r="AC311" i="3"/>
  <c r="Q327" i="3"/>
  <c r="I413" i="3"/>
  <c r="U401" i="3"/>
  <c r="M481" i="3"/>
  <c r="AH324" i="3"/>
  <c r="AF373" i="3"/>
  <c r="AD312" i="3"/>
  <c r="AD375" i="3"/>
  <c r="AG386" i="3"/>
  <c r="U389" i="3"/>
  <c r="Q405" i="3"/>
  <c r="O385" i="3"/>
  <c r="Q383" i="3"/>
  <c r="AF348" i="3"/>
  <c r="AE524" i="3"/>
  <c r="Q441" i="3"/>
  <c r="AG204" i="3"/>
  <c r="O441" i="3"/>
  <c r="P363" i="3"/>
  <c r="I368" i="3"/>
  <c r="AH361" i="3"/>
  <c r="I324" i="3"/>
  <c r="Q241" i="3"/>
  <c r="P364" i="3"/>
  <c r="U117" i="3"/>
  <c r="S111" i="3"/>
  <c r="AF309" i="3"/>
  <c r="AC165" i="3"/>
  <c r="R302" i="3"/>
  <c r="AD323" i="3"/>
  <c r="I400" i="3"/>
  <c r="S267" i="3"/>
  <c r="AE176" i="3"/>
  <c r="R212" i="3"/>
  <c r="R237" i="3"/>
  <c r="AF250" i="3"/>
  <c r="M340" i="3"/>
  <c r="AH373" i="3"/>
  <c r="M173" i="3"/>
  <c r="AE182" i="3"/>
  <c r="P274" i="3"/>
  <c r="U382" i="3"/>
  <c r="U370" i="3"/>
  <c r="M248" i="3"/>
  <c r="I382" i="3"/>
  <c r="AC145" i="3"/>
  <c r="K1002" i="3"/>
  <c r="AE265" i="3"/>
  <c r="AE240" i="3"/>
  <c r="K285" i="3"/>
  <c r="S301" i="3"/>
  <c r="AF436" i="3"/>
  <c r="S114" i="3"/>
  <c r="AG271" i="3"/>
  <c r="AF160" i="3"/>
  <c r="AF192" i="3"/>
  <c r="N378" i="3"/>
  <c r="AG380" i="3"/>
  <c r="AE465" i="3"/>
  <c r="AC258" i="3"/>
  <c r="AD265" i="3"/>
  <c r="AD272" i="3"/>
  <c r="Q387" i="3"/>
  <c r="AC240" i="3"/>
  <c r="AG421" i="3"/>
  <c r="AD189" i="3"/>
  <c r="AD104" i="3"/>
  <c r="AC298" i="3"/>
  <c r="P382" i="3"/>
  <c r="O437" i="3"/>
  <c r="AG524" i="3"/>
  <c r="AF278" i="3"/>
  <c r="AE276" i="3"/>
  <c r="M1069" i="3"/>
  <c r="S166" i="3"/>
  <c r="R219" i="3"/>
  <c r="U1088" i="3"/>
  <c r="AH204" i="3"/>
  <c r="AG461" i="3"/>
  <c r="P304" i="3"/>
  <c r="Q138" i="3"/>
  <c r="Q326" i="3"/>
  <c r="AG1003" i="3"/>
  <c r="K144" i="3"/>
  <c r="AD392" i="3"/>
  <c r="AD269" i="3"/>
  <c r="AD303" i="3"/>
  <c r="AD424" i="3"/>
  <c r="Q1056" i="3"/>
  <c r="AD215" i="3"/>
  <c r="Q297" i="3"/>
  <c r="U341" i="3"/>
  <c r="AD266" i="3"/>
  <c r="AG457" i="3"/>
  <c r="AC368" i="3"/>
  <c r="I129" i="3"/>
  <c r="K119" i="3"/>
  <c r="AF310" i="3"/>
  <c r="O996" i="3"/>
  <c r="AG424" i="3"/>
  <c r="AH276" i="3"/>
  <c r="P437" i="3"/>
  <c r="AG1048" i="3"/>
  <c r="AH108" i="3"/>
  <c r="AD216" i="3"/>
  <c r="I292" i="3"/>
  <c r="AE393" i="3"/>
  <c r="O163" i="3"/>
  <c r="AC307" i="3"/>
  <c r="Q129" i="3"/>
  <c r="AD172" i="3"/>
  <c r="U346" i="3"/>
  <c r="N409" i="3"/>
  <c r="AE440" i="3"/>
  <c r="AF388" i="3"/>
  <c r="O316" i="3"/>
  <c r="S322" i="3"/>
  <c r="M292" i="3"/>
  <c r="N300" i="3"/>
  <c r="AD321" i="3"/>
  <c r="AD344" i="3"/>
  <c r="I452" i="3"/>
  <c r="O340" i="3"/>
  <c r="U344" i="3"/>
  <c r="U412" i="3"/>
  <c r="AH332" i="3"/>
  <c r="U364" i="3"/>
  <c r="N316" i="3"/>
  <c r="U444" i="3"/>
  <c r="I300" i="3"/>
  <c r="S364" i="3"/>
  <c r="R386" i="3"/>
  <c r="S417" i="3"/>
  <c r="AF368" i="3"/>
  <c r="K389" i="3"/>
  <c r="I380" i="3"/>
  <c r="P273" i="3"/>
  <c r="Q303" i="3"/>
  <c r="O284" i="3"/>
  <c r="AE153" i="3"/>
  <c r="N238" i="3"/>
  <c r="U127" i="3"/>
  <c r="S183" i="3"/>
  <c r="AE272" i="3"/>
  <c r="R287" i="3"/>
  <c r="K379" i="3"/>
  <c r="U319" i="3"/>
  <c r="K267" i="3"/>
  <c r="K157" i="3"/>
  <c r="O214" i="3"/>
  <c r="R115" i="3"/>
  <c r="P257" i="3"/>
  <c r="AG371" i="3"/>
  <c r="AE416" i="3"/>
  <c r="N154" i="3"/>
  <c r="AF115" i="3"/>
  <c r="P143" i="3"/>
  <c r="O328" i="3"/>
  <c r="U147" i="3"/>
  <c r="S208" i="3"/>
  <c r="N304" i="3"/>
  <c r="U215" i="3"/>
  <c r="K1062" i="3"/>
  <c r="U172" i="3"/>
  <c r="AG378" i="3"/>
  <c r="AF452" i="3"/>
  <c r="I346" i="3"/>
  <c r="P379" i="3"/>
  <c r="AG165" i="3"/>
  <c r="AF271" i="3"/>
  <c r="O273" i="3"/>
  <c r="U256" i="3"/>
  <c r="AF481" i="3"/>
  <c r="N363" i="3"/>
  <c r="Q320" i="3"/>
  <c r="M121" i="3"/>
  <c r="I271" i="3"/>
  <c r="O296" i="3"/>
  <c r="AC255" i="3"/>
  <c r="U428" i="3"/>
  <c r="U421" i="3"/>
  <c r="P320" i="3"/>
  <c r="P173" i="3"/>
  <c r="R112" i="3"/>
  <c r="M216" i="3"/>
  <c r="AD292" i="3"/>
  <c r="I313" i="3"/>
  <c r="P315" i="3"/>
  <c r="R136" i="3"/>
  <c r="M311" i="3"/>
  <c r="AD185" i="3"/>
  <c r="AD150" i="3"/>
  <c r="R366" i="3"/>
  <c r="O299" i="3"/>
  <c r="AC278" i="3"/>
  <c r="I216" i="3"/>
  <c r="M244" i="3"/>
  <c r="I1030" i="3"/>
  <c r="R202" i="3"/>
  <c r="K333" i="3"/>
  <c r="O278" i="3"/>
  <c r="AE343" i="3"/>
  <c r="N405" i="3"/>
  <c r="R360" i="3"/>
  <c r="K126" i="3"/>
  <c r="M394" i="3"/>
  <c r="O179" i="3"/>
  <c r="AE219" i="3"/>
  <c r="AG163" i="3"/>
  <c r="AC445" i="3"/>
  <c r="S376" i="3"/>
  <c r="AH239" i="3"/>
  <c r="N119" i="3"/>
  <c r="R291" i="3"/>
  <c r="N357" i="3"/>
  <c r="AE444" i="3"/>
  <c r="AE297" i="3"/>
  <c r="AH311" i="3"/>
  <c r="AC379" i="3"/>
  <c r="U210" i="3"/>
  <c r="R124" i="3"/>
  <c r="AF222" i="3"/>
  <c r="AE409" i="3"/>
  <c r="S274" i="3"/>
  <c r="AF360" i="3"/>
  <c r="K388" i="3"/>
  <c r="O106" i="3"/>
  <c r="K184" i="3"/>
  <c r="AE282" i="3"/>
  <c r="AD345" i="3"/>
  <c r="AG220" i="3"/>
  <c r="AF256" i="3"/>
  <c r="AG449" i="3"/>
  <c r="R352" i="3"/>
  <c r="K469" i="3"/>
  <c r="AG384" i="3"/>
  <c r="N428" i="3"/>
  <c r="I390" i="3"/>
  <c r="M327" i="3"/>
  <c r="S387" i="3"/>
  <c r="N277" i="3"/>
  <c r="AF592" i="3"/>
  <c r="O369" i="3"/>
  <c r="AC377" i="3"/>
  <c r="R390" i="3"/>
  <c r="AG217" i="3"/>
  <c r="AF312" i="3"/>
  <c r="P244" i="3"/>
  <c r="Q400" i="3"/>
  <c r="K356" i="3"/>
  <c r="N347" i="3"/>
  <c r="AD231" i="3"/>
  <c r="AG152" i="3"/>
  <c r="O170" i="3"/>
  <c r="AG366" i="3"/>
  <c r="AG125" i="3"/>
  <c r="I295" i="3"/>
  <c r="R370" i="3"/>
  <c r="N257" i="3"/>
  <c r="Q361" i="3"/>
  <c r="M259" i="3"/>
  <c r="K437" i="3"/>
  <c r="AD1013" i="3"/>
  <c r="I164" i="3"/>
  <c r="M236" i="3"/>
  <c r="AD245" i="3"/>
  <c r="U201" i="3"/>
  <c r="K424" i="3"/>
  <c r="P381" i="3"/>
  <c r="I254" i="3"/>
  <c r="I166" i="3"/>
  <c r="N353" i="3"/>
  <c r="AE236" i="3"/>
  <c r="R201" i="3"/>
  <c r="S264" i="3"/>
  <c r="M332" i="3"/>
  <c r="AD440" i="3"/>
  <c r="AH109" i="3"/>
  <c r="P114" i="3"/>
  <c r="M205" i="3"/>
  <c r="R208" i="3"/>
  <c r="K292" i="3"/>
  <c r="P385" i="3"/>
  <c r="AH400" i="3"/>
  <c r="R227" i="3"/>
  <c r="R140" i="3"/>
  <c r="AF172" i="3"/>
  <c r="AF362" i="3"/>
  <c r="AF111" i="3"/>
  <c r="K420" i="3"/>
  <c r="N133" i="3"/>
  <c r="O279" i="3"/>
  <c r="N221" i="3"/>
  <c r="R264" i="3"/>
  <c r="AD304" i="3"/>
  <c r="I232" i="3"/>
  <c r="P343" i="3"/>
  <c r="AC193" i="3"/>
  <c r="P283" i="3"/>
  <c r="AH285" i="3"/>
  <c r="U275" i="3"/>
  <c r="AD367" i="3"/>
  <c r="AD324" i="3"/>
  <c r="AC294" i="3"/>
  <c r="O307" i="3"/>
  <c r="O381" i="3"/>
  <c r="AF165" i="3"/>
  <c r="AE158" i="3"/>
  <c r="U207" i="3"/>
  <c r="S1003" i="3"/>
  <c r="S281" i="3"/>
  <c r="AH460" i="3"/>
  <c r="AC349" i="3"/>
  <c r="AD246" i="3"/>
  <c r="AC218" i="3"/>
  <c r="K128" i="3"/>
  <c r="U184" i="3"/>
  <c r="R322" i="3"/>
  <c r="O319" i="3"/>
  <c r="O353" i="3"/>
  <c r="U126" i="3"/>
  <c r="O215" i="3"/>
  <c r="M275" i="3"/>
  <c r="O201" i="3"/>
  <c r="O309" i="3"/>
  <c r="R388" i="3"/>
  <c r="N389" i="3"/>
  <c r="Q239" i="3"/>
  <c r="AH107" i="3"/>
  <c r="M263" i="3"/>
  <c r="U1059" i="3"/>
  <c r="K373" i="3"/>
  <c r="AG404" i="3"/>
  <c r="S209" i="3"/>
  <c r="O315" i="3"/>
  <c r="AE1056" i="3"/>
  <c r="AC120" i="3"/>
  <c r="AE208" i="3"/>
  <c r="K252" i="3"/>
  <c r="N432" i="3"/>
  <c r="AD319" i="3"/>
  <c r="AC351" i="3"/>
  <c r="O133" i="3"/>
  <c r="M283" i="3"/>
  <c r="P425" i="3"/>
  <c r="I341" i="3"/>
  <c r="P356" i="3"/>
  <c r="AF389" i="3"/>
  <c r="AF261" i="3"/>
  <c r="R377" i="3"/>
  <c r="AG420" i="3"/>
  <c r="M401" i="3"/>
  <c r="AD393" i="3"/>
  <c r="O300" i="3"/>
  <c r="Q461" i="3"/>
  <c r="AD576" i="3"/>
  <c r="AF424" i="3"/>
  <c r="AE481" i="3"/>
  <c r="I576" i="3"/>
  <c r="AE508" i="3"/>
  <c r="U356" i="3"/>
  <c r="AH351" i="3"/>
  <c r="N441" i="3"/>
  <c r="N508" i="3"/>
  <c r="AE323" i="3"/>
  <c r="AE456" i="3"/>
  <c r="AD428" i="3"/>
  <c r="AH392" i="3"/>
  <c r="AG400" i="3"/>
  <c r="P349" i="3"/>
  <c r="H15" i="2" l="1"/>
  <c r="O14" i="2"/>
  <c r="B926" i="3"/>
  <c r="F967" i="3"/>
  <c r="B969" i="3"/>
  <c r="B958" i="3"/>
  <c r="B985" i="3"/>
  <c r="B902" i="3"/>
  <c r="B909" i="3"/>
  <c r="F979" i="3"/>
  <c r="F926" i="3"/>
  <c r="F918" i="3"/>
  <c r="F992" i="3"/>
  <c r="F991" i="3"/>
  <c r="F975" i="3"/>
  <c r="B941" i="3"/>
  <c r="B934" i="3"/>
  <c r="F950" i="3"/>
  <c r="B949" i="3"/>
  <c r="F982" i="3"/>
  <c r="B918" i="3"/>
  <c r="B962" i="3"/>
  <c r="B957" i="3"/>
  <c r="B901" i="3"/>
  <c r="F954" i="3"/>
  <c r="F930" i="3"/>
  <c r="F910" i="3"/>
  <c r="F937" i="3"/>
  <c r="F987" i="3"/>
  <c r="B989" i="3"/>
  <c r="B1053" i="3"/>
  <c r="B913" i="3"/>
  <c r="B933" i="3"/>
  <c r="F963" i="3"/>
  <c r="B925" i="3"/>
  <c r="F958" i="3"/>
  <c r="B905" i="3"/>
  <c r="B981" i="3"/>
  <c r="B974" i="3"/>
  <c r="B966" i="3"/>
  <c r="B977" i="3"/>
  <c r="F906" i="3"/>
  <c r="F983" i="3"/>
  <c r="B970" i="3"/>
  <c r="B906" i="3"/>
  <c r="F966" i="3"/>
  <c r="B961" i="3"/>
  <c r="F953" i="3"/>
  <c r="F942" i="3"/>
  <c r="F902" i="3"/>
  <c r="F990" i="3"/>
  <c r="B945" i="3"/>
  <c r="B978" i="3"/>
  <c r="F943" i="3"/>
  <c r="B898" i="3"/>
  <c r="B982" i="3"/>
  <c r="B990" i="3"/>
  <c r="B973" i="3"/>
  <c r="B938" i="3"/>
  <c r="F934" i="3"/>
  <c r="B910" i="3"/>
  <c r="B917" i="3"/>
  <c r="B946" i="3"/>
  <c r="B921" i="3"/>
  <c r="F959" i="3"/>
  <c r="F984" i="3"/>
  <c r="B950" i="3"/>
  <c r="B942" i="3"/>
  <c r="B914" i="3"/>
  <c r="F922" i="3"/>
  <c r="B929" i="3"/>
  <c r="B897" i="3"/>
  <c r="F946" i="3"/>
  <c r="B965" i="3"/>
  <c r="F974" i="3"/>
  <c r="F978" i="3"/>
  <c r="B953" i="3"/>
  <c r="F980" i="3"/>
  <c r="B930" i="3"/>
  <c r="F948" i="3"/>
  <c r="B937" i="3"/>
  <c r="F968" i="3"/>
  <c r="F894" i="3"/>
  <c r="F962" i="3"/>
  <c r="F965" i="3"/>
  <c r="F971" i="3"/>
  <c r="F986" i="3"/>
  <c r="K14" i="2"/>
  <c r="L13" i="2"/>
  <c r="H16" i="2" l="1"/>
  <c r="O15" i="2"/>
  <c r="B1049" i="3"/>
  <c r="B1057" i="3"/>
  <c r="B1045" i="3"/>
  <c r="B1041" i="3"/>
  <c r="L14" i="2"/>
  <c r="K15" i="2"/>
  <c r="H17" i="2" l="1"/>
  <c r="O16" i="2"/>
  <c r="L15" i="2"/>
  <c r="K16" i="2"/>
  <c r="K17" i="2" l="1"/>
  <c r="L16" i="2"/>
  <c r="AG594" i="3"/>
  <c r="E86" i="1"/>
  <c r="AH644" i="3"/>
  <c r="U663" i="3"/>
  <c r="AE664" i="3"/>
  <c r="AE780" i="3"/>
  <c r="R636" i="3"/>
  <c r="AH900" i="3"/>
  <c r="M565" i="3"/>
  <c r="K572" i="3"/>
  <c r="F109" i="1"/>
  <c r="R496" i="3"/>
  <c r="P731" i="3"/>
  <c r="K824" i="3"/>
  <c r="U851" i="3"/>
  <c r="O559" i="3"/>
  <c r="N565" i="3"/>
  <c r="AC595" i="3"/>
  <c r="AE742" i="3"/>
  <c r="U613" i="3"/>
  <c r="N532" i="3"/>
  <c r="Q764" i="3"/>
  <c r="AH574" i="3"/>
  <c r="K488" i="3"/>
  <c r="O403" i="3"/>
  <c r="Q709" i="3"/>
  <c r="K518" i="3"/>
  <c r="I760" i="3"/>
  <c r="Q833" i="3"/>
  <c r="AH932" i="3"/>
  <c r="U684" i="3"/>
  <c r="I547" i="3"/>
  <c r="P570" i="3"/>
  <c r="AE681" i="3"/>
  <c r="I670" i="3"/>
  <c r="AG656" i="3"/>
  <c r="I594" i="3"/>
  <c r="I798" i="3"/>
  <c r="AE542" i="3"/>
  <c r="F93" i="1"/>
  <c r="P726" i="3"/>
  <c r="AE649" i="3"/>
  <c r="I588" i="3"/>
  <c r="N637" i="3"/>
  <c r="S797" i="3"/>
  <c r="S575" i="3"/>
  <c r="U623" i="3"/>
  <c r="Q466" i="3"/>
  <c r="Q656" i="3"/>
  <c r="U721" i="3"/>
  <c r="K642" i="3"/>
  <c r="R463" i="3"/>
  <c r="AH863" i="3"/>
  <c r="Q526" i="3"/>
  <c r="G26" i="1"/>
  <c r="P626" i="3"/>
  <c r="AG629" i="3"/>
  <c r="AF690" i="3"/>
  <c r="N668" i="3"/>
  <c r="S720" i="3"/>
  <c r="S453" i="3"/>
  <c r="AC447" i="3"/>
  <c r="I536" i="3"/>
  <c r="AF695" i="3"/>
  <c r="N430" i="3"/>
  <c r="K716" i="3"/>
  <c r="AD779" i="3"/>
  <c r="AF717" i="3"/>
  <c r="S410" i="3"/>
  <c r="O500" i="3"/>
  <c r="AG561" i="3"/>
  <c r="R545" i="3"/>
  <c r="Q607" i="3"/>
  <c r="M704" i="3"/>
  <c r="M776" i="3"/>
  <c r="AD838" i="3"/>
  <c r="K594" i="3"/>
  <c r="AC487" i="3"/>
  <c r="S705" i="3"/>
  <c r="AH609" i="3"/>
  <c r="AC821" i="3"/>
  <c r="S588" i="3"/>
  <c r="Q708" i="3"/>
  <c r="AE572" i="3"/>
  <c r="G51" i="1"/>
  <c r="AD658" i="3"/>
  <c r="R702" i="3"/>
  <c r="N471" i="3"/>
  <c r="Q503" i="3"/>
  <c r="AF669" i="3"/>
  <c r="H24" i="1"/>
  <c r="K631" i="3"/>
  <c r="AC615" i="3"/>
  <c r="S940" i="3"/>
  <c r="U570" i="3"/>
  <c r="O454" i="3"/>
  <c r="AH690" i="3"/>
  <c r="H61" i="1"/>
  <c r="M492" i="3"/>
  <c r="AC784" i="3"/>
  <c r="AE797" i="3"/>
  <c r="N503" i="3"/>
  <c r="AD515" i="3"/>
  <c r="K491" i="3"/>
  <c r="N585" i="3"/>
  <c r="AF729" i="3"/>
  <c r="AH832" i="3"/>
  <c r="M821" i="3"/>
  <c r="I912" i="3"/>
  <c r="I458" i="3"/>
  <c r="O474" i="3"/>
  <c r="R497" i="3"/>
  <c r="K713" i="3"/>
  <c r="D67" i="1"/>
  <c r="P673" i="3"/>
  <c r="R789" i="3"/>
  <c r="G22" i="1"/>
  <c r="AC889" i="3"/>
  <c r="AC571" i="3"/>
  <c r="AF560" i="3"/>
  <c r="M605" i="3"/>
  <c r="R639" i="3"/>
  <c r="AD768" i="3"/>
  <c r="S645" i="3"/>
  <c r="R895" i="3"/>
  <c r="S545" i="3"/>
  <c r="K643" i="3"/>
  <c r="P746" i="3"/>
  <c r="P557" i="3"/>
  <c r="U794" i="3"/>
  <c r="S829" i="3"/>
  <c r="M825" i="3"/>
  <c r="AH519" i="3"/>
  <c r="P567" i="3"/>
  <c r="AF588" i="3"/>
  <c r="AD645" i="3"/>
  <c r="AD676" i="3"/>
  <c r="AC759" i="3"/>
  <c r="U776" i="3"/>
  <c r="O623" i="3"/>
  <c r="AH476" i="3"/>
  <c r="AC570" i="3"/>
  <c r="N597" i="3"/>
  <c r="O406" i="3"/>
  <c r="U711" i="3"/>
  <c r="AD640" i="3"/>
  <c r="U666" i="3"/>
  <c r="U483" i="3"/>
  <c r="Q439" i="3"/>
  <c r="AG548" i="3"/>
  <c r="E64" i="1"/>
  <c r="AG865" i="3"/>
  <c r="AG739" i="3"/>
  <c r="AF884" i="3"/>
  <c r="AH689" i="3"/>
  <c r="Q691" i="3"/>
  <c r="AE648" i="3"/>
  <c r="K688" i="3"/>
  <c r="K762" i="3"/>
  <c r="AG836" i="3"/>
  <c r="P861" i="3"/>
  <c r="F69" i="1"/>
  <c r="AG459" i="3"/>
  <c r="H63" i="1"/>
  <c r="AH610" i="3"/>
  <c r="P688" i="3"/>
  <c r="U768" i="3"/>
  <c r="I657" i="3"/>
  <c r="P827" i="3"/>
  <c r="AG586" i="3"/>
  <c r="S507" i="3"/>
  <c r="I661" i="3"/>
  <c r="AD651" i="3"/>
  <c r="O770" i="3"/>
  <c r="K735" i="3"/>
  <c r="K809" i="3"/>
  <c r="AD773" i="3"/>
  <c r="U438" i="3"/>
  <c r="S713" i="3"/>
  <c r="K649" i="3"/>
  <c r="AF774" i="3"/>
  <c r="F60" i="1"/>
  <c r="AG720" i="3"/>
  <c r="K516" i="3"/>
  <c r="S447" i="3"/>
  <c r="R577" i="3"/>
  <c r="AH718" i="3"/>
  <c r="AC622" i="3"/>
  <c r="M543" i="3"/>
  <c r="S719" i="3"/>
  <c r="U423" i="3"/>
  <c r="M552" i="3"/>
  <c r="AG568" i="3"/>
  <c r="AE526" i="3"/>
  <c r="AF677" i="3"/>
  <c r="N589" i="3"/>
  <c r="AH790" i="3"/>
  <c r="AF838" i="3"/>
  <c r="AE675" i="3"/>
  <c r="K555" i="3"/>
  <c r="R734" i="3"/>
  <c r="AD567" i="3"/>
  <c r="Q575" i="3"/>
  <c r="K785" i="3"/>
  <c r="U1055" i="3"/>
  <c r="H29" i="1"/>
  <c r="AE549" i="3"/>
  <c r="Q608" i="3"/>
  <c r="U758" i="3"/>
  <c r="AD636" i="3"/>
  <c r="AG797" i="3"/>
  <c r="S856" i="3"/>
  <c r="R606" i="3"/>
  <c r="AH474" i="3"/>
  <c r="P414" i="3"/>
  <c r="G104" i="1"/>
  <c r="U526" i="3"/>
  <c r="R988" i="3"/>
  <c r="M580" i="3"/>
  <c r="U923" i="3"/>
  <c r="G69" i="1"/>
  <c r="I622" i="3"/>
  <c r="N623" i="3"/>
  <c r="N638" i="3"/>
  <c r="AD832" i="3"/>
  <c r="Q793" i="3"/>
  <c r="P786" i="3"/>
  <c r="I399" i="3"/>
  <c r="Q512" i="3"/>
  <c r="N619" i="3"/>
  <c r="AC701" i="3"/>
  <c r="G97" i="1"/>
  <c r="G45" i="1"/>
  <c r="S861" i="3"/>
  <c r="N552" i="3"/>
  <c r="D116" i="1"/>
  <c r="F72" i="1"/>
  <c r="S734" i="3"/>
  <c r="P657" i="3"/>
  <c r="AD728" i="3"/>
  <c r="M751" i="3"/>
  <c r="I899" i="3"/>
  <c r="G68" i="1"/>
  <c r="N442" i="3"/>
  <c r="U805" i="3"/>
  <c r="AC642" i="3"/>
  <c r="H102" i="1"/>
  <c r="S399" i="3"/>
  <c r="Q912" i="3"/>
  <c r="K932" i="3"/>
  <c r="R580" i="3"/>
  <c r="AF649" i="3"/>
  <c r="AE599" i="3"/>
  <c r="AC794" i="3"/>
  <c r="AH796" i="3"/>
  <c r="AD853" i="3"/>
  <c r="AD464" i="3"/>
  <c r="N443" i="3"/>
  <c r="G67" i="1"/>
  <c r="O730" i="3"/>
  <c r="AF705" i="3"/>
  <c r="K988" i="3"/>
  <c r="AF751" i="3"/>
  <c r="I631" i="3"/>
  <c r="AC434" i="3"/>
  <c r="AE618" i="3"/>
  <c r="Q644" i="3"/>
  <c r="P705" i="3"/>
  <c r="S764" i="3"/>
  <c r="AE639" i="3"/>
  <c r="AE907" i="3"/>
  <c r="AH516" i="3"/>
  <c r="AG588" i="3"/>
  <c r="AF529" i="3"/>
  <c r="S690" i="3"/>
  <c r="R632" i="3"/>
  <c r="P740" i="3"/>
  <c r="AG745" i="3"/>
  <c r="I451" i="3"/>
  <c r="M516" i="3"/>
  <c r="N544" i="3"/>
  <c r="E77" i="1"/>
  <c r="I721" i="3"/>
  <c r="K711" i="3"/>
  <c r="S789" i="3"/>
  <c r="M426" i="3"/>
  <c r="AG553" i="3"/>
  <c r="U484" i="3"/>
  <c r="F98" i="1"/>
  <c r="P616" i="3"/>
  <c r="AD687" i="3"/>
  <c r="AD612" i="3"/>
  <c r="AH988" i="3"/>
  <c r="S585" i="3"/>
  <c r="H21" i="1"/>
  <c r="M491" i="3"/>
  <c r="U683" i="3"/>
  <c r="P597" i="3"/>
  <c r="S748" i="3"/>
  <c r="AC771" i="3"/>
  <c r="I972" i="3"/>
  <c r="N518" i="3"/>
  <c r="AD643" i="3"/>
  <c r="AC526" i="3"/>
  <c r="O737" i="3"/>
  <c r="AF648" i="3"/>
  <c r="E114" i="1"/>
  <c r="AF828" i="3"/>
  <c r="AF484" i="3"/>
  <c r="I621" i="3"/>
  <c r="Q529" i="3"/>
  <c r="K677" i="3"/>
  <c r="AD553" i="3"/>
  <c r="AD794" i="3"/>
  <c r="P779" i="3"/>
  <c r="K853" i="3"/>
  <c r="AC427" i="3"/>
  <c r="AH434" i="3"/>
  <c r="R638" i="3"/>
  <c r="S559" i="3"/>
  <c r="Q631" i="3"/>
  <c r="D114" i="1"/>
  <c r="G52" i="1"/>
  <c r="M818" i="3"/>
  <c r="M544" i="3"/>
  <c r="N543" i="3"/>
  <c r="M564" i="3"/>
  <c r="R677" i="3"/>
  <c r="AG620" i="3"/>
  <c r="AE735" i="3"/>
  <c r="AF704" i="3"/>
  <c r="U544" i="3"/>
  <c r="P558" i="3"/>
  <c r="Q577" i="3"/>
  <c r="U675" i="3"/>
  <c r="AE603" i="3"/>
  <c r="AF824" i="3"/>
  <c r="AG711" i="3"/>
  <c r="M882" i="3"/>
  <c r="M562" i="3"/>
  <c r="P446" i="3"/>
  <c r="M630" i="3"/>
  <c r="AF555" i="3"/>
  <c r="AE557" i="3"/>
  <c r="AC778" i="3"/>
  <c r="M778" i="3"/>
  <c r="M889" i="3"/>
  <c r="I616" i="3"/>
  <c r="Q716" i="3"/>
  <c r="U509" i="3"/>
  <c r="AD548" i="3"/>
  <c r="AD557" i="3"/>
  <c r="P442" i="3"/>
  <c r="Q498" i="3"/>
  <c r="AC787" i="3"/>
  <c r="AH728" i="3"/>
  <c r="M863" i="3"/>
  <c r="F76" i="1"/>
  <c r="I528" i="3"/>
  <c r="M620" i="3"/>
  <c r="AF710" i="3"/>
  <c r="K641" i="3"/>
  <c r="AC692" i="3"/>
  <c r="N708" i="3"/>
  <c r="M538" i="3"/>
  <c r="N536" i="3"/>
  <c r="R552" i="3"/>
  <c r="AD427" i="3"/>
  <c r="M512" i="3"/>
  <c r="AD784" i="3"/>
  <c r="I763" i="3"/>
  <c r="I750" i="3"/>
  <c r="AD510" i="3"/>
  <c r="AC792" i="3"/>
  <c r="AG486" i="3"/>
  <c r="M442" i="3"/>
  <c r="S621" i="3"/>
  <c r="I645" i="3"/>
  <c r="I438" i="3"/>
  <c r="AC809" i="3"/>
  <c r="M563" i="3"/>
  <c r="AC588" i="3"/>
  <c r="O427" i="3"/>
  <c r="H86" i="1"/>
  <c r="F91" i="1"/>
  <c r="AH677" i="3"/>
  <c r="P669" i="3"/>
  <c r="N882" i="3"/>
  <c r="P519" i="3"/>
  <c r="AE650" i="3"/>
  <c r="I689" i="3"/>
  <c r="N540" i="3"/>
  <c r="U857" i="3"/>
  <c r="U715" i="3"/>
  <c r="AE988" i="3"/>
  <c r="M622" i="3"/>
  <c r="S518" i="3"/>
  <c r="AE710" i="3"/>
  <c r="K693" i="3"/>
  <c r="K609" i="3"/>
  <c r="AF577" i="3"/>
  <c r="AH750" i="3"/>
  <c r="AF744" i="3"/>
  <c r="Q534" i="3"/>
  <c r="AF526" i="3"/>
  <c r="AF689" i="3"/>
  <c r="S414" i="3"/>
  <c r="AE791" i="3"/>
  <c r="AD813" i="3"/>
  <c r="S908" i="3"/>
  <c r="U486" i="3"/>
  <c r="AE586" i="3"/>
  <c r="O489" i="3"/>
  <c r="R406" i="3"/>
  <c r="P772" i="3"/>
  <c r="Q483" i="3"/>
  <c r="P811" i="3"/>
  <c r="AE502" i="3"/>
  <c r="AH478" i="3"/>
  <c r="AC648" i="3"/>
  <c r="AC749" i="3"/>
  <c r="I681" i="3"/>
  <c r="AG829" i="3"/>
  <c r="AC848" i="3"/>
  <c r="AD563" i="3"/>
  <c r="P454" i="3"/>
  <c r="AH471" i="3"/>
  <c r="O672" i="3"/>
  <c r="M652" i="3"/>
  <c r="O525" i="3"/>
  <c r="P605" i="3"/>
  <c r="R932" i="3"/>
  <c r="O887" i="3"/>
  <c r="S602" i="3"/>
  <c r="U661" i="3"/>
  <c r="AC566" i="3"/>
  <c r="S731" i="3"/>
  <c r="AD760" i="3"/>
  <c r="M803" i="3"/>
  <c r="AC482" i="3"/>
  <c r="Q476" i="3"/>
  <c r="O682" i="3"/>
  <c r="D61" i="1"/>
  <c r="K794" i="3"/>
  <c r="AC988" i="3"/>
  <c r="R453" i="3"/>
  <c r="O538" i="3"/>
  <c r="I473" i="3"/>
  <c r="Q618" i="3"/>
  <c r="N661" i="3"/>
  <c r="U778" i="3"/>
  <c r="AC754" i="3"/>
  <c r="AE732" i="3"/>
  <c r="M403" i="3"/>
  <c r="R515" i="3"/>
  <c r="P550" i="3"/>
  <c r="D72" i="1"/>
  <c r="P569" i="3"/>
  <c r="AF732" i="3"/>
  <c r="I553" i="3"/>
  <c r="P632" i="3"/>
  <c r="AH839" i="3"/>
  <c r="M596" i="3"/>
  <c r="AG670" i="3"/>
  <c r="I414" i="3"/>
  <c r="Q640" i="3"/>
  <c r="O718" i="3"/>
  <c r="M645" i="3"/>
  <c r="AG411" i="3"/>
  <c r="AC671" i="3"/>
  <c r="U632" i="3"/>
  <c r="S581" i="3"/>
  <c r="M612" i="3"/>
  <c r="K567" i="3"/>
  <c r="AC832" i="3"/>
  <c r="AD603" i="3"/>
  <c r="N590" i="3"/>
  <c r="O453" i="3"/>
  <c r="O602" i="3"/>
  <c r="D28" i="1"/>
  <c r="S614" i="3"/>
  <c r="G54" i="1"/>
  <c r="AE831" i="3"/>
  <c r="N570" i="3"/>
  <c r="AH572" i="3"/>
  <c r="N695" i="3"/>
  <c r="R548" i="3"/>
  <c r="I801" i="3"/>
  <c r="R743" i="3"/>
  <c r="U796" i="3"/>
  <c r="AF544" i="3"/>
  <c r="Q451" i="3"/>
  <c r="S625" i="3"/>
  <c r="I660" i="3"/>
  <c r="AE525" i="3"/>
  <c r="AG727" i="3"/>
  <c r="N704" i="3"/>
  <c r="P499" i="3"/>
  <c r="O523" i="3"/>
  <c r="F102" i="1"/>
  <c r="I604" i="3"/>
  <c r="R609" i="3"/>
  <c r="AD678" i="3"/>
  <c r="Q711" i="3"/>
  <c r="AF802" i="3"/>
  <c r="AF558" i="3"/>
  <c r="M733" i="3"/>
  <c r="AF692" i="3"/>
  <c r="AC665" i="3"/>
  <c r="N555" i="3"/>
  <c r="AD698" i="3"/>
  <c r="AH824" i="3"/>
  <c r="AD790" i="3"/>
  <c r="H52" i="1"/>
  <c r="N427" i="3"/>
  <c r="AH679" i="3"/>
  <c r="AH631" i="3"/>
  <c r="M673" i="3"/>
  <c r="K705" i="3"/>
  <c r="P806" i="3"/>
  <c r="AH450" i="3"/>
  <c r="AC467" i="3"/>
  <c r="AC608" i="3"/>
  <c r="N737" i="3"/>
  <c r="S757" i="3"/>
  <c r="AG735" i="3"/>
  <c r="Q988" i="3"/>
  <c r="AG500" i="3"/>
  <c r="R535" i="3"/>
  <c r="N458" i="3"/>
  <c r="O411" i="3"/>
  <c r="O621" i="3"/>
  <c r="M760" i="3"/>
  <c r="O701" i="3"/>
  <c r="P798" i="3"/>
  <c r="AD533" i="3"/>
  <c r="K548" i="3"/>
  <c r="Q431" i="3"/>
  <c r="R582" i="3"/>
  <c r="AF632" i="3"/>
  <c r="O626" i="3"/>
  <c r="K736" i="3"/>
  <c r="AH489" i="3"/>
  <c r="P638" i="3"/>
  <c r="O518" i="3"/>
  <c r="AE632" i="3"/>
  <c r="S691" i="3"/>
  <c r="Q771" i="3"/>
  <c r="AG768" i="3"/>
  <c r="U743" i="3"/>
  <c r="M472" i="3"/>
  <c r="K790" i="3"/>
  <c r="F83" i="1"/>
  <c r="AF676" i="3"/>
  <c r="U690" i="3"/>
  <c r="R599" i="3"/>
  <c r="AD804" i="3"/>
  <c r="AD516" i="3"/>
  <c r="O546" i="3"/>
  <c r="AC537" i="3"/>
  <c r="AG693" i="3"/>
  <c r="AF487" i="3"/>
  <c r="AG759" i="3"/>
  <c r="Q848" i="3"/>
  <c r="AH727" i="3"/>
  <c r="AH485" i="3"/>
  <c r="Q623" i="3"/>
  <c r="AH500" i="3"/>
  <c r="R762" i="3"/>
  <c r="I499" i="3"/>
  <c r="AH771" i="3"/>
  <c r="M829" i="3"/>
  <c r="AF851" i="3"/>
  <c r="M450" i="3"/>
  <c r="P607" i="3"/>
  <c r="D109" i="1"/>
  <c r="AH873" i="3"/>
  <c r="AE597" i="3"/>
  <c r="K808" i="3"/>
  <c r="E20" i="1"/>
  <c r="I1019" i="3"/>
  <c r="H78" i="1"/>
  <c r="U462" i="3"/>
  <c r="R686" i="3"/>
  <c r="AF889" i="3"/>
  <c r="AD797" i="3"/>
  <c r="AD820" i="3"/>
  <c r="P812" i="3"/>
  <c r="I691" i="3"/>
  <c r="S451" i="3"/>
  <c r="M754" i="3"/>
  <c r="AC639" i="3"/>
  <c r="O486" i="3"/>
  <c r="AC563" i="3"/>
  <c r="AC655" i="3"/>
  <c r="N805" i="3"/>
  <c r="O470" i="3"/>
  <c r="AF840" i="3"/>
  <c r="P565" i="3"/>
  <c r="U621" i="3"/>
  <c r="AE511" i="3"/>
  <c r="U550" i="3"/>
  <c r="AG626" i="3"/>
  <c r="K768" i="3"/>
  <c r="AG723" i="3"/>
  <c r="AD711" i="3"/>
  <c r="P532" i="3"/>
  <c r="AF489" i="3"/>
  <c r="AF697" i="3"/>
  <c r="D89" i="1"/>
  <c r="S604" i="3"/>
  <c r="AH628" i="3"/>
  <c r="O708" i="3"/>
  <c r="AH557" i="3"/>
  <c r="AF515" i="3"/>
  <c r="R519" i="3"/>
  <c r="S574" i="3"/>
  <c r="AH555" i="3"/>
  <c r="AF720" i="3"/>
  <c r="O841" i="3"/>
  <c r="S724" i="3"/>
  <c r="P402" i="3"/>
  <c r="U655" i="3"/>
  <c r="I403" i="3"/>
  <c r="U753" i="3"/>
  <c r="AG612" i="3"/>
  <c r="AG640" i="3"/>
  <c r="F112" i="1"/>
  <c r="I828" i="3"/>
  <c r="I466" i="3"/>
  <c r="AH585" i="3"/>
  <c r="AF580" i="3"/>
  <c r="I418" i="3"/>
  <c r="P430" i="3"/>
  <c r="K467" i="3"/>
  <c r="G100" i="1"/>
  <c r="U807" i="3"/>
  <c r="AH507" i="3"/>
  <c r="AG497" i="3"/>
  <c r="AE590" i="3"/>
  <c r="AG627" i="3"/>
  <c r="U747" i="3"/>
  <c r="S920" i="3"/>
  <c r="P769" i="3"/>
  <c r="AD491" i="3"/>
  <c r="N495" i="3"/>
  <c r="D25" i="1"/>
  <c r="K664" i="3"/>
  <c r="R713" i="3"/>
  <c r="S467" i="3"/>
  <c r="AE761" i="3"/>
  <c r="Q845" i="3"/>
  <c r="P468" i="3"/>
  <c r="P579" i="3"/>
  <c r="H25" i="1"/>
  <c r="S662" i="3"/>
  <c r="AE784" i="3"/>
  <c r="M837" i="3"/>
  <c r="R888" i="3"/>
  <c r="AE641" i="3"/>
  <c r="S514" i="3"/>
  <c r="AG647" i="3"/>
  <c r="U472" i="3"/>
  <c r="AF809" i="3"/>
  <c r="O761" i="3"/>
  <c r="U839" i="3"/>
  <c r="Q692" i="3"/>
  <c r="I520" i="3"/>
  <c r="AD674" i="3"/>
  <c r="S463" i="3"/>
  <c r="F40" i="1"/>
  <c r="AE684" i="3"/>
  <c r="AG808" i="3"/>
  <c r="AH549" i="3"/>
  <c r="AH588" i="3"/>
  <c r="N482" i="3"/>
  <c r="R598" i="3"/>
  <c r="F114" i="1"/>
  <c r="S739" i="3"/>
  <c r="K561" i="3"/>
  <c r="AC851" i="3"/>
  <c r="Q874" i="3"/>
  <c r="AF450" i="3"/>
  <c r="S644" i="3"/>
  <c r="AE476" i="3"/>
  <c r="AF750" i="3"/>
  <c r="S760" i="3"/>
  <c r="AD951" i="3"/>
  <c r="Q559" i="3"/>
  <c r="Q572" i="3"/>
  <c r="S641" i="3"/>
  <c r="I613" i="3"/>
  <c r="AF742" i="3"/>
  <c r="S786" i="3"/>
  <c r="S761" i="3"/>
  <c r="AE536" i="3"/>
  <c r="AC602" i="3"/>
  <c r="N549" i="3"/>
  <c r="I710" i="3"/>
  <c r="AE738" i="3"/>
  <c r="P543" i="3"/>
  <c r="AD781" i="3"/>
  <c r="R879" i="3"/>
  <c r="AG706" i="3"/>
  <c r="U458" i="3"/>
  <c r="AG662" i="3"/>
  <c r="AD628" i="3"/>
  <c r="K856" i="3"/>
  <c r="AE765" i="3"/>
  <c r="K884" i="3"/>
  <c r="I810" i="3"/>
  <c r="O402" i="3"/>
  <c r="O537" i="3"/>
  <c r="AE668" i="3"/>
  <c r="N683" i="3"/>
  <c r="M617" i="3"/>
  <c r="I757" i="3"/>
  <c r="K566" i="3"/>
  <c r="K557" i="3"/>
  <c r="AC584" i="3"/>
  <c r="R738" i="3"/>
  <c r="AG644" i="3"/>
  <c r="AH464" i="3"/>
  <c r="M833" i="3"/>
  <c r="AE584" i="3"/>
  <c r="U587" i="3"/>
  <c r="AG453" i="3"/>
  <c r="AH614" i="3"/>
  <c r="I459" i="3"/>
  <c r="AH820" i="3"/>
  <c r="R522" i="3"/>
  <c r="AF892" i="3"/>
  <c r="S542" i="3"/>
  <c r="AF519" i="3"/>
  <c r="U604" i="3"/>
  <c r="O617" i="3"/>
  <c r="U692" i="3"/>
  <c r="AF707" i="3"/>
  <c r="AD817" i="3"/>
  <c r="M537" i="3"/>
  <c r="R544" i="3"/>
  <c r="AD684" i="3"/>
  <c r="AH488" i="3"/>
  <c r="F92" i="1"/>
  <c r="M716" i="3"/>
  <c r="U856" i="3"/>
  <c r="M573" i="3"/>
  <c r="AG430" i="3"/>
  <c r="Q552" i="3"/>
  <c r="K749" i="3"/>
  <c r="AH805" i="3"/>
  <c r="AG447" i="3"/>
  <c r="K865" i="3"/>
  <c r="Q893" i="3"/>
  <c r="H22" i="1"/>
  <c r="O430" i="3"/>
  <c r="AE522" i="3"/>
  <c r="F36" i="1"/>
  <c r="U708" i="3"/>
  <c r="P773" i="3"/>
  <c r="AE847" i="3"/>
  <c r="AD523" i="3"/>
  <c r="AC439" i="3"/>
  <c r="AC604" i="3"/>
  <c r="S643" i="3"/>
  <c r="I779" i="3"/>
  <c r="AD761" i="3"/>
  <c r="O763" i="3"/>
  <c r="P479" i="3"/>
  <c r="AE464" i="3"/>
  <c r="N548" i="3"/>
  <c r="S597" i="3"/>
  <c r="Q620" i="3"/>
  <c r="AC519" i="3"/>
  <c r="R832" i="3"/>
  <c r="O655" i="3"/>
  <c r="AE447" i="3"/>
  <c r="I510" i="3"/>
  <c r="I562" i="3"/>
  <c r="AF569" i="3"/>
  <c r="AG794" i="3"/>
  <c r="S510" i="3"/>
  <c r="AH827" i="3"/>
  <c r="U431" i="3"/>
  <c r="N591" i="3"/>
  <c r="M639" i="3"/>
  <c r="AD889" i="3"/>
  <c r="M470" i="3"/>
  <c r="K603" i="3"/>
  <c r="AE789" i="3"/>
  <c r="S568" i="3"/>
  <c r="K499" i="3"/>
  <c r="N483" i="3"/>
  <c r="Q669" i="3"/>
  <c r="F61" i="1"/>
  <c r="AF988" i="3"/>
  <c r="AC800" i="3"/>
  <c r="N612" i="3"/>
  <c r="AF579" i="3"/>
  <c r="U537" i="3"/>
  <c r="K468" i="3"/>
  <c r="Q542" i="3"/>
  <c r="Q501" i="3"/>
  <c r="AD707" i="3"/>
  <c r="E91" i="1"/>
  <c r="U874" i="3"/>
  <c r="O484" i="3"/>
  <c r="AG569" i="3"/>
  <c r="R717" i="3"/>
  <c r="AF713" i="3"/>
  <c r="K625" i="3"/>
  <c r="S780" i="3"/>
  <c r="Q522" i="3"/>
  <c r="Q627" i="3"/>
  <c r="M631" i="3"/>
  <c r="AD472" i="3"/>
  <c r="AF566" i="3"/>
  <c r="AF694" i="3"/>
  <c r="AF595" i="3"/>
  <c r="R558" i="3"/>
  <c r="AC1028" i="3"/>
  <c r="AG623" i="3"/>
  <c r="S572" i="3"/>
  <c r="D23" i="1"/>
  <c r="O653" i="3"/>
  <c r="P624" i="3"/>
  <c r="I430" i="3"/>
  <c r="R809" i="3"/>
  <c r="AH811" i="3"/>
  <c r="AH573" i="3"/>
  <c r="AF540" i="3"/>
  <c r="S753" i="3"/>
  <c r="AH738" i="3"/>
  <c r="U691" i="3"/>
  <c r="K466" i="3"/>
  <c r="O745" i="3"/>
  <c r="N480" i="3"/>
  <c r="S475" i="3"/>
  <c r="AE627" i="3"/>
  <c r="P698" i="3"/>
  <c r="AD730" i="3"/>
  <c r="Q670" i="3"/>
  <c r="AE527" i="3"/>
  <c r="U1044" i="3"/>
  <c r="S527" i="3"/>
  <c r="I500" i="3"/>
  <c r="U678" i="3"/>
  <c r="P555" i="3"/>
  <c r="AG580" i="3"/>
  <c r="U507" i="3"/>
  <c r="AG746" i="3"/>
  <c r="M813" i="3"/>
  <c r="R783" i="3"/>
  <c r="N698" i="3"/>
  <c r="F54" i="1"/>
  <c r="S555" i="3"/>
  <c r="K535" i="3"/>
  <c r="F90" i="1"/>
  <c r="AD620" i="3"/>
  <c r="U633" i="3"/>
  <c r="AF701" i="3"/>
  <c r="AG939" i="3"/>
  <c r="I482" i="3"/>
  <c r="AF496" i="3"/>
  <c r="AD536" i="3"/>
  <c r="AF499" i="3"/>
  <c r="AC703" i="3"/>
  <c r="AC723" i="3"/>
  <c r="M773" i="3"/>
  <c r="F99" i="1"/>
  <c r="AE659" i="3"/>
  <c r="R422" i="3"/>
  <c r="AD419" i="3"/>
  <c r="AH648" i="3"/>
  <c r="AE825" i="3"/>
  <c r="K536" i="3"/>
  <c r="AE839" i="3"/>
  <c r="K498" i="3"/>
  <c r="P744" i="3"/>
  <c r="I462" i="3"/>
  <c r="Q821" i="3"/>
  <c r="N470" i="3"/>
  <c r="AD665" i="3"/>
  <c r="AE792" i="3"/>
  <c r="N794" i="3"/>
  <c r="D80" i="1"/>
  <c r="U543" i="3"/>
  <c r="AH536" i="3"/>
  <c r="P665" i="3"/>
  <c r="P741" i="3"/>
  <c r="R766" i="3"/>
  <c r="R793" i="3"/>
  <c r="AE512" i="3"/>
  <c r="AE501" i="3"/>
  <c r="O587" i="3"/>
  <c r="U540" i="3"/>
  <c r="I669" i="3"/>
  <c r="R537" i="3"/>
  <c r="I742" i="3"/>
  <c r="Q1019" i="3"/>
  <c r="N667" i="3"/>
  <c r="P419" i="3"/>
  <c r="O733" i="3"/>
  <c r="I607" i="3"/>
  <c r="D22" i="1"/>
  <c r="I788" i="3"/>
  <c r="P837" i="3"/>
  <c r="AD581" i="3"/>
  <c r="AH491" i="3"/>
  <c r="G43" i="1"/>
  <c r="N680" i="3"/>
  <c r="AF603" i="3"/>
  <c r="AF686" i="3"/>
  <c r="Q804" i="3"/>
  <c r="AE468" i="3"/>
  <c r="U596" i="3"/>
  <c r="AE509" i="3"/>
  <c r="AF618" i="3"/>
  <c r="P821" i="3"/>
  <c r="N817" i="3"/>
  <c r="AG582" i="3"/>
  <c r="N886" i="3"/>
  <c r="AF562" i="3"/>
  <c r="AG505" i="3"/>
  <c r="AD478" i="3"/>
  <c r="K490" i="3"/>
  <c r="AD745" i="3"/>
  <c r="O828" i="3"/>
  <c r="AF769" i="3"/>
  <c r="R551" i="3"/>
  <c r="S587" i="3"/>
  <c r="K588" i="3"/>
  <c r="Q671" i="3"/>
  <c r="I686" i="3"/>
  <c r="F47" i="1"/>
  <c r="S848" i="3"/>
  <c r="R549" i="3"/>
  <c r="N535" i="3"/>
  <c r="R499" i="3"/>
  <c r="K650" i="3"/>
  <c r="D83" i="1"/>
  <c r="K760" i="3"/>
  <c r="AD653" i="3"/>
  <c r="P875" i="3"/>
  <c r="O490" i="3"/>
  <c r="AD466" i="3"/>
  <c r="K473" i="3"/>
  <c r="AE624" i="3"/>
  <c r="AH756" i="3"/>
  <c r="Q763" i="3"/>
  <c r="U781" i="3"/>
  <c r="D69" i="1"/>
  <c r="I468" i="3"/>
  <c r="U766" i="3"/>
  <c r="K578" i="3"/>
  <c r="O820" i="3"/>
  <c r="AD712" i="3"/>
  <c r="AD809" i="3"/>
  <c r="AD511" i="3"/>
  <c r="AH419" i="3"/>
  <c r="AE483" i="3"/>
  <c r="K629" i="3"/>
  <c r="AC649" i="3"/>
  <c r="AH797" i="3"/>
  <c r="Q816" i="3"/>
  <c r="S636" i="3"/>
  <c r="K519" i="3"/>
  <c r="U525" i="3"/>
  <c r="AD734" i="3"/>
  <c r="Q590" i="3"/>
  <c r="S743" i="3"/>
  <c r="R767" i="3"/>
  <c r="AE1028" i="3"/>
  <c r="AC448" i="3"/>
  <c r="G57" i="1"/>
  <c r="O663" i="3"/>
  <c r="I501" i="3"/>
  <c r="AG725" i="3"/>
  <c r="I719" i="3"/>
  <c r="AF635" i="3"/>
  <c r="I415" i="3"/>
  <c r="M515" i="3"/>
  <c r="M530" i="3"/>
  <c r="Q746" i="3"/>
  <c r="R645" i="3"/>
  <c r="AE495" i="3"/>
  <c r="P735" i="3"/>
  <c r="AG472" i="3"/>
  <c r="AG564" i="3"/>
  <c r="AC471" i="3"/>
  <c r="Q486" i="3"/>
  <c r="AD671" i="3"/>
  <c r="AG841" i="3"/>
  <c r="E27" i="1"/>
  <c r="K822" i="3"/>
  <c r="U523" i="3"/>
  <c r="S596" i="3"/>
  <c r="AG605" i="3"/>
  <c r="I407" i="3"/>
  <c r="O704" i="3"/>
  <c r="AF723" i="3"/>
  <c r="O711" i="3"/>
  <c r="AH403" i="3"/>
  <c r="K630" i="3"/>
  <c r="N670" i="3"/>
  <c r="N658" i="3"/>
  <c r="K665" i="3"/>
  <c r="R856" i="3"/>
  <c r="AE494" i="3"/>
  <c r="I878" i="3"/>
  <c r="D26" i="1"/>
  <c r="AE614" i="3"/>
  <c r="AF605" i="3"/>
  <c r="AF655" i="3"/>
  <c r="I813" i="3"/>
  <c r="K772" i="3"/>
  <c r="AG601" i="3"/>
  <c r="AH627" i="3"/>
  <c r="AD631" i="3"/>
  <c r="O535" i="3"/>
  <c r="Q553" i="3"/>
  <c r="R628" i="3"/>
  <c r="O741" i="3"/>
  <c r="U777" i="3"/>
  <c r="AG562" i="3"/>
  <c r="AG468" i="3"/>
  <c r="M478" i="3"/>
  <c r="N511" i="3"/>
  <c r="I538" i="3"/>
  <c r="P767" i="3"/>
  <c r="AF593" i="3"/>
  <c r="N859" i="3"/>
  <c r="E74" i="1"/>
  <c r="R430" i="3"/>
  <c r="AD467" i="3"/>
  <c r="P662" i="3"/>
  <c r="AE538" i="3"/>
  <c r="P686" i="3"/>
  <c r="Q769" i="3"/>
  <c r="H41" i="1"/>
  <c r="F78" i="1"/>
  <c r="AG475" i="3"/>
  <c r="P873" i="3"/>
  <c r="O694" i="3"/>
  <c r="G23" i="1"/>
  <c r="O747" i="3"/>
  <c r="AC423" i="3"/>
  <c r="P530" i="3"/>
  <c r="AD538" i="3"/>
  <c r="AC555" i="3"/>
  <c r="Q595" i="3"/>
  <c r="I619" i="3"/>
  <c r="AH707" i="3"/>
  <c r="M498" i="3"/>
  <c r="O960" i="3"/>
  <c r="AC472" i="3"/>
  <c r="AH559" i="3"/>
  <c r="O746" i="3"/>
  <c r="S623" i="3"/>
  <c r="G106" i="1"/>
  <c r="P776" i="3"/>
  <c r="AC852" i="3"/>
  <c r="AH502" i="3"/>
  <c r="Q506" i="3"/>
  <c r="AC590" i="3"/>
  <c r="O722" i="3"/>
  <c r="U668" i="3"/>
  <c r="N790" i="3"/>
  <c r="K1055" i="3"/>
  <c r="S827" i="3"/>
  <c r="AG535" i="3"/>
  <c r="AF467" i="3"/>
  <c r="M581" i="3"/>
  <c r="AF575" i="3"/>
  <c r="AH651" i="3"/>
  <c r="Q920" i="3"/>
  <c r="S840" i="3"/>
  <c r="K868" i="3"/>
  <c r="AC451" i="3"/>
  <c r="I485" i="3"/>
  <c r="I680" i="3"/>
  <c r="AF453" i="3"/>
  <c r="AC670" i="3"/>
  <c r="K527" i="3"/>
  <c r="K755" i="3"/>
  <c r="S499" i="3"/>
  <c r="AH566" i="3"/>
  <c r="Q560" i="3"/>
  <c r="AD542" i="3"/>
  <c r="AF521" i="3"/>
  <c r="AC720" i="3"/>
  <c r="AC841" i="3"/>
  <c r="M919" i="3"/>
  <c r="AF513" i="3"/>
  <c r="K455" i="3"/>
  <c r="AD605" i="3"/>
  <c r="I470" i="3"/>
  <c r="R643" i="3"/>
  <c r="P664" i="3"/>
  <c r="AD689" i="3"/>
  <c r="AE647" i="3"/>
  <c r="O780" i="3"/>
  <c r="AC788" i="3"/>
  <c r="U591" i="3"/>
  <c r="H20" i="1"/>
  <c r="K626" i="3"/>
  <c r="D115" i="1"/>
  <c r="P706" i="3"/>
  <c r="I752" i="3"/>
  <c r="F46" i="1"/>
  <c r="AF944" i="3"/>
  <c r="R721" i="3"/>
  <c r="AG485" i="3"/>
  <c r="R529" i="3"/>
  <c r="U575" i="3"/>
  <c r="AE808" i="3"/>
  <c r="AF833" i="3"/>
  <c r="AG616" i="3"/>
  <c r="K579" i="3"/>
  <c r="O435" i="3"/>
  <c r="M423" i="3"/>
  <c r="N713" i="3"/>
  <c r="R590" i="3"/>
  <c r="U759" i="3"/>
  <c r="AH800" i="3"/>
  <c r="K1008" i="3"/>
  <c r="AH683" i="3"/>
  <c r="Q736" i="3"/>
  <c r="I684" i="3"/>
  <c r="AE741" i="3"/>
  <c r="H31" i="1"/>
  <c r="O577" i="3"/>
  <c r="M740" i="3"/>
  <c r="AC626" i="3"/>
  <c r="Q602" i="3"/>
  <c r="AD572" i="3"/>
  <c r="AH678" i="3"/>
  <c r="H110" i="1"/>
  <c r="M547" i="3"/>
  <c r="AE727" i="3"/>
  <c r="I794" i="3"/>
  <c r="AD568" i="3"/>
  <c r="S415" i="3"/>
  <c r="AD554" i="3"/>
  <c r="AF480" i="3"/>
  <c r="O553" i="3"/>
  <c r="O703" i="3"/>
  <c r="R565" i="3"/>
  <c r="S834" i="3"/>
  <c r="R675" i="3"/>
  <c r="AC596" i="3"/>
  <c r="R688" i="3"/>
  <c r="E103" i="1"/>
  <c r="K418" i="3"/>
  <c r="N711" i="3"/>
  <c r="I745" i="3"/>
  <c r="AG813" i="3"/>
  <c r="U468" i="3"/>
  <c r="AF473" i="3"/>
  <c r="P734" i="3"/>
  <c r="AD695" i="3"/>
  <c r="E106" i="1"/>
  <c r="AD825" i="3"/>
  <c r="I584" i="3"/>
  <c r="AE505" i="3"/>
  <c r="K506" i="3"/>
  <c r="Q889" i="3"/>
  <c r="E111" i="1"/>
  <c r="AH752" i="3"/>
  <c r="O574" i="3"/>
  <c r="AC924" i="3"/>
  <c r="N662" i="3"/>
  <c r="U488" i="3"/>
  <c r="P608" i="3"/>
  <c r="AG593" i="3"/>
  <c r="AF841" i="3"/>
  <c r="AD764" i="3"/>
  <c r="AE616" i="3"/>
  <c r="U566" i="3"/>
  <c r="AF423" i="3"/>
  <c r="I632" i="3"/>
  <c r="R757" i="3"/>
  <c r="AF682" i="3"/>
  <c r="P451" i="3"/>
  <c r="U696" i="3"/>
  <c r="R670" i="3"/>
  <c r="AG537" i="3"/>
  <c r="AC554" i="3"/>
  <c r="U555" i="3"/>
  <c r="P643" i="3"/>
  <c r="AF792" i="3"/>
  <c r="K700" i="3"/>
  <c r="P823" i="3"/>
  <c r="P411" i="3"/>
  <c r="I551" i="3"/>
  <c r="S485" i="3"/>
  <c r="AD549" i="3"/>
  <c r="AG801" i="3"/>
  <c r="S801" i="3"/>
  <c r="I744" i="3"/>
  <c r="K551" i="3"/>
  <c r="I446" i="3"/>
  <c r="M601" i="3"/>
  <c r="AF628" i="3"/>
  <c r="M532" i="3"/>
  <c r="K761" i="3"/>
  <c r="Q825" i="3"/>
  <c r="E32" i="1"/>
  <c r="I410" i="3"/>
  <c r="AF442" i="3"/>
  <c r="N577" i="3"/>
  <c r="AH721" i="3"/>
  <c r="K447" i="3"/>
  <c r="Q828" i="3"/>
  <c r="AF640" i="3"/>
  <c r="E57" i="1"/>
  <c r="P562" i="3"/>
  <c r="AH595" i="3"/>
  <c r="AC476" i="3"/>
  <c r="O845" i="3"/>
  <c r="AD756" i="3"/>
  <c r="R956" i="3"/>
  <c r="AD530" i="3"/>
  <c r="AE595" i="3"/>
  <c r="AG664" i="3"/>
  <c r="AE873" i="3"/>
  <c r="AE486" i="3"/>
  <c r="K727" i="3"/>
  <c r="O629" i="3"/>
  <c r="AH518" i="3"/>
  <c r="H100" i="1"/>
  <c r="H37" i="1"/>
  <c r="AE685" i="3"/>
  <c r="E76" i="1"/>
  <c r="O712" i="3"/>
  <c r="U769" i="3"/>
  <c r="R815" i="3"/>
  <c r="U530" i="3"/>
  <c r="N558" i="3"/>
  <c r="U667" i="3"/>
  <c r="R557" i="3"/>
  <c r="AC769" i="3"/>
  <c r="M435" i="3"/>
  <c r="AC928" i="3"/>
  <c r="AC574" i="3"/>
  <c r="AH480" i="3"/>
  <c r="AC618" i="3"/>
  <c r="S630" i="3"/>
  <c r="M707" i="3"/>
  <c r="AF836" i="3"/>
  <c r="S769" i="3"/>
  <c r="N403" i="3"/>
  <c r="K464" i="3"/>
  <c r="AH620" i="3"/>
  <c r="S478" i="3"/>
  <c r="AE621" i="3"/>
  <c r="I789" i="3"/>
  <c r="R833" i="3"/>
  <c r="AC858" i="3"/>
  <c r="O543" i="3"/>
  <c r="AH567" i="3"/>
  <c r="U638" i="3"/>
  <c r="AG701" i="3"/>
  <c r="AE782" i="3"/>
  <c r="Q832" i="3"/>
  <c r="AE799" i="3"/>
  <c r="I487" i="3"/>
  <c r="R482" i="3"/>
  <c r="AD490" i="3"/>
  <c r="F45" i="1"/>
  <c r="P775" i="3"/>
  <c r="U515" i="3"/>
  <c r="S893" i="3"/>
  <c r="R614" i="3"/>
  <c r="S642" i="3"/>
  <c r="S628" i="3"/>
  <c r="P678" i="3"/>
  <c r="R693" i="3"/>
  <c r="N735" i="3"/>
  <c r="AG648" i="3"/>
  <c r="Q551" i="3"/>
  <c r="AG534" i="3"/>
  <c r="M485" i="3"/>
  <c r="Q471" i="3"/>
  <c r="U600" i="3"/>
  <c r="R841" i="3"/>
  <c r="U752" i="3"/>
  <c r="K870" i="3"/>
  <c r="AH414" i="3"/>
  <c r="U464" i="3"/>
  <c r="K685" i="3"/>
  <c r="I685" i="3"/>
  <c r="O760" i="3"/>
  <c r="S792" i="3"/>
  <c r="AD759" i="3"/>
  <c r="S458" i="3"/>
  <c r="R584" i="3"/>
  <c r="AH587" i="3"/>
  <c r="AG431" i="3"/>
  <c r="AC726" i="3"/>
  <c r="I832" i="3"/>
  <c r="O719" i="3"/>
  <c r="R899" i="3"/>
  <c r="O562" i="3"/>
  <c r="M482" i="3"/>
  <c r="AD415" i="3"/>
  <c r="M644" i="3"/>
  <c r="AH546" i="3"/>
  <c r="O791" i="3"/>
  <c r="AH829" i="3"/>
  <c r="AD610" i="3"/>
  <c r="AC407" i="3"/>
  <c r="AC488" i="3"/>
  <c r="H73" i="1"/>
  <c r="I647" i="3"/>
  <c r="AD776" i="3"/>
  <c r="S711" i="3"/>
  <c r="AF756" i="3"/>
  <c r="AC530" i="3"/>
  <c r="M623" i="3"/>
  <c r="N718" i="3"/>
  <c r="AD673" i="3"/>
  <c r="AF681" i="3"/>
  <c r="AF563" i="3"/>
  <c r="I848" i="3"/>
  <c r="AF675" i="3"/>
  <c r="AG399" i="3"/>
  <c r="P582" i="3"/>
  <c r="AG538" i="3"/>
  <c r="AH717" i="3"/>
  <c r="AC666" i="3"/>
  <c r="AF735" i="3"/>
  <c r="N988" i="3"/>
  <c r="AC419" i="3"/>
  <c r="O410" i="3"/>
  <c r="S549" i="3"/>
  <c r="AD613" i="3"/>
  <c r="AD406" i="3"/>
  <c r="AE755" i="3"/>
  <c r="S779" i="3"/>
  <c r="AF832" i="3"/>
  <c r="M667" i="3"/>
  <c r="AE489" i="3"/>
  <c r="AC495" i="3"/>
  <c r="AE722" i="3"/>
  <c r="AF454" i="3"/>
  <c r="K502" i="3"/>
  <c r="M735" i="3"/>
  <c r="AD552" i="3"/>
  <c r="U489" i="3"/>
  <c r="Q528" i="3"/>
  <c r="K531" i="3"/>
  <c r="O520" i="3"/>
  <c r="Q495" i="3"/>
  <c r="O443" i="3"/>
  <c r="O714" i="3"/>
  <c r="AE1055" i="3"/>
  <c r="AC735" i="3"/>
  <c r="R866" i="3"/>
  <c r="AH530" i="3"/>
  <c r="R407" i="3"/>
  <c r="S582" i="3"/>
  <c r="AD617" i="3"/>
  <c r="N762" i="3"/>
  <c r="Q513" i="3"/>
  <c r="Q788" i="3"/>
  <c r="I638" i="3"/>
  <c r="O536" i="3"/>
  <c r="I577" i="3"/>
  <c r="E82" i="1"/>
  <c r="F103" i="1"/>
  <c r="S560" i="3"/>
  <c r="AH731" i="3"/>
  <c r="AC859" i="3"/>
  <c r="AD543" i="3"/>
  <c r="O541" i="3"/>
  <c r="O533" i="3"/>
  <c r="P656" i="3"/>
  <c r="R694" i="3"/>
  <c r="AD800" i="3"/>
  <c r="R750" i="3"/>
  <c r="AD504" i="3"/>
  <c r="AG667" i="3"/>
  <c r="M520" i="3"/>
  <c r="R470" i="3"/>
  <c r="R462" i="3"/>
  <c r="F32" i="1"/>
  <c r="K841" i="3"/>
  <c r="O604" i="3"/>
  <c r="K876" i="3"/>
  <c r="U625" i="3"/>
  <c r="K623" i="3"/>
  <c r="I640" i="3"/>
  <c r="M690" i="3"/>
  <c r="AH758" i="3"/>
  <c r="AF904" i="3"/>
  <c r="S704" i="3"/>
  <c r="P506" i="3"/>
  <c r="K706" i="3"/>
  <c r="O407" i="3"/>
  <c r="P621" i="3"/>
  <c r="O571" i="3"/>
  <c r="AH693" i="3"/>
  <c r="O727" i="3"/>
  <c r="AD484" i="3"/>
  <c r="O459" i="3"/>
  <c r="AF419" i="3"/>
  <c r="F88" i="1"/>
  <c r="E67" i="1"/>
  <c r="Q877" i="3"/>
  <c r="AD754" i="3"/>
  <c r="R883" i="3"/>
  <c r="U849" i="3"/>
  <c r="AD507" i="3"/>
  <c r="M710" i="3"/>
  <c r="AD480" i="3"/>
  <c r="AD744" i="3"/>
  <c r="P720" i="3"/>
  <c r="O699" i="3"/>
  <c r="Q490" i="3"/>
  <c r="F34" i="1"/>
  <c r="H27" i="1"/>
  <c r="AH624" i="3"/>
  <c r="I525" i="3"/>
  <c r="U597" i="3"/>
  <c r="O836" i="3"/>
  <c r="N489" i="3"/>
  <c r="S491" i="3"/>
  <c r="M502" i="3"/>
  <c r="D107" i="1"/>
  <c r="AH526" i="3"/>
  <c r="O796" i="3"/>
  <c r="D113" i="1"/>
  <c r="Q976" i="3"/>
  <c r="K539" i="3"/>
  <c r="S546" i="3"/>
  <c r="M598" i="3"/>
  <c r="Q562" i="3"/>
  <c r="AC689" i="3"/>
  <c r="O732" i="3"/>
  <c r="K771" i="3"/>
  <c r="O988" i="3"/>
  <c r="AG635" i="3"/>
  <c r="R680" i="3"/>
  <c r="K662" i="3"/>
  <c r="Q677" i="3"/>
  <c r="K804" i="3"/>
  <c r="N813" i="3"/>
  <c r="AF539" i="3"/>
  <c r="S607" i="3"/>
  <c r="E60" i="1"/>
  <c r="O643" i="3"/>
  <c r="N746" i="3"/>
  <c r="S845" i="3"/>
  <c r="AG621" i="3"/>
  <c r="I867" i="3"/>
  <c r="I653" i="3"/>
  <c r="Q548" i="3"/>
  <c r="O510" i="3"/>
  <c r="H51" i="1"/>
  <c r="R782" i="3"/>
  <c r="N877" i="3"/>
  <c r="P817" i="3"/>
  <c r="P511" i="3"/>
  <c r="Q584" i="3"/>
  <c r="R555" i="3"/>
  <c r="I656" i="3"/>
  <c r="Q633" i="3"/>
  <c r="AD499" i="3"/>
  <c r="AG703" i="3"/>
  <c r="AD796" i="3"/>
  <c r="P650" i="3"/>
  <c r="Q447" i="3"/>
  <c r="AD600" i="3"/>
  <c r="S673" i="3"/>
  <c r="O750" i="3"/>
  <c r="O472" i="3"/>
  <c r="AF847" i="3"/>
  <c r="AF438" i="3"/>
  <c r="M455" i="3"/>
  <c r="Q510" i="3"/>
  <c r="G21" i="1"/>
  <c r="AG781" i="3"/>
  <c r="U809" i="3"/>
  <c r="U830" i="3"/>
  <c r="R419" i="3"/>
  <c r="O501" i="3"/>
  <c r="S640" i="3"/>
  <c r="AD757" i="3"/>
  <c r="F43" i="1"/>
  <c r="U763" i="3"/>
  <c r="N772" i="3"/>
  <c r="AF430" i="3"/>
  <c r="S523" i="3"/>
  <c r="P490" i="3"/>
  <c r="S553" i="3"/>
  <c r="R640" i="3"/>
  <c r="AE723" i="3"/>
  <c r="O772" i="3"/>
  <c r="K891" i="3"/>
  <c r="AD560" i="3"/>
  <c r="R415" i="3"/>
  <c r="U635" i="3"/>
  <c r="O529" i="3"/>
  <c r="AD755" i="3"/>
  <c r="N490" i="3"/>
  <c r="AF862" i="3"/>
  <c r="U607" i="3"/>
  <c r="AF722" i="3"/>
  <c r="U548" i="3"/>
  <c r="G87" i="1"/>
  <c r="AG796" i="3"/>
  <c r="M793" i="3"/>
  <c r="I791" i="3"/>
  <c r="U908" i="3"/>
  <c r="N774" i="3"/>
  <c r="I497" i="3"/>
  <c r="U427" i="3"/>
  <c r="S584" i="3"/>
  <c r="I796" i="3"/>
  <c r="Q730" i="3"/>
  <c r="AC903" i="3"/>
  <c r="P667" i="3"/>
  <c r="Q543" i="3"/>
  <c r="AE688" i="3"/>
  <c r="AG625" i="3"/>
  <c r="R725" i="3"/>
  <c r="AH813" i="3"/>
  <c r="AC696" i="3"/>
  <c r="I545" i="3"/>
  <c r="K427" i="3"/>
  <c r="E104" i="1"/>
  <c r="O586" i="3"/>
  <c r="U889" i="3"/>
  <c r="K671" i="3"/>
  <c r="AH804" i="3"/>
  <c r="AE1019" i="3"/>
  <c r="AF504" i="3"/>
  <c r="AG464" i="3"/>
  <c r="H108" i="1"/>
  <c r="AG821" i="3"/>
  <c r="K756" i="3"/>
  <c r="AH739" i="3"/>
  <c r="AF856" i="3"/>
  <c r="AE462" i="3"/>
  <c r="K680" i="3"/>
  <c r="N504" i="3"/>
  <c r="O552" i="3"/>
  <c r="U541" i="3"/>
  <c r="AC845" i="3"/>
  <c r="K784" i="3"/>
  <c r="AD699" i="3"/>
  <c r="P527" i="3"/>
  <c r="AF537" i="3"/>
  <c r="AH612" i="3"/>
  <c r="F51" i="1"/>
  <c r="Q726" i="3"/>
  <c r="Q761" i="3"/>
  <c r="S832" i="3"/>
  <c r="AF485" i="3"/>
  <c r="O539" i="3"/>
  <c r="AF583" i="3"/>
  <c r="I578" i="3"/>
  <c r="D33" i="1"/>
  <c r="N787" i="3"/>
  <c r="R788" i="3"/>
  <c r="AF785" i="3"/>
  <c r="R448" i="3"/>
  <c r="AD650" i="3"/>
  <c r="AG581" i="3"/>
  <c r="E25" i="1"/>
  <c r="AE539" i="3"/>
  <c r="AC972" i="3"/>
  <c r="O773" i="3"/>
  <c r="AC878" i="3"/>
  <c r="AC667" i="3"/>
  <c r="S438" i="3"/>
  <c r="AE637" i="3"/>
  <c r="I734" i="3"/>
  <c r="H46" i="1"/>
  <c r="AC742" i="3"/>
  <c r="AC828" i="3"/>
  <c r="O557" i="3"/>
  <c r="K563" i="3"/>
  <c r="U473" i="3"/>
  <c r="AG682" i="3"/>
  <c r="N655" i="3"/>
  <c r="O666" i="3"/>
  <c r="O825" i="3"/>
  <c r="Q748" i="3"/>
  <c r="R427" i="3"/>
  <c r="S473" i="3"/>
  <c r="D78" i="1"/>
  <c r="AH616" i="3"/>
  <c r="N648" i="3"/>
  <c r="Q744" i="3"/>
  <c r="U745" i="3"/>
  <c r="AG418" i="3"/>
  <c r="AF672" i="3"/>
  <c r="R516" i="3"/>
  <c r="AF474" i="3"/>
  <c r="S430" i="3"/>
  <c r="AD527" i="3"/>
  <c r="H36" i="1"/>
  <c r="S525" i="3"/>
  <c r="K751" i="3"/>
  <c r="AC747" i="3"/>
  <c r="AE769" i="3"/>
  <c r="P581" i="3"/>
  <c r="AD675" i="3"/>
  <c r="AF633" i="3"/>
  <c r="K476" i="3"/>
  <c r="I600" i="3"/>
  <c r="O771" i="3"/>
  <c r="O837" i="3"/>
  <c r="S667" i="3"/>
  <c r="H80" i="1"/>
  <c r="AH453" i="3"/>
  <c r="M674" i="3"/>
  <c r="K474" i="3"/>
  <c r="N761" i="3"/>
  <c r="S482" i="3"/>
  <c r="Q838" i="3"/>
  <c r="P522" i="3"/>
  <c r="Q667" i="3"/>
  <c r="AF741" i="3"/>
  <c r="AF757" i="3"/>
  <c r="AC605" i="3"/>
  <c r="Q712" i="3"/>
  <c r="AG713" i="3"/>
  <c r="AH956" i="3"/>
  <c r="K562" i="3"/>
  <c r="AG422" i="3"/>
  <c r="E34" i="1"/>
  <c r="S682" i="3"/>
  <c r="AG657" i="3"/>
  <c r="R735" i="3"/>
  <c r="K789" i="3"/>
  <c r="U884" i="3"/>
  <c r="R572" i="3"/>
  <c r="D68" i="1"/>
  <c r="K645" i="3"/>
  <c r="H68" i="1"/>
  <c r="U581" i="3"/>
  <c r="AC853" i="3"/>
  <c r="AC783" i="3"/>
  <c r="U474" i="3"/>
  <c r="AE568" i="3"/>
  <c r="AG531" i="3"/>
  <c r="K648" i="3"/>
  <c r="K753" i="3"/>
  <c r="G90" i="1"/>
  <c r="N773" i="3"/>
  <c r="AG891" i="3"/>
  <c r="M474" i="3"/>
  <c r="D29" i="1"/>
  <c r="O583" i="3"/>
  <c r="F65" i="1"/>
  <c r="R764" i="3"/>
  <c r="AH877" i="3"/>
  <c r="AD831" i="3"/>
  <c r="Q731" i="3"/>
  <c r="R491" i="3"/>
  <c r="M683" i="3"/>
  <c r="R411" i="3"/>
  <c r="U760" i="3"/>
  <c r="O720" i="3"/>
  <c r="P755" i="3"/>
  <c r="G88" i="1"/>
  <c r="P466" i="3"/>
  <c r="K402" i="3"/>
  <c r="N678" i="3"/>
  <c r="K873" i="3"/>
  <c r="Q738" i="3"/>
  <c r="N796" i="3"/>
  <c r="P502" i="3"/>
  <c r="AH598" i="3"/>
  <c r="O414" i="3"/>
  <c r="AH662" i="3"/>
  <c r="Q688" i="3"/>
  <c r="O784" i="3"/>
  <c r="R574" i="3"/>
  <c r="U864" i="3"/>
  <c r="AG590" i="3"/>
  <c r="S500" i="3"/>
  <c r="M697" i="3"/>
  <c r="AG685" i="3"/>
  <c r="F38" i="1"/>
  <c r="M715" i="3"/>
  <c r="U837" i="3"/>
  <c r="N699" i="3"/>
  <c r="S503" i="3"/>
  <c r="K575" i="3"/>
  <c r="E73" i="1"/>
  <c r="P710" i="3"/>
  <c r="AC751" i="3"/>
  <c r="AF715" i="3"/>
  <c r="R514" i="3"/>
  <c r="E110" i="1"/>
  <c r="N551" i="3"/>
  <c r="N689" i="3"/>
  <c r="AC664" i="3"/>
  <c r="U642" i="3"/>
  <c r="F70" i="1"/>
  <c r="AH940" i="3"/>
  <c r="AH510" i="3"/>
  <c r="R568" i="3"/>
  <c r="AG757" i="3"/>
  <c r="H60" i="1"/>
  <c r="I857" i="3"/>
  <c r="Q812" i="3"/>
  <c r="AC700" i="3"/>
  <c r="K492" i="3"/>
  <c r="AG556" i="3"/>
  <c r="G24" i="1"/>
  <c r="AH640" i="3"/>
  <c r="AC435" i="3"/>
  <c r="AF509" i="3"/>
  <c r="AE848" i="3"/>
  <c r="Q547" i="3"/>
  <c r="AE467" i="3"/>
  <c r="AG419" i="3"/>
  <c r="F101" i="1"/>
  <c r="AC506" i="3"/>
  <c r="P763" i="3"/>
  <c r="U547" i="3"/>
  <c r="Q864" i="3"/>
  <c r="AC516" i="3"/>
  <c r="M505" i="3"/>
  <c r="AH496" i="3"/>
  <c r="P556" i="3"/>
  <c r="R817" i="3"/>
  <c r="R736" i="3"/>
  <c r="Q797" i="3"/>
  <c r="H85" i="1"/>
  <c r="O821" i="3"/>
  <c r="AH629" i="3"/>
  <c r="Q686" i="3"/>
  <c r="AE643" i="3"/>
  <c r="AG733" i="3"/>
  <c r="AH723" i="3"/>
  <c r="E42" i="1"/>
  <c r="AC548" i="3"/>
  <c r="AH487" i="3"/>
  <c r="Q555" i="3"/>
  <c r="AC678" i="3"/>
  <c r="O724" i="3"/>
  <c r="S793" i="3"/>
  <c r="N844" i="3"/>
  <c r="U565" i="3"/>
  <c r="AD402" i="3"/>
  <c r="F89" i="1"/>
  <c r="Q523" i="3"/>
  <c r="AH745" i="3"/>
  <c r="AE406" i="3"/>
  <c r="AD834" i="3"/>
  <c r="AE480" i="3"/>
  <c r="P507" i="3"/>
  <c r="F96" i="1"/>
  <c r="AD468" i="3"/>
  <c r="AG752" i="3"/>
  <c r="M752" i="3"/>
  <c r="M743" i="3"/>
  <c r="P956" i="3"/>
  <c r="AF691" i="3"/>
  <c r="AF616" i="3"/>
  <c r="S526" i="3"/>
  <c r="O681" i="3"/>
  <c r="P668" i="3"/>
  <c r="AD848" i="3"/>
  <c r="S663" i="3"/>
  <c r="AC410" i="3"/>
  <c r="AG574" i="3"/>
  <c r="AF653" i="3"/>
  <c r="AC644" i="3"/>
  <c r="AG724" i="3"/>
  <c r="AE853" i="3"/>
  <c r="M931" i="3"/>
  <c r="K580" i="3"/>
  <c r="AF435" i="3"/>
  <c r="AG649" i="3"/>
  <c r="D19" i="1"/>
  <c r="Q796" i="3"/>
  <c r="AC677" i="3"/>
  <c r="R798" i="3"/>
  <c r="AH466" i="3"/>
  <c r="AD565" i="3"/>
  <c r="I741" i="3"/>
  <c r="AH682" i="3"/>
  <c r="R620" i="3"/>
  <c r="P612" i="3"/>
  <c r="M700" i="3"/>
  <c r="O580" i="3"/>
  <c r="O564" i="3"/>
  <c r="P578" i="3"/>
  <c r="P618" i="3"/>
  <c r="R517" i="3"/>
  <c r="K813" i="3"/>
  <c r="M525" i="3"/>
  <c r="I844" i="3"/>
  <c r="I494" i="3"/>
  <c r="O528" i="3"/>
  <c r="AC521" i="3"/>
  <c r="M583" i="3"/>
  <c r="S552" i="3"/>
  <c r="P696" i="3"/>
  <c r="P709" i="3"/>
  <c r="S886" i="3"/>
  <c r="K585" i="3"/>
  <c r="I651" i="3"/>
  <c r="AD714" i="3"/>
  <c r="S669" i="3"/>
  <c r="U476" i="3"/>
  <c r="AC637" i="3"/>
  <c r="N837" i="3"/>
  <c r="O480" i="3"/>
  <c r="Q589" i="3"/>
  <c r="AD529" i="3"/>
  <c r="AE587" i="3"/>
  <c r="N725" i="3"/>
  <c r="AD791" i="3"/>
  <c r="AF685" i="3"/>
  <c r="AC1008" i="3"/>
  <c r="O615" i="3"/>
  <c r="AC515" i="3"/>
  <c r="G18" i="1"/>
  <c r="S550" i="3"/>
  <c r="AD539" i="3"/>
  <c r="U788" i="3"/>
  <c r="U816" i="3"/>
  <c r="K411" i="3"/>
  <c r="N599" i="3"/>
  <c r="AG611" i="3"/>
  <c r="AG653" i="3"/>
  <c r="AD519" i="3"/>
  <c r="M761" i="3"/>
  <c r="AH840" i="3"/>
  <c r="I761" i="3"/>
  <c r="M531" i="3"/>
  <c r="AE577" i="3"/>
  <c r="AH618" i="3"/>
  <c r="AD579" i="3"/>
  <c r="H72" i="1"/>
  <c r="M765" i="3"/>
  <c r="AH514" i="3"/>
  <c r="O827" i="3"/>
  <c r="AC512" i="3"/>
  <c r="AE415" i="3"/>
  <c r="N730" i="3"/>
  <c r="R458" i="3"/>
  <c r="M653" i="3"/>
  <c r="S773" i="3"/>
  <c r="AD659" i="3"/>
  <c r="D62" i="1"/>
  <c r="N422" i="3"/>
  <c r="H96" i="1"/>
  <c r="I583" i="3"/>
  <c r="AE471" i="3"/>
  <c r="AE448" i="3"/>
  <c r="H112" i="1"/>
  <c r="G79" i="1"/>
  <c r="R740" i="3"/>
  <c r="R805" i="3"/>
  <c r="AH886" i="3"/>
  <c r="F73" i="1"/>
  <c r="N538" i="3"/>
  <c r="Q651" i="3"/>
  <c r="N665" i="3"/>
  <c r="H65" i="1"/>
  <c r="I1055" i="3"/>
  <c r="P787" i="3"/>
  <c r="AF483" i="3"/>
  <c r="Q455" i="3"/>
  <c r="S738" i="3"/>
  <c r="S762" i="3"/>
  <c r="I705" i="3"/>
  <c r="N825" i="3"/>
  <c r="AH776" i="3"/>
  <c r="I884" i="3"/>
  <c r="Q458" i="3"/>
  <c r="AD594" i="3"/>
  <c r="N717" i="3"/>
  <c r="Q661" i="3"/>
  <c r="AG805" i="3"/>
  <c r="R857" i="3"/>
  <c r="O765" i="3"/>
  <c r="I488" i="3"/>
  <c r="K710" i="3"/>
  <c r="U499" i="3"/>
  <c r="U463" i="3"/>
  <c r="AD439" i="3"/>
  <c r="AC688" i="3"/>
  <c r="AG731" i="3"/>
  <c r="M877" i="3"/>
  <c r="AG880" i="3"/>
  <c r="Q702" i="3"/>
  <c r="K399" i="3"/>
  <c r="N610" i="3"/>
  <c r="Q502" i="3"/>
  <c r="AD972" i="3"/>
  <c r="M602" i="3"/>
  <c r="AG740" i="3"/>
  <c r="S533" i="3"/>
  <c r="AC552" i="3"/>
  <c r="I491" i="3"/>
  <c r="N605" i="3"/>
  <c r="AE658" i="3"/>
  <c r="O748" i="3"/>
  <c r="N853" i="3"/>
  <c r="Q434" i="3"/>
  <c r="AG658" i="3"/>
  <c r="Q610" i="3"/>
  <c r="AE594" i="3"/>
  <c r="I617" i="3"/>
  <c r="AF768" i="3"/>
  <c r="AG696" i="3"/>
  <c r="AE585" i="3"/>
  <c r="AE450" i="3"/>
  <c r="N627" i="3"/>
  <c r="AC415" i="3"/>
  <c r="F87" i="1"/>
  <c r="AC736" i="3"/>
  <c r="AE706" i="3"/>
  <c r="O807" i="3"/>
  <c r="E39" i="1"/>
  <c r="O606" i="3"/>
  <c r="AF656" i="3"/>
  <c r="U705" i="3"/>
  <c r="M668" i="3"/>
  <c r="P712" i="3"/>
  <c r="I678" i="3"/>
  <c r="AF439" i="3"/>
  <c r="AF491" i="3"/>
  <c r="M427" i="3"/>
  <c r="AG729" i="3"/>
  <c r="AF612" i="3"/>
  <c r="P459" i="3"/>
  <c r="AH781" i="3"/>
  <c r="O868" i="3"/>
  <c r="M448" i="3"/>
  <c r="AC589" i="3"/>
  <c r="R607" i="3"/>
  <c r="E97" i="1"/>
  <c r="AH801" i="3"/>
  <c r="M852" i="3"/>
  <c r="S700" i="3"/>
  <c r="R500" i="3"/>
  <c r="Q585" i="3"/>
  <c r="P695" i="3"/>
  <c r="I629" i="3"/>
  <c r="I688" i="3"/>
  <c r="K820" i="3"/>
  <c r="R812" i="3"/>
  <c r="M528" i="3"/>
  <c r="Q591" i="3"/>
  <c r="N705" i="3"/>
  <c r="K637" i="3"/>
  <c r="P464" i="3"/>
  <c r="S746" i="3"/>
  <c r="K796" i="3"/>
  <c r="AE554" i="3"/>
  <c r="E105" i="1"/>
  <c r="U582" i="3"/>
  <c r="AD562" i="3"/>
  <c r="AC636" i="3"/>
  <c r="U771" i="3"/>
  <c r="I726" i="3"/>
  <c r="AE822" i="3"/>
  <c r="M691" i="3"/>
  <c r="R459" i="3"/>
  <c r="I586" i="3"/>
  <c r="H98" i="1"/>
  <c r="M824" i="3"/>
  <c r="I708" i="3"/>
  <c r="Q862" i="3"/>
  <c r="AC861" i="3"/>
  <c r="K534" i="3"/>
  <c r="AF514" i="3"/>
  <c r="AH515" i="3"/>
  <c r="AC729" i="3"/>
  <c r="AH779" i="3"/>
  <c r="AE809" i="3"/>
  <c r="AG654" i="3"/>
  <c r="U618" i="3"/>
  <c r="K654" i="3"/>
  <c r="I463" i="3"/>
  <c r="O726" i="3"/>
  <c r="I804" i="3"/>
  <c r="AC658" i="3"/>
  <c r="Q835" i="3"/>
  <c r="S454" i="3"/>
  <c r="N434" i="3"/>
  <c r="O661" i="3"/>
  <c r="Q634" i="3"/>
  <c r="AD845" i="3"/>
  <c r="I793" i="3"/>
  <c r="AD772" i="3"/>
  <c r="N618" i="3"/>
  <c r="H84" i="1"/>
  <c r="N649" i="3"/>
  <c r="R591" i="3"/>
  <c r="AF550" i="3"/>
  <c r="AE653" i="3"/>
  <c r="Q779" i="3"/>
  <c r="H59" i="1"/>
  <c r="AG675" i="3"/>
  <c r="AF714" i="3"/>
  <c r="AC702" i="3"/>
  <c r="M758" i="3"/>
  <c r="R451" i="3"/>
  <c r="AG773" i="3"/>
  <c r="AD903" i="3"/>
  <c r="AH494" i="3"/>
  <c r="R521" i="3"/>
  <c r="M650" i="3"/>
  <c r="N677" i="3"/>
  <c r="K783" i="3"/>
  <c r="U631" i="3"/>
  <c r="AG803" i="3"/>
  <c r="R532" i="3"/>
  <c r="R442" i="3"/>
  <c r="U577" i="3"/>
  <c r="P514" i="3"/>
  <c r="I690" i="3"/>
  <c r="M856" i="3"/>
  <c r="S590" i="3"/>
  <c r="M876" i="3"/>
  <c r="P407" i="3"/>
  <c r="R623" i="3"/>
  <c r="S694" i="3"/>
  <c r="Q734" i="3"/>
  <c r="AD701" i="3"/>
  <c r="M828" i="3"/>
  <c r="AE972" i="3"/>
  <c r="AF532" i="3"/>
  <c r="N453" i="3"/>
  <c r="AH534" i="3"/>
  <c r="AE458" i="3"/>
  <c r="AG690" i="3"/>
  <c r="P804" i="3"/>
  <c r="N740" i="3"/>
  <c r="AF939" i="3"/>
  <c r="D42" i="1"/>
  <c r="O642" i="3"/>
  <c r="S620" i="3"/>
  <c r="I563" i="3"/>
  <c r="AE711" i="3"/>
  <c r="M848" i="3"/>
  <c r="M1055" i="3"/>
  <c r="AH475" i="3"/>
  <c r="I518" i="3"/>
  <c r="O446" i="3"/>
  <c r="K415" i="3"/>
  <c r="U677" i="3"/>
  <c r="O527" i="3"/>
  <c r="R708" i="3"/>
  <c r="N607" i="3"/>
  <c r="R492" i="3"/>
  <c r="AC470" i="3"/>
  <c r="D47" i="1"/>
  <c r="I766" i="3"/>
  <c r="P549" i="3"/>
  <c r="Q641" i="3"/>
  <c r="I777" i="3"/>
  <c r="E61" i="1"/>
  <c r="S502" i="3"/>
  <c r="O622" i="3"/>
  <c r="AG549" i="3"/>
  <c r="H90" i="1"/>
  <c r="AH712" i="3"/>
  <c r="Q750" i="3"/>
  <c r="S799" i="3"/>
  <c r="O679" i="3"/>
  <c r="AF726" i="3"/>
  <c r="M766" i="3"/>
  <c r="AE673" i="3"/>
  <c r="P676" i="3"/>
  <c r="U645" i="3"/>
  <c r="S707" i="3"/>
  <c r="AD509" i="3"/>
  <c r="AE663" i="3"/>
  <c r="AH490" i="3"/>
  <c r="AD534" i="3"/>
  <c r="AG613" i="3"/>
  <c r="U750" i="3"/>
  <c r="N1055" i="3"/>
  <c r="R924" i="3"/>
  <c r="P504" i="3"/>
  <c r="AH655" i="3"/>
  <c r="H23" i="1"/>
  <c r="Q435" i="3"/>
  <c r="S426" i="3"/>
  <c r="I889" i="3"/>
  <c r="I620" i="3"/>
  <c r="M834" i="3"/>
  <c r="S566" i="3"/>
  <c r="E89" i="1"/>
  <c r="G76" i="1"/>
  <c r="O475" i="3"/>
  <c r="AD624" i="3"/>
  <c r="Q768" i="3"/>
  <c r="R771" i="3"/>
  <c r="AD446" i="3"/>
  <c r="AD497" i="3"/>
  <c r="AC610" i="3"/>
  <c r="AG503" i="3"/>
  <c r="AD470" i="3"/>
  <c r="M728" i="3"/>
  <c r="I715" i="3"/>
  <c r="K874" i="3"/>
  <c r="U503" i="3"/>
  <c r="N562" i="3"/>
  <c r="H32" i="1"/>
  <c r="AF446" i="3"/>
  <c r="I550" i="3"/>
  <c r="AF545" i="3"/>
  <c r="M730" i="3"/>
  <c r="S730" i="3"/>
  <c r="AF778" i="3"/>
  <c r="AH1055" i="3"/>
  <c r="U539" i="3"/>
  <c r="N484" i="3"/>
  <c r="D39" i="1"/>
  <c r="M487" i="3"/>
  <c r="R502" i="3"/>
  <c r="AD735" i="3"/>
  <c r="S589" i="3"/>
  <c r="AD826" i="3"/>
  <c r="O479" i="3"/>
  <c r="R418" i="3"/>
  <c r="P517" i="3"/>
  <c r="M686" i="3"/>
  <c r="M671" i="3"/>
  <c r="S716" i="3"/>
  <c r="AD769" i="3"/>
  <c r="AD455" i="3"/>
  <c r="AF538" i="3"/>
  <c r="AH532" i="3"/>
  <c r="K523" i="3"/>
  <c r="H91" i="1"/>
  <c r="Q841" i="3"/>
  <c r="I780" i="3"/>
  <c r="U712" i="3"/>
  <c r="AG595" i="3"/>
  <c r="AD785" i="3"/>
  <c r="P491" i="3"/>
  <c r="E62" i="1"/>
  <c r="P713" i="3"/>
  <c r="R682" i="3"/>
  <c r="E79" i="1"/>
  <c r="AE752" i="3"/>
  <c r="R559" i="3"/>
  <c r="S489" i="3"/>
  <c r="S547" i="3"/>
  <c r="AF492" i="3"/>
  <c r="O549" i="3"/>
  <c r="U800" i="3"/>
  <c r="AG641" i="3"/>
  <c r="M875" i="3"/>
  <c r="O614" i="3"/>
  <c r="F37" i="1"/>
  <c r="D56" i="1"/>
  <c r="D21" i="1"/>
  <c r="AG755" i="3"/>
  <c r="G110" i="1"/>
  <c r="M892" i="3"/>
  <c r="O596" i="3"/>
  <c r="AG634" i="3"/>
  <c r="S653" i="3"/>
  <c r="E19" i="1"/>
  <c r="R597" i="3"/>
  <c r="N793" i="3"/>
  <c r="U832" i="3"/>
  <c r="K718" i="3"/>
  <c r="U706" i="3"/>
  <c r="K458" i="3"/>
  <c r="AD821" i="3"/>
  <c r="AF683" i="3"/>
  <c r="U820" i="3"/>
  <c r="AE781" i="3"/>
  <c r="N492" i="3"/>
  <c r="AH454" i="3"/>
  <c r="AC623" i="3"/>
  <c r="R581" i="3"/>
  <c r="D20" i="1"/>
  <c r="AD586" i="3"/>
  <c r="AF784" i="3"/>
  <c r="Q803" i="3"/>
  <c r="Q546" i="3"/>
  <c r="U571" i="3"/>
  <c r="U754" i="3"/>
  <c r="K690" i="3"/>
  <c r="M664" i="3"/>
  <c r="AH783" i="3"/>
  <c r="AG775" i="3"/>
  <c r="AF520" i="3"/>
  <c r="K422" i="3"/>
  <c r="F29" i="1"/>
  <c r="AC550" i="3"/>
  <c r="U718" i="3"/>
  <c r="AD786" i="3"/>
  <c r="E87" i="1"/>
  <c r="AD558" i="3"/>
  <c r="AE566" i="3"/>
  <c r="AF602" i="3"/>
  <c r="AF733" i="3"/>
  <c r="AC565" i="3"/>
  <c r="M988" i="3"/>
  <c r="AF783" i="3"/>
  <c r="AG887" i="3"/>
  <c r="AD426" i="3"/>
  <c r="S658" i="3"/>
  <c r="I666" i="3"/>
  <c r="S471" i="3"/>
  <c r="U699" i="3"/>
  <c r="AC836" i="3"/>
  <c r="S632" i="3"/>
  <c r="K504" i="3"/>
  <c r="O495" i="3"/>
  <c r="AC586" i="3"/>
  <c r="Q717" i="3"/>
  <c r="M558" i="3"/>
  <c r="U702" i="3"/>
  <c r="R700" i="3"/>
  <c r="K403" i="3"/>
  <c r="S659" i="3"/>
  <c r="O563" i="3"/>
  <c r="AC556" i="3"/>
  <c r="G111" i="1"/>
  <c r="P719" i="3"/>
  <c r="O889" i="3"/>
  <c r="K471" i="3"/>
  <c r="O630" i="3"/>
  <c r="G74" i="1"/>
  <c r="R588" i="3"/>
  <c r="U688" i="3"/>
  <c r="N651" i="3"/>
  <c r="O793" i="3"/>
  <c r="S732" i="3"/>
  <c r="AG407" i="3"/>
  <c r="M454" i="3"/>
  <c r="U656" i="3"/>
  <c r="R697" i="3"/>
  <c r="R608" i="3"/>
  <c r="R633" i="3"/>
  <c r="S723" i="3"/>
  <c r="AF564" i="3"/>
  <c r="S511" i="3"/>
  <c r="AF531" i="3"/>
  <c r="AG697" i="3"/>
  <c r="AC647" i="3"/>
  <c r="AC745" i="3"/>
  <c r="K661" i="3"/>
  <c r="AD867" i="3"/>
  <c r="K595" i="3"/>
  <c r="I471" i="3"/>
  <c r="R662" i="3"/>
  <c r="Q484" i="3"/>
  <c r="AD763" i="3"/>
  <c r="AF719" i="3"/>
  <c r="AC779" i="3"/>
  <c r="P478" i="3"/>
  <c r="P642" i="3"/>
  <c r="H39" i="1"/>
  <c r="O673" i="3"/>
  <c r="M642" i="3"/>
  <c r="U772" i="3"/>
  <c r="F56" i="1"/>
  <c r="P540" i="3"/>
  <c r="P610" i="3"/>
  <c r="M717" i="3"/>
  <c r="S672" i="3"/>
  <c r="AE487" i="3"/>
  <c r="AE709" i="3"/>
  <c r="P750" i="3"/>
  <c r="AF886" i="3"/>
  <c r="AH533" i="3"/>
  <c r="Q603" i="3"/>
  <c r="N757" i="3"/>
  <c r="I746" i="3"/>
  <c r="AD623" i="3"/>
  <c r="AF414" i="3"/>
  <c r="AH806" i="3"/>
  <c r="N578" i="3"/>
  <c r="AH547" i="3"/>
  <c r="I652" i="3"/>
  <c r="AF505" i="3"/>
  <c r="AC715" i="3"/>
  <c r="AE760" i="3"/>
  <c r="P764" i="3"/>
  <c r="S446" i="3"/>
  <c r="I523" i="3"/>
  <c r="K430" i="3"/>
  <c r="AG614" i="3"/>
  <c r="P721" i="3"/>
  <c r="U740" i="3"/>
  <c r="AE703" i="3"/>
  <c r="O462" i="3"/>
  <c r="AH520" i="3"/>
  <c r="O544" i="3"/>
  <c r="AH670" i="3"/>
  <c r="AH544" i="3"/>
  <c r="AC776" i="3"/>
  <c r="AG716" i="3"/>
  <c r="AH823" i="3"/>
  <c r="AE588" i="3"/>
  <c r="H64" i="1"/>
  <c r="Q586" i="3"/>
  <c r="F85" i="1"/>
  <c r="AG766" i="3"/>
  <c r="P627" i="3"/>
  <c r="I759" i="3"/>
  <c r="Q638" i="3"/>
  <c r="Q581" i="3"/>
  <c r="I564" i="3"/>
  <c r="P651" i="3"/>
  <c r="AC746" i="3"/>
  <c r="N479" i="3"/>
  <c r="K704" i="3"/>
  <c r="P828" i="3"/>
  <c r="U471" i="3"/>
  <c r="R454" i="3"/>
  <c r="AF552" i="3"/>
  <c r="M586" i="3"/>
  <c r="M447" i="3"/>
  <c r="AF817" i="3"/>
  <c r="R756" i="3"/>
  <c r="K923" i="3"/>
  <c r="I435" i="3"/>
  <c r="U559" i="3"/>
  <c r="O671" i="3"/>
  <c r="N621" i="3"/>
  <c r="AF587" i="3"/>
  <c r="AF777" i="3"/>
  <c r="AE817" i="3"/>
  <c r="O434" i="3"/>
  <c r="R474" i="3"/>
  <c r="P583" i="3"/>
  <c r="I467" i="3"/>
  <c r="R538" i="3"/>
  <c r="AD715" i="3"/>
  <c r="E44" i="1"/>
  <c r="AH899" i="3"/>
  <c r="D100" i="1"/>
  <c r="AH626" i="3"/>
  <c r="AE426" i="3"/>
  <c r="G25" i="1"/>
  <c r="AF625" i="3"/>
  <c r="O972" i="3"/>
  <c r="N564" i="3"/>
  <c r="M887" i="3"/>
  <c r="F95" i="1"/>
  <c r="AE474" i="3"/>
  <c r="K651" i="3"/>
  <c r="AC705" i="3"/>
  <c r="AF646" i="3"/>
  <c r="N582" i="3"/>
  <c r="P904" i="3"/>
  <c r="M575" i="3"/>
  <c r="S563" i="3"/>
  <c r="O568" i="3"/>
  <c r="M626" i="3"/>
  <c r="D54" i="1"/>
  <c r="AF760" i="3"/>
  <c r="S610" i="3"/>
  <c r="AE940" i="3"/>
  <c r="K406" i="3"/>
  <c r="R619" i="3"/>
  <c r="O754" i="3"/>
  <c r="O506" i="3"/>
  <c r="P682" i="3"/>
  <c r="AG624" i="3"/>
  <c r="E29" i="1"/>
  <c r="U459" i="3"/>
  <c r="AG676" i="3"/>
  <c r="AF747" i="3"/>
  <c r="AH675" i="3"/>
  <c r="I509" i="3"/>
  <c r="S492" i="3"/>
  <c r="P438" i="3"/>
  <c r="AE674" i="3"/>
  <c r="P785" i="3"/>
  <c r="Q423" i="3"/>
  <c r="K927" i="3"/>
  <c r="O706" i="3"/>
  <c r="R547" i="3"/>
  <c r="M726" i="3"/>
  <c r="Q550" i="3"/>
  <c r="AC707" i="3"/>
  <c r="AG837" i="3"/>
  <c r="N785" i="3"/>
  <c r="AE556" i="3"/>
  <c r="P615" i="3"/>
  <c r="Q532" i="3"/>
  <c r="AD570" i="3"/>
  <c r="N407" i="3"/>
  <c r="I736" i="3"/>
  <c r="AD770" i="3"/>
  <c r="AF835" i="3"/>
  <c r="O639" i="3"/>
  <c r="AF636" i="3"/>
  <c r="F71" i="1"/>
  <c r="K526" i="3"/>
  <c r="P805" i="3"/>
  <c r="U403" i="3"/>
  <c r="AC510" i="3"/>
  <c r="P723" i="3"/>
  <c r="N559" i="3"/>
  <c r="O519" i="3"/>
  <c r="P501" i="3"/>
  <c r="E49" i="1"/>
  <c r="AE671" i="3"/>
  <c r="AC796" i="3"/>
  <c r="M767" i="3"/>
  <c r="AD908" i="3"/>
  <c r="AF507" i="3"/>
  <c r="AF422" i="3"/>
  <c r="I544" i="3"/>
  <c r="N478" i="3"/>
  <c r="AE771" i="3"/>
  <c r="N857" i="3"/>
  <c r="O846" i="3"/>
  <c r="R648" i="3"/>
  <c r="P505" i="3"/>
  <c r="R652" i="3"/>
  <c r="AC686" i="3"/>
  <c r="F79" i="1"/>
  <c r="S904" i="3"/>
  <c r="Q675" i="3"/>
  <c r="R719" i="3"/>
  <c r="S490" i="3"/>
  <c r="AE531" i="3"/>
  <c r="I729" i="3"/>
  <c r="U762" i="3"/>
  <c r="AE558" i="3"/>
  <c r="AE812" i="3"/>
  <c r="M774" i="3"/>
  <c r="Q533" i="3"/>
  <c r="O561" i="3"/>
  <c r="AF706" i="3"/>
  <c r="Q568" i="3"/>
  <c r="AE726" i="3"/>
  <c r="K462" i="3"/>
  <c r="AD976" i="3"/>
  <c r="K611" i="3"/>
  <c r="N626" i="3"/>
  <c r="AG677" i="3"/>
  <c r="U636" i="3"/>
  <c r="S782" i="3"/>
  <c r="AH747" i="3"/>
  <c r="K505" i="3"/>
  <c r="M414" i="3"/>
  <c r="P595" i="3"/>
  <c r="P498" i="3"/>
  <c r="P694" i="3"/>
  <c r="U532" i="3"/>
  <c r="I723" i="3"/>
  <c r="AE845" i="3"/>
  <c r="H75" i="1"/>
  <c r="R595" i="3"/>
  <c r="AG515" i="3"/>
  <c r="AF610" i="3"/>
  <c r="Q657" i="3"/>
  <c r="U727" i="3"/>
  <c r="M727" i="3"/>
  <c r="N927" i="3"/>
  <c r="Q663" i="3"/>
  <c r="AF572" i="3"/>
  <c r="AC606" i="3"/>
  <c r="AG774" i="3"/>
  <c r="AG840" i="3"/>
  <c r="S777" i="3"/>
  <c r="AH743" i="3"/>
  <c r="AE504" i="3"/>
  <c r="AE638" i="3"/>
  <c r="O684" i="3"/>
  <c r="G80" i="1"/>
  <c r="AG403" i="3"/>
  <c r="U749" i="3"/>
  <c r="AF700" i="3"/>
  <c r="Q558" i="3"/>
  <c r="U584" i="3"/>
  <c r="AC532" i="3"/>
  <c r="O399" i="3"/>
  <c r="R621" i="3"/>
  <c r="AC621" i="3"/>
  <c r="N687" i="3"/>
  <c r="G40" i="1"/>
  <c r="M451" i="3"/>
  <c r="O607" i="3"/>
  <c r="AH741" i="3"/>
  <c r="P453" i="3"/>
  <c r="R765" i="3"/>
  <c r="AG763" i="3"/>
  <c r="N836" i="3"/>
  <c r="M790" i="3"/>
  <c r="Q422" i="3"/>
  <c r="U650" i="3"/>
  <c r="AG423" i="3"/>
  <c r="N636" i="3"/>
  <c r="AF621" i="3"/>
  <c r="U789" i="3"/>
  <c r="AE513" i="3"/>
  <c r="N643" i="3"/>
  <c r="O467" i="3"/>
  <c r="AD541" i="3"/>
  <c r="I698" i="3"/>
  <c r="S736" i="3"/>
  <c r="I637" i="3"/>
  <c r="O855" i="3"/>
  <c r="O873" i="3"/>
  <c r="AE403" i="3"/>
  <c r="AH561" i="3"/>
  <c r="AD626" i="3"/>
  <c r="R786" i="3"/>
  <c r="AD544" i="3"/>
  <c r="S842" i="3"/>
  <c r="AH565" i="3"/>
  <c r="D90" i="1"/>
  <c r="N690" i="3"/>
  <c r="AG514" i="3"/>
  <c r="AG678" i="3"/>
  <c r="AC740" i="3"/>
  <c r="N529" i="3"/>
  <c r="R571" i="3"/>
  <c r="S537" i="3"/>
  <c r="N645" i="3"/>
  <c r="R600" i="3"/>
  <c r="G58" i="1"/>
  <c r="AE775" i="3"/>
  <c r="K724" i="3"/>
  <c r="R810" i="3"/>
  <c r="P418" i="3"/>
  <c r="M702" i="3"/>
  <c r="Q668" i="3"/>
  <c r="AD654" i="3"/>
  <c r="N775" i="3"/>
  <c r="M780" i="3"/>
  <c r="AH955" i="3"/>
  <c r="AC511" i="3"/>
  <c r="M566" i="3"/>
  <c r="P622" i="3"/>
  <c r="AG587" i="3"/>
  <c r="AC708" i="3"/>
  <c r="AF779" i="3"/>
  <c r="O794" i="3"/>
  <c r="AE479" i="3"/>
  <c r="R464" i="3"/>
  <c r="K514" i="3"/>
  <c r="M597" i="3"/>
  <c r="Q622" i="3"/>
  <c r="S717" i="3"/>
  <c r="AH787" i="3"/>
  <c r="O560" i="3"/>
  <c r="P774" i="3"/>
  <c r="P450" i="3"/>
  <c r="AC500" i="3"/>
  <c r="M660" i="3"/>
  <c r="AF794" i="3"/>
  <c r="G29" i="1"/>
  <c r="I976" i="3"/>
  <c r="N541" i="3"/>
  <c r="R550" i="3"/>
  <c r="S778" i="3"/>
  <c r="AD753" i="3"/>
  <c r="N778" i="3"/>
  <c r="AG1055" i="3"/>
  <c r="N783" i="3"/>
  <c r="AG618" i="3"/>
  <c r="AG596" i="3"/>
  <c r="O566" i="3"/>
  <c r="K672" i="3"/>
  <c r="AC494" i="3"/>
  <c r="S715" i="3"/>
  <c r="AC781" i="3"/>
  <c r="AG845" i="3"/>
  <c r="AH486" i="3"/>
  <c r="M463" i="3"/>
  <c r="AH407" i="3"/>
  <c r="AC709" i="3"/>
  <c r="O713" i="3"/>
  <c r="Q402" i="3"/>
  <c r="S666" i="3"/>
  <c r="AG870" i="3"/>
  <c r="D85" i="1"/>
  <c r="U556" i="3"/>
  <c r="R690" i="3"/>
  <c r="AG451" i="3"/>
  <c r="O689" i="3"/>
  <c r="K759" i="3"/>
  <c r="S698" i="3"/>
  <c r="I503" i="3"/>
  <c r="P485" i="3"/>
  <c r="R691" i="3"/>
  <c r="AE661" i="3"/>
  <c r="AE453" i="3"/>
  <c r="S781" i="3"/>
  <c r="U670" i="3"/>
  <c r="M1044" i="3"/>
  <c r="S435" i="3"/>
  <c r="AF642" i="3"/>
  <c r="K679" i="3"/>
  <c r="K686" i="3"/>
  <c r="AC721" i="3"/>
  <c r="D110" i="1"/>
  <c r="Q720" i="3"/>
  <c r="AC492" i="3"/>
  <c r="O598" i="3"/>
  <c r="AH650" i="3"/>
  <c r="AH737" i="3"/>
  <c r="N701" i="3"/>
  <c r="D88" i="1"/>
  <c r="Q664" i="3"/>
  <c r="AE920" i="3"/>
  <c r="Q537" i="3"/>
  <c r="AD483" i="3"/>
  <c r="AE589" i="3"/>
  <c r="O635" i="3"/>
  <c r="I672" i="3"/>
  <c r="O800" i="3"/>
  <c r="P640" i="3"/>
  <c r="O956" i="3"/>
  <c r="S655" i="3"/>
  <c r="P577" i="3"/>
  <c r="S749" i="3"/>
  <c r="AD486" i="3"/>
  <c r="M501" i="3"/>
  <c r="AC681" i="3"/>
  <c r="AH426" i="3"/>
  <c r="O904" i="3"/>
  <c r="K829" i="3"/>
  <c r="AE777" i="3"/>
  <c r="S548" i="3"/>
  <c r="Q594" i="3"/>
  <c r="I506" i="3"/>
  <c r="AD532" i="3"/>
  <c r="U741" i="3"/>
  <c r="AF865" i="3"/>
  <c r="M725" i="3"/>
  <c r="AF893" i="3"/>
  <c r="K482" i="3"/>
  <c r="AE610" i="3"/>
  <c r="AH527" i="3"/>
  <c r="O423" i="3"/>
  <c r="AC724" i="3"/>
  <c r="R739" i="3"/>
  <c r="AD752" i="3"/>
  <c r="AF463" i="3"/>
  <c r="M553" i="3"/>
  <c r="H111" i="1"/>
  <c r="AG615" i="3"/>
  <c r="U612" i="3"/>
  <c r="H104" i="1"/>
  <c r="AE579" i="3"/>
  <c r="R806" i="3"/>
  <c r="R402" i="3"/>
  <c r="AG818" i="3"/>
  <c r="N568" i="3"/>
  <c r="M624" i="3"/>
  <c r="AC507" i="3"/>
  <c r="AE418" i="3"/>
  <c r="I696" i="3"/>
  <c r="R703" i="3"/>
  <c r="N486" i="3"/>
  <c r="AH543" i="3"/>
  <c r="N574" i="3"/>
  <c r="H115" i="1"/>
  <c r="Q753" i="3"/>
  <c r="N669" i="3"/>
  <c r="U704" i="3"/>
  <c r="AF525" i="3"/>
  <c r="R546" i="3"/>
  <c r="S422" i="3"/>
  <c r="AD662" i="3"/>
  <c r="AG749" i="3"/>
  <c r="AC699" i="3"/>
  <c r="G31" i="1"/>
  <c r="I932" i="3"/>
  <c r="AC635" i="3"/>
  <c r="Q426" i="3"/>
  <c r="K709" i="3"/>
  <c r="AC484" i="3"/>
  <c r="K776" i="3"/>
  <c r="AE704" i="3"/>
  <c r="AE860" i="3"/>
  <c r="K801" i="3"/>
  <c r="E38" i="1"/>
  <c r="R873" i="3"/>
  <c r="N594" i="3"/>
  <c r="I730" i="3"/>
  <c r="AH730" i="3"/>
  <c r="P512" i="3"/>
  <c r="AH447" i="3"/>
  <c r="M480" i="3"/>
  <c r="R468" i="3"/>
  <c r="G113" i="1"/>
  <c r="M604" i="3"/>
  <c r="P920" i="3"/>
  <c r="AE652" i="3"/>
  <c r="AE623" i="3"/>
  <c r="U406" i="3"/>
  <c r="O603" i="3"/>
  <c r="AG557" i="3"/>
  <c r="AF547" i="3"/>
  <c r="AF711" i="3"/>
  <c r="K832" i="3"/>
  <c r="K696" i="3"/>
  <c r="R473" i="3"/>
  <c r="K552" i="3"/>
  <c r="AD737" i="3"/>
  <c r="AG633" i="3"/>
  <c r="M669" i="3"/>
  <c r="S721" i="3"/>
  <c r="AC765" i="3"/>
  <c r="G33" i="1"/>
  <c r="AC546" i="3"/>
  <c r="N419" i="3"/>
  <c r="AF620" i="3"/>
  <c r="S873" i="3"/>
  <c r="AG494" i="3"/>
  <c r="AH505" i="3"/>
  <c r="Q399" i="3"/>
  <c r="N468" i="3"/>
  <c r="AD642" i="3"/>
  <c r="AH492" i="3"/>
  <c r="P702" i="3"/>
  <c r="P857" i="3"/>
  <c r="E24" i="1"/>
  <c r="P879" i="3"/>
  <c r="AF665" i="3"/>
  <c r="M534" i="3"/>
  <c r="U686" i="3"/>
  <c r="U410" i="3"/>
  <c r="AG767" i="3"/>
  <c r="AC755" i="3"/>
  <c r="AE520" i="3"/>
  <c r="AE634" i="3"/>
  <c r="M643" i="3"/>
  <c r="AH634" i="3"/>
  <c r="K560" i="3"/>
  <c r="H88" i="1"/>
  <c r="P832" i="3"/>
  <c r="AF743" i="3"/>
  <c r="R629" i="3"/>
  <c r="AC598" i="3"/>
  <c r="AD447" i="3"/>
  <c r="AF503" i="3"/>
  <c r="U552" i="3"/>
  <c r="K764" i="3"/>
  <c r="AD829" i="3"/>
  <c r="AC952" i="3"/>
  <c r="E102" i="1"/>
  <c r="I492" i="3"/>
  <c r="AH753" i="3"/>
  <c r="M439" i="3"/>
  <c r="Q609" i="3"/>
  <c r="N829" i="3"/>
  <c r="N696" i="3"/>
  <c r="AF500" i="3"/>
  <c r="R774" i="3"/>
  <c r="K721" i="3"/>
  <c r="P737" i="3"/>
  <c r="AF662" i="3"/>
  <c r="R554" i="3"/>
  <c r="AF786" i="3"/>
  <c r="AF468" i="3"/>
  <c r="Q525" i="3"/>
  <c r="N533" i="3"/>
  <c r="AF543" i="3"/>
  <c r="AC573" i="3"/>
  <c r="N727" i="3"/>
  <c r="AE676" i="3"/>
  <c r="AG810" i="3"/>
  <c r="AD535" i="3"/>
  <c r="AC643" i="3"/>
  <c r="AE430" i="3"/>
  <c r="U519" i="3"/>
  <c r="N723" i="3"/>
  <c r="N797" i="3"/>
  <c r="AH708" i="3"/>
  <c r="M434" i="3"/>
  <c r="R510" i="3"/>
  <c r="O674" i="3"/>
  <c r="N423" i="3"/>
  <c r="I699" i="3"/>
  <c r="AC732" i="3"/>
  <c r="O734" i="3"/>
  <c r="R795" i="3"/>
  <c r="P554" i="3"/>
  <c r="Q679" i="3"/>
  <c r="M561" i="3"/>
  <c r="P684" i="3"/>
  <c r="AD696" i="3"/>
  <c r="S1055" i="3"/>
  <c r="U411" i="3"/>
  <c r="AD634" i="3"/>
  <c r="AD575" i="3"/>
  <c r="K530" i="3"/>
  <c r="AH685" i="3"/>
  <c r="S813" i="3"/>
  <c r="AF780" i="3"/>
  <c r="Q743" i="3"/>
  <c r="AD487" i="3"/>
  <c r="E45" i="1"/>
  <c r="AC634" i="3"/>
  <c r="R671" i="3"/>
  <c r="O618" i="3"/>
  <c r="O767" i="3"/>
  <c r="S771" i="3"/>
  <c r="AC466" i="3"/>
  <c r="D111" i="1"/>
  <c r="AE451" i="3"/>
  <c r="AD488" i="3"/>
  <c r="P658" i="3"/>
  <c r="R563" i="3"/>
  <c r="M693" i="3"/>
  <c r="Q798" i="3"/>
  <c r="K521" i="3"/>
  <c r="O677" i="3"/>
  <c r="O624" i="3"/>
  <c r="M648" i="3"/>
  <c r="AC805" i="3"/>
  <c r="AC820" i="3"/>
  <c r="N688" i="3"/>
  <c r="I635" i="3"/>
  <c r="K571" i="3"/>
  <c r="R504" i="3"/>
  <c r="AD616" i="3"/>
  <c r="I650" i="3"/>
  <c r="N816" i="3"/>
  <c r="M809" i="3"/>
  <c r="AH841" i="3"/>
  <c r="M675" i="3"/>
  <c r="Q492" i="3"/>
  <c r="P722" i="3"/>
  <c r="M550" i="3"/>
  <c r="R642" i="3"/>
  <c r="S600" i="3"/>
  <c r="AF641" i="3"/>
  <c r="P434" i="3"/>
  <c r="AH442" i="3"/>
  <c r="P561" i="3"/>
  <c r="I697" i="3"/>
  <c r="N520" i="3"/>
  <c r="AG708" i="3"/>
  <c r="AG770" i="3"/>
  <c r="M840" i="3"/>
  <c r="R511" i="3"/>
  <c r="AC540" i="3"/>
  <c r="AE630" i="3"/>
  <c r="N635" i="3"/>
  <c r="S624" i="3"/>
  <c r="Q865" i="3"/>
  <c r="AG778" i="3"/>
  <c r="AC819" i="3"/>
  <c r="AE546" i="3"/>
  <c r="M453" i="3"/>
  <c r="AG585" i="3"/>
  <c r="Q698" i="3"/>
  <c r="R635" i="3"/>
  <c r="K697" i="3"/>
  <c r="R861" i="3"/>
  <c r="AE455" i="3"/>
  <c r="I717" i="3"/>
  <c r="I442" i="3"/>
  <c r="N664" i="3"/>
  <c r="O418" i="3"/>
  <c r="M713" i="3"/>
  <c r="K728" i="3"/>
  <c r="AD556" i="3"/>
  <c r="AE500" i="3"/>
  <c r="I566" i="3"/>
  <c r="O609" i="3"/>
  <c r="P683" i="3"/>
  <c r="AG705" i="3"/>
  <c r="AH845" i="3"/>
  <c r="U700" i="3"/>
  <c r="I453" i="3"/>
  <c r="I602" i="3"/>
  <c r="I567" i="3"/>
  <c r="U657" i="3"/>
  <c r="AH663" i="3"/>
  <c r="AD547" i="3"/>
  <c r="O588" i="3"/>
  <c r="S562" i="3"/>
  <c r="AF800" i="3"/>
  <c r="U829" i="3"/>
  <c r="K848" i="3"/>
  <c r="O482" i="3"/>
  <c r="AC650" i="3"/>
  <c r="AF557" i="3"/>
  <c r="O610" i="3"/>
  <c r="K683" i="3"/>
  <c r="O781" i="3"/>
  <c r="O723" i="3"/>
  <c r="S402" i="3"/>
  <c r="P602" i="3"/>
  <c r="Q647" i="3"/>
  <c r="AH691" i="3"/>
  <c r="G107" i="1"/>
  <c r="R824" i="3"/>
  <c r="U773" i="3"/>
  <c r="AD865" i="3"/>
  <c r="AE434" i="3"/>
  <c r="O511" i="3"/>
  <c r="R505" i="3"/>
  <c r="U630" i="3"/>
  <c r="AE754" i="3"/>
  <c r="P853" i="3"/>
  <c r="R730" i="3"/>
  <c r="AE960" i="3"/>
  <c r="P641" i="3"/>
  <c r="N940" i="3"/>
  <c r="R706" i="3"/>
  <c r="AH597" i="3"/>
  <c r="AE530" i="3"/>
  <c r="AF736" i="3"/>
  <c r="O739" i="3"/>
  <c r="AD841" i="3"/>
  <c r="AE578" i="3"/>
  <c r="AF551" i="3"/>
  <c r="R573" i="3"/>
  <c r="AC680" i="3"/>
  <c r="AG540" i="3"/>
  <c r="N770" i="3"/>
  <c r="M771" i="3"/>
  <c r="G28" i="1"/>
  <c r="AD430" i="3"/>
  <c r="AG406" i="3"/>
  <c r="AD550" i="3"/>
  <c r="Q666" i="3"/>
  <c r="K750" i="3"/>
  <c r="AF861" i="3"/>
  <c r="N932" i="3"/>
  <c r="M737" i="3"/>
  <c r="O505" i="3"/>
  <c r="AC758" i="3"/>
  <c r="AH517" i="3"/>
  <c r="M777" i="3"/>
  <c r="Q770" i="3"/>
  <c r="S815" i="3"/>
  <c r="K765" i="3"/>
  <c r="U430" i="3"/>
  <c r="M762" i="3"/>
  <c r="O631" i="3"/>
  <c r="K673" i="3"/>
  <c r="M791" i="3"/>
  <c r="R634" i="3"/>
  <c r="AC774" i="3"/>
  <c r="K463" i="3"/>
  <c r="G102" i="1"/>
  <c r="AG660" i="3"/>
  <c r="O620" i="3"/>
  <c r="I659" i="3"/>
  <c r="AG776" i="3"/>
  <c r="AG466" i="3"/>
  <c r="AE545" i="3"/>
  <c r="Q488" i="3"/>
  <c r="P659" i="3"/>
  <c r="R534" i="3"/>
  <c r="K836" i="3"/>
  <c r="K782" i="3"/>
  <c r="O840" i="3"/>
  <c r="AG492" i="3"/>
  <c r="U579" i="3"/>
  <c r="P521" i="3"/>
  <c r="N766" i="3"/>
  <c r="AE667" i="3"/>
  <c r="O628" i="3"/>
  <c r="U744" i="3"/>
  <c r="R513" i="3"/>
  <c r="F50" i="1"/>
  <c r="K565" i="3"/>
  <c r="AG510" i="3"/>
  <c r="S668" i="3"/>
  <c r="N646" i="3"/>
  <c r="AE856" i="3"/>
  <c r="N567" i="3"/>
  <c r="K596" i="3"/>
  <c r="AD475" i="3"/>
  <c r="D27" i="1"/>
  <c r="I673" i="3"/>
  <c r="R712" i="3"/>
  <c r="AC541" i="3"/>
  <c r="AH952" i="3"/>
  <c r="AE606" i="3"/>
  <c r="AC706" i="3"/>
  <c r="M677" i="3"/>
  <c r="AG414" i="3"/>
  <c r="Q696" i="3"/>
  <c r="S755" i="3"/>
  <c r="AC616" i="3"/>
  <c r="AE774" i="3"/>
  <c r="E94" i="1"/>
  <c r="N674" i="3"/>
  <c r="U593" i="3"/>
  <c r="S664" i="3"/>
  <c r="AE736" i="3"/>
  <c r="Q773" i="3"/>
  <c r="P727" i="3"/>
  <c r="P467" i="3"/>
  <c r="R399" i="3"/>
  <c r="Q474" i="3"/>
  <c r="O758" i="3"/>
  <c r="R707" i="3"/>
  <c r="I770" i="3"/>
  <c r="K818" i="3"/>
  <c r="AH411" i="3"/>
  <c r="AG638" i="3"/>
  <c r="Q873" i="3"/>
  <c r="P486" i="3"/>
  <c r="M768" i="3"/>
  <c r="O829" i="3"/>
  <c r="O816" i="3"/>
  <c r="Q489" i="3"/>
  <c r="AC557" i="3"/>
  <c r="R596" i="3"/>
  <c r="AG688" i="3"/>
  <c r="P730" i="3"/>
  <c r="AG668" i="3"/>
  <c r="AF776" i="3"/>
  <c r="K584" i="3"/>
  <c r="AF663" i="3"/>
  <c r="I569" i="3"/>
  <c r="K619" i="3"/>
  <c r="AE682" i="3"/>
  <c r="F24" i="1"/>
  <c r="U624" i="3"/>
  <c r="S863" i="3"/>
  <c r="Q418" i="3"/>
  <c r="I515" i="3"/>
  <c r="P568" i="3"/>
  <c r="E51" i="1"/>
  <c r="S735" i="3"/>
  <c r="K606" i="3"/>
  <c r="P928" i="3"/>
  <c r="G83" i="1"/>
  <c r="AF486" i="3"/>
  <c r="AF674" i="3"/>
  <c r="E109" i="1"/>
  <c r="N765" i="3"/>
  <c r="I735" i="3"/>
  <c r="U828" i="3"/>
  <c r="AC490" i="3"/>
  <c r="R692" i="3"/>
  <c r="AC713" i="3"/>
  <c r="U558" i="3"/>
  <c r="R657" i="3"/>
  <c r="I739" i="3"/>
  <c r="N411" i="3"/>
  <c r="AH415" i="3"/>
  <c r="N472" i="3"/>
  <c r="H66" i="1"/>
  <c r="S685" i="3"/>
  <c r="AD778" i="3"/>
  <c r="K766" i="3"/>
  <c r="AG838" i="3"/>
  <c r="I568" i="3"/>
  <c r="K517" i="3"/>
  <c r="R567" i="3"/>
  <c r="P625" i="3"/>
  <c r="AF748" i="3"/>
  <c r="R715" i="3"/>
  <c r="AG707" i="3"/>
  <c r="M510" i="3"/>
  <c r="U589" i="3"/>
  <c r="AC558" i="3"/>
  <c r="E72" i="1"/>
  <c r="M657" i="3"/>
  <c r="AD837" i="3"/>
  <c r="U787" i="3"/>
  <c r="R410" i="3"/>
  <c r="S407" i="3"/>
  <c r="AF498" i="3"/>
  <c r="AH601" i="3"/>
  <c r="G60" i="1"/>
  <c r="Q739" i="3"/>
  <c r="AD857" i="3"/>
  <c r="S751" i="3"/>
  <c r="AH504" i="3"/>
  <c r="AC430" i="3"/>
  <c r="F30" i="1"/>
  <c r="O667" i="3"/>
  <c r="AC538" i="3"/>
  <c r="AC748" i="3"/>
  <c r="M755" i="3"/>
  <c r="O912" i="3"/>
  <c r="G42" i="1"/>
  <c r="AH482" i="3"/>
  <c r="AH593" i="3"/>
  <c r="AG632" i="3"/>
  <c r="AF608" i="3"/>
  <c r="M568" i="3"/>
  <c r="AH812" i="3"/>
  <c r="Q615" i="3"/>
  <c r="R655" i="3"/>
  <c r="M527" i="3"/>
  <c r="AG506" i="3"/>
  <c r="U616" i="3"/>
  <c r="AH768" i="3"/>
  <c r="P751" i="3"/>
  <c r="N864" i="3"/>
  <c r="D95" i="1"/>
  <c r="U485" i="3"/>
  <c r="I614" i="3"/>
  <c r="AF597" i="3"/>
  <c r="N613" i="3"/>
  <c r="G109" i="1"/>
  <c r="AF728" i="3"/>
  <c r="AE519" i="3"/>
  <c r="Q430" i="3"/>
  <c r="H56" i="1"/>
  <c r="U742" i="3"/>
  <c r="N501" i="3"/>
  <c r="Q729" i="3"/>
  <c r="S833" i="3"/>
  <c r="R904" i="3"/>
  <c r="AF634" i="3"/>
  <c r="Q774" i="3"/>
  <c r="G91" i="1"/>
  <c r="H87" i="1"/>
  <c r="O494" i="3"/>
  <c r="AH751" i="3"/>
  <c r="N833" i="3"/>
  <c r="S783" i="3"/>
  <c r="AG539" i="3"/>
  <c r="Q619" i="3"/>
  <c r="K647" i="3"/>
  <c r="AD693" i="3"/>
  <c r="K746" i="3"/>
  <c r="P560" i="3"/>
  <c r="K852" i="3"/>
  <c r="N475" i="3"/>
  <c r="AG489" i="3"/>
  <c r="AF534" i="3"/>
  <c r="AH467" i="3"/>
  <c r="AD414" i="3"/>
  <c r="AH635" i="3"/>
  <c r="AE581" i="3"/>
  <c r="E90" i="1"/>
  <c r="AH782" i="3"/>
  <c r="P666" i="3"/>
  <c r="O799" i="3"/>
  <c r="AG488" i="3"/>
  <c r="AE575" i="3"/>
  <c r="E98" i="1"/>
  <c r="S529" i="3"/>
  <c r="AD632" i="3"/>
  <c r="AF749" i="3"/>
  <c r="M920" i="3"/>
  <c r="N447" i="3"/>
  <c r="Q611" i="3"/>
  <c r="K549" i="3"/>
  <c r="M471" i="3"/>
  <c r="Q629" i="3"/>
  <c r="O680" i="3"/>
  <c r="R475" i="3"/>
  <c r="AC932" i="3"/>
  <c r="K507" i="3"/>
  <c r="M662" i="3"/>
  <c r="AG686" i="3"/>
  <c r="K617" i="3"/>
  <c r="O778" i="3"/>
  <c r="E75" i="1"/>
  <c r="P707" i="3"/>
  <c r="Q504" i="3"/>
  <c r="I464" i="3"/>
  <c r="AG517" i="3"/>
  <c r="M582" i="3"/>
  <c r="O483" i="3"/>
  <c r="P455" i="3"/>
  <c r="M865" i="3"/>
  <c r="AE567" i="3"/>
  <c r="Q831" i="3"/>
  <c r="O554" i="3"/>
  <c r="P410" i="3"/>
  <c r="O646" i="3"/>
  <c r="O725" i="3"/>
  <c r="S772" i="3"/>
  <c r="N904" i="3"/>
  <c r="R753" i="3"/>
  <c r="N631" i="3"/>
  <c r="H34" i="1"/>
  <c r="F27" i="1"/>
  <c r="U665" i="3"/>
  <c r="AH653" i="3"/>
  <c r="K640" i="3"/>
  <c r="N764" i="3"/>
  <c r="N438" i="3"/>
  <c r="AD517" i="3"/>
  <c r="U533" i="3"/>
  <c r="AC562" i="3"/>
  <c r="M475" i="3"/>
  <c r="AF767" i="3"/>
  <c r="AH399" i="3"/>
  <c r="N839" i="3"/>
  <c r="S543" i="3"/>
  <c r="R622" i="3"/>
  <c r="S513" i="3"/>
  <c r="AC553" i="3"/>
  <c r="AD765" i="3"/>
  <c r="Q719" i="3"/>
  <c r="N840" i="3"/>
  <c r="AH583" i="3"/>
  <c r="R485" i="3"/>
  <c r="N666" i="3"/>
  <c r="AF664" i="3"/>
  <c r="AF758" i="3"/>
  <c r="AE739" i="3"/>
  <c r="Q703" i="3"/>
  <c r="O464" i="3"/>
  <c r="S540" i="3"/>
  <c r="AD531" i="3"/>
  <c r="N500" i="3"/>
  <c r="Q662" i="3"/>
  <c r="D106" i="1"/>
  <c r="P617" i="3"/>
  <c r="K882" i="3"/>
  <c r="N527" i="3"/>
  <c r="M529" i="3"/>
  <c r="AH734" i="3"/>
  <c r="AC509" i="3"/>
  <c r="AG608" i="3"/>
  <c r="S708" i="3"/>
  <c r="G65" i="1"/>
  <c r="AE773" i="3"/>
  <c r="AG622" i="3"/>
  <c r="S722" i="3"/>
  <c r="R601" i="3"/>
  <c r="F113" i="1"/>
  <c r="P518" i="3"/>
  <c r="U833" i="3"/>
  <c r="AF407" i="3"/>
  <c r="N706" i="3"/>
  <c r="AF528" i="3"/>
  <c r="M692" i="3"/>
  <c r="S616" i="3"/>
  <c r="N865" i="3"/>
  <c r="AC693" i="3"/>
  <c r="S814" i="3"/>
  <c r="N497" i="3"/>
  <c r="U567" i="3"/>
  <c r="E26" i="1"/>
  <c r="M621" i="3"/>
  <c r="AE801" i="3"/>
  <c r="AH740" i="3"/>
  <c r="Q747" i="3"/>
  <c r="AH511" i="3"/>
  <c r="U590" i="3"/>
  <c r="K663" i="3"/>
  <c r="AD652" i="3"/>
  <c r="U446" i="3"/>
  <c r="AE828" i="3"/>
  <c r="AE728" i="3"/>
  <c r="M789" i="3"/>
  <c r="F48" i="1"/>
  <c r="H49" i="1"/>
  <c r="U606" i="3"/>
  <c r="O695" i="3"/>
  <c r="AE687" i="3"/>
  <c r="AH746" i="3"/>
  <c r="AG491" i="3"/>
  <c r="O514" i="3"/>
  <c r="U500" i="3"/>
  <c r="P594" i="3"/>
  <c r="AD574" i="3"/>
  <c r="AD736" i="3"/>
  <c r="O752" i="3"/>
  <c r="K863" i="3"/>
  <c r="AH468" i="3"/>
  <c r="M503" i="3"/>
  <c r="AF431" i="3"/>
  <c r="Q757" i="3"/>
  <c r="S612" i="3"/>
  <c r="AH696" i="3"/>
  <c r="AC698" i="3"/>
  <c r="AH591" i="3"/>
  <c r="AF606" i="3"/>
  <c r="AF574" i="3"/>
  <c r="AF666" i="3"/>
  <c r="AH701" i="3"/>
  <c r="K770" i="3"/>
  <c r="AE750" i="3"/>
  <c r="K543" i="3"/>
  <c r="N560" i="3"/>
  <c r="M507" i="3"/>
  <c r="AH664" i="3"/>
  <c r="M625" i="3"/>
  <c r="N534" i="3"/>
  <c r="O625" i="3"/>
  <c r="I870" i="3"/>
  <c r="U399" i="3"/>
  <c r="I486" i="3"/>
  <c r="O498" i="3"/>
  <c r="R541" i="3"/>
  <c r="M696" i="3"/>
  <c r="AC717" i="3"/>
  <c r="AG912" i="3"/>
  <c r="N880" i="3"/>
  <c r="Q567" i="3"/>
  <c r="AE636" i="3"/>
  <c r="Q648" i="3"/>
  <c r="AH762" i="3"/>
  <c r="I768" i="3"/>
  <c r="I609" i="3"/>
  <c r="Q479" i="3"/>
  <c r="U659" i="3"/>
  <c r="S567" i="3"/>
  <c r="AF418" i="3"/>
  <c r="M681" i="3"/>
  <c r="M797" i="3"/>
  <c r="S689" i="3"/>
  <c r="AC869" i="3"/>
  <c r="N507" i="3"/>
  <c r="O753" i="3"/>
  <c r="N609" i="3"/>
  <c r="I434" i="3"/>
  <c r="U812" i="3"/>
  <c r="AD716" i="3"/>
  <c r="AH711" i="3"/>
  <c r="I595" i="3"/>
  <c r="N399" i="3"/>
  <c r="O589" i="3"/>
  <c r="D48" i="1"/>
  <c r="D74" i="1"/>
  <c r="U836" i="3"/>
  <c r="AC719" i="3"/>
  <c r="M638" i="3"/>
  <c r="O593" i="3"/>
  <c r="E70" i="1"/>
  <c r="Q705" i="3"/>
  <c r="AH556" i="3"/>
  <c r="P768" i="3"/>
  <c r="I571" i="3"/>
  <c r="M822" i="3"/>
  <c r="F20" i="1"/>
  <c r="P591" i="3"/>
  <c r="AC431" i="3"/>
  <c r="AC591" i="3"/>
  <c r="U620" i="3"/>
  <c r="S466" i="3"/>
  <c r="Q419" i="3"/>
  <c r="AE927" i="3"/>
  <c r="Q453" i="3"/>
  <c r="R543" i="3"/>
  <c r="AG598" i="3"/>
  <c r="R669" i="3"/>
  <c r="AC714" i="3"/>
  <c r="D84" i="1"/>
  <c r="I877" i="3"/>
  <c r="M489" i="3"/>
  <c r="AD443" i="3"/>
  <c r="AC411" i="3"/>
  <c r="P547" i="3"/>
  <c r="R509" i="3"/>
  <c r="I731" i="3"/>
  <c r="O584" i="3"/>
  <c r="S896" i="3"/>
  <c r="O415" i="3"/>
  <c r="AC607" i="3"/>
  <c r="R439" i="3"/>
  <c r="Q678" i="3"/>
  <c r="AH531" i="3"/>
  <c r="AH757" i="3"/>
  <c r="P783" i="3"/>
  <c r="R610" i="3"/>
  <c r="R679" i="3"/>
  <c r="AH513" i="3"/>
  <c r="S609" i="3"/>
  <c r="M419" i="3"/>
  <c r="I829" i="3"/>
  <c r="P865" i="3"/>
  <c r="AD619" i="3"/>
  <c r="I654" i="3"/>
  <c r="O619" i="3"/>
  <c r="AF475" i="3"/>
  <c r="M468" i="3"/>
  <c r="AH654" i="3"/>
  <c r="O775" i="3"/>
  <c r="AG704" i="3"/>
  <c r="AG892" i="3"/>
  <c r="P589" i="3"/>
  <c r="AG473" i="3"/>
  <c r="U672" i="3"/>
  <c r="Q588" i="3"/>
  <c r="U594" i="3"/>
  <c r="H77" i="1"/>
  <c r="AD700" i="3"/>
  <c r="K442" i="3"/>
  <c r="Q658" i="3"/>
  <c r="Q539" i="3"/>
  <c r="AF654" i="3"/>
  <c r="I630" i="3"/>
  <c r="R560" i="3"/>
  <c r="R631" i="3"/>
  <c r="K480" i="3"/>
  <c r="Q745" i="3"/>
  <c r="M422" i="3"/>
  <c r="AC839" i="3"/>
  <c r="AH410" i="3"/>
  <c r="AD506" i="3"/>
  <c r="R683" i="3"/>
  <c r="R613" i="3"/>
  <c r="AD805" i="3"/>
  <c r="M832" i="3"/>
  <c r="AE696" i="3"/>
  <c r="R611" i="3"/>
  <c r="AF659" i="3"/>
  <c r="AF478" i="3"/>
  <c r="G116" i="1"/>
  <c r="O697" i="3"/>
  <c r="AG743" i="3"/>
  <c r="U714" i="3"/>
  <c r="AF964" i="3"/>
  <c r="AC585" i="3"/>
  <c r="O517" i="3"/>
  <c r="R653" i="3"/>
  <c r="Q660" i="3"/>
  <c r="AH725" i="3"/>
  <c r="N660" i="3"/>
  <c r="AF739" i="3"/>
  <c r="P571" i="3"/>
  <c r="N654" i="3"/>
  <c r="Q587" i="3"/>
  <c r="K522" i="3"/>
  <c r="P537" i="3"/>
  <c r="D50" i="1"/>
  <c r="U852" i="3"/>
  <c r="AD564" i="3"/>
  <c r="U872" i="3"/>
  <c r="AE438" i="3"/>
  <c r="AE419" i="3"/>
  <c r="O668" i="3"/>
  <c r="AH439" i="3"/>
  <c r="P809" i="3"/>
  <c r="K861" i="3"/>
  <c r="AH817" i="3"/>
  <c r="I675" i="3"/>
  <c r="AE399" i="3"/>
  <c r="I649" i="3"/>
  <c r="AF734" i="3"/>
  <c r="M637" i="3"/>
  <c r="AG736" i="3"/>
  <c r="P848" i="3"/>
  <c r="I589" i="3"/>
  <c r="Q574" i="3"/>
  <c r="AD471" i="3"/>
  <c r="AF518" i="3"/>
  <c r="M594" i="3"/>
  <c r="K616" i="3"/>
  <c r="P701" i="3"/>
  <c r="AC613" i="3"/>
  <c r="AD691" i="3"/>
  <c r="P439" i="3"/>
  <c r="AD545" i="3"/>
  <c r="Q511" i="3"/>
  <c r="K792" i="3"/>
  <c r="O777" i="3"/>
  <c r="AG831" i="3"/>
  <c r="AD663" i="3"/>
  <c r="AF548" i="3"/>
  <c r="N673" i="3"/>
  <c r="K733" i="3"/>
  <c r="R754" i="3"/>
  <c r="U735" i="3"/>
  <c r="Q837" i="3"/>
  <c r="M658" i="3"/>
  <c r="K622" i="3"/>
  <c r="S709" i="3"/>
  <c r="G64" i="1"/>
  <c r="S726" i="3"/>
  <c r="U783" i="3"/>
  <c r="O729" i="3"/>
  <c r="P944" i="3"/>
  <c r="O439" i="3"/>
  <c r="I484" i="3"/>
  <c r="AC464" i="3"/>
  <c r="S448" i="3"/>
  <c r="AE719" i="3"/>
  <c r="I786" i="3"/>
  <c r="AG742" i="3"/>
  <c r="M698" i="3"/>
  <c r="O516" i="3"/>
  <c r="H47" i="1"/>
  <c r="AE778" i="3"/>
  <c r="I644" i="3"/>
  <c r="AG738" i="3"/>
  <c r="N824" i="3"/>
  <c r="K655" i="3"/>
  <c r="K529" i="3"/>
  <c r="R585" i="3"/>
  <c r="AC733" i="3"/>
  <c r="AC629" i="3"/>
  <c r="AE852" i="3"/>
  <c r="N743" i="3"/>
  <c r="N815" i="3"/>
  <c r="AH497" i="3"/>
  <c r="D51" i="1"/>
  <c r="P606" i="3"/>
  <c r="I558" i="3"/>
  <c r="K800" i="3"/>
  <c r="P427" i="3"/>
  <c r="U854" i="3"/>
  <c r="H107" i="1"/>
  <c r="AC652" i="3"/>
  <c r="O507" i="3"/>
  <c r="AF678" i="3"/>
  <c r="F66" i="1"/>
  <c r="S988" i="3"/>
  <c r="AH904" i="3"/>
  <c r="I824" i="3"/>
  <c r="P531" i="3"/>
  <c r="K614" i="3"/>
  <c r="AC625" i="3"/>
  <c r="I733" i="3"/>
  <c r="N751" i="3"/>
  <c r="U785" i="3"/>
  <c r="AC491" i="3"/>
  <c r="M555" i="3"/>
  <c r="S675" i="3"/>
  <c r="M608" i="3"/>
  <c r="U733" i="3"/>
  <c r="M763" i="3"/>
  <c r="I663" i="3"/>
  <c r="AD864" i="3"/>
  <c r="O675" i="3"/>
  <c r="S639" i="3"/>
  <c r="O683" i="3"/>
  <c r="Q515" i="3"/>
  <c r="S656" i="3"/>
  <c r="AF920" i="3"/>
  <c r="AC1055" i="3"/>
  <c r="O547" i="3"/>
  <c r="P494" i="3"/>
  <c r="AF443" i="3"/>
  <c r="D44" i="1"/>
  <c r="R681" i="3"/>
  <c r="R478" i="3"/>
  <c r="AC716" i="3"/>
  <c r="AE543" i="3"/>
  <c r="AC577" i="3"/>
  <c r="H40" i="1"/>
  <c r="U501" i="3"/>
  <c r="U710" i="3"/>
  <c r="Q801" i="3"/>
  <c r="AG699" i="3"/>
  <c r="AD842" i="3"/>
  <c r="O634" i="3"/>
  <c r="K454" i="3"/>
  <c r="I606" i="3"/>
  <c r="S670" i="3"/>
  <c r="AC920" i="3"/>
  <c r="AH735" i="3"/>
  <c r="P850" i="3"/>
  <c r="N494" i="3"/>
  <c r="AD726" i="3"/>
  <c r="M584" i="3"/>
  <c r="Q776" i="3"/>
  <c r="I727" i="3"/>
  <c r="AH724" i="3"/>
  <c r="AC475" i="3"/>
  <c r="AF638" i="3"/>
  <c r="P431" i="3"/>
  <c r="I605" i="3"/>
  <c r="I597" i="3"/>
  <c r="AH540" i="3"/>
  <c r="AG833" i="3"/>
  <c r="K1019" i="3"/>
  <c r="R494" i="3"/>
  <c r="N659" i="3"/>
  <c r="AC473" i="3"/>
  <c r="U549" i="3"/>
  <c r="U824" i="3"/>
  <c r="AD774" i="3"/>
  <c r="I874" i="3"/>
  <c r="O573" i="3"/>
  <c r="S718" i="3"/>
  <c r="K657" i="3"/>
  <c r="AC600" i="3"/>
  <c r="M476" i="3"/>
  <c r="Q707" i="3"/>
  <c r="U784" i="3"/>
  <c r="AG606" i="3"/>
  <c r="P513" i="3"/>
  <c r="M557" i="3"/>
  <c r="AC498" i="3"/>
  <c r="AH713" i="3"/>
  <c r="M904" i="3"/>
  <c r="F62" i="1"/>
  <c r="N912" i="3"/>
  <c r="S486" i="3"/>
  <c r="U418" i="3"/>
  <c r="N459" i="3"/>
  <c r="S649" i="3"/>
  <c r="O692" i="3"/>
  <c r="AC833" i="3"/>
  <c r="S775" i="3"/>
  <c r="K872" i="3"/>
  <c r="AD459" i="3"/>
  <c r="AD512" i="3"/>
  <c r="AD660" i="3"/>
  <c r="U528" i="3"/>
  <c r="AH600" i="3"/>
  <c r="Q752" i="3"/>
  <c r="D79" i="1"/>
  <c r="Q557" i="3"/>
  <c r="AG619" i="3"/>
  <c r="F49" i="1"/>
  <c r="E92" i="1"/>
  <c r="M589" i="3"/>
  <c r="N748" i="3"/>
  <c r="M680" i="3"/>
  <c r="AD814" i="3"/>
  <c r="O487" i="3"/>
  <c r="AD463" i="3"/>
  <c r="AF651" i="3"/>
  <c r="P471" i="3"/>
  <c r="R763" i="3"/>
  <c r="N752" i="3"/>
  <c r="P724" i="3"/>
  <c r="AG545" i="3"/>
  <c r="K598" i="3"/>
  <c r="O659" i="3"/>
  <c r="R624" i="3"/>
  <c r="H55" i="1"/>
  <c r="R797" i="3"/>
  <c r="AH704" i="3"/>
  <c r="U782" i="3"/>
  <c r="R523" i="3"/>
  <c r="O567" i="3"/>
  <c r="AF455" i="3"/>
  <c r="M729" i="3"/>
  <c r="U586" i="3"/>
  <c r="P711" i="3"/>
  <c r="AD988" i="3"/>
  <c r="M900" i="3"/>
  <c r="Q519" i="3"/>
  <c r="M659" i="3"/>
  <c r="Q597" i="3"/>
  <c r="M446" i="3"/>
  <c r="AF727" i="3"/>
  <c r="R848" i="3"/>
  <c r="P677" i="3"/>
  <c r="S551" i="3"/>
  <c r="AH537" i="3"/>
  <c r="S541" i="3"/>
  <c r="S512" i="3"/>
  <c r="S569" i="3"/>
  <c r="K448" i="3"/>
  <c r="AC528" i="3"/>
  <c r="Q733" i="3"/>
  <c r="K743" i="3"/>
  <c r="AD705" i="3"/>
  <c r="AC870" i="3"/>
  <c r="AC455" i="3"/>
  <c r="M554" i="3"/>
  <c r="AC580" i="3"/>
  <c r="R668" i="3"/>
  <c r="I628" i="3"/>
  <c r="P745" i="3"/>
  <c r="R646" i="3"/>
  <c r="I582" i="3"/>
  <c r="AE463" i="3"/>
  <c r="S634" i="3"/>
  <c r="M619" i="3"/>
  <c r="AD590" i="3"/>
  <c r="AG438" i="3"/>
  <c r="AG732" i="3"/>
  <c r="M830" i="3"/>
  <c r="S411" i="3"/>
  <c r="AF650" i="3"/>
  <c r="AD584" i="3"/>
  <c r="S573" i="3"/>
  <c r="K489" i="3"/>
  <c r="O779" i="3"/>
  <c r="AH769" i="3"/>
  <c r="AG599" i="3"/>
  <c r="R768" i="3"/>
  <c r="Q478" i="3"/>
  <c r="M518" i="3"/>
  <c r="G30" i="1"/>
  <c r="Q573" i="3"/>
  <c r="AG750" i="3"/>
  <c r="AH785" i="3"/>
  <c r="S819" i="3"/>
  <c r="N588" i="3"/>
  <c r="S509" i="3"/>
  <c r="O595" i="3"/>
  <c r="AD688" i="3"/>
  <c r="K731" i="3"/>
  <c r="AF703" i="3"/>
  <c r="N782" i="3"/>
  <c r="F52" i="1"/>
  <c r="S758" i="3"/>
  <c r="AC661" i="3"/>
  <c r="U554" i="3"/>
  <c r="O757" i="3"/>
  <c r="O740" i="3"/>
  <c r="S702" i="3"/>
  <c r="N547" i="3"/>
  <c r="AC572" i="3"/>
  <c r="R651" i="3"/>
  <c r="AE608" i="3"/>
  <c r="AH451" i="3"/>
  <c r="AC840" i="3"/>
  <c r="AH853" i="3"/>
  <c r="K478" i="3"/>
  <c r="N596" i="3"/>
  <c r="H82" i="1"/>
  <c r="D104" i="1"/>
  <c r="M684" i="3"/>
  <c r="AD618" i="3"/>
  <c r="U674" i="3"/>
  <c r="N862" i="3"/>
  <c r="AD522" i="3"/>
  <c r="U491" i="3"/>
  <c r="M741" i="3"/>
  <c r="AF627" i="3"/>
  <c r="AG809" i="3"/>
  <c r="AH788" i="3"/>
  <c r="P877" i="3"/>
  <c r="Q566" i="3"/>
  <c r="P492" i="3"/>
  <c r="G94" i="1"/>
  <c r="O594" i="3"/>
  <c r="G62" i="1"/>
  <c r="AE626" i="3"/>
  <c r="AF791" i="3"/>
  <c r="AG935" i="3"/>
  <c r="M473" i="3"/>
  <c r="R528" i="3"/>
  <c r="AG607" i="3"/>
  <c r="AG544" i="3"/>
  <c r="K732" i="3"/>
  <c r="I836" i="3"/>
  <c r="S1019" i="3"/>
  <c r="R825" i="3"/>
  <c r="F111" i="1"/>
  <c r="O662" i="3"/>
  <c r="I695" i="3"/>
  <c r="AC679" i="3"/>
  <c r="O877" i="3"/>
  <c r="S796" i="3"/>
  <c r="K459" i="3"/>
  <c r="O534" i="3"/>
  <c r="AD606" i="3"/>
  <c r="AE729" i="3"/>
  <c r="G114" i="1"/>
  <c r="N697" i="3"/>
  <c r="P796" i="3"/>
  <c r="AD587" i="3"/>
  <c r="O450" i="3"/>
  <c r="F104" i="1"/>
  <c r="K615" i="3"/>
  <c r="AC656" i="3"/>
  <c r="AH784" i="3"/>
  <c r="AC646" i="3"/>
  <c r="U896" i="3"/>
  <c r="P566" i="3"/>
  <c r="I517" i="3"/>
  <c r="O636" i="3"/>
  <c r="AE547" i="3"/>
  <c r="M711" i="3"/>
  <c r="AC856" i="3"/>
  <c r="AH882" i="3"/>
  <c r="M841" i="3"/>
  <c r="AG762" i="3"/>
  <c r="U605" i="3"/>
  <c r="U673" i="3"/>
  <c r="E95" i="1"/>
  <c r="S622" i="3"/>
  <c r="AC775" i="3"/>
  <c r="K497" i="3"/>
  <c r="N406" i="3"/>
  <c r="H42" i="1"/>
  <c r="S603" i="3"/>
  <c r="S754" i="3"/>
  <c r="AE840" i="3"/>
  <c r="N716" i="3"/>
  <c r="I814" i="3"/>
  <c r="AG499" i="3"/>
  <c r="AE446" i="3"/>
  <c r="O656" i="3"/>
  <c r="O766" i="3"/>
  <c r="M747" i="3"/>
  <c r="AC496" i="3"/>
  <c r="R840" i="3"/>
  <c r="AF517" i="3"/>
  <c r="AF511" i="3"/>
  <c r="I805" i="3"/>
  <c r="AG721" i="3"/>
  <c r="G103" i="1"/>
  <c r="I633" i="3"/>
  <c r="AE740" i="3"/>
  <c r="U454" i="3"/>
  <c r="AG547" i="3"/>
  <c r="I579" i="3"/>
  <c r="Q790" i="3"/>
  <c r="P652" i="3"/>
  <c r="G84" i="1"/>
  <c r="AD777" i="3"/>
  <c r="O451" i="3"/>
  <c r="S565" i="3"/>
  <c r="O582" i="3"/>
  <c r="E21" i="1"/>
  <c r="AC710" i="3"/>
  <c r="AH809" i="3"/>
  <c r="M616" i="3"/>
  <c r="AC871" i="3"/>
  <c r="AE532" i="3"/>
  <c r="K599" i="3"/>
  <c r="AE683" i="3"/>
  <c r="K644" i="3"/>
  <c r="AE804" i="3"/>
  <c r="M764" i="3"/>
  <c r="S759" i="3"/>
  <c r="Q722" i="3"/>
  <c r="R593" i="3"/>
  <c r="AH535" i="3"/>
  <c r="N620" i="3"/>
  <c r="K602" i="3"/>
  <c r="AC567" i="3"/>
  <c r="K767" i="3"/>
  <c r="Q459" i="3"/>
  <c r="AE410" i="3"/>
  <c r="U553" i="3"/>
  <c r="AH667" i="3"/>
  <c r="I677" i="3"/>
  <c r="O783" i="3"/>
  <c r="N463" i="3"/>
  <c r="AD916" i="3"/>
  <c r="I422" i="3"/>
  <c r="N595" i="3"/>
  <c r="K554" i="3"/>
  <c r="AG692" i="3"/>
  <c r="N563" i="3"/>
  <c r="AG852" i="3"/>
  <c r="AD690" i="3"/>
  <c r="O591" i="3"/>
  <c r="AD518" i="3"/>
  <c r="AF559" i="3"/>
  <c r="AG551" i="3"/>
  <c r="O509" i="3"/>
  <c r="AC673" i="3"/>
  <c r="AF766" i="3"/>
  <c r="R854" i="3"/>
  <c r="K438" i="3"/>
  <c r="K547" i="3"/>
  <c r="AD474" i="3"/>
  <c r="Q601" i="3"/>
  <c r="P552" i="3"/>
  <c r="N769" i="3"/>
  <c r="M781" i="3"/>
  <c r="M551" i="3"/>
  <c r="AC478" i="3"/>
  <c r="Q516" i="3"/>
  <c r="P629" i="3"/>
  <c r="AC485" i="3"/>
  <c r="AD702" i="3"/>
  <c r="AH703" i="3"/>
  <c r="Q852" i="3"/>
  <c r="E84" i="1"/>
  <c r="AE459" i="3"/>
  <c r="AF527" i="3"/>
  <c r="AF604" i="3"/>
  <c r="AH766" i="3"/>
  <c r="K780" i="3"/>
  <c r="AE824" i="3"/>
  <c r="R893" i="3"/>
  <c r="P509" i="3"/>
  <c r="M536" i="3"/>
  <c r="U730" i="3"/>
  <c r="I511" i="3"/>
  <c r="R761" i="3"/>
  <c r="M759" i="3"/>
  <c r="S665" i="3"/>
  <c r="AE529" i="3"/>
  <c r="AD664" i="3"/>
  <c r="P415" i="3"/>
  <c r="N506" i="3"/>
  <c r="AH553" i="3"/>
  <c r="M817" i="3"/>
  <c r="N466" i="3"/>
  <c r="AD731" i="3"/>
  <c r="AG498" i="3"/>
  <c r="I426" i="3"/>
  <c r="K515" i="3"/>
  <c r="AF510" i="3"/>
  <c r="AF644" i="3"/>
  <c r="I623" i="3"/>
  <c r="AH749" i="3"/>
  <c r="AH936" i="3"/>
  <c r="AF631" i="3"/>
  <c r="D18" i="1"/>
  <c r="AF730" i="3"/>
  <c r="Q659" i="3"/>
  <c r="R785" i="3"/>
  <c r="Q857" i="3"/>
  <c r="AE788" i="3"/>
  <c r="S462" i="3"/>
  <c r="AH554" i="3"/>
  <c r="K774" i="3"/>
  <c r="Q606" i="3"/>
  <c r="E37" i="1"/>
  <c r="D32" i="1"/>
  <c r="D58" i="1"/>
  <c r="Q632" i="3"/>
  <c r="AG728" i="3"/>
  <c r="I812" i="3"/>
  <c r="M399" i="3"/>
  <c r="AG541" i="3"/>
  <c r="U492" i="3"/>
  <c r="I692" i="3"/>
  <c r="AD589" i="3"/>
  <c r="AE796" i="3"/>
  <c r="I853" i="3"/>
  <c r="AE745" i="3"/>
  <c r="K532" i="3"/>
  <c r="F33" i="1"/>
  <c r="K628" i="3"/>
  <c r="AD637" i="3"/>
  <c r="P553" i="3"/>
  <c r="H101" i="1"/>
  <c r="AD920" i="3"/>
  <c r="M486" i="3"/>
  <c r="U511" i="3"/>
  <c r="S479" i="3"/>
  <c r="AE766" i="3"/>
  <c r="AC638" i="3"/>
  <c r="AH816" i="3"/>
  <c r="AG817" i="3"/>
  <c r="AC560" i="3"/>
  <c r="K634" i="3"/>
  <c r="N657" i="3"/>
  <c r="R602" i="3"/>
  <c r="Q563" i="3"/>
  <c r="AH422" i="3"/>
  <c r="K734" i="3"/>
  <c r="I787" i="3"/>
  <c r="AE861" i="3"/>
  <c r="AC551" i="3"/>
  <c r="N531" i="3"/>
  <c r="M514" i="3"/>
  <c r="AH438" i="3"/>
  <c r="H105" i="1"/>
  <c r="K797" i="3"/>
  <c r="AH581" i="3"/>
  <c r="M872" i="3"/>
  <c r="M634" i="3"/>
  <c r="M467" i="3"/>
  <c r="P628" i="3"/>
  <c r="K574" i="3"/>
  <c r="AE690" i="3"/>
  <c r="I845" i="3"/>
  <c r="AE731" i="3"/>
  <c r="M614" i="3"/>
  <c r="AH623" i="3"/>
  <c r="N598" i="3"/>
  <c r="U713" i="3"/>
  <c r="AF661" i="3"/>
  <c r="AE552" i="3"/>
  <c r="AF789" i="3"/>
  <c r="AG792" i="3"/>
  <c r="G50" i="1"/>
  <c r="AD489" i="3"/>
  <c r="AE439" i="3"/>
  <c r="D45" i="1"/>
  <c r="Q681" i="3"/>
  <c r="AF698" i="3"/>
  <c r="AE875" i="3"/>
  <c r="I611" i="3"/>
  <c r="K443" i="3"/>
  <c r="AH621" i="3"/>
  <c r="AH538" i="3"/>
  <c r="I769" i="3"/>
  <c r="Q1055" i="3"/>
  <c r="N972" i="3"/>
  <c r="R663" i="3"/>
  <c r="E93" i="1"/>
  <c r="AC718" i="3"/>
  <c r="N653" i="3"/>
  <c r="AD407" i="3"/>
  <c r="U662" i="3"/>
  <c r="S770" i="3"/>
  <c r="O458" i="3"/>
  <c r="R495" i="3"/>
  <c r="N539" i="3"/>
  <c r="H57" i="1"/>
  <c r="Q593" i="3"/>
  <c r="AE820" i="3"/>
  <c r="I519" i="3"/>
  <c r="AF874" i="3"/>
  <c r="S528" i="3"/>
  <c r="AE591" i="3"/>
  <c r="AE645" i="3"/>
  <c r="AH522" i="3"/>
  <c r="AF553" i="3"/>
  <c r="P761" i="3"/>
  <c r="O936" i="3"/>
  <c r="N603" i="3"/>
  <c r="K714" i="3"/>
  <c r="AD644" i="3"/>
  <c r="U693" i="3"/>
  <c r="U701" i="3"/>
  <c r="O848" i="3"/>
  <c r="P703" i="3"/>
  <c r="O515" i="3"/>
  <c r="AG602" i="3"/>
  <c r="N642" i="3"/>
  <c r="N682" i="3"/>
  <c r="S674" i="3"/>
  <c r="P728" i="3"/>
  <c r="AF788" i="3"/>
  <c r="Q863" i="3"/>
  <c r="H58" i="1"/>
  <c r="S619" i="3"/>
  <c r="G47" i="1"/>
  <c r="P545" i="3"/>
  <c r="K744" i="3"/>
  <c r="AE598" i="3"/>
  <c r="M799" i="3"/>
  <c r="P836" i="3"/>
  <c r="S627" i="3"/>
  <c r="AH709" i="3"/>
  <c r="R530" i="3"/>
  <c r="P403" i="3"/>
  <c r="D55" i="1"/>
  <c r="AH793" i="3"/>
  <c r="AG563" i="3"/>
  <c r="AH545" i="3"/>
  <c r="AE718" i="3"/>
  <c r="N602" i="3"/>
  <c r="AE737" i="3"/>
  <c r="S699" i="3"/>
  <c r="K720" i="3"/>
  <c r="AE488" i="3"/>
  <c r="AE540" i="3"/>
  <c r="O522" i="3"/>
  <c r="S480" i="3"/>
  <c r="G93" i="1"/>
  <c r="R828" i="3"/>
  <c r="K712" i="3"/>
  <c r="O871" i="3"/>
  <c r="AC725" i="3"/>
  <c r="R489" i="3"/>
  <c r="AH778" i="3"/>
  <c r="U520" i="3"/>
  <c r="S821" i="3"/>
  <c r="AD861" i="3"/>
  <c r="I504" i="3"/>
  <c r="Q538" i="3"/>
  <c r="R569" i="3"/>
  <c r="N601" i="3"/>
  <c r="I641" i="3"/>
  <c r="AD694" i="3"/>
  <c r="U682" i="3"/>
  <c r="AG769" i="3"/>
  <c r="AE573" i="3"/>
  <c r="M635" i="3"/>
  <c r="Q625" i="3"/>
  <c r="Q680" i="3"/>
  <c r="AE730" i="3"/>
  <c r="M769" i="3"/>
  <c r="AD751" i="3"/>
  <c r="U799" i="3"/>
  <c r="P803" i="3"/>
  <c r="D36" i="1"/>
  <c r="I574" i="3"/>
  <c r="AD758" i="3"/>
  <c r="P516" i="3"/>
  <c r="AG462" i="3"/>
  <c r="AD840" i="3"/>
  <c r="R627" i="3"/>
  <c r="P448" i="3"/>
  <c r="AF667" i="3"/>
  <c r="AE478" i="3"/>
  <c r="U609" i="3"/>
  <c r="I737" i="3"/>
  <c r="AE613" i="3"/>
  <c r="N939" i="3"/>
  <c r="AH463" i="3"/>
  <c r="R658" i="3"/>
  <c r="AE666" i="3"/>
  <c r="D60" i="1"/>
  <c r="K698" i="3"/>
  <c r="N745" i="3"/>
  <c r="G105" i="1"/>
  <c r="N822" i="3"/>
  <c r="O545" i="3"/>
  <c r="AD410" i="3"/>
  <c r="M483" i="3"/>
  <c r="AE692" i="3"/>
  <c r="S556" i="3"/>
  <c r="U614" i="3"/>
  <c r="AF947" i="3"/>
  <c r="I559" i="3"/>
  <c r="U478" i="3"/>
  <c r="AC534" i="3"/>
  <c r="AC619" i="3"/>
  <c r="P736" i="3"/>
  <c r="O707" i="3"/>
  <c r="N759" i="3"/>
  <c r="AC399" i="3"/>
  <c r="U482" i="3"/>
  <c r="AD411" i="3"/>
  <c r="AE628" i="3"/>
  <c r="AC791" i="3"/>
  <c r="AG771" i="3"/>
  <c r="P847" i="3"/>
  <c r="AH818" i="3"/>
  <c r="S504" i="3"/>
  <c r="AF581" i="3"/>
  <c r="AC535" i="3"/>
  <c r="AD566" i="3"/>
  <c r="AG828" i="3"/>
  <c r="U538" i="3"/>
  <c r="AH814" i="3"/>
  <c r="K540" i="3"/>
  <c r="N573" i="3"/>
  <c r="AC632" i="3"/>
  <c r="K754" i="3"/>
  <c r="D57" i="1"/>
  <c r="AE733" i="3"/>
  <c r="S887" i="3"/>
  <c r="AE518" i="3"/>
  <c r="K569" i="3"/>
  <c r="E107" i="1"/>
  <c r="G41" i="1"/>
  <c r="AD704" i="3"/>
  <c r="AH837" i="3"/>
  <c r="M784" i="3"/>
  <c r="AF607" i="3"/>
  <c r="I455" i="3"/>
  <c r="AH633" i="3"/>
  <c r="N537" i="3"/>
  <c r="R676" i="3"/>
  <c r="K699" i="3"/>
  <c r="M775" i="3"/>
  <c r="I803" i="3"/>
  <c r="I532" i="3"/>
  <c r="M407" i="3"/>
  <c r="M430" i="3"/>
  <c r="I512" i="3"/>
  <c r="R745" i="3"/>
  <c r="AC704" i="3"/>
  <c r="AG772" i="3"/>
  <c r="AE550" i="3"/>
  <c r="P495" i="3"/>
  <c r="Q684" i="3"/>
  <c r="AC489" i="3"/>
  <c r="Q853" i="3"/>
  <c r="AE747" i="3"/>
  <c r="R936" i="3"/>
  <c r="I881" i="3"/>
  <c r="AD559" i="3"/>
  <c r="G61" i="1"/>
  <c r="I483" i="3"/>
  <c r="AE665" i="3"/>
  <c r="P813" i="3"/>
  <c r="AF696" i="3"/>
  <c r="M618" i="3"/>
  <c r="AG454" i="3"/>
  <c r="D101" i="1"/>
  <c r="U774" i="3"/>
  <c r="U669" i="3"/>
  <c r="R455" i="3"/>
  <c r="N808" i="3"/>
  <c r="AF869" i="3"/>
  <c r="E46" i="1"/>
  <c r="P462" i="3"/>
  <c r="AH729" i="3"/>
  <c r="P725" i="3"/>
  <c r="S727" i="3"/>
  <c r="AG832" i="3"/>
  <c r="O569" i="3"/>
  <c r="R539" i="3"/>
  <c r="AC403" i="3"/>
  <c r="AC628" i="3"/>
  <c r="R687" i="3"/>
  <c r="AE475" i="3"/>
  <c r="AG812" i="3"/>
  <c r="AF1044" i="3"/>
  <c r="U622" i="3"/>
  <c r="G35" i="1"/>
  <c r="AE686" i="3"/>
  <c r="AF721" i="3"/>
  <c r="P825" i="3"/>
  <c r="P784" i="3"/>
  <c r="S532" i="3"/>
  <c r="AD403" i="3"/>
  <c r="AF402" i="3"/>
  <c r="AD633" i="3"/>
  <c r="AH695" i="3"/>
  <c r="K828" i="3"/>
  <c r="Q800" i="3"/>
  <c r="Q1044" i="3"/>
  <c r="AG427" i="3"/>
  <c r="N462" i="3"/>
  <c r="I873" i="3"/>
  <c r="N742" i="3"/>
  <c r="Q570" i="3"/>
  <c r="R704" i="3"/>
  <c r="Q487" i="3"/>
  <c r="I575" i="3"/>
  <c r="O513" i="3"/>
  <c r="I671" i="3"/>
  <c r="AC873" i="3"/>
  <c r="I472" i="3"/>
  <c r="R770" i="3"/>
  <c r="AE892" i="3"/>
  <c r="AH558" i="3"/>
  <c r="N542" i="3"/>
  <c r="AD677" i="3"/>
  <c r="Q614" i="3"/>
  <c r="O696" i="3"/>
  <c r="U808" i="3"/>
  <c r="S439" i="3"/>
  <c r="N517" i="3"/>
  <c r="AC790" i="3"/>
  <c r="AH821" i="3"/>
  <c r="AD505" i="3"/>
  <c r="N828" i="3"/>
  <c r="I668" i="3"/>
  <c r="O830" i="3"/>
  <c r="K503" i="3"/>
  <c r="AF541" i="3"/>
  <c r="R737" i="3"/>
  <c r="AC518" i="3"/>
  <c r="M782" i="3"/>
  <c r="AD824" i="3"/>
  <c r="AF693" i="3"/>
  <c r="N491" i="3"/>
  <c r="M611" i="3"/>
  <c r="O721" i="3"/>
  <c r="S601" i="3"/>
  <c r="AH658" i="3"/>
  <c r="K613" i="3"/>
  <c r="K715" i="3"/>
  <c r="K899" i="3"/>
  <c r="AH525" i="3"/>
  <c r="K541" i="3"/>
  <c r="N685" i="3"/>
  <c r="AG674" i="3"/>
  <c r="K816" i="3"/>
  <c r="M750" i="3"/>
  <c r="AH795" i="3"/>
  <c r="U443" i="3"/>
  <c r="M443" i="3"/>
  <c r="U529" i="3"/>
  <c r="AG661" i="3"/>
  <c r="AG853" i="3"/>
  <c r="AE821" i="3"/>
  <c r="N823" i="3"/>
  <c r="R507" i="3"/>
  <c r="M517" i="3"/>
  <c r="I542" i="3"/>
  <c r="AF426" i="3"/>
  <c r="R816" i="3"/>
  <c r="AF765" i="3"/>
  <c r="S1028" i="3"/>
  <c r="S599" i="3"/>
  <c r="N473" i="3"/>
  <c r="AG435" i="3"/>
  <c r="Q467" i="3"/>
  <c r="M816" i="3"/>
  <c r="H95" i="1"/>
  <c r="I807" i="3"/>
  <c r="AC847" i="3"/>
  <c r="AD722" i="3"/>
  <c r="AE746" i="3"/>
  <c r="R701" i="3"/>
  <c r="R644" i="3"/>
  <c r="AC750" i="3"/>
  <c r="G48" i="1"/>
  <c r="O438" i="3"/>
  <c r="AH705" i="3"/>
  <c r="P660" i="3"/>
  <c r="AE721" i="3"/>
  <c r="P738" i="3"/>
  <c r="N832" i="3"/>
  <c r="AD723" i="3"/>
  <c r="Q960" i="3"/>
  <c r="Q847" i="3"/>
  <c r="K831" i="3"/>
  <c r="I795" i="3"/>
  <c r="I1008" i="3"/>
  <c r="Q1035" i="3"/>
  <c r="AG1015" i="3"/>
  <c r="AH905" i="3"/>
  <c r="AH979" i="3"/>
  <c r="P994" i="3"/>
  <c r="S995" i="3"/>
  <c r="U878" i="3"/>
  <c r="AH912" i="3"/>
  <c r="Q932" i="3"/>
  <c r="O818" i="3"/>
  <c r="K943" i="3"/>
  <c r="AH1075" i="3"/>
  <c r="AD1007" i="3"/>
  <c r="S1031" i="3"/>
  <c r="N930" i="3"/>
  <c r="AD994" i="3"/>
  <c r="AC818" i="3"/>
  <c r="U891" i="3"/>
  <c r="P802" i="3"/>
  <c r="S871" i="3"/>
  <c r="AE1050" i="3"/>
  <c r="AH991" i="3"/>
  <c r="M906" i="3"/>
  <c r="Q945" i="3"/>
  <c r="AD918" i="3"/>
  <c r="AC1027" i="3"/>
  <c r="AH874" i="3"/>
  <c r="P844" i="3"/>
  <c r="AF834" i="3"/>
  <c r="U1008" i="3"/>
  <c r="AE946" i="3"/>
  <c r="U925" i="3"/>
  <c r="M982" i="3"/>
  <c r="AH925" i="3"/>
  <c r="S1084" i="3"/>
  <c r="AH975" i="3"/>
  <c r="AH993" i="3"/>
  <c r="AC1070" i="3"/>
  <c r="AF1074" i="3"/>
  <c r="AE1052" i="3"/>
  <c r="M1042" i="3"/>
  <c r="N993" i="3"/>
  <c r="I439" i="3"/>
  <c r="R443" i="3"/>
  <c r="O600" i="3"/>
  <c r="P674" i="3"/>
  <c r="AG636" i="3"/>
  <c r="U487" i="3"/>
  <c r="R779" i="3"/>
  <c r="K819" i="3"/>
  <c r="AF619" i="3"/>
  <c r="AH548" i="3"/>
  <c r="P672" i="3"/>
  <c r="S733" i="3"/>
  <c r="K738" i="3"/>
  <c r="AC767" i="3"/>
  <c r="AG783" i="3"/>
  <c r="G66" i="1"/>
  <c r="U434" i="3"/>
  <c r="H30" i="1"/>
  <c r="O717" i="3"/>
  <c r="AC682" i="3"/>
  <c r="Q564" i="3"/>
  <c r="K739" i="3"/>
  <c r="O823" i="3"/>
  <c r="S530" i="3"/>
  <c r="AG555" i="3"/>
  <c r="P483" i="3"/>
  <c r="P648" i="3"/>
  <c r="AD611" i="3"/>
  <c r="Q737" i="3"/>
  <c r="AE876" i="3"/>
  <c r="AH539" i="3"/>
  <c r="I540" i="3"/>
  <c r="AD706" i="3"/>
  <c r="I682" i="3"/>
  <c r="P756" i="3"/>
  <c r="AE877" i="3"/>
  <c r="S899" i="3"/>
  <c r="R512" i="3"/>
  <c r="AE414" i="3"/>
  <c r="AD540" i="3"/>
  <c r="AE612" i="3"/>
  <c r="M629" i="3"/>
  <c r="K786" i="3"/>
  <c r="AG904" i="3"/>
  <c r="AC406" i="3"/>
  <c r="N593" i="3"/>
  <c r="H114" i="1"/>
  <c r="AC561" i="3"/>
  <c r="Q706" i="3"/>
  <c r="AE656" i="3"/>
  <c r="Q792" i="3"/>
  <c r="I915" i="3"/>
  <c r="E33" i="1"/>
  <c r="F41" i="1"/>
  <c r="U534" i="3"/>
  <c r="AG589" i="3"/>
  <c r="AF775" i="3"/>
  <c r="I709" i="3"/>
  <c r="M811" i="3"/>
  <c r="AF434" i="3"/>
  <c r="S561" i="3"/>
  <c r="G96" i="1"/>
  <c r="P503" i="3"/>
  <c r="P816" i="3"/>
  <c r="Q732" i="3"/>
  <c r="N960" i="3"/>
  <c r="AF819" i="3"/>
  <c r="AC426" i="3"/>
  <c r="P500" i="3"/>
  <c r="F28" i="1"/>
  <c r="AC657" i="3"/>
  <c r="AC731" i="3"/>
  <c r="O641" i="3"/>
  <c r="S846" i="3"/>
  <c r="S538" i="3"/>
  <c r="AG532" i="3"/>
  <c r="P546" i="3"/>
  <c r="U585" i="3"/>
  <c r="Q758" i="3"/>
  <c r="AE600" i="3"/>
  <c r="I811" i="3"/>
  <c r="S539" i="3"/>
  <c r="Q541" i="3"/>
  <c r="Q407" i="3"/>
  <c r="U479" i="3"/>
  <c r="AD708" i="3"/>
  <c r="O776" i="3"/>
  <c r="R845" i="3"/>
  <c r="U470" i="3"/>
  <c r="U580" i="3"/>
  <c r="O676" i="3"/>
  <c r="O612" i="3"/>
  <c r="AD697" i="3"/>
  <c r="AF808" i="3"/>
  <c r="AE644" i="3"/>
  <c r="S878" i="3"/>
  <c r="AH560" i="3"/>
  <c r="AD641" i="3"/>
  <c r="U536" i="3"/>
  <c r="M613" i="3"/>
  <c r="N788" i="3"/>
  <c r="AG748" i="3"/>
  <c r="O492" i="3"/>
  <c r="S423" i="3"/>
  <c r="O738" i="3"/>
  <c r="AH652" i="3"/>
  <c r="AG671" i="3"/>
  <c r="N736" i="3"/>
  <c r="AD787" i="3"/>
  <c r="AF867" i="3"/>
  <c r="P681" i="3"/>
  <c r="I702" i="3"/>
  <c r="R661" i="3"/>
  <c r="AD732" i="3"/>
  <c r="AH836" i="3"/>
  <c r="U764" i="3"/>
  <c r="S577" i="3"/>
  <c r="S501" i="3"/>
  <c r="P587" i="3"/>
  <c r="S618" i="3"/>
  <c r="AG712" i="3"/>
  <c r="I784" i="3"/>
  <c r="U960" i="3"/>
  <c r="AE936" i="3"/>
  <c r="AD438" i="3"/>
  <c r="E54" i="1"/>
  <c r="Q583" i="3"/>
  <c r="AD836" i="3"/>
  <c r="N719" i="3"/>
  <c r="P619" i="3"/>
  <c r="AF546" i="3"/>
  <c r="U407" i="3"/>
  <c r="AC734" i="3"/>
  <c r="K889" i="3"/>
  <c r="K719" i="3"/>
  <c r="M972" i="3"/>
  <c r="I402" i="3"/>
  <c r="AH842" i="3"/>
  <c r="K674" i="3"/>
  <c r="Q571" i="3"/>
  <c r="AE605" i="3"/>
  <c r="AD733" i="3"/>
  <c r="O736" i="3"/>
  <c r="N845" i="3"/>
  <c r="AG533" i="3"/>
  <c r="G73" i="1"/>
  <c r="D112" i="1"/>
  <c r="S494" i="3"/>
  <c r="R447" i="3"/>
  <c r="O664" i="3"/>
  <c r="Q785" i="3"/>
  <c r="U827" i="3"/>
  <c r="AF658" i="3"/>
  <c r="I573" i="3"/>
  <c r="E100" i="1"/>
  <c r="R674" i="3"/>
  <c r="AH808" i="3"/>
  <c r="AC443" i="3"/>
  <c r="R850" i="3"/>
  <c r="AE422" i="3"/>
  <c r="R483" i="3"/>
  <c r="N523" i="3"/>
  <c r="Q624" i="3"/>
  <c r="I825" i="3"/>
  <c r="O809" i="3"/>
  <c r="AD649" i="3"/>
  <c r="K846" i="3"/>
  <c r="G98" i="1"/>
  <c r="F23" i="1"/>
  <c r="N580" i="3"/>
  <c r="O605" i="3"/>
  <c r="AE734" i="3"/>
  <c r="N777" i="3"/>
  <c r="S487" i="3"/>
  <c r="N571" i="3"/>
  <c r="AE629" i="3"/>
  <c r="O742" i="3"/>
  <c r="R438" i="3"/>
  <c r="U467" i="3"/>
  <c r="AC824" i="3"/>
  <c r="M819" i="3"/>
  <c r="F81" i="1"/>
  <c r="N615" i="3"/>
  <c r="AG583" i="3"/>
  <c r="AE625" i="3"/>
  <c r="K605" i="3"/>
  <c r="O640" i="3"/>
  <c r="AD502" i="3"/>
  <c r="D30" i="1"/>
  <c r="G101" i="1"/>
  <c r="R630" i="3"/>
  <c r="O688" i="3"/>
  <c r="I704" i="3"/>
  <c r="AD646" i="3"/>
  <c r="K843" i="3"/>
  <c r="D65" i="1"/>
  <c r="AE559" i="3"/>
  <c r="R503" i="3"/>
  <c r="K612" i="3"/>
  <c r="O813" i="3"/>
  <c r="I988" i="3"/>
  <c r="AH815" i="3"/>
  <c r="D71" i="1"/>
  <c r="U494" i="3"/>
  <c r="K431" i="3"/>
  <c r="M615" i="3"/>
  <c r="AH760" i="3"/>
  <c r="U848" i="3"/>
  <c r="U732" i="3"/>
  <c r="N827" i="3"/>
  <c r="AH846" i="3"/>
  <c r="AG952" i="3"/>
  <c r="AF883" i="3"/>
  <c r="N915" i="3"/>
  <c r="S980" i="3"/>
  <c r="R967" i="3"/>
  <c r="O986" i="3"/>
  <c r="P922" i="3"/>
  <c r="I961" i="3"/>
  <c r="AC958" i="3"/>
  <c r="M893" i="3"/>
  <c r="S798" i="3"/>
  <c r="AE819" i="3"/>
  <c r="AD803" i="3"/>
  <c r="I1004" i="3"/>
  <c r="AF933" i="3"/>
  <c r="AF946" i="3"/>
  <c r="K994" i="3"/>
  <c r="Q943" i="3"/>
  <c r="O989" i="3"/>
  <c r="O939" i="3"/>
  <c r="I826" i="3"/>
  <c r="Q915" i="3"/>
  <c r="U867" i="3"/>
  <c r="K897" i="3"/>
  <c r="O901" i="3"/>
  <c r="AH999" i="3"/>
  <c r="AF1053" i="3"/>
  <c r="I906" i="3"/>
  <c r="N917" i="3"/>
  <c r="O866" i="3"/>
  <c r="O874" i="3"/>
  <c r="AE854" i="3"/>
  <c r="AD878" i="3"/>
  <c r="K970" i="3"/>
  <c r="P909" i="3"/>
  <c r="S953" i="3"/>
  <c r="K933" i="3"/>
  <c r="AE922" i="3"/>
  <c r="O876" i="3"/>
  <c r="AD679" i="3"/>
  <c r="AD729" i="3"/>
  <c r="AH642" i="3"/>
  <c r="S737" i="3"/>
  <c r="O792" i="3"/>
  <c r="AC624" i="3"/>
  <c r="AD588" i="3"/>
  <c r="P639" i="3"/>
  <c r="R665" i="3"/>
  <c r="U698" i="3"/>
  <c r="M633" i="3"/>
  <c r="AG591" i="3"/>
  <c r="AF787" i="3"/>
  <c r="M810" i="3"/>
  <c r="AH774" i="3"/>
  <c r="F42" i="1"/>
  <c r="AD573" i="3"/>
  <c r="N604" i="3"/>
  <c r="AF614" i="3"/>
  <c r="AC697" i="3"/>
  <c r="AH861" i="3"/>
  <c r="Q521" i="3"/>
  <c r="N614" i="3"/>
  <c r="F35" i="1"/>
  <c r="O599" i="3"/>
  <c r="P496" i="3"/>
  <c r="I840" i="3"/>
  <c r="AF848" i="3"/>
  <c r="P955" i="3"/>
  <c r="AE515" i="3"/>
  <c r="P406" i="3"/>
  <c r="G36" i="1"/>
  <c r="AF821" i="3"/>
  <c r="F25" i="1"/>
  <c r="AG542" i="3"/>
  <c r="K851" i="3"/>
  <c r="AD528" i="3"/>
  <c r="S536" i="3"/>
  <c r="AD762" i="3"/>
  <c r="N499" i="3"/>
  <c r="O762" i="3"/>
  <c r="AH692" i="3"/>
  <c r="AE924" i="3"/>
  <c r="R525" i="3"/>
  <c r="AH483" i="3"/>
  <c r="D96" i="1"/>
  <c r="O686" i="3"/>
  <c r="I693" i="3"/>
  <c r="P824" i="3"/>
  <c r="N800" i="3"/>
  <c r="E56" i="1"/>
  <c r="S472" i="3"/>
  <c r="AG484" i="3"/>
  <c r="M709" i="3"/>
  <c r="D82" i="1"/>
  <c r="D105" i="1"/>
  <c r="R727" i="3"/>
  <c r="AE864" i="3"/>
  <c r="AD561" i="3"/>
  <c r="Q438" i="3"/>
  <c r="AF753" i="3"/>
  <c r="S680" i="3"/>
  <c r="Q700" i="3"/>
  <c r="AG558" i="3"/>
  <c r="N893" i="3"/>
  <c r="S506" i="3"/>
  <c r="Q468" i="3"/>
  <c r="Q695" i="3"/>
  <c r="U615" i="3"/>
  <c r="M756" i="3"/>
  <c r="U767" i="3"/>
  <c r="AC849" i="3"/>
  <c r="U843" i="3"/>
  <c r="H83" i="1"/>
  <c r="H45" i="1"/>
  <c r="Q549" i="3"/>
  <c r="H76" i="1"/>
  <c r="K658" i="3"/>
  <c r="G77" i="1"/>
  <c r="S960" i="3"/>
  <c r="R480" i="3"/>
  <c r="AF790" i="3"/>
  <c r="U639" i="3"/>
  <c r="O665" i="3"/>
  <c r="K678" i="3"/>
  <c r="AH647" i="3"/>
  <c r="AD964" i="3"/>
  <c r="N888" i="3"/>
  <c r="U455" i="3"/>
  <c r="R434" i="3"/>
  <c r="AC529" i="3"/>
  <c r="O744" i="3"/>
  <c r="Q856" i="3"/>
  <c r="S785" i="3"/>
  <c r="P574" i="3"/>
  <c r="AH607" i="3"/>
  <c r="S889" i="3"/>
  <c r="S648" i="3"/>
  <c r="U746" i="3"/>
  <c r="O782" i="3"/>
  <c r="AC770" i="3"/>
  <c r="K795" i="3"/>
  <c r="S725" i="3"/>
  <c r="N679" i="3"/>
  <c r="D97" i="1"/>
  <c r="S660" i="3"/>
  <c r="Q653" i="3"/>
  <c r="P742" i="3"/>
  <c r="D40" i="1"/>
  <c r="I539" i="3"/>
  <c r="P753" i="3"/>
  <c r="AG609" i="3"/>
  <c r="AD582" i="3"/>
  <c r="P732" i="3"/>
  <c r="AC617" i="3"/>
  <c r="AF931" i="3"/>
  <c r="AD599" i="3"/>
  <c r="P749" i="3"/>
  <c r="U726" i="3"/>
  <c r="AF680" i="3"/>
  <c r="AE786" i="3"/>
  <c r="P791" i="3"/>
  <c r="AG446" i="3"/>
  <c r="P539" i="3"/>
  <c r="U689" i="3"/>
  <c r="R790" i="3"/>
  <c r="S745" i="3"/>
  <c r="N554" i="3"/>
  <c r="P923" i="3"/>
  <c r="AG864" i="3"/>
  <c r="S497" i="3"/>
  <c r="U629" i="3"/>
  <c r="K621" i="3"/>
  <c r="R689" i="3"/>
  <c r="AD775" i="3"/>
  <c r="AG777" i="3"/>
  <c r="AE535" i="3"/>
  <c r="F75" i="1"/>
  <c r="U652" i="3"/>
  <c r="R678" i="3"/>
  <c r="I821" i="3"/>
  <c r="O786" i="3"/>
  <c r="U804" i="3"/>
  <c r="AE916" i="3"/>
  <c r="G86" i="1"/>
  <c r="D35" i="1"/>
  <c r="AH666" i="3"/>
  <c r="U531" i="3"/>
  <c r="M796" i="3"/>
  <c r="M720" i="3"/>
  <c r="Q454" i="3"/>
  <c r="Q403" i="3"/>
  <c r="E69" i="1"/>
  <c r="U821" i="3"/>
  <c r="U602" i="3"/>
  <c r="F59" i="1"/>
  <c r="K769" i="3"/>
  <c r="I895" i="3"/>
  <c r="AG631" i="3"/>
  <c r="N439" i="3"/>
  <c r="M695" i="3"/>
  <c r="D108" i="1"/>
  <c r="R773" i="3"/>
  <c r="AF804" i="3"/>
  <c r="U895" i="3"/>
  <c r="AD503" i="3"/>
  <c r="S406" i="3"/>
  <c r="U439" i="3"/>
  <c r="AG575" i="3"/>
  <c r="AD719" i="3"/>
  <c r="AG825" i="3"/>
  <c r="I743" i="3"/>
  <c r="Q885" i="3"/>
  <c r="N512" i="3"/>
  <c r="Q496" i="3"/>
  <c r="O749" i="3"/>
  <c r="M640" i="3"/>
  <c r="I537" i="3"/>
  <c r="AH852" i="3"/>
  <c r="I490" i="3"/>
  <c r="AE466" i="3"/>
  <c r="N583" i="3"/>
  <c r="AD668" i="3"/>
  <c r="AG646" i="3"/>
  <c r="Q690" i="3"/>
  <c r="AF877" i="3"/>
  <c r="AE818" i="3"/>
  <c r="Q642" i="3"/>
  <c r="N464" i="3"/>
  <c r="AG718" i="3"/>
  <c r="M610" i="3"/>
  <c r="U707" i="3"/>
  <c r="AC738" i="3"/>
  <c r="Q531" i="3"/>
  <c r="R583" i="3"/>
  <c r="Q689" i="3"/>
  <c r="P663" i="3"/>
  <c r="N611" i="3"/>
  <c r="AG820" i="3"/>
  <c r="K692" i="3"/>
  <c r="N956" i="3"/>
  <c r="AD526" i="3"/>
  <c r="K559" i="3"/>
  <c r="AF530" i="3"/>
  <c r="S790" i="3"/>
  <c r="AF837" i="3"/>
  <c r="K487" i="3"/>
  <c r="O700" i="3"/>
  <c r="AF462" i="3"/>
  <c r="AC654" i="3"/>
  <c r="P645" i="3"/>
  <c r="AF523" i="3"/>
  <c r="U617" i="3"/>
  <c r="K624" i="3"/>
  <c r="N721" i="3"/>
  <c r="M885" i="3"/>
  <c r="U924" i="3"/>
  <c r="R931" i="3"/>
  <c r="AG811" i="3"/>
  <c r="AH868" i="3"/>
  <c r="P913" i="3"/>
  <c r="O966" i="3"/>
  <c r="R1054" i="3"/>
  <c r="K991" i="3"/>
  <c r="N968" i="3"/>
  <c r="AH998" i="3"/>
  <c r="AD881" i="3"/>
  <c r="K827" i="3"/>
  <c r="Q855" i="3"/>
  <c r="M951" i="3"/>
  <c r="AC999" i="3"/>
  <c r="O1022" i="3"/>
  <c r="U1016" i="3"/>
  <c r="M901" i="3"/>
  <c r="AF967" i="3"/>
  <c r="AF941" i="3"/>
  <c r="Q882" i="3"/>
  <c r="U802" i="3"/>
  <c r="M912" i="3"/>
  <c r="AF960" i="3"/>
  <c r="AE959" i="3"/>
  <c r="M962" i="3"/>
  <c r="AE973" i="3"/>
  <c r="Q950" i="3"/>
  <c r="AC991" i="3"/>
  <c r="N954" i="3"/>
  <c r="M899" i="3"/>
  <c r="K847" i="3"/>
  <c r="AF935" i="3"/>
  <c r="AE899" i="3"/>
  <c r="S926" i="3"/>
  <c r="AE1068" i="3"/>
  <c r="K950" i="3"/>
  <c r="M1051" i="3"/>
  <c r="U1068" i="3"/>
  <c r="AE1038" i="3"/>
  <c r="R1009" i="3"/>
  <c r="I1049" i="3"/>
  <c r="S1085" i="3"/>
  <c r="O1065" i="3"/>
  <c r="AE1036" i="3"/>
  <c r="AG1089" i="3"/>
  <c r="N455" i="3"/>
  <c r="K691" i="3"/>
  <c r="K656" i="3"/>
  <c r="AE492" i="3"/>
  <c r="O575" i="3"/>
  <c r="AE748" i="3"/>
  <c r="U723" i="3"/>
  <c r="AE919" i="3"/>
  <c r="Q694" i="3"/>
  <c r="U447" i="3"/>
  <c r="AC762" i="3"/>
  <c r="K537" i="3"/>
  <c r="AC752" i="3"/>
  <c r="R796" i="3"/>
  <c r="R724" i="3"/>
  <c r="I419" i="3"/>
  <c r="N431" i="3"/>
  <c r="K689" i="3"/>
  <c r="N729" i="3"/>
  <c r="Q829" i="3"/>
  <c r="N809" i="3"/>
  <c r="R518" i="3"/>
  <c r="AH907" i="3"/>
  <c r="AC569" i="3"/>
  <c r="I530" i="3"/>
  <c r="N681" i="3"/>
  <c r="G53" i="1"/>
  <c r="I531" i="3"/>
  <c r="I755" i="3"/>
  <c r="F86" i="1"/>
  <c r="Q517" i="3"/>
  <c r="U506" i="3"/>
  <c r="AD692" i="3"/>
  <c r="AE757" i="3"/>
  <c r="R553" i="3"/>
  <c r="AH699" i="3"/>
  <c r="K814" i="3"/>
  <c r="AC462" i="3"/>
  <c r="AE691" i="3"/>
  <c r="AC690" i="3"/>
  <c r="AF578" i="3"/>
  <c r="AG570" i="3"/>
  <c r="AC739" i="3"/>
  <c r="AG756" i="3"/>
  <c r="P572" i="3"/>
  <c r="U611" i="3"/>
  <c r="AF688" i="3"/>
  <c r="Q621" i="3"/>
  <c r="P1055" i="3"/>
  <c r="P700" i="3"/>
  <c r="I920" i="3"/>
  <c r="Q881" i="3"/>
  <c r="Q645" i="3"/>
  <c r="AD670" i="3"/>
  <c r="AE680" i="3"/>
  <c r="AE805" i="3"/>
  <c r="Q616" i="3"/>
  <c r="P782" i="3"/>
  <c r="AG448" i="3"/>
  <c r="S483" i="3"/>
  <c r="AG521" i="3"/>
  <c r="H19" i="1"/>
  <c r="AF568" i="3"/>
  <c r="Q794" i="3"/>
  <c r="M603" i="3"/>
  <c r="AE912" i="3"/>
  <c r="I496" i="3"/>
  <c r="Q518" i="3"/>
  <c r="K591" i="3"/>
  <c r="K668" i="3"/>
  <c r="AF643" i="3"/>
  <c r="AF609" i="3"/>
  <c r="P777" i="3"/>
  <c r="O478" i="3"/>
  <c r="AC611" i="3"/>
  <c r="K486" i="3"/>
  <c r="R647" i="3"/>
  <c r="K758" i="3"/>
  <c r="K666" i="3"/>
  <c r="AE770" i="3"/>
  <c r="AC835" i="3"/>
  <c r="U414" i="3"/>
  <c r="AH580" i="3"/>
  <c r="AD741" i="3"/>
  <c r="F108" i="1"/>
  <c r="Q735" i="3"/>
  <c r="U680" i="3"/>
  <c r="K928" i="3"/>
  <c r="AD520" i="3"/>
  <c r="M560" i="3"/>
  <c r="AH495" i="3"/>
  <c r="P575" i="3"/>
  <c r="R781" i="3"/>
  <c r="AH786" i="3"/>
  <c r="P815" i="3"/>
  <c r="M927" i="3"/>
  <c r="R498" i="3"/>
  <c r="R520" i="3"/>
  <c r="AG529" i="3"/>
  <c r="AD812" i="3"/>
  <c r="I852" i="3"/>
  <c r="AC830" i="3"/>
  <c r="K667" i="3"/>
  <c r="AH579" i="3"/>
  <c r="I581" i="3"/>
  <c r="I541" i="3"/>
  <c r="AE756" i="3"/>
  <c r="Q781" i="3"/>
  <c r="I890" i="3"/>
  <c r="AG859" i="3"/>
  <c r="R487" i="3"/>
  <c r="U557" i="3"/>
  <c r="AE560" i="3"/>
  <c r="AE768" i="3"/>
  <c r="N768" i="3"/>
  <c r="K885" i="3"/>
  <c r="Q530" i="3"/>
  <c r="S516" i="3"/>
  <c r="G44" i="1"/>
  <c r="U697" i="3"/>
  <c r="I747" i="3"/>
  <c r="O769" i="3"/>
  <c r="Q923" i="3"/>
  <c r="R834" i="3"/>
  <c r="N575" i="3"/>
  <c r="Q475" i="3"/>
  <c r="AH423" i="3"/>
  <c r="Q759" i="3"/>
  <c r="Q727" i="3"/>
  <c r="O764" i="3"/>
  <c r="N608" i="3"/>
  <c r="K500" i="3"/>
  <c r="R709" i="3"/>
  <c r="Q580" i="3"/>
  <c r="R775" i="3"/>
  <c r="AH789" i="3"/>
  <c r="N1044" i="3"/>
  <c r="AF895" i="3"/>
  <c r="D31" i="1"/>
  <c r="AC514" i="3"/>
  <c r="AG571" i="3"/>
  <c r="AF825" i="3"/>
  <c r="M736" i="3"/>
  <c r="Q808" i="3"/>
  <c r="AD627" i="3"/>
  <c r="U542" i="3"/>
  <c r="O601" i="3"/>
  <c r="AC631" i="3"/>
  <c r="S865" i="3"/>
  <c r="AC877" i="3"/>
  <c r="AC505" i="3"/>
  <c r="U927" i="3"/>
  <c r="D77" i="1"/>
  <c r="G75" i="1"/>
  <c r="I718" i="3"/>
  <c r="P604" i="3"/>
  <c r="S794" i="3"/>
  <c r="O824" i="3"/>
  <c r="O907" i="3"/>
  <c r="AE431" i="3"/>
  <c r="S427" i="3"/>
  <c r="I450" i="3"/>
  <c r="M540" i="3"/>
  <c r="I865" i="3"/>
  <c r="P778" i="3"/>
  <c r="M864" i="3"/>
  <c r="S944" i="3"/>
  <c r="AC594" i="3"/>
  <c r="AC612" i="3"/>
  <c r="AG509" i="3"/>
  <c r="AD601" i="3"/>
  <c r="R813" i="3"/>
  <c r="AD877" i="3"/>
  <c r="S505" i="3"/>
  <c r="S579" i="3"/>
  <c r="D99" i="1"/>
  <c r="R649" i="3"/>
  <c r="AE759" i="3"/>
  <c r="AH720" i="3"/>
  <c r="AE779" i="3"/>
  <c r="AD891" i="3"/>
  <c r="P661" i="3"/>
  <c r="AD742" i="3"/>
  <c r="K702" i="3"/>
  <c r="I676" i="3"/>
  <c r="AD682" i="3"/>
  <c r="U920" i="3"/>
  <c r="AD571" i="3"/>
  <c r="K496" i="3"/>
  <c r="AH710" i="3"/>
  <c r="AD686" i="3"/>
  <c r="O710" i="3"/>
  <c r="P670" i="3"/>
  <c r="N780" i="3"/>
  <c r="O903" i="3"/>
  <c r="AF535" i="3"/>
  <c r="AH552" i="3"/>
  <c r="G39" i="1"/>
  <c r="M678" i="3"/>
  <c r="AF852" i="3"/>
  <c r="P559" i="3"/>
  <c r="AH834" i="3"/>
  <c r="K627" i="3"/>
  <c r="P535" i="3"/>
  <c r="AH619" i="3"/>
  <c r="AH681" i="3"/>
  <c r="AE829" i="3"/>
  <c r="O920" i="3"/>
  <c r="AC826" i="3"/>
  <c r="Q846" i="3"/>
  <c r="M915" i="3"/>
  <c r="Q935" i="3"/>
  <c r="R916" i="3"/>
  <c r="AG924" i="3"/>
  <c r="AC1038" i="3"/>
  <c r="AD966" i="3"/>
  <c r="O961" i="3"/>
  <c r="O1084" i="3"/>
  <c r="I971" i="3"/>
  <c r="AG994" i="3"/>
  <c r="U916" i="3"/>
  <c r="M960" i="3"/>
  <c r="N923" i="3"/>
  <c r="I896" i="3"/>
  <c r="AF989" i="3"/>
  <c r="AF1032" i="3"/>
  <c r="O965" i="3"/>
  <c r="I933" i="3"/>
  <c r="AC962" i="3"/>
  <c r="U1020" i="3"/>
  <c r="AF879" i="3"/>
  <c r="M871" i="3"/>
  <c r="I886" i="3"/>
  <c r="S835" i="3"/>
  <c r="Q910" i="3"/>
  <c r="Q998" i="3"/>
  <c r="I917" i="3"/>
  <c r="AD985" i="3"/>
  <c r="AC995" i="3"/>
  <c r="AC1004" i="3"/>
  <c r="S885" i="3"/>
  <c r="S870" i="3"/>
  <c r="N1060" i="3"/>
  <c r="O1011" i="3"/>
  <c r="K965" i="3"/>
  <c r="AC945" i="3"/>
  <c r="AF994" i="3"/>
  <c r="AF1039" i="3"/>
  <c r="S598" i="3"/>
  <c r="G71" i="1"/>
  <c r="P528" i="3"/>
  <c r="AD498" i="3"/>
  <c r="U719" i="3"/>
  <c r="AH848" i="3"/>
  <c r="U826" i="3"/>
  <c r="M607" i="3"/>
  <c r="AG458" i="3"/>
  <c r="AG741" i="3"/>
  <c r="AD749" i="3"/>
  <c r="K513" i="3"/>
  <c r="N747" i="3"/>
  <c r="AG788" i="3"/>
  <c r="R927" i="3"/>
  <c r="AD596" i="3"/>
  <c r="O570" i="3"/>
  <c r="M666" i="3"/>
  <c r="AG467" i="3"/>
  <c r="S703" i="3"/>
  <c r="I748" i="3"/>
  <c r="AG546" i="3"/>
  <c r="I706" i="3"/>
  <c r="Q697" i="3"/>
  <c r="AE713" i="3"/>
  <c r="R616" i="3"/>
  <c r="AC609" i="3"/>
  <c r="AH615" i="3"/>
  <c r="AC793" i="3"/>
  <c r="I871" i="3"/>
  <c r="AH541" i="3"/>
  <c r="AG730" i="3"/>
  <c r="O805" i="3"/>
  <c r="AE670" i="3"/>
  <c r="U877" i="3"/>
  <c r="S788" i="3"/>
  <c r="AH575" i="3"/>
  <c r="S535" i="3"/>
  <c r="AF571" i="3"/>
  <c r="K729" i="3"/>
  <c r="R685" i="3"/>
  <c r="N630" i="3"/>
  <c r="AH972" i="3"/>
  <c r="S850" i="3"/>
  <c r="H81" i="1"/>
  <c r="AC568" i="3"/>
  <c r="AH625" i="3"/>
  <c r="U738" i="3"/>
  <c r="O705" i="3"/>
  <c r="S557" i="3"/>
  <c r="AG665" i="3"/>
  <c r="AG507" i="3"/>
  <c r="AE564" i="3"/>
  <c r="O503" i="3"/>
  <c r="Q762" i="3"/>
  <c r="AG717" i="3"/>
  <c r="N861" i="3"/>
  <c r="E63" i="1"/>
  <c r="P903" i="3"/>
  <c r="AG790" i="3"/>
  <c r="AC627" i="3"/>
  <c r="M738" i="3"/>
  <c r="Q676" i="3"/>
  <c r="AD593" i="3"/>
  <c r="M853" i="3"/>
  <c r="R1028" i="3"/>
  <c r="P476" i="3"/>
  <c r="AE507" i="3"/>
  <c r="AC418" i="3"/>
  <c r="S676" i="3"/>
  <c r="O556" i="3"/>
  <c r="AF554" i="3"/>
  <c r="AD911" i="3"/>
  <c r="AG502" i="3"/>
  <c r="S419" i="3"/>
  <c r="Q673" i="3"/>
  <c r="AG714" i="3"/>
  <c r="D66" i="1"/>
  <c r="P613" i="3"/>
  <c r="U756" i="3"/>
  <c r="N474" i="3"/>
  <c r="S679" i="3"/>
  <c r="Q414" i="3"/>
  <c r="H97" i="1"/>
  <c r="I674" i="3"/>
  <c r="AC547" i="3"/>
  <c r="U797" i="3"/>
  <c r="U880" i="3"/>
  <c r="AG470" i="3"/>
  <c r="O565" i="3"/>
  <c r="R578" i="3"/>
  <c r="U608" i="3"/>
  <c r="AH686" i="3"/>
  <c r="U517" i="3"/>
  <c r="N1008" i="3"/>
  <c r="U729" i="3"/>
  <c r="U527" i="3"/>
  <c r="P718" i="3"/>
  <c r="R659" i="3"/>
  <c r="AH794" i="3"/>
  <c r="K777" i="3"/>
  <c r="AD839" i="3"/>
  <c r="P872" i="3"/>
  <c r="AF479" i="3"/>
  <c r="R604" i="3"/>
  <c r="R742" i="3"/>
  <c r="AF699" i="3"/>
  <c r="AG848" i="3"/>
  <c r="I806" i="3"/>
  <c r="P636" i="3"/>
  <c r="AC463" i="3"/>
  <c r="I454" i="3"/>
  <c r="M655" i="3"/>
  <c r="Q789" i="3"/>
  <c r="AE800" i="3"/>
  <c r="AH888" i="3"/>
  <c r="O811" i="3"/>
  <c r="AG530" i="3"/>
  <c r="M753" i="3"/>
  <c r="AC675" i="3"/>
  <c r="N703" i="3"/>
  <c r="K775" i="3"/>
  <c r="R862" i="3"/>
  <c r="R471" i="3"/>
  <c r="S443" i="3"/>
  <c r="Q499" i="3"/>
  <c r="I565" i="3"/>
  <c r="K752" i="3"/>
  <c r="P680" i="3"/>
  <c r="Q851" i="3"/>
  <c r="R818" i="3"/>
  <c r="K423" i="3"/>
  <c r="AG479" i="3"/>
  <c r="AF623" i="3"/>
  <c r="AD783" i="3"/>
  <c r="AH773" i="3"/>
  <c r="AG804" i="3"/>
  <c r="M627" i="3"/>
  <c r="AF611" i="3"/>
  <c r="G55" i="1"/>
  <c r="AD399" i="3"/>
  <c r="N792" i="3"/>
  <c r="K763" i="3"/>
  <c r="AC772" i="3"/>
  <c r="AD870" i="3"/>
  <c r="U679" i="3"/>
  <c r="N640" i="3"/>
  <c r="N519" i="3"/>
  <c r="I732" i="3"/>
  <c r="U840" i="3"/>
  <c r="AD789" i="3"/>
  <c r="Q554" i="3"/>
  <c r="AG483" i="3"/>
  <c r="AH606" i="3"/>
  <c r="M567" i="3"/>
  <c r="Q639" i="3"/>
  <c r="AF755" i="3"/>
  <c r="AC756" i="3"/>
  <c r="AH885" i="3"/>
  <c r="N584" i="3"/>
  <c r="AG513" i="3"/>
  <c r="P690" i="3"/>
  <c r="AG628" i="3"/>
  <c r="AG700" i="3"/>
  <c r="AG698" i="3"/>
  <c r="N911" i="3"/>
  <c r="AD431" i="3"/>
  <c r="AC459" i="3"/>
  <c r="H70" i="1"/>
  <c r="H99" i="1"/>
  <c r="AE720" i="3"/>
  <c r="I792" i="3"/>
  <c r="K960" i="3"/>
  <c r="N876" i="3"/>
  <c r="R414" i="3"/>
  <c r="S805" i="3"/>
  <c r="U873" i="3"/>
  <c r="K509" i="3"/>
  <c r="AC760" i="3"/>
  <c r="U601" i="3"/>
  <c r="N488" i="3"/>
  <c r="O471" i="3"/>
  <c r="AH697" i="3"/>
  <c r="AG702" i="3"/>
  <c r="AD720" i="3"/>
  <c r="R836" i="3"/>
  <c r="I751" i="3"/>
  <c r="AC803" i="3"/>
  <c r="U790" i="3"/>
  <c r="O627" i="3"/>
  <c r="M688" i="3"/>
  <c r="P889" i="3"/>
  <c r="AE642" i="3"/>
  <c r="I856" i="3"/>
  <c r="S571" i="3"/>
  <c r="U610" i="3"/>
  <c r="AC669" i="3"/>
  <c r="K725" i="3"/>
  <c r="S657" i="3"/>
  <c r="AC559" i="3"/>
  <c r="AG988" i="3"/>
  <c r="O851" i="3"/>
  <c r="K582" i="3"/>
  <c r="AF679" i="3"/>
  <c r="D73" i="1"/>
  <c r="N625" i="3"/>
  <c r="AH611" i="3"/>
  <c r="AH668" i="3"/>
  <c r="O881" i="3"/>
  <c r="AG478" i="3"/>
  <c r="M462" i="3"/>
  <c r="AD717" i="3"/>
  <c r="U521" i="3"/>
  <c r="O785" i="3"/>
  <c r="AC768" i="3"/>
  <c r="M874" i="3"/>
  <c r="R892" i="3"/>
  <c r="O822" i="3"/>
  <c r="K893" i="3"/>
  <c r="AF858" i="3"/>
  <c r="AG874" i="3"/>
  <c r="M977" i="3"/>
  <c r="AH1054" i="3"/>
  <c r="U1038" i="3"/>
  <c r="AD948" i="3"/>
  <c r="U909" i="3"/>
  <c r="AF930" i="3"/>
  <c r="O858" i="3"/>
  <c r="Q928" i="3"/>
  <c r="AF839" i="3"/>
  <c r="AH870" i="3"/>
  <c r="O963" i="3"/>
  <c r="S981" i="3"/>
  <c r="R966" i="3"/>
  <c r="O977" i="3"/>
  <c r="AG1075" i="3"/>
  <c r="Q971" i="3"/>
  <c r="I855" i="3"/>
  <c r="O838" i="3"/>
  <c r="AE830" i="3"/>
  <c r="P863" i="3"/>
  <c r="P1023" i="3"/>
  <c r="AD980" i="3"/>
  <c r="Q934" i="3"/>
  <c r="O970" i="3"/>
  <c r="S906" i="3"/>
  <c r="AD984" i="3"/>
  <c r="O891" i="3"/>
  <c r="AD940" i="3"/>
  <c r="AE806" i="3"/>
  <c r="U942" i="3"/>
  <c r="O949" i="3"/>
  <c r="AH926" i="3"/>
  <c r="AH961" i="3"/>
  <c r="O969" i="3"/>
  <c r="AG1014" i="3"/>
  <c r="AC984" i="3"/>
  <c r="U1070" i="3"/>
  <c r="I1081" i="3"/>
  <c r="S1065" i="3"/>
  <c r="AE1005" i="3"/>
  <c r="AE1047" i="3"/>
  <c r="M1085" i="3"/>
  <c r="Q472" i="3"/>
  <c r="AE619" i="3"/>
  <c r="AH563" i="3"/>
  <c r="AF668" i="3"/>
  <c r="Q786" i="3"/>
  <c r="AE743" i="3"/>
  <c r="O751" i="3"/>
  <c r="AC881" i="3"/>
  <c r="M585" i="3"/>
  <c r="O448" i="3"/>
  <c r="AE660" i="3"/>
  <c r="AF725" i="3"/>
  <c r="D52" i="1"/>
  <c r="K675" i="3"/>
  <c r="Q907" i="3"/>
  <c r="U480" i="3"/>
  <c r="AG410" i="3"/>
  <c r="U572" i="3"/>
  <c r="AF501" i="3"/>
  <c r="U748" i="3"/>
  <c r="N856" i="3"/>
  <c r="AC923" i="3"/>
  <c r="N1019" i="3"/>
  <c r="AD514" i="3"/>
  <c r="M742" i="3"/>
  <c r="AG680" i="3"/>
  <c r="K779" i="3"/>
  <c r="AH736" i="3"/>
  <c r="K669" i="3"/>
  <c r="S515" i="3"/>
  <c r="P551" i="3"/>
  <c r="U660" i="3"/>
  <c r="AC422" i="3"/>
  <c r="S729" i="3"/>
  <c r="Q767" i="3"/>
  <c r="AD771" i="3"/>
  <c r="M923" i="3"/>
  <c r="AD450" i="3"/>
  <c r="I618" i="3"/>
  <c r="AE583" i="3"/>
  <c r="E58" i="1"/>
  <c r="M739" i="3"/>
  <c r="O857" i="3"/>
  <c r="P947" i="3"/>
  <c r="N510" i="3"/>
  <c r="K545" i="3"/>
  <c r="Q500" i="3"/>
  <c r="E47" i="1"/>
  <c r="P747" i="3"/>
  <c r="AF770" i="3"/>
  <c r="P1028" i="3"/>
  <c r="I862" i="3"/>
  <c r="H44" i="1"/>
  <c r="AE551" i="3"/>
  <c r="M504" i="3"/>
  <c r="S972" i="3"/>
  <c r="AF820" i="3"/>
  <c r="AE716" i="3"/>
  <c r="M500" i="3"/>
  <c r="M484" i="3"/>
  <c r="AD476" i="3"/>
  <c r="AC685" i="3"/>
  <c r="O540" i="3"/>
  <c r="I489" i="3"/>
  <c r="Q817" i="3"/>
  <c r="U976" i="3"/>
  <c r="N496" i="3"/>
  <c r="AG552" i="3"/>
  <c r="S677" i="3"/>
  <c r="AG639" i="3"/>
  <c r="O808" i="3"/>
  <c r="AC797" i="3"/>
  <c r="AC801" i="3"/>
  <c r="P631" i="3"/>
  <c r="D59" i="1"/>
  <c r="G95" i="1"/>
  <c r="AG597" i="3"/>
  <c r="Q813" i="3"/>
  <c r="N820" i="3"/>
  <c r="AD828" i="3"/>
  <c r="AG802" i="3"/>
  <c r="R423" i="3"/>
  <c r="G112" i="1"/>
  <c r="AD873" i="3"/>
  <c r="M701" i="3"/>
  <c r="AE482" i="3"/>
  <c r="K857" i="3"/>
  <c r="I858" i="3"/>
  <c r="R403" i="3"/>
  <c r="D75" i="1"/>
  <c r="H54" i="1"/>
  <c r="G81" i="1"/>
  <c r="AF652" i="3"/>
  <c r="AC741" i="3"/>
  <c r="R835" i="3"/>
  <c r="K556" i="3"/>
  <c r="M418" i="3"/>
  <c r="N641" i="3"/>
  <c r="AE717" i="3"/>
  <c r="K597" i="3"/>
  <c r="M570" i="3"/>
  <c r="AE955" i="3"/>
  <c r="I527" i="3"/>
  <c r="AC504" i="3"/>
  <c r="U619" i="3"/>
  <c r="K636" i="3"/>
  <c r="N779" i="3"/>
  <c r="S687" i="3"/>
  <c r="R951" i="3"/>
  <c r="AF506" i="3"/>
  <c r="N451" i="3"/>
  <c r="Q665" i="3"/>
  <c r="N692" i="3"/>
  <c r="Q672" i="3"/>
  <c r="AD661" i="3"/>
  <c r="AH470" i="3"/>
  <c r="AC578" i="3"/>
  <c r="AE615" i="3"/>
  <c r="AG737" i="3"/>
  <c r="AC662" i="3"/>
  <c r="N760" i="3"/>
  <c r="R723" i="3"/>
  <c r="S923" i="3"/>
  <c r="U568" i="3"/>
  <c r="AF549" i="3"/>
  <c r="R821" i="3"/>
  <c r="I762" i="3"/>
  <c r="S836" i="3"/>
  <c r="AC597" i="3"/>
  <c r="AF885" i="3"/>
  <c r="P529" i="3"/>
  <c r="AD500" i="3"/>
  <c r="AE423" i="3"/>
  <c r="AH661" i="3"/>
  <c r="AE816" i="3"/>
  <c r="U722" i="3"/>
  <c r="K864" i="3"/>
  <c r="O558" i="3"/>
  <c r="AC539" i="3"/>
  <c r="K511" i="3"/>
  <c r="P614" i="3"/>
  <c r="N652" i="3"/>
  <c r="S714" i="3"/>
  <c r="AH883" i="3"/>
  <c r="N634" i="3"/>
  <c r="D102" i="1"/>
  <c r="N435" i="3"/>
  <c r="AH446" i="3"/>
  <c r="I712" i="3"/>
  <c r="O650" i="3"/>
  <c r="AG886" i="3"/>
  <c r="Q956" i="3"/>
  <c r="AH570" i="3"/>
  <c r="K608" i="3"/>
  <c r="AC766" i="3"/>
  <c r="O597" i="3"/>
  <c r="N671" i="3"/>
  <c r="R791" i="3"/>
  <c r="AG443" i="3"/>
  <c r="N581" i="3"/>
  <c r="M587" i="3"/>
  <c r="AD555" i="3"/>
  <c r="AC695" i="3"/>
  <c r="N789" i="3"/>
  <c r="N587" i="3"/>
  <c r="AF899" i="3"/>
  <c r="S570" i="3"/>
  <c r="G89" i="1"/>
  <c r="AF403" i="3"/>
  <c r="K419" i="3"/>
  <c r="AD1055" i="3"/>
  <c r="AE491" i="3"/>
  <c r="K880" i="3"/>
  <c r="P675" i="3"/>
  <c r="O581" i="3"/>
  <c r="I448" i="3"/>
  <c r="S635" i="3"/>
  <c r="Q715" i="3"/>
  <c r="AE753" i="3"/>
  <c r="AC802" i="3"/>
  <c r="AC798" i="3"/>
  <c r="AD615" i="3"/>
  <c r="O702" i="3"/>
  <c r="S455" i="3"/>
  <c r="N726" i="3"/>
  <c r="AE794" i="3"/>
  <c r="AC808" i="3"/>
  <c r="U603" i="3"/>
  <c r="O442" i="3"/>
  <c r="AD680" i="3"/>
  <c r="Q450" i="3"/>
  <c r="AF1055" i="3"/>
  <c r="AE724" i="3"/>
  <c r="N848" i="3"/>
  <c r="AF806" i="3"/>
  <c r="K638" i="3"/>
  <c r="I624" i="3"/>
  <c r="I627" i="3"/>
  <c r="I599" i="3"/>
  <c r="K778" i="3"/>
  <c r="N776" i="3"/>
  <c r="P599" i="3"/>
  <c r="Q473" i="3"/>
  <c r="I639" i="3"/>
  <c r="AF660" i="3"/>
  <c r="I502" i="3"/>
  <c r="AD597" i="3"/>
  <c r="S742" i="3"/>
  <c r="S881" i="3"/>
  <c r="K855" i="3"/>
  <c r="R868" i="3"/>
  <c r="O878" i="3"/>
  <c r="AD858" i="3"/>
  <c r="K871" i="3"/>
  <c r="S974" i="3"/>
  <c r="I965" i="3"/>
  <c r="M1027" i="3"/>
  <c r="R1053" i="3"/>
  <c r="AD1022" i="3"/>
  <c r="P846" i="3"/>
  <c r="U795" i="3"/>
  <c r="P868" i="3"/>
  <c r="O927" i="3"/>
  <c r="AD982" i="3"/>
  <c r="U977" i="3"/>
  <c r="K942" i="3"/>
  <c r="P971" i="3"/>
  <c r="U998" i="3"/>
  <c r="AC906" i="3"/>
  <c r="I854" i="3"/>
  <c r="AG807" i="3"/>
  <c r="AF915" i="3"/>
  <c r="P866" i="3"/>
  <c r="I1026" i="3"/>
  <c r="AC905" i="3"/>
  <c r="P948" i="3"/>
  <c r="N1006" i="3"/>
  <c r="AH987" i="3"/>
  <c r="AE918" i="3"/>
  <c r="N951" i="3"/>
  <c r="AC916" i="3"/>
  <c r="S888" i="3"/>
  <c r="P940" i="3"/>
  <c r="AC894" i="3"/>
  <c r="N913" i="3"/>
  <c r="AH958" i="3"/>
  <c r="S958" i="3"/>
  <c r="AF983" i="3"/>
  <c r="AH722" i="3"/>
  <c r="N622" i="3"/>
  <c r="AG442" i="3"/>
  <c r="Q617" i="3"/>
  <c r="AD666" i="3"/>
  <c r="F116" i="1"/>
  <c r="AC831" i="3"/>
  <c r="G19" i="1"/>
  <c r="AE497" i="3"/>
  <c r="AG663" i="3"/>
  <c r="Q630" i="3"/>
  <c r="AF731" i="3"/>
  <c r="S784" i="3"/>
  <c r="S857" i="3"/>
  <c r="K842" i="3"/>
  <c r="P542" i="3"/>
  <c r="AC564" i="3"/>
  <c r="P533" i="3"/>
  <c r="S774" i="3"/>
  <c r="M836" i="3"/>
  <c r="O731" i="3"/>
  <c r="K935" i="3"/>
  <c r="G78" i="1"/>
  <c r="E99" i="1"/>
  <c r="S678" i="3"/>
  <c r="AD602" i="3"/>
  <c r="N728" i="3"/>
  <c r="Q780" i="3"/>
  <c r="AG816" i="3"/>
  <c r="U875" i="3"/>
  <c r="AG528" i="3"/>
  <c r="O645" i="3"/>
  <c r="U644" i="3"/>
  <c r="Q628" i="3"/>
  <c r="P829" i="3"/>
  <c r="AD780" i="3"/>
  <c r="I596" i="3"/>
  <c r="P475" i="3"/>
  <c r="P671" i="3"/>
  <c r="D81" i="1"/>
  <c r="E71" i="1"/>
  <c r="I767" i="3"/>
  <c r="N741" i="3"/>
  <c r="Q879" i="3"/>
  <c r="U640" i="3"/>
  <c r="AE555" i="3"/>
  <c r="S617" i="3"/>
  <c r="Q540" i="3"/>
  <c r="AD792" i="3"/>
  <c r="AD833" i="3"/>
  <c r="U810" i="3"/>
  <c r="AE473" i="3"/>
  <c r="N606" i="3"/>
  <c r="AE601" i="3"/>
  <c r="U442" i="3"/>
  <c r="R720" i="3"/>
  <c r="U728" i="3"/>
  <c r="I776" i="3"/>
  <c r="AD893" i="3"/>
  <c r="AH622" i="3"/>
  <c r="I713" i="3"/>
  <c r="S442" i="3"/>
  <c r="S825" i="3"/>
  <c r="U716" i="3"/>
  <c r="P793" i="3"/>
  <c r="G56" i="1"/>
  <c r="AE411" i="3"/>
  <c r="E53" i="1"/>
  <c r="U569" i="3"/>
  <c r="U641" i="3"/>
  <c r="AH617" i="3"/>
  <c r="AH761" i="3"/>
  <c r="M851" i="3"/>
  <c r="AD434" i="3"/>
  <c r="M496" i="3"/>
  <c r="K604" i="3"/>
  <c r="N566" i="3"/>
  <c r="AF600" i="3"/>
  <c r="AF764" i="3"/>
  <c r="AC904" i="3"/>
  <c r="AC497" i="3"/>
  <c r="O468" i="3"/>
  <c r="E113" i="1"/>
  <c r="H48" i="1"/>
  <c r="AH484" i="3"/>
  <c r="AH732" i="3"/>
  <c r="U845" i="3"/>
  <c r="P952" i="3"/>
  <c r="K470" i="3"/>
  <c r="AF556" i="3"/>
  <c r="N821" i="3"/>
  <c r="R746" i="3"/>
  <c r="R587" i="3"/>
  <c r="P715" i="3"/>
  <c r="AF955" i="3"/>
  <c r="F77" i="1"/>
  <c r="AC722" i="3"/>
  <c r="M718" i="3"/>
  <c r="I646" i="3"/>
  <c r="S820" i="3"/>
  <c r="AE622" i="3"/>
  <c r="AC827" i="3"/>
  <c r="M521" i="3"/>
  <c r="K485" i="3"/>
  <c r="O611" i="3"/>
  <c r="AF497" i="3"/>
  <c r="S852" i="3"/>
  <c r="U724" i="3"/>
  <c r="S872" i="3"/>
  <c r="N639" i="3"/>
  <c r="R526" i="3"/>
  <c r="AE537" i="3"/>
  <c r="E52" i="1"/>
  <c r="M665" i="3"/>
  <c r="AC687" i="3"/>
  <c r="M947" i="3"/>
  <c r="AC446" i="3"/>
  <c r="N487" i="3"/>
  <c r="Q569" i="3"/>
  <c r="I774" i="3"/>
  <c r="K435" i="3"/>
  <c r="S697" i="3"/>
  <c r="M406" i="3"/>
  <c r="AH402" i="3"/>
  <c r="AG710" i="3"/>
  <c r="E22" i="1"/>
  <c r="AH660" i="3"/>
  <c r="Q713" i="3"/>
  <c r="Q723" i="3"/>
  <c r="I835" i="3"/>
  <c r="I615" i="3"/>
  <c r="S650" i="3"/>
  <c r="AH529" i="3"/>
  <c r="AH889" i="3"/>
  <c r="AF759" i="3"/>
  <c r="S646" i="3"/>
  <c r="O883" i="3"/>
  <c r="Q545" i="3"/>
  <c r="H79" i="1"/>
  <c r="AE454" i="3"/>
  <c r="R618" i="3"/>
  <c r="E81" i="1"/>
  <c r="O473" i="3"/>
  <c r="AH810" i="3"/>
  <c r="M722" i="3"/>
  <c r="AE790" i="3"/>
  <c r="I749" i="3"/>
  <c r="AD435" i="3"/>
  <c r="Q791" i="3"/>
  <c r="F26" i="1"/>
  <c r="U811" i="3"/>
  <c r="U419" i="3"/>
  <c r="P563" i="3"/>
  <c r="D46" i="1"/>
  <c r="G108" i="1"/>
  <c r="AE712" i="3"/>
  <c r="I861" i="3"/>
  <c r="M783" i="3"/>
  <c r="P891" i="3"/>
  <c r="AE521" i="3"/>
  <c r="S661" i="3"/>
  <c r="K660" i="3"/>
  <c r="F97" i="1"/>
  <c r="AF805" i="3"/>
  <c r="R837" i="3"/>
  <c r="AH506" i="3"/>
  <c r="AG559" i="3"/>
  <c r="AD648" i="3"/>
  <c r="AC674" i="3"/>
  <c r="I753" i="3"/>
  <c r="N804" i="3"/>
  <c r="U709" i="3"/>
  <c r="N843" i="3"/>
  <c r="AD492" i="3"/>
  <c r="S522" i="3"/>
  <c r="D70" i="1"/>
  <c r="AE402" i="3"/>
  <c r="S747" i="3"/>
  <c r="R852" i="3"/>
  <c r="U885" i="3"/>
  <c r="M539" i="3"/>
  <c r="AF448" i="3"/>
  <c r="I431" i="3"/>
  <c r="R566" i="3"/>
  <c r="U988" i="3"/>
  <c r="I781" i="3"/>
  <c r="P915" i="3"/>
  <c r="AE810" i="3"/>
  <c r="AE679" i="3"/>
  <c r="P697" i="3"/>
  <c r="S629" i="3"/>
  <c r="AH674" i="3"/>
  <c r="S765" i="3"/>
  <c r="K825" i="3"/>
  <c r="N561" i="3"/>
  <c r="P593" i="3"/>
  <c r="Q600" i="3"/>
  <c r="M509" i="3"/>
  <c r="AG793" i="3"/>
  <c r="Q756" i="3"/>
  <c r="AF718" i="3"/>
  <c r="AC844" i="3"/>
  <c r="F67" i="1"/>
  <c r="E115" i="1"/>
  <c r="AH649" i="3"/>
  <c r="S683" i="3"/>
  <c r="O709" i="3"/>
  <c r="AG715" i="3"/>
  <c r="O447" i="3"/>
  <c r="AG550" i="3"/>
  <c r="F31" i="1"/>
  <c r="O548" i="3"/>
  <c r="AH645" i="3"/>
  <c r="P590" i="3"/>
  <c r="S464" i="3"/>
  <c r="AC854" i="3"/>
  <c r="S931" i="3"/>
  <c r="M955" i="3"/>
  <c r="Q1028" i="3"/>
  <c r="AF951" i="3"/>
  <c r="M798" i="3"/>
  <c r="O943" i="3"/>
  <c r="AG962" i="3"/>
  <c r="AG968" i="3"/>
  <c r="I914" i="3"/>
  <c r="N986" i="3"/>
  <c r="AD981" i="3"/>
  <c r="K810" i="3"/>
  <c r="AH878" i="3"/>
  <c r="K875" i="3"/>
  <c r="P949" i="3"/>
  <c r="U902" i="3"/>
  <c r="I957" i="3"/>
  <c r="Q981" i="3"/>
  <c r="AG949" i="3"/>
  <c r="AC953" i="3"/>
  <c r="M802" i="3"/>
  <c r="M924" i="3"/>
  <c r="O916" i="3"/>
  <c r="S822" i="3"/>
  <c r="S961" i="3"/>
  <c r="AC1068" i="3"/>
  <c r="AE938" i="3"/>
  <c r="O929" i="3"/>
  <c r="I897" i="3"/>
  <c r="AC917" i="3"/>
  <c r="U947" i="3"/>
  <c r="AH892" i="3"/>
  <c r="AC1044" i="3"/>
  <c r="P919" i="3"/>
  <c r="N938" i="3"/>
  <c r="AF921" i="3"/>
  <c r="S1020" i="3"/>
  <c r="AE961" i="3"/>
  <c r="AD937" i="3"/>
  <c r="AD1023" i="3"/>
  <c r="AC897" i="3"/>
  <c r="AG1017" i="3"/>
  <c r="R1086" i="3"/>
  <c r="AF1029" i="3"/>
  <c r="AH1082" i="3"/>
  <c r="AG1036" i="3"/>
  <c r="M549" i="3"/>
  <c r="S706" i="3"/>
  <c r="P692" i="3"/>
  <c r="AG652" i="3"/>
  <c r="O652" i="3"/>
  <c r="AH825" i="3"/>
  <c r="I612" i="3"/>
  <c r="AF896" i="3"/>
  <c r="I554" i="3"/>
  <c r="O531" i="3"/>
  <c r="E66" i="1"/>
  <c r="AE655" i="3"/>
  <c r="I714" i="3"/>
  <c r="Q463" i="3"/>
  <c r="K972" i="3"/>
  <c r="U936" i="3"/>
  <c r="AG496" i="3"/>
  <c r="AD479" i="3"/>
  <c r="K590" i="3"/>
  <c r="N624" i="3"/>
  <c r="O466" i="3"/>
  <c r="AG758" i="3"/>
  <c r="AC846" i="3"/>
  <c r="K483" i="3"/>
  <c r="AD622" i="3"/>
  <c r="S498" i="3"/>
  <c r="U573" i="3"/>
  <c r="M801" i="3"/>
  <c r="AD801" i="3"/>
  <c r="N819" i="3"/>
  <c r="I580" i="3"/>
  <c r="AE570" i="3"/>
  <c r="R479" i="3"/>
  <c r="D38" i="1"/>
  <c r="AD727" i="3"/>
  <c r="AD442" i="3"/>
  <c r="AH903" i="3"/>
  <c r="AD847" i="3"/>
  <c r="N521" i="3"/>
  <c r="AF647" i="3"/>
  <c r="F18" i="1"/>
  <c r="AF671" i="3"/>
  <c r="K845" i="3"/>
  <c r="N632" i="3"/>
  <c r="AD580" i="3"/>
  <c r="U510" i="3"/>
  <c r="AE506" i="3"/>
  <c r="M535" i="3"/>
  <c r="M734" i="3"/>
  <c r="AD703" i="3"/>
  <c r="AG600" i="3"/>
  <c r="AG911" i="3"/>
  <c r="I679" i="3"/>
  <c r="AC520" i="3"/>
  <c r="O491" i="3"/>
  <c r="U496" i="3"/>
  <c r="R820" i="3"/>
  <c r="Q704" i="3"/>
  <c r="Q787" i="3"/>
  <c r="AE562" i="3"/>
  <c r="M556" i="3"/>
  <c r="F68" i="1"/>
  <c r="I557" i="3"/>
  <c r="Q714" i="3"/>
  <c r="M792" i="3"/>
  <c r="U761" i="3"/>
  <c r="M952" i="3"/>
  <c r="AF488" i="3"/>
  <c r="O550" i="3"/>
  <c r="AF582" i="3"/>
  <c r="H26" i="1"/>
  <c r="P833" i="3"/>
  <c r="AF812" i="3"/>
  <c r="AD748" i="3"/>
  <c r="AF591" i="3"/>
  <c r="AH639" i="3"/>
  <c r="Q646" i="3"/>
  <c r="AF466" i="3"/>
  <c r="O755" i="3"/>
  <c r="Q494" i="3"/>
  <c r="I818" i="3"/>
  <c r="P882" i="3"/>
  <c r="M495" i="3"/>
  <c r="P714" i="3"/>
  <c r="AH571" i="3"/>
  <c r="U717" i="3"/>
  <c r="M800" i="3"/>
  <c r="AD767" i="3"/>
  <c r="P474" i="3"/>
  <c r="AH523" i="3"/>
  <c r="U495" i="3"/>
  <c r="I601" i="3"/>
  <c r="G49" i="1"/>
  <c r="M654" i="3"/>
  <c r="AC763" i="3"/>
  <c r="M838" i="3"/>
  <c r="AG536" i="3"/>
  <c r="K586" i="3"/>
  <c r="O632" i="3"/>
  <c r="AF762" i="3"/>
  <c r="M569" i="3"/>
  <c r="O728" i="3"/>
  <c r="AE654" i="3"/>
  <c r="N675" i="3"/>
  <c r="S695" i="3"/>
  <c r="R641" i="3"/>
  <c r="G92" i="1"/>
  <c r="E30" i="1"/>
  <c r="Q840" i="3"/>
  <c r="U855" i="3"/>
  <c r="AE593" i="3"/>
  <c r="AC603" i="3"/>
  <c r="K757" i="3"/>
  <c r="K676" i="3"/>
  <c r="I642" i="3"/>
  <c r="P743" i="3"/>
  <c r="P585" i="3"/>
  <c r="F115" i="1"/>
  <c r="R673" i="3"/>
  <c r="O678" i="3"/>
  <c r="AG681" i="3"/>
  <c r="M857" i="3"/>
  <c r="I816" i="3"/>
  <c r="Q802" i="3"/>
  <c r="Q462" i="3"/>
  <c r="E83" i="1"/>
  <c r="K805" i="3"/>
  <c r="N702" i="3"/>
  <c r="AC753" i="3"/>
  <c r="K817" i="3"/>
  <c r="N509" i="3"/>
  <c r="R531" i="3"/>
  <c r="AE571" i="3"/>
  <c r="AH602" i="3"/>
  <c r="AG669" i="3"/>
  <c r="F22" i="1"/>
  <c r="AE793" i="3"/>
  <c r="AF815" i="3"/>
  <c r="P423" i="3"/>
  <c r="P693" i="3"/>
  <c r="O542" i="3"/>
  <c r="AE714" i="3"/>
  <c r="P480" i="3"/>
  <c r="AH767" i="3"/>
  <c r="AD418" i="3"/>
  <c r="K501" i="3"/>
  <c r="AG527" i="3"/>
  <c r="AH659" i="3"/>
  <c r="AF601" i="3"/>
  <c r="AE772" i="3"/>
  <c r="R741" i="3"/>
  <c r="AG830" i="3"/>
  <c r="Q406" i="3"/>
  <c r="D64" i="1"/>
  <c r="M519" i="3"/>
  <c r="M599" i="3"/>
  <c r="AF773" i="3"/>
  <c r="AF761" i="3"/>
  <c r="S808" i="3"/>
  <c r="Q491" i="3"/>
  <c r="AF494" i="3"/>
  <c r="AH657" i="3"/>
  <c r="H28" i="1"/>
  <c r="M682" i="3"/>
  <c r="M873" i="3"/>
  <c r="R787" i="3"/>
  <c r="N878" i="3"/>
  <c r="U561" i="3"/>
  <c r="AD494" i="3"/>
  <c r="H116" i="1"/>
  <c r="R695" i="3"/>
  <c r="M788" i="3"/>
  <c r="I716" i="3"/>
  <c r="AE499" i="3"/>
  <c r="P598" i="3"/>
  <c r="AF585" i="3"/>
  <c r="AC640" i="3"/>
  <c r="Q778" i="3"/>
  <c r="AF796" i="3"/>
  <c r="P653" i="3"/>
  <c r="AF891" i="3"/>
  <c r="AD585" i="3"/>
  <c r="K512" i="3"/>
  <c r="G72" i="1"/>
  <c r="F100" i="1"/>
  <c r="K812" i="3"/>
  <c r="AE485" i="3"/>
  <c r="U952" i="3"/>
  <c r="U634" i="3"/>
  <c r="N410" i="3"/>
  <c r="AE503" i="3"/>
  <c r="F107" i="1"/>
  <c r="M458" i="3"/>
  <c r="S712" i="3"/>
  <c r="O859" i="3"/>
  <c r="R872" i="3"/>
  <c r="O504" i="3"/>
  <c r="Q701" i="3"/>
  <c r="R589" i="3"/>
  <c r="N700" i="3"/>
  <c r="O715" i="3"/>
  <c r="N616" i="3"/>
  <c r="I514" i="3"/>
  <c r="M595" i="3"/>
  <c r="S608" i="3"/>
  <c r="AF542" i="3"/>
  <c r="AH569" i="3"/>
  <c r="AF570" i="3"/>
  <c r="P770" i="3"/>
  <c r="AE911" i="3"/>
  <c r="AF911" i="3"/>
  <c r="U964" i="3"/>
  <c r="AD843" i="3"/>
  <c r="P895" i="3"/>
  <c r="AG1054" i="3"/>
  <c r="AH945" i="3"/>
  <c r="K978" i="3"/>
  <c r="AH897" i="3"/>
  <c r="M949" i="3"/>
  <c r="AD961" i="3"/>
  <c r="AD927" i="3"/>
  <c r="AC1060" i="3"/>
  <c r="O964" i="3"/>
  <c r="AC911" i="3"/>
  <c r="AC1020" i="3"/>
  <c r="AC1022" i="3"/>
  <c r="R1035" i="3"/>
  <c r="S985" i="3"/>
  <c r="AG963" i="3"/>
  <c r="AE1039" i="3"/>
  <c r="Q810" i="3"/>
  <c r="K1060" i="3"/>
  <c r="R826" i="3"/>
  <c r="AH876" i="3"/>
  <c r="AC914" i="3"/>
  <c r="S948" i="3"/>
  <c r="AH1006" i="3"/>
  <c r="P1076" i="3"/>
  <c r="AC982" i="3"/>
  <c r="I1007" i="3"/>
  <c r="P843" i="3"/>
  <c r="U803" i="3"/>
  <c r="Q878" i="3"/>
  <c r="O892" i="3"/>
  <c r="AF962" i="3"/>
  <c r="R909" i="3"/>
  <c r="R934" i="3"/>
  <c r="N989" i="3"/>
  <c r="O984" i="3"/>
  <c r="AH992" i="3"/>
  <c r="N980" i="3"/>
  <c r="Q1066" i="3"/>
  <c r="AC1086" i="3"/>
  <c r="AF1009" i="3"/>
  <c r="AD1078" i="3"/>
  <c r="AH1086" i="3"/>
  <c r="M1078" i="3"/>
  <c r="P611" i="3"/>
  <c r="AF536" i="3"/>
  <c r="P541" i="3"/>
  <c r="I549" i="3"/>
  <c r="N786" i="3"/>
  <c r="I711" i="3"/>
  <c r="O1044" i="3"/>
  <c r="O951" i="3"/>
  <c r="O497" i="3"/>
  <c r="AH599" i="3"/>
  <c r="AF626" i="3"/>
  <c r="P762" i="3"/>
  <c r="I772" i="3"/>
  <c r="D91" i="1"/>
  <c r="I928" i="3"/>
  <c r="I560" i="3"/>
  <c r="AD546" i="3"/>
  <c r="M415" i="3"/>
  <c r="AE534" i="3"/>
  <c r="I740" i="3"/>
  <c r="AG719" i="3"/>
  <c r="AC976" i="3"/>
  <c r="R843" i="3"/>
  <c r="AH582" i="3"/>
  <c r="I758" i="3"/>
  <c r="AD482" i="3"/>
  <c r="U731" i="3"/>
  <c r="O817" i="3"/>
  <c r="AH765" i="3"/>
  <c r="I478" i="3"/>
  <c r="M572" i="3"/>
  <c r="U564" i="3"/>
  <c r="AH455" i="3"/>
  <c r="P757" i="3"/>
  <c r="M770" i="3"/>
  <c r="R794" i="3"/>
  <c r="Q908" i="3"/>
  <c r="Q544" i="3"/>
  <c r="AE553" i="3"/>
  <c r="AH562" i="3"/>
  <c r="H67" i="1"/>
  <c r="R804" i="3"/>
  <c r="O585" i="3"/>
  <c r="Q892" i="3"/>
  <c r="AD595" i="3"/>
  <c r="I548" i="3"/>
  <c r="M606" i="3"/>
  <c r="AD583" i="3"/>
  <c r="AG764" i="3"/>
  <c r="U563" i="3"/>
  <c r="K886" i="3"/>
  <c r="U863" i="3"/>
  <c r="U451" i="3"/>
  <c r="AG889" i="3"/>
  <c r="S418" i="3"/>
  <c r="N784" i="3"/>
  <c r="Q765" i="3"/>
  <c r="AF613" i="3"/>
  <c r="AG525" i="3"/>
  <c r="H103" i="1"/>
  <c r="E85" i="1"/>
  <c r="O613" i="3"/>
  <c r="AC683" i="3"/>
  <c r="AC545" i="3"/>
  <c r="N771" i="3"/>
  <c r="I907" i="3"/>
  <c r="P399" i="3"/>
  <c r="O658" i="3"/>
  <c r="AF702" i="3"/>
  <c r="O690" i="3"/>
  <c r="AH792" i="3"/>
  <c r="Q784" i="3"/>
  <c r="P584" i="3"/>
  <c r="H89" i="1"/>
  <c r="Q482" i="3"/>
  <c r="O637" i="3"/>
  <c r="I590" i="3"/>
  <c r="M772" i="3"/>
  <c r="I837" i="3"/>
  <c r="AF781" i="3"/>
  <c r="AD885" i="3"/>
  <c r="S593" i="3"/>
  <c r="R506" i="3"/>
  <c r="N600" i="3"/>
  <c r="F82" i="1"/>
  <c r="R570" i="3"/>
  <c r="AF845" i="3"/>
  <c r="I535" i="3"/>
  <c r="AG579" i="3"/>
  <c r="AG655" i="3"/>
  <c r="AD485" i="3"/>
  <c r="AG695" i="3"/>
  <c r="R759" i="3"/>
  <c r="AC737" i="3"/>
  <c r="AC896" i="3"/>
  <c r="AH435" i="3"/>
  <c r="AH521" i="3"/>
  <c r="O578" i="3"/>
  <c r="AC659" i="3"/>
  <c r="AE744" i="3"/>
  <c r="R749" i="3"/>
  <c r="U504" i="3"/>
  <c r="AF495" i="3"/>
  <c r="R486" i="3"/>
  <c r="AH641" i="3"/>
  <c r="U648" i="3"/>
  <c r="O804" i="3"/>
  <c r="AH770" i="3"/>
  <c r="K890" i="3"/>
  <c r="AG476" i="3"/>
  <c r="AC499" i="3"/>
  <c r="Q509" i="3"/>
  <c r="K701" i="3"/>
  <c r="S740" i="3"/>
  <c r="S804" i="3"/>
  <c r="AF565" i="3"/>
  <c r="AG480" i="3"/>
  <c r="M410" i="3"/>
  <c r="N414" i="3"/>
  <c r="AG604" i="3"/>
  <c r="AC743" i="3"/>
  <c r="AG791" i="3"/>
  <c r="AC890" i="3"/>
  <c r="P691" i="3"/>
  <c r="AF451" i="3"/>
  <c r="I552" i="3"/>
  <c r="K587" i="3"/>
  <c r="AD808" i="3"/>
  <c r="R784" i="3"/>
  <c r="K892" i="3"/>
  <c r="Q464" i="3"/>
  <c r="R561" i="3"/>
  <c r="G27" i="1"/>
  <c r="AF645" i="3"/>
  <c r="M724" i="3"/>
  <c r="R615" i="3"/>
  <c r="Q814" i="3"/>
  <c r="AG471" i="3"/>
  <c r="P520" i="3"/>
  <c r="AG511" i="3"/>
  <c r="AD630" i="3"/>
  <c r="P972" i="3"/>
  <c r="I634" i="3"/>
  <c r="O803" i="3"/>
  <c r="R586" i="3"/>
  <c r="U450" i="3"/>
  <c r="K577" i="3"/>
  <c r="D103" i="1"/>
  <c r="AG522" i="3"/>
  <c r="AF752" i="3"/>
  <c r="AE823" i="3"/>
  <c r="S838" i="3"/>
  <c r="P435" i="3"/>
  <c r="Q710" i="3"/>
  <c r="U505" i="3"/>
  <c r="AF533" i="3"/>
  <c r="AF857" i="3"/>
  <c r="I773" i="3"/>
  <c r="N418" i="3"/>
  <c r="R575" i="3"/>
  <c r="Q674" i="3"/>
  <c r="AC633" i="3"/>
  <c r="Q612" i="3"/>
  <c r="AH643" i="3"/>
  <c r="P708" i="3"/>
  <c r="AG871" i="3"/>
  <c r="E31" i="1"/>
  <c r="R467" i="3"/>
  <c r="N448" i="3"/>
  <c r="G20" i="1"/>
  <c r="AC829" i="3"/>
  <c r="O651" i="3"/>
  <c r="R952" i="3"/>
  <c r="M591" i="3"/>
  <c r="AC402" i="3"/>
  <c r="Q415" i="3"/>
  <c r="N749" i="3"/>
  <c r="R617" i="3"/>
  <c r="AC479" i="3"/>
  <c r="K826" i="3"/>
  <c r="N875" i="3"/>
  <c r="AF512" i="3"/>
  <c r="AH665" i="3"/>
  <c r="P717" i="3"/>
  <c r="R747" i="3"/>
  <c r="P789" i="3"/>
  <c r="M886" i="3"/>
  <c r="R466" i="3"/>
  <c r="S595" i="3"/>
  <c r="P630" i="3"/>
  <c r="AG415" i="3"/>
  <c r="N756" i="3"/>
  <c r="O861" i="3"/>
  <c r="AC744" i="3"/>
  <c r="AD802" i="3"/>
  <c r="AE442" i="3"/>
  <c r="P758" i="3"/>
  <c r="AE669" i="3"/>
  <c r="AG584" i="3"/>
  <c r="P704" i="3"/>
  <c r="S853" i="3"/>
  <c r="O647" i="3"/>
  <c r="P510" i="3"/>
  <c r="O669" i="3"/>
  <c r="N676" i="3"/>
  <c r="AH671" i="3"/>
  <c r="M712" i="3"/>
  <c r="AC789" i="3"/>
  <c r="U887" i="3"/>
  <c r="AF803" i="3"/>
  <c r="I951" i="3"/>
  <c r="S875" i="3"/>
  <c r="AF864" i="3"/>
  <c r="R1016" i="3"/>
  <c r="N957" i="3"/>
  <c r="AC925" i="3"/>
  <c r="AE1015" i="3"/>
  <c r="R973" i="3"/>
  <c r="AG986" i="3"/>
  <c r="AF875" i="3"/>
  <c r="P807" i="3"/>
  <c r="P931" i="3"/>
  <c r="M823" i="3"/>
  <c r="Q1023" i="3"/>
  <c r="AE1016" i="3"/>
  <c r="R957" i="3"/>
  <c r="AH1020" i="3"/>
  <c r="I1006" i="3"/>
  <c r="S1015" i="3"/>
  <c r="I891" i="3"/>
  <c r="I842" i="3"/>
  <c r="Q936" i="3"/>
  <c r="P960" i="3"/>
  <c r="S977" i="3"/>
  <c r="AG1038" i="3"/>
  <c r="U989" i="3"/>
  <c r="I1084" i="3"/>
  <c r="AD914" i="3"/>
  <c r="R1027" i="3"/>
  <c r="AC1019" i="3"/>
  <c r="AF830" i="3"/>
  <c r="O880" i="3"/>
  <c r="AH835" i="3"/>
  <c r="P968" i="3"/>
  <c r="M961" i="3"/>
  <c r="Q1043" i="3"/>
  <c r="AH990" i="3"/>
  <c r="AF975" i="3"/>
  <c r="AG989" i="3"/>
  <c r="AG1073" i="3"/>
  <c r="N1009" i="3"/>
  <c r="Q993" i="3"/>
  <c r="AE1078" i="3"/>
  <c r="P1042" i="3"/>
  <c r="AF1065" i="3"/>
  <c r="I495" i="3"/>
  <c r="U651" i="3"/>
  <c r="M757" i="3"/>
  <c r="K722" i="3"/>
  <c r="O419" i="3"/>
  <c r="Q809" i="3"/>
  <c r="I797" i="3"/>
  <c r="I846" i="3"/>
  <c r="R435" i="3"/>
  <c r="S434" i="3"/>
  <c r="F84" i="1"/>
  <c r="G32" i="1"/>
  <c r="AD525" i="3"/>
  <c r="M649" i="3"/>
  <c r="N724" i="3"/>
  <c r="O455" i="3"/>
  <c r="P635" i="3"/>
  <c r="P536" i="3"/>
  <c r="U737" i="3"/>
  <c r="S637" i="3"/>
  <c r="N739" i="3"/>
  <c r="S768" i="3"/>
  <c r="AD851" i="3"/>
  <c r="H69" i="1"/>
  <c r="K434" i="3"/>
  <c r="P544" i="3"/>
  <c r="AC630" i="3"/>
  <c r="AH748" i="3"/>
  <c r="S752" i="3"/>
  <c r="AH867" i="3"/>
  <c r="I591" i="3"/>
  <c r="S403" i="3"/>
  <c r="AF596" i="3"/>
  <c r="AD647" i="3"/>
  <c r="M719" i="3"/>
  <c r="AG567" i="3"/>
  <c r="AD862" i="3"/>
  <c r="S591" i="3"/>
  <c r="AG482" i="3"/>
  <c r="S495" i="3"/>
  <c r="H33" i="1"/>
  <c r="K410" i="3"/>
  <c r="AC712" i="3"/>
  <c r="AE763" i="3"/>
  <c r="U599" i="3"/>
  <c r="K475" i="3"/>
  <c r="F106" i="1"/>
  <c r="AG691" i="3"/>
  <c r="O698" i="3"/>
  <c r="U703" i="3"/>
  <c r="P988" i="3"/>
  <c r="U844" i="3"/>
  <c r="P580" i="3"/>
  <c r="Q470" i="3"/>
  <c r="K639" i="3"/>
  <c r="R758" i="3"/>
  <c r="S710" i="3"/>
  <c r="U792" i="3"/>
  <c r="I908" i="3"/>
  <c r="AH754" i="3"/>
  <c r="D92" i="1"/>
  <c r="N586" i="3"/>
  <c r="U497" i="3"/>
  <c r="O833" i="3"/>
  <c r="M708" i="3"/>
  <c r="R858" i="3"/>
  <c r="AG879" i="3"/>
  <c r="I521" i="3"/>
  <c r="AF464" i="3"/>
  <c r="Q682" i="3"/>
  <c r="AE609" i="3"/>
  <c r="R769" i="3"/>
  <c r="AG495" i="3"/>
  <c r="N851" i="3"/>
  <c r="O499" i="3"/>
  <c r="N476" i="3"/>
  <c r="U583" i="3"/>
  <c r="S647" i="3"/>
  <c r="AH833" i="3"/>
  <c r="AF482" i="3"/>
  <c r="S895" i="3"/>
  <c r="AD883" i="3"/>
  <c r="M590" i="3"/>
  <c r="AE484" i="3"/>
  <c r="K694" i="3"/>
  <c r="M861" i="3"/>
  <c r="M804" i="3"/>
  <c r="AD718" i="3"/>
  <c r="AC517" i="3"/>
  <c r="AF586" i="3"/>
  <c r="S681" i="3"/>
  <c r="N498" i="3"/>
  <c r="Q649" i="3"/>
  <c r="AH687" i="3"/>
  <c r="AC761" i="3"/>
  <c r="AE903" i="3"/>
  <c r="F105" i="1"/>
  <c r="N889" i="3"/>
  <c r="AG666" i="3"/>
  <c r="U658" i="3"/>
  <c r="U646" i="3"/>
  <c r="O788" i="3"/>
  <c r="AE596" i="3"/>
  <c r="Q654" i="3"/>
  <c r="Q556" i="3"/>
  <c r="R778" i="3"/>
  <c r="AH706" i="3"/>
  <c r="K653" i="3"/>
  <c r="AG744" i="3"/>
  <c r="AE827" i="3"/>
  <c r="M542" i="3"/>
  <c r="R562" i="3"/>
  <c r="M670" i="3"/>
  <c r="U490" i="3"/>
  <c r="AF737" i="3"/>
  <c r="R752" i="3"/>
  <c r="AG434" i="3"/>
  <c r="AH528" i="3"/>
  <c r="O648" i="3"/>
  <c r="P548" i="3"/>
  <c r="R755" i="3"/>
  <c r="I809" i="3"/>
  <c r="AG860" i="3"/>
  <c r="Q884" i="3"/>
  <c r="N454" i="3"/>
  <c r="N714" i="3"/>
  <c r="O685" i="3"/>
  <c r="AE678" i="3"/>
  <c r="S787" i="3"/>
  <c r="S728" i="3"/>
  <c r="AD462" i="3"/>
  <c r="N550" i="3"/>
  <c r="AD578" i="3"/>
  <c r="U653" i="3"/>
  <c r="K670" i="3"/>
  <c r="U685" i="3"/>
  <c r="AC812" i="3"/>
  <c r="AH802" i="3"/>
  <c r="AH568" i="3"/>
  <c r="S496" i="3"/>
  <c r="AH698" i="3"/>
  <c r="S671" i="3"/>
  <c r="AC728" i="3"/>
  <c r="P716" i="3"/>
  <c r="AC486" i="3"/>
  <c r="AF399" i="3"/>
  <c r="AE490" i="3"/>
  <c r="AF738" i="3"/>
  <c r="N733" i="3"/>
  <c r="Q561" i="3"/>
  <c r="I783" i="3"/>
  <c r="S919" i="3"/>
  <c r="AD496" i="3"/>
  <c r="I498" i="3"/>
  <c r="N579" i="3"/>
  <c r="AE602" i="3"/>
  <c r="AD816" i="3"/>
  <c r="AG760" i="3"/>
  <c r="AG784" i="3"/>
  <c r="H50" i="1"/>
  <c r="Q635" i="3"/>
  <c r="AC593" i="3"/>
  <c r="AE565" i="3"/>
  <c r="S817" i="3"/>
  <c r="AE832" i="3"/>
  <c r="I724" i="3"/>
  <c r="AC939" i="3"/>
  <c r="R490" i="3"/>
  <c r="H38" i="1"/>
  <c r="AG487" i="3"/>
  <c r="U502" i="3"/>
  <c r="AH431" i="3"/>
  <c r="S767" i="3"/>
  <c r="M541" i="3"/>
  <c r="AC503" i="3"/>
  <c r="M694" i="3"/>
  <c r="AH680" i="3"/>
  <c r="Q754" i="3"/>
  <c r="D41" i="1"/>
  <c r="M820" i="3"/>
  <c r="AG851" i="3"/>
  <c r="K451" i="3"/>
  <c r="I543" i="3"/>
  <c r="AH418" i="3"/>
  <c r="AG645" i="3"/>
  <c r="AH700" i="3"/>
  <c r="E96" i="1"/>
  <c r="AC531" i="3"/>
  <c r="P564" i="3"/>
  <c r="N513" i="3"/>
  <c r="U422" i="3"/>
  <c r="M663" i="3"/>
  <c r="AE836" i="3"/>
  <c r="AD721" i="3"/>
  <c r="O890" i="3"/>
  <c r="AH430" i="3"/>
  <c r="AD569" i="3"/>
  <c r="Q578" i="3"/>
  <c r="R650" i="3"/>
  <c r="R1055" i="3"/>
  <c r="AF813" i="3"/>
  <c r="AG765" i="3"/>
  <c r="M548" i="3"/>
  <c r="AE611" i="3"/>
  <c r="AG617" i="3"/>
  <c r="AH459" i="3"/>
  <c r="M746" i="3"/>
  <c r="AE651" i="3"/>
  <c r="R972" i="3"/>
  <c r="Q955" i="3"/>
  <c r="I1060" i="3"/>
  <c r="N916" i="3"/>
  <c r="AG907" i="3"/>
  <c r="R870" i="3"/>
  <c r="Q994" i="3"/>
  <c r="I894" i="3"/>
  <c r="AH910" i="3"/>
  <c r="R965" i="3"/>
  <c r="AD905" i="3"/>
  <c r="K953" i="3"/>
  <c r="K888" i="3"/>
  <c r="N802" i="3"/>
  <c r="AG915" i="3"/>
  <c r="M976" i="3"/>
  <c r="N909" i="3"/>
  <c r="K983" i="3"/>
  <c r="AG933" i="3"/>
  <c r="S998" i="3"/>
  <c r="P983" i="3"/>
  <c r="M1015" i="3"/>
  <c r="AD854" i="3"/>
  <c r="K802" i="3"/>
  <c r="I875" i="3"/>
  <c r="Q849" i="3"/>
  <c r="S1014" i="3"/>
  <c r="I901" i="3"/>
  <c r="U985" i="3"/>
  <c r="O992" i="3"/>
  <c r="R918" i="3"/>
  <c r="AC902" i="3"/>
  <c r="AD846" i="3"/>
  <c r="S831" i="3"/>
  <c r="AF903" i="3"/>
  <c r="AG875" i="3"/>
  <c r="AF998" i="3"/>
  <c r="S975" i="3"/>
  <c r="P979" i="3"/>
  <c r="AH963" i="3"/>
  <c r="P1050" i="3"/>
  <c r="O1010" i="3"/>
  <c r="R1025" i="3"/>
  <c r="AG1058" i="3"/>
  <c r="I1090" i="3"/>
  <c r="Q1070" i="3"/>
  <c r="S1086" i="3"/>
  <c r="M1049" i="3"/>
  <c r="P993" i="3"/>
  <c r="AH1036" i="3"/>
  <c r="I869" i="3"/>
  <c r="AF795" i="3"/>
  <c r="AF916" i="3"/>
  <c r="AG896" i="3"/>
  <c r="K938" i="3"/>
  <c r="U981" i="3"/>
  <c r="AD969" i="3"/>
  <c r="AC1050" i="3"/>
  <c r="AE1022" i="3"/>
  <c r="Q992" i="3"/>
  <c r="AD810" i="3"/>
  <c r="AD876" i="3"/>
  <c r="U819" i="3"/>
  <c r="AD1019" i="3"/>
  <c r="K990" i="3"/>
  <c r="K1004" i="3"/>
  <c r="AG974" i="3"/>
  <c r="AH1051" i="3"/>
  <c r="R961" i="3"/>
  <c r="R928" i="3"/>
  <c r="U858" i="3"/>
  <c r="U859" i="3"/>
  <c r="S952" i="3"/>
  <c r="AC921" i="3"/>
  <c r="AE989" i="3"/>
  <c r="AH1022" i="3"/>
  <c r="AD1027" i="3"/>
  <c r="AF1031" i="3"/>
  <c r="AE1011" i="3"/>
  <c r="P835" i="3"/>
  <c r="I952" i="3"/>
  <c r="AH855" i="3"/>
  <c r="AC931" i="3"/>
  <c r="AH1053" i="3"/>
  <c r="K968" i="3"/>
  <c r="K962" i="3"/>
  <c r="AH917" i="3"/>
  <c r="AC969" i="3"/>
  <c r="N998" i="3"/>
  <c r="AC1074" i="3"/>
  <c r="P1074" i="3"/>
  <c r="O1025" i="3"/>
  <c r="AG1077" i="3"/>
  <c r="AD1052" i="3"/>
  <c r="R1047" i="3"/>
  <c r="AG1047" i="3"/>
  <c r="AG1049" i="3"/>
  <c r="N895" i="3"/>
  <c r="K844" i="3"/>
  <c r="P896" i="3"/>
  <c r="U1028" i="3"/>
  <c r="R905" i="3"/>
  <c r="AG975" i="3"/>
  <c r="P965" i="3"/>
  <c r="AD1031" i="3"/>
  <c r="AC949" i="3"/>
  <c r="AE948" i="3"/>
  <c r="O850" i="3"/>
  <c r="R863" i="3"/>
  <c r="AH872" i="3"/>
  <c r="AE944" i="3"/>
  <c r="AD977" i="3"/>
  <c r="M898" i="3"/>
  <c r="AC1051" i="3"/>
  <c r="N983" i="3"/>
  <c r="K901" i="3"/>
  <c r="M973" i="3"/>
  <c r="O923" i="3"/>
  <c r="Q887" i="3"/>
  <c r="N834" i="3"/>
  <c r="K959" i="3"/>
  <c r="AD1075" i="3"/>
  <c r="I975" i="3"/>
  <c r="O957" i="3"/>
  <c r="AG1031" i="3"/>
  <c r="Q946" i="3"/>
  <c r="M891" i="3"/>
  <c r="P862" i="3"/>
  <c r="AH916" i="3"/>
  <c r="N887" i="3"/>
  <c r="P1026" i="3"/>
  <c r="AC971" i="3"/>
  <c r="U973" i="3"/>
  <c r="N962" i="3"/>
  <c r="S1075" i="3"/>
  <c r="S945" i="3"/>
  <c r="S1057" i="3"/>
  <c r="S1009" i="3"/>
  <c r="R993" i="3"/>
  <c r="M1058" i="3"/>
  <c r="N1081" i="3"/>
  <c r="AE1082" i="3"/>
  <c r="AG1086" i="3"/>
  <c r="U1045" i="3"/>
  <c r="M1033" i="3"/>
  <c r="AH871" i="3"/>
  <c r="AF871" i="3"/>
  <c r="O915" i="3"/>
  <c r="S849" i="3"/>
  <c r="M967" i="3"/>
  <c r="S917" i="3"/>
  <c r="R1011" i="3"/>
  <c r="I953" i="3"/>
  <c r="AH902" i="3"/>
  <c r="P954" i="3"/>
  <c r="S955" i="3"/>
  <c r="M854" i="3"/>
  <c r="AE811" i="3"/>
  <c r="Q888" i="3"/>
  <c r="AE930" i="3"/>
  <c r="AG999" i="3"/>
  <c r="AD971" i="3"/>
  <c r="AC1054" i="3"/>
  <c r="AG1084" i="3"/>
  <c r="Q859" i="3"/>
  <c r="AF859" i="3"/>
  <c r="M807" i="3"/>
  <c r="N866" i="3"/>
  <c r="AE1027" i="3"/>
  <c r="M989" i="3"/>
  <c r="AC1035" i="3"/>
  <c r="R921" i="3"/>
  <c r="R990" i="3"/>
  <c r="P962" i="3"/>
  <c r="I924" i="3"/>
  <c r="S890" i="3"/>
  <c r="AC850" i="3"/>
  <c r="O976" i="3"/>
  <c r="AF970" i="3"/>
  <c r="AF999" i="3"/>
  <c r="AF905" i="3"/>
  <c r="S971" i="3"/>
  <c r="P946" i="3"/>
  <c r="K918" i="3"/>
  <c r="P1036" i="3"/>
  <c r="AF1058" i="3"/>
  <c r="AH1085" i="3"/>
  <c r="S1064" i="3"/>
  <c r="AD1025" i="3"/>
  <c r="I1005" i="3"/>
  <c r="AF1085" i="3"/>
  <c r="U1042" i="3"/>
  <c r="AE1001" i="3"/>
  <c r="M1045" i="3"/>
  <c r="AF863" i="3"/>
  <c r="N846" i="3"/>
  <c r="AG964" i="3"/>
  <c r="O935" i="3"/>
  <c r="U1031" i="3"/>
  <c r="I1050" i="3"/>
  <c r="AF1035" i="3"/>
  <c r="M966" i="3"/>
  <c r="N1084" i="3"/>
  <c r="AH1027" i="3"/>
  <c r="AF849" i="3"/>
  <c r="R1044" i="3"/>
  <c r="AD947" i="3"/>
  <c r="S843" i="3"/>
  <c r="AE1020" i="3"/>
  <c r="AD922" i="3"/>
  <c r="AC967" i="3"/>
  <c r="AH954" i="3"/>
  <c r="AD901" i="3"/>
  <c r="O933" i="3"/>
  <c r="P924" i="3"/>
  <c r="R851" i="3"/>
  <c r="Q896" i="3"/>
  <c r="AH803" i="3"/>
  <c r="K1053" i="3"/>
  <c r="AC979" i="3"/>
  <c r="O918" i="3"/>
  <c r="Q1050" i="3"/>
  <c r="AE945" i="3"/>
  <c r="AE992" i="3"/>
  <c r="P907" i="3"/>
  <c r="M908" i="3"/>
  <c r="AE858" i="3"/>
  <c r="AG923" i="3"/>
  <c r="AF982" i="3"/>
  <c r="AD1053" i="3"/>
  <c r="AG954" i="3"/>
  <c r="AD942" i="3"/>
  <c r="N1023" i="3"/>
  <c r="AE1025" i="3"/>
  <c r="M1073" i="3"/>
  <c r="P1057" i="3"/>
  <c r="M1057" i="3"/>
  <c r="S1081" i="3"/>
  <c r="AD1029" i="3"/>
  <c r="P1005" i="3"/>
  <c r="AF1049" i="3"/>
  <c r="AH1090" i="3"/>
  <c r="AE884" i="3"/>
  <c r="O928" i="3"/>
  <c r="U888" i="3"/>
  <c r="S1053" i="3"/>
  <c r="I1010" i="3"/>
  <c r="AF991" i="3"/>
  <c r="U901" i="3"/>
  <c r="AE974" i="3"/>
  <c r="P942" i="3"/>
  <c r="S892" i="3"/>
  <c r="N871" i="3"/>
  <c r="S907" i="3"/>
  <c r="S866" i="3"/>
  <c r="R914" i="3"/>
  <c r="S963" i="3"/>
  <c r="AG1020" i="3"/>
  <c r="AE914" i="3"/>
  <c r="AG980" i="3"/>
  <c r="U950" i="3"/>
  <c r="I864" i="3"/>
  <c r="U915" i="3"/>
  <c r="AD818" i="3"/>
  <c r="AC944" i="3"/>
  <c r="P999" i="3"/>
  <c r="AH909" i="3"/>
  <c r="AD894" i="3"/>
  <c r="K948" i="3"/>
  <c r="R974" i="3"/>
  <c r="U968" i="3"/>
  <c r="AH858" i="3"/>
  <c r="M827" i="3"/>
  <c r="AD879" i="3"/>
  <c r="AG826" i="3"/>
  <c r="AC943" i="3"/>
  <c r="AH971" i="3"/>
  <c r="AG937" i="3"/>
  <c r="M1007" i="3"/>
  <c r="O967" i="3"/>
  <c r="R898" i="3"/>
  <c r="AG1057" i="3"/>
  <c r="N1033" i="3"/>
  <c r="P1033" i="3"/>
  <c r="O1029" i="3"/>
  <c r="AH1066" i="3"/>
  <c r="R1017" i="3"/>
  <c r="R1073" i="3"/>
  <c r="O1042" i="3"/>
  <c r="R885" i="3"/>
  <c r="AF952" i="3"/>
  <c r="M849" i="3"/>
  <c r="AE863" i="3"/>
  <c r="AD1084" i="3"/>
  <c r="O945" i="3"/>
  <c r="U1023" i="3"/>
  <c r="M978" i="3"/>
  <c r="K961" i="3"/>
  <c r="Q921" i="3"/>
  <c r="P900" i="3"/>
  <c r="O879" i="3"/>
  <c r="N947" i="3"/>
  <c r="AE807" i="3"/>
  <c r="R1039" i="3"/>
  <c r="AG973" i="3"/>
  <c r="AE1031" i="3"/>
  <c r="U1084" i="3"/>
  <c r="U967" i="3"/>
  <c r="AH969" i="3"/>
  <c r="AE871" i="3"/>
  <c r="AH976" i="3"/>
  <c r="AD886" i="3"/>
  <c r="R884" i="3"/>
  <c r="AC922" i="3"/>
  <c r="I989" i="3"/>
  <c r="AH978" i="3"/>
  <c r="I968" i="3"/>
  <c r="AC974" i="3"/>
  <c r="R981" i="3"/>
  <c r="R1060" i="3"/>
  <c r="AG846" i="3"/>
  <c r="M884" i="3"/>
  <c r="AE994" i="3"/>
  <c r="K969" i="3"/>
  <c r="Q961" i="3"/>
  <c r="S982" i="3"/>
  <c r="P933" i="3"/>
  <c r="Q967" i="3"/>
  <c r="R937" i="3"/>
  <c r="AF1001" i="3"/>
  <c r="I1078" i="3"/>
  <c r="P1017" i="3"/>
  <c r="O1090" i="3"/>
  <c r="AC1005" i="3"/>
  <c r="R1001" i="3"/>
  <c r="AH1078" i="3"/>
  <c r="AG1021" i="3"/>
  <c r="AF1017" i="3"/>
  <c r="I1033" i="3"/>
  <c r="AH893" i="3"/>
  <c r="U882" i="3"/>
  <c r="M1060" i="3"/>
  <c r="Q940" i="3"/>
  <c r="R980" i="3"/>
  <c r="Q954" i="3"/>
  <c r="S1026" i="3"/>
  <c r="S1068" i="3"/>
  <c r="K973" i="3"/>
  <c r="I938" i="3"/>
  <c r="N850" i="3"/>
  <c r="R1019" i="3"/>
  <c r="I868" i="3"/>
  <c r="AH864" i="3"/>
  <c r="P966" i="3"/>
  <c r="U1054" i="3"/>
  <c r="O1035" i="3"/>
  <c r="M948" i="3"/>
  <c r="AH953" i="3"/>
  <c r="K807" i="3"/>
  <c r="R903" i="3"/>
  <c r="I916" i="3"/>
  <c r="U1019" i="3"/>
  <c r="O973" i="3"/>
  <c r="M971" i="3"/>
  <c r="S1027" i="3"/>
  <c r="I1043" i="3"/>
  <c r="M1004" i="3"/>
  <c r="S962" i="3"/>
  <c r="M869" i="3"/>
  <c r="AE844" i="3"/>
  <c r="AG885" i="3"/>
  <c r="N919" i="3"/>
  <c r="K958" i="3"/>
  <c r="AE983" i="3"/>
  <c r="AF894" i="3"/>
  <c r="AD950" i="3"/>
  <c r="AC1006" i="3"/>
  <c r="P1010" i="3"/>
  <c r="AD1058" i="3"/>
  <c r="S1090" i="3"/>
  <c r="Q1057" i="3"/>
  <c r="I1058" i="3"/>
  <c r="U1090" i="3"/>
  <c r="I1029" i="3"/>
  <c r="Q1036" i="3"/>
  <c r="AD1061" i="3"/>
  <c r="R915" i="3"/>
  <c r="AG955" i="3"/>
  <c r="N810" i="3"/>
  <c r="K854" i="3"/>
  <c r="U999" i="3"/>
  <c r="AE954" i="3"/>
  <c r="I1068" i="3"/>
  <c r="N979" i="3"/>
  <c r="AD963" i="3"/>
  <c r="N1054" i="3"/>
  <c r="O795" i="3"/>
  <c r="K911" i="3"/>
  <c r="AE878" i="3"/>
  <c r="U911" i="3"/>
  <c r="K902" i="3"/>
  <c r="P938" i="3"/>
  <c r="AE925" i="3"/>
  <c r="AC934" i="3"/>
  <c r="M1010" i="3"/>
  <c r="AH1050" i="3"/>
  <c r="M795" i="3"/>
  <c r="K919" i="3"/>
  <c r="AF927" i="3"/>
  <c r="M990" i="3"/>
  <c r="I991" i="3"/>
  <c r="I998" i="3"/>
  <c r="M965" i="3"/>
  <c r="N994" i="3"/>
  <c r="N1016" i="3"/>
  <c r="AD822" i="3"/>
  <c r="AE826" i="3"/>
  <c r="R838" i="3"/>
  <c r="Q924" i="3"/>
  <c r="AD953" i="3"/>
  <c r="AH994" i="3"/>
  <c r="Q942" i="3"/>
  <c r="S987" i="3"/>
  <c r="AF922" i="3"/>
  <c r="P906" i="3"/>
  <c r="AF1090" i="3"/>
  <c r="Q1086" i="3"/>
  <c r="I1041" i="3"/>
  <c r="U1033" i="3"/>
  <c r="AD1081" i="3"/>
  <c r="N1057" i="3"/>
  <c r="AD1089" i="3"/>
  <c r="AG1082" i="3"/>
  <c r="N1052" i="3"/>
  <c r="AD932" i="3"/>
  <c r="M928" i="3"/>
  <c r="AF846" i="3"/>
  <c r="AG815" i="3"/>
  <c r="AE979" i="3"/>
  <c r="P902" i="3"/>
  <c r="I946" i="3"/>
  <c r="AH977" i="3"/>
  <c r="S941" i="3"/>
  <c r="O917" i="3"/>
  <c r="AH935" i="3"/>
  <c r="S891" i="3"/>
  <c r="AG900" i="3"/>
  <c r="K1027" i="3"/>
  <c r="U1075" i="3"/>
  <c r="N965" i="3"/>
  <c r="AG958" i="3"/>
  <c r="R1023" i="3"/>
  <c r="N990" i="3"/>
  <c r="AF818" i="3"/>
  <c r="K862" i="3"/>
  <c r="AH830" i="3"/>
  <c r="AC956" i="3"/>
  <c r="AG925" i="3"/>
  <c r="AH1016" i="3"/>
  <c r="Q974" i="3"/>
  <c r="P914" i="3"/>
  <c r="I1053" i="3"/>
  <c r="I1015" i="3"/>
  <c r="K830" i="3"/>
  <c r="AD955" i="3"/>
  <c r="U838" i="3"/>
  <c r="Q875" i="3"/>
  <c r="U1022" i="3"/>
  <c r="K954" i="3"/>
  <c r="AH957" i="3"/>
  <c r="R1038" i="3"/>
  <c r="Q933" i="3"/>
  <c r="O1076" i="3"/>
  <c r="R1090" i="3"/>
  <c r="Q1065" i="3"/>
  <c r="N1070" i="3"/>
  <c r="AH1089" i="3"/>
  <c r="AD1047" i="3"/>
  <c r="Q1045" i="3"/>
  <c r="O1077" i="3"/>
  <c r="K1078" i="3"/>
  <c r="M1081" i="3"/>
  <c r="P1090" i="3"/>
  <c r="M896" i="3"/>
  <c r="AD819" i="3"/>
  <c r="AC874" i="3"/>
  <c r="P912" i="3"/>
  <c r="P995" i="3"/>
  <c r="M980" i="3"/>
  <c r="Q1026" i="3"/>
  <c r="AF938" i="3"/>
  <c r="AG1026" i="3"/>
  <c r="AD970" i="3"/>
  <c r="Q1008" i="3"/>
  <c r="O908" i="3"/>
  <c r="I843" i="3"/>
  <c r="AD823" i="3"/>
  <c r="K974" i="3"/>
  <c r="M957" i="3"/>
  <c r="AF963" i="3"/>
  <c r="M913" i="3"/>
  <c r="O950" i="3"/>
  <c r="Q977" i="3"/>
  <c r="N952" i="3"/>
  <c r="AH944" i="3"/>
  <c r="AH923" i="3"/>
  <c r="K987" i="3"/>
  <c r="P1007" i="3"/>
  <c r="AC994" i="3"/>
  <c r="Q1038" i="3"/>
  <c r="P953" i="3"/>
  <c r="AF986" i="3"/>
  <c r="K881" i="3"/>
  <c r="Q858" i="3"/>
  <c r="AC947" i="3"/>
  <c r="AE883" i="3"/>
  <c r="N987" i="3"/>
  <c r="R906" i="3"/>
  <c r="R983" i="3"/>
  <c r="R897" i="3"/>
  <c r="K1035" i="3"/>
  <c r="S943" i="3"/>
  <c r="U1021" i="3"/>
  <c r="P1041" i="3"/>
  <c r="S993" i="3"/>
  <c r="Q1017" i="3"/>
  <c r="AD1042" i="3"/>
  <c r="O1052" i="3"/>
  <c r="AF1057" i="3"/>
  <c r="AC1042" i="3"/>
  <c r="M956" i="3"/>
  <c r="AC886" i="3"/>
  <c r="AE896" i="3"/>
  <c r="AH851" i="3"/>
  <c r="AG987" i="3"/>
  <c r="O897" i="3"/>
  <c r="AD998" i="3"/>
  <c r="AG969" i="3"/>
  <c r="P1068" i="3"/>
  <c r="AC977" i="3"/>
  <c r="AE867" i="3"/>
  <c r="AE1008" i="3"/>
  <c r="R947" i="3"/>
  <c r="AH831" i="3"/>
  <c r="M994" i="3"/>
  <c r="K967" i="3"/>
  <c r="K909" i="3"/>
  <c r="AG995" i="3"/>
  <c r="O1068" i="3"/>
  <c r="N933" i="3"/>
  <c r="AF860" i="3"/>
  <c r="AC879" i="3"/>
  <c r="I942" i="3"/>
  <c r="AD1041" i="3"/>
  <c r="U1066" i="3"/>
  <c r="AF1081" i="3"/>
  <c r="AF1066" i="3"/>
  <c r="R1033" i="3"/>
  <c r="AG1074" i="3"/>
  <c r="AD473" i="3"/>
  <c r="S638" i="3"/>
  <c r="U546" i="3"/>
  <c r="R656" i="3"/>
  <c r="U734" i="3"/>
  <c r="AG747" i="3"/>
  <c r="R664" i="3"/>
  <c r="AD855" i="3"/>
  <c r="P647" i="3"/>
  <c r="S531" i="3"/>
  <c r="S450" i="3"/>
  <c r="S605" i="3"/>
  <c r="I778" i="3"/>
  <c r="M559" i="3"/>
  <c r="P699" i="3"/>
  <c r="R911" i="3"/>
  <c r="U453" i="3"/>
  <c r="S520" i="3"/>
  <c r="E68" i="1"/>
  <c r="K633" i="3"/>
  <c r="N841" i="3"/>
  <c r="S809" i="3"/>
  <c r="AG823" i="3"/>
  <c r="AF573" i="3"/>
  <c r="P623" i="3"/>
  <c r="AC483" i="3"/>
  <c r="AD609" i="3"/>
  <c r="O759" i="3"/>
  <c r="AG450" i="3"/>
  <c r="M826" i="3"/>
  <c r="S606" i="3"/>
  <c r="K581" i="3"/>
  <c r="E41" i="1"/>
  <c r="K528" i="3"/>
  <c r="AC785" i="3"/>
  <c r="AE533" i="3"/>
  <c r="I935" i="3"/>
  <c r="AD607" i="3"/>
  <c r="K570" i="3"/>
  <c r="P573" i="3"/>
  <c r="AH443" i="3"/>
  <c r="AG651" i="3"/>
  <c r="S654" i="3"/>
  <c r="S791" i="3"/>
  <c r="M494" i="3"/>
  <c r="K520" i="3"/>
  <c r="AC757" i="3"/>
  <c r="D53" i="1"/>
  <c r="Q693" i="3"/>
  <c r="AG824" i="3"/>
  <c r="S828" i="3"/>
  <c r="N935" i="3"/>
  <c r="K564" i="3"/>
  <c r="K494" i="3"/>
  <c r="K533" i="3"/>
  <c r="AD655" i="3"/>
  <c r="O801" i="3"/>
  <c r="F44" i="1"/>
  <c r="K837" i="3"/>
  <c r="AG501" i="3"/>
  <c r="U578" i="3"/>
  <c r="Q604" i="3"/>
  <c r="U512" i="3"/>
  <c r="M745" i="3"/>
  <c r="AE865" i="3"/>
  <c r="AC727" i="3"/>
  <c r="N830" i="3"/>
  <c r="M490" i="3"/>
  <c r="P489" i="3"/>
  <c r="K659" i="3"/>
  <c r="K618" i="3"/>
  <c r="AE833" i="3"/>
  <c r="S652" i="3"/>
  <c r="K747" i="3"/>
  <c r="AG734" i="3"/>
  <c r="M479" i="3"/>
  <c r="S693" i="3"/>
  <c r="D86" i="1"/>
  <c r="Q755" i="3"/>
  <c r="O797" i="3"/>
  <c r="AG806" i="3"/>
  <c r="I956" i="3"/>
  <c r="K558" i="3"/>
  <c r="I643" i="3"/>
  <c r="P596" i="3"/>
  <c r="O756" i="3"/>
  <c r="I703" i="3"/>
  <c r="Q579" i="3"/>
  <c r="AF459" i="3"/>
  <c r="Q507" i="3"/>
  <c r="AG689" i="3"/>
  <c r="U637" i="3"/>
  <c r="M593" i="3"/>
  <c r="AD683" i="3"/>
  <c r="AD788" i="3"/>
  <c r="AD896" i="3"/>
  <c r="S521" i="3"/>
  <c r="AC450" i="3"/>
  <c r="M705" i="3"/>
  <c r="P534" i="3"/>
  <c r="I725" i="3"/>
  <c r="AC786" i="3"/>
  <c r="U402" i="3"/>
  <c r="AF458" i="3"/>
  <c r="AF567" i="3"/>
  <c r="AH586" i="3"/>
  <c r="AG694" i="3"/>
  <c r="N873" i="3"/>
  <c r="R780" i="3"/>
  <c r="Q827" i="3"/>
  <c r="AF411" i="3"/>
  <c r="AH676" i="3"/>
  <c r="AG637" i="3"/>
  <c r="AH584" i="3"/>
  <c r="K632" i="3"/>
  <c r="Q728" i="3"/>
  <c r="U588" i="3"/>
  <c r="AF754" i="3"/>
  <c r="AE633" i="3"/>
  <c r="I625" i="3"/>
  <c r="P800" i="3"/>
  <c r="Q782" i="3"/>
  <c r="R711" i="3"/>
  <c r="AF1019" i="3"/>
  <c r="R488" i="3"/>
  <c r="Q626" i="3"/>
  <c r="K601" i="3"/>
  <c r="O687" i="3"/>
  <c r="I610" i="3"/>
  <c r="R877" i="3"/>
  <c r="O526" i="3"/>
  <c r="M523" i="3"/>
  <c r="AD725" i="3"/>
  <c r="AH605" i="3"/>
  <c r="I516" i="3"/>
  <c r="AD629" i="3"/>
  <c r="AD747" i="3"/>
  <c r="U818" i="3"/>
  <c r="AE544" i="3"/>
  <c r="G37" i="1"/>
  <c r="N617" i="3"/>
  <c r="U694" i="3"/>
  <c r="U757" i="3"/>
  <c r="N707" i="3"/>
  <c r="AC549" i="3"/>
  <c r="K607" i="3"/>
  <c r="AF516" i="3"/>
  <c r="Q718" i="3"/>
  <c r="AG753" i="3"/>
  <c r="N415" i="3"/>
  <c r="D49" i="1"/>
  <c r="Q799" i="3"/>
  <c r="AC513" i="3"/>
  <c r="U435" i="3"/>
  <c r="P588" i="3"/>
  <c r="N629" i="3"/>
  <c r="AC825" i="3"/>
  <c r="AF716" i="3"/>
  <c r="K745" i="3"/>
  <c r="AG402" i="3"/>
  <c r="AG565" i="3"/>
  <c r="K687" i="3"/>
  <c r="AH448" i="3"/>
  <c r="R605" i="3"/>
  <c r="S824" i="3"/>
  <c r="R853" i="3"/>
  <c r="R874" i="3"/>
  <c r="M488" i="3"/>
  <c r="S564" i="3"/>
  <c r="O590" i="3"/>
  <c r="AH726" i="3"/>
  <c r="AG785" i="3"/>
  <c r="P752" i="3"/>
  <c r="AG643" i="3"/>
  <c r="K542" i="3"/>
  <c r="O638" i="3"/>
  <c r="AF622" i="3"/>
  <c r="AD656" i="3"/>
  <c r="AF589" i="3"/>
  <c r="Q724" i="3"/>
  <c r="U823" i="3"/>
  <c r="K544" i="3"/>
  <c r="AE516" i="3"/>
  <c r="AG578" i="3"/>
  <c r="M506" i="3"/>
  <c r="P765" i="3"/>
  <c r="AH775" i="3"/>
  <c r="AF940" i="3"/>
  <c r="I447" i="3"/>
  <c r="AH462" i="3"/>
  <c r="U647" i="3"/>
  <c r="M628" i="3"/>
  <c r="AG672" i="3"/>
  <c r="I658" i="3"/>
  <c r="R923" i="3"/>
  <c r="AH927" i="3"/>
  <c r="K446" i="3"/>
  <c r="N686" i="3"/>
  <c r="R527" i="3"/>
  <c r="AF801" i="3"/>
  <c r="AE813" i="3"/>
  <c r="AE715" i="3"/>
  <c r="K568" i="3"/>
  <c r="K472" i="3"/>
  <c r="O670" i="3"/>
  <c r="U535" i="3"/>
  <c r="U626" i="3"/>
  <c r="R637" i="3"/>
  <c r="Q824" i="3"/>
  <c r="N928" i="3"/>
  <c r="Q807" i="3"/>
  <c r="U912" i="3"/>
  <c r="O839" i="3"/>
  <c r="R875" i="3"/>
  <c r="AD958" i="3"/>
  <c r="M1043" i="3"/>
  <c r="S1023" i="3"/>
  <c r="N967" i="3"/>
  <c r="AE943" i="3"/>
  <c r="AC1076" i="3"/>
  <c r="S851" i="3"/>
  <c r="AE952" i="3"/>
  <c r="U883" i="3"/>
  <c r="AE890" i="3"/>
  <c r="I921" i="3"/>
  <c r="AC1015" i="3"/>
  <c r="AF969" i="3"/>
  <c r="K910" i="3"/>
  <c r="I1038" i="3"/>
  <c r="AG945" i="3"/>
  <c r="AF936" i="3"/>
  <c r="AC919" i="3"/>
  <c r="K798" i="3"/>
  <c r="AF823" i="3"/>
  <c r="P963" i="3"/>
  <c r="M959" i="3"/>
  <c r="N898" i="3"/>
  <c r="P978" i="3"/>
  <c r="O1050" i="3"/>
  <c r="AE982" i="3"/>
  <c r="I876" i="3"/>
  <c r="AC940" i="3"/>
  <c r="O843" i="3"/>
  <c r="AG876" i="3"/>
  <c r="AG922" i="3"/>
  <c r="S990" i="3"/>
  <c r="AG917" i="3"/>
  <c r="P925" i="3"/>
  <c r="AH962" i="3"/>
  <c r="M950" i="3"/>
  <c r="M1090" i="3"/>
  <c r="AD1086" i="3"/>
  <c r="U1082" i="3"/>
  <c r="P1047" i="3"/>
  <c r="AG1066" i="3"/>
  <c r="AG1090" i="3"/>
  <c r="AC544" i="3"/>
  <c r="AH542" i="3"/>
  <c r="N628" i="3"/>
  <c r="S580" i="3"/>
  <c r="AE514" i="3"/>
  <c r="S613" i="3"/>
  <c r="I775" i="3"/>
  <c r="AF810" i="3"/>
  <c r="AE561" i="3"/>
  <c r="AE435" i="3"/>
  <c r="I701" i="3"/>
  <c r="P586" i="3"/>
  <c r="N767" i="3"/>
  <c r="U813" i="3"/>
  <c r="Q836" i="3"/>
  <c r="AC501" i="3"/>
  <c r="AC583" i="3"/>
  <c r="K546" i="3"/>
  <c r="M687" i="3"/>
  <c r="G63" i="1"/>
  <c r="R733" i="3"/>
  <c r="R800" i="3"/>
  <c r="K839" i="3"/>
  <c r="AH499" i="3"/>
  <c r="AC587" i="3"/>
  <c r="AG673" i="3"/>
  <c r="K620" i="3"/>
  <c r="U791" i="3"/>
  <c r="K833" i="3"/>
  <c r="K450" i="3"/>
  <c r="E101" i="1"/>
  <c r="AG709" i="3"/>
  <c r="AH608" i="3"/>
  <c r="D34" i="1"/>
  <c r="U736" i="3"/>
  <c r="AG972" i="3"/>
  <c r="K936" i="3"/>
  <c r="U518" i="3"/>
  <c r="R484" i="3"/>
  <c r="AE705" i="3"/>
  <c r="P689" i="3"/>
  <c r="I664" i="3"/>
  <c r="M522" i="3"/>
  <c r="I728" i="3"/>
  <c r="P484" i="3"/>
  <c r="P447" i="3"/>
  <c r="AC601" i="3"/>
  <c r="Q565" i="3"/>
  <c r="I608" i="3"/>
  <c r="P609" i="3"/>
  <c r="K773" i="3"/>
  <c r="AH879" i="3"/>
  <c r="N526" i="3"/>
  <c r="AH694" i="3"/>
  <c r="N734" i="3"/>
  <c r="U681" i="3"/>
  <c r="AE569" i="3"/>
  <c r="O608" i="3"/>
  <c r="Q869" i="3"/>
  <c r="U627" i="3"/>
  <c r="AG426" i="3"/>
  <c r="K479" i="3"/>
  <c r="N553" i="3"/>
  <c r="U817" i="3"/>
  <c r="U720" i="3"/>
  <c r="Q883" i="3"/>
  <c r="AE582" i="3"/>
  <c r="I626" i="3"/>
  <c r="K525" i="3"/>
  <c r="P766" i="3"/>
  <c r="M805" i="3"/>
  <c r="S816" i="3"/>
  <c r="K788" i="3"/>
  <c r="R890" i="3"/>
  <c r="I556" i="3"/>
  <c r="K573" i="3"/>
  <c r="AE548" i="3"/>
  <c r="I662" i="3"/>
  <c r="AE700" i="3"/>
  <c r="K904" i="3"/>
  <c r="N884" i="3"/>
  <c r="AH594" i="3"/>
  <c r="P523" i="3"/>
  <c r="U628" i="3"/>
  <c r="F74" i="1"/>
  <c r="R732" i="3"/>
  <c r="AF637" i="3"/>
  <c r="K947" i="3"/>
  <c r="AC579" i="3"/>
  <c r="AD591" i="3"/>
  <c r="I738" i="3"/>
  <c r="I587" i="3"/>
  <c r="U755" i="3"/>
  <c r="I785" i="3"/>
  <c r="Q820" i="3"/>
  <c r="U831" i="3"/>
  <c r="AD577" i="3"/>
  <c r="Q605" i="3"/>
  <c r="AH501" i="3"/>
  <c r="I771" i="3"/>
  <c r="O768" i="3"/>
  <c r="AH715" i="3"/>
  <c r="M579" i="3"/>
  <c r="U595" i="3"/>
  <c r="AC575" i="3"/>
  <c r="AH564" i="3"/>
  <c r="O853" i="3"/>
  <c r="AF763" i="3"/>
  <c r="I841" i="3"/>
  <c r="O955" i="3"/>
  <c r="P515" i="3"/>
  <c r="K684" i="3"/>
  <c r="AD738" i="3"/>
  <c r="AF712" i="3"/>
  <c r="M787" i="3"/>
  <c r="AE834" i="3"/>
  <c r="AE510" i="3"/>
  <c r="AG650" i="3"/>
  <c r="AH479" i="3"/>
  <c r="S431" i="3"/>
  <c r="AE904" i="3"/>
  <c r="U545" i="3"/>
  <c r="U890" i="3"/>
  <c r="M940" i="3"/>
  <c r="P422" i="3"/>
  <c r="AE574" i="3"/>
  <c r="AG439" i="3"/>
  <c r="AF972" i="3"/>
  <c r="O743" i="3"/>
  <c r="Q751" i="3"/>
  <c r="AG518" i="3"/>
  <c r="AG526" i="3"/>
  <c r="Q749" i="3"/>
  <c r="Q721" i="3"/>
  <c r="AG782" i="3"/>
  <c r="AH777" i="3"/>
  <c r="AG786" i="3"/>
  <c r="N891" i="3"/>
  <c r="AE580" i="3"/>
  <c r="U522" i="3"/>
  <c r="AE427" i="3"/>
  <c r="AD856" i="3"/>
  <c r="AG861" i="3"/>
  <c r="AE695" i="3"/>
  <c r="O422" i="3"/>
  <c r="I476" i="3"/>
  <c r="Q652" i="3"/>
  <c r="S692" i="3"/>
  <c r="AE620" i="3"/>
  <c r="AE707" i="3"/>
  <c r="AE751" i="3"/>
  <c r="O869" i="3"/>
  <c r="R446" i="3"/>
  <c r="AE662" i="3"/>
  <c r="S615" i="3"/>
  <c r="P646" i="3"/>
  <c r="P771" i="3"/>
  <c r="AE689" i="3"/>
  <c r="K803" i="3"/>
  <c r="I533" i="3"/>
  <c r="I474" i="3"/>
  <c r="AD621" i="3"/>
  <c r="AD458" i="3"/>
  <c r="I720" i="3"/>
  <c r="R777" i="3"/>
  <c r="K787" i="3"/>
  <c r="AG951" i="3"/>
  <c r="AE470" i="3"/>
  <c r="AF657" i="3"/>
  <c r="I694" i="3"/>
  <c r="K821" i="3"/>
  <c r="R801" i="3"/>
  <c r="I513" i="3"/>
  <c r="F80" i="1"/>
  <c r="AG642" i="3"/>
  <c r="Q725" i="3"/>
  <c r="E116" i="1"/>
  <c r="AE758" i="3"/>
  <c r="N852" i="3"/>
  <c r="Q699" i="3"/>
  <c r="AD935" i="3"/>
  <c r="S558" i="3"/>
  <c r="AC653" i="3"/>
  <c r="K737" i="3"/>
  <c r="AH604" i="3"/>
  <c r="AE776" i="3"/>
  <c r="AH780" i="3"/>
  <c r="R450" i="3"/>
  <c r="P634" i="3"/>
  <c r="AD598" i="3"/>
  <c r="G38" i="1"/>
  <c r="G59" i="1"/>
  <c r="O426" i="3"/>
  <c r="AG857" i="3"/>
  <c r="P876" i="3"/>
  <c r="Q514" i="3"/>
  <c r="P463" i="3"/>
  <c r="AH427" i="3"/>
  <c r="H71" i="1"/>
  <c r="S756" i="3"/>
  <c r="R722" i="3"/>
  <c r="AC855" i="3"/>
  <c r="O532" i="3"/>
  <c r="M577" i="3"/>
  <c r="AG572" i="3"/>
  <c r="Q685" i="3"/>
  <c r="AF771" i="3"/>
  <c r="AC782" i="3"/>
  <c r="O852" i="3"/>
  <c r="AC951" i="3"/>
  <c r="R864" i="3"/>
  <c r="AD811" i="3"/>
  <c r="O944" i="3"/>
  <c r="AD859" i="3"/>
  <c r="AH929" i="3"/>
  <c r="O1015" i="3"/>
  <c r="I987" i="3"/>
  <c r="M933" i="3"/>
  <c r="I1031" i="3"/>
  <c r="N945" i="3"/>
  <c r="R882" i="3"/>
  <c r="AE814" i="3"/>
  <c r="O847" i="3"/>
  <c r="I850" i="3"/>
  <c r="AE929" i="3"/>
  <c r="N995" i="3"/>
  <c r="P894" i="3"/>
  <c r="I1032" i="3"/>
  <c r="R998" i="3"/>
  <c r="P981" i="3"/>
  <c r="M859" i="3"/>
  <c r="Q939" i="3"/>
  <c r="N806" i="3"/>
  <c r="AE862" i="3"/>
  <c r="I966" i="3"/>
  <c r="U913" i="3"/>
  <c r="AC961" i="3"/>
  <c r="K992" i="3"/>
  <c r="M968" i="3"/>
  <c r="P990" i="3"/>
  <c r="P890" i="3"/>
  <c r="AD919" i="3"/>
  <c r="M1028" i="3"/>
  <c r="AE1010" i="3"/>
  <c r="AG998" i="3"/>
  <c r="O1023" i="3"/>
  <c r="S1035" i="3"/>
  <c r="R1031" i="3"/>
  <c r="K1026" i="3"/>
  <c r="Q1020" i="3"/>
  <c r="R1057" i="3"/>
  <c r="I1074" i="3"/>
  <c r="AG1078" i="3"/>
  <c r="R1036" i="3"/>
  <c r="AD1005" i="3"/>
  <c r="P1029" i="3"/>
  <c r="AC1061" i="3"/>
  <c r="K1045" i="3"/>
  <c r="R964" i="3"/>
  <c r="O862" i="3"/>
  <c r="R935" i="3"/>
  <c r="I799" i="3"/>
  <c r="AH1039" i="3"/>
  <c r="AC973" i="3"/>
  <c r="AH942" i="3"/>
  <c r="S894" i="3"/>
  <c r="U992" i="3"/>
  <c r="I977" i="3"/>
  <c r="AE843" i="3"/>
  <c r="AH854" i="3"/>
  <c r="AF924" i="3"/>
  <c r="Q926" i="3"/>
  <c r="AG961" i="3"/>
  <c r="K1043" i="3"/>
  <c r="AC965" i="3"/>
  <c r="AG985" i="3"/>
  <c r="AH965" i="3"/>
  <c r="Q866" i="3"/>
  <c r="AF923" i="3"/>
  <c r="P885" i="3"/>
  <c r="AE1060" i="3"/>
  <c r="I1075" i="3"/>
  <c r="Q985" i="3"/>
  <c r="R949" i="3"/>
  <c r="O968" i="3"/>
  <c r="R948" i="3"/>
  <c r="Q970" i="3"/>
  <c r="P874" i="3"/>
  <c r="Q815" i="3"/>
  <c r="M932" i="3"/>
  <c r="P834" i="3"/>
  <c r="I1023" i="3"/>
  <c r="AD1032" i="3"/>
  <c r="N1014" i="3"/>
  <c r="K999" i="3"/>
  <c r="R941" i="3"/>
  <c r="AG930" i="3"/>
  <c r="M1089" i="3"/>
  <c r="P1089" i="3"/>
  <c r="P1073" i="3"/>
  <c r="AH1077" i="3"/>
  <c r="Q1009" i="3"/>
  <c r="AH1042" i="3"/>
  <c r="AG1025" i="3"/>
  <c r="AH1061" i="3"/>
  <c r="I939" i="3"/>
  <c r="S854" i="3"/>
  <c r="I960" i="3"/>
  <c r="AH908" i="3"/>
  <c r="N984" i="3"/>
  <c r="K977" i="3"/>
  <c r="AG902" i="3"/>
  <c r="AC918" i="3"/>
  <c r="I970" i="3"/>
  <c r="Q913" i="3"/>
  <c r="AG1028" i="3"/>
  <c r="S869" i="3"/>
  <c r="AG839" i="3"/>
  <c r="Q895" i="3"/>
  <c r="AF958" i="3"/>
  <c r="K1016" i="3"/>
  <c r="S984" i="3"/>
  <c r="O926" i="3"/>
  <c r="AD1016" i="3"/>
  <c r="AG847" i="3"/>
  <c r="AF908" i="3"/>
  <c r="S976" i="3"/>
  <c r="AC883" i="3"/>
  <c r="U948" i="3"/>
  <c r="P1027" i="3"/>
  <c r="AF925" i="3"/>
  <c r="AH894" i="3"/>
  <c r="R1068" i="3"/>
  <c r="U1027" i="3"/>
  <c r="AF811" i="3"/>
  <c r="AC892" i="3"/>
  <c r="AE976" i="3"/>
  <c r="AC964" i="3"/>
  <c r="AH966" i="3"/>
  <c r="N975" i="3"/>
  <c r="AC987" i="3"/>
  <c r="AG905" i="3"/>
  <c r="O990" i="3"/>
  <c r="AH985" i="3"/>
  <c r="K1061" i="3"/>
  <c r="S1078" i="3"/>
  <c r="N1017" i="3"/>
  <c r="N1090" i="3"/>
  <c r="AC993" i="3"/>
  <c r="S1073" i="3"/>
  <c r="K1047" i="3"/>
  <c r="AG1042" i="3"/>
  <c r="K1009" i="3"/>
  <c r="AC895" i="3"/>
  <c r="U903" i="3"/>
  <c r="R891" i="3"/>
  <c r="AD875" i="3"/>
  <c r="M1039" i="3"/>
  <c r="P992" i="3"/>
  <c r="R1010" i="3"/>
  <c r="AE970" i="3"/>
  <c r="N999" i="3"/>
  <c r="N870" i="3"/>
  <c r="O831" i="3"/>
  <c r="P932" i="3"/>
  <c r="AF866" i="3"/>
  <c r="N1050" i="3"/>
  <c r="AC983" i="3"/>
  <c r="S925" i="3"/>
  <c r="M1075" i="3"/>
  <c r="AH973" i="3"/>
  <c r="AC970" i="3"/>
  <c r="AF912" i="3"/>
  <c r="I847" i="3"/>
  <c r="M895" i="3"/>
  <c r="O860" i="3"/>
  <c r="I992" i="3"/>
  <c r="P1039" i="3"/>
  <c r="AG1035" i="3"/>
  <c r="K985" i="3"/>
  <c r="R910" i="3"/>
  <c r="K986" i="3"/>
  <c r="M888" i="3"/>
  <c r="Q899" i="3"/>
  <c r="P939" i="3"/>
  <c r="K895" i="3"/>
  <c r="R938" i="3"/>
  <c r="AC1016" i="3"/>
  <c r="AD930" i="3"/>
  <c r="U1050" i="3"/>
  <c r="Q1010" i="3"/>
  <c r="U969" i="3"/>
  <c r="AG1070" i="3"/>
  <c r="O1047" i="3"/>
  <c r="AC1017" i="3"/>
  <c r="P1077" i="3"/>
  <c r="M1086" i="3"/>
  <c r="I1085" i="3"/>
  <c r="R1049" i="3"/>
  <c r="AF1042" i="3"/>
  <c r="AG1041" i="3"/>
  <c r="Q1090" i="3"/>
  <c r="N881" i="3"/>
  <c r="AF976" i="3"/>
  <c r="AD880" i="3"/>
  <c r="AG798" i="3"/>
  <c r="AC978" i="3"/>
  <c r="AD1043" i="3"/>
  <c r="AD906" i="3"/>
  <c r="K929" i="3"/>
  <c r="N922" i="3"/>
  <c r="M914" i="3"/>
  <c r="AD866" i="3"/>
  <c r="AH862" i="3"/>
  <c r="I911" i="3"/>
  <c r="N1028" i="3"/>
  <c r="AH941" i="3"/>
  <c r="M992" i="3"/>
  <c r="U984" i="3"/>
  <c r="P1011" i="3"/>
  <c r="AH1010" i="3"/>
  <c r="AG929" i="3"/>
  <c r="K912" i="3"/>
  <c r="P830" i="3"/>
  <c r="P878" i="3"/>
  <c r="AF798" i="3"/>
  <c r="M1020" i="3"/>
  <c r="AH1031" i="3"/>
  <c r="AE965" i="3"/>
  <c r="AD973" i="3"/>
  <c r="R1026" i="3"/>
  <c r="U931" i="3"/>
  <c r="O863" i="3"/>
  <c r="U847" i="3"/>
  <c r="S876" i="3"/>
  <c r="M1006" i="3"/>
  <c r="AC1026" i="3"/>
  <c r="AH1084" i="3"/>
  <c r="K981" i="3"/>
  <c r="Q986" i="3"/>
  <c r="Q995" i="3"/>
  <c r="O1085" i="3"/>
  <c r="K1017" i="3"/>
  <c r="P1070" i="3"/>
  <c r="U1049" i="3"/>
  <c r="N1078" i="3"/>
  <c r="S1089" i="3"/>
  <c r="AH1017" i="3"/>
  <c r="AD993" i="3"/>
  <c r="AH881" i="3"/>
  <c r="AF882" i="3"/>
  <c r="AF880" i="3"/>
  <c r="N874" i="3"/>
  <c r="AC930" i="3"/>
  <c r="K1014" i="3"/>
  <c r="AD938" i="3"/>
  <c r="R1014" i="3"/>
  <c r="AC938" i="3"/>
  <c r="S902" i="3"/>
  <c r="P892" i="3"/>
  <c r="I919" i="3"/>
  <c r="R908" i="3"/>
  <c r="AD887" i="3"/>
  <c r="AE986" i="3"/>
  <c r="AG991" i="3"/>
  <c r="M970" i="3"/>
  <c r="AE991" i="3"/>
  <c r="AD910" i="3"/>
  <c r="P1075" i="3"/>
  <c r="M831" i="3"/>
  <c r="AC955" i="3"/>
  <c r="P881" i="3"/>
  <c r="AD874" i="3"/>
  <c r="K1020" i="3"/>
  <c r="O962" i="3"/>
  <c r="AD1020" i="3"/>
  <c r="S991" i="3"/>
  <c r="R946" i="3"/>
  <c r="Q1031" i="3"/>
  <c r="M842" i="3"/>
  <c r="P899" i="3"/>
  <c r="S935" i="3"/>
  <c r="P982" i="3"/>
  <c r="AG971" i="3"/>
  <c r="AH1014" i="3"/>
  <c r="I967" i="3"/>
  <c r="AF1004" i="3"/>
  <c r="R958" i="3"/>
  <c r="M969" i="3"/>
  <c r="Q1042" i="3"/>
  <c r="AC1089" i="3"/>
  <c r="K1074" i="3"/>
  <c r="Q1061" i="3"/>
  <c r="AH1073" i="3"/>
  <c r="K1065" i="3"/>
  <c r="I1009" i="3"/>
  <c r="S1025" i="3"/>
  <c r="AD899" i="3"/>
  <c r="P1008" i="3"/>
  <c r="AD944" i="3"/>
  <c r="AG854" i="3"/>
  <c r="AF1011" i="3"/>
  <c r="R894" i="3"/>
  <c r="K906" i="3"/>
  <c r="AH983" i="3"/>
  <c r="AG1050" i="3"/>
  <c r="R1032" i="3"/>
  <c r="S947" i="3"/>
  <c r="AG883" i="3"/>
  <c r="AH880" i="3"/>
  <c r="AE802" i="3"/>
  <c r="N894" i="3"/>
  <c r="U914" i="3"/>
  <c r="O978" i="3"/>
  <c r="M943" i="3"/>
  <c r="AH934" i="3"/>
  <c r="S802" i="3"/>
  <c r="AF881" i="3"/>
  <c r="K823" i="3"/>
  <c r="P864" i="3"/>
  <c r="AG1023" i="3"/>
  <c r="Q905" i="3"/>
  <c r="AF945" i="3"/>
  <c r="AD1076" i="3"/>
  <c r="R992" i="3"/>
  <c r="M921" i="3"/>
  <c r="O885" i="3"/>
  <c r="AH875" i="3"/>
  <c r="P911" i="3"/>
  <c r="R878" i="3"/>
  <c r="AF1023" i="3"/>
  <c r="S913" i="3"/>
  <c r="AE1075" i="3"/>
  <c r="U922" i="3"/>
  <c r="R1051" i="3"/>
  <c r="K1084" i="3"/>
  <c r="K1077" i="3"/>
  <c r="U1052" i="3"/>
  <c r="S1077" i="3"/>
  <c r="AD1073" i="3"/>
  <c r="K1070" i="3"/>
  <c r="AC1066" i="3"/>
  <c r="U1036" i="3"/>
  <c r="AC1049" i="3"/>
  <c r="Q1025" i="3"/>
  <c r="R1077" i="3"/>
  <c r="O1045" i="3"/>
  <c r="I947" i="3"/>
  <c r="O854" i="3"/>
  <c r="AF1060" i="3"/>
  <c r="AD934" i="3"/>
  <c r="Q963" i="3"/>
  <c r="M984" i="3"/>
  <c r="AD965" i="3"/>
  <c r="I941" i="3"/>
  <c r="R929" i="3"/>
  <c r="P860" i="3"/>
  <c r="P951" i="3"/>
  <c r="P887" i="3"/>
  <c r="K867" i="3"/>
  <c r="N946" i="3"/>
  <c r="AE962" i="3"/>
  <c r="AF990" i="3"/>
  <c r="S1038" i="3"/>
  <c r="N937" i="3"/>
  <c r="I937" i="3"/>
  <c r="AG927" i="3"/>
  <c r="AH891" i="3"/>
  <c r="R811" i="3"/>
  <c r="K944" i="3"/>
  <c r="U983" i="3"/>
  <c r="Q938" i="3"/>
  <c r="Q901" i="3"/>
  <c r="AD968" i="3"/>
  <c r="AE968" i="3"/>
  <c r="AD962" i="3"/>
  <c r="AH896" i="3"/>
  <c r="P854" i="3"/>
  <c r="S855" i="3"/>
  <c r="AH924" i="3"/>
  <c r="P1022" i="3"/>
  <c r="AE995" i="3"/>
  <c r="R930" i="3"/>
  <c r="I980" i="3"/>
  <c r="Q918" i="3"/>
  <c r="U1001" i="3"/>
  <c r="R1066" i="3"/>
  <c r="M1001" i="3"/>
  <c r="Q1077" i="3"/>
  <c r="N1065" i="3"/>
  <c r="AH1033" i="3"/>
  <c r="O1078" i="3"/>
  <c r="AD1021" i="3"/>
  <c r="AE1086" i="3"/>
  <c r="AH843" i="3"/>
  <c r="I955" i="3"/>
  <c r="AE869" i="3"/>
  <c r="M1008" i="3"/>
  <c r="M975" i="3"/>
  <c r="AE898" i="3"/>
  <c r="AD959" i="3"/>
  <c r="P985" i="3"/>
  <c r="U986" i="3"/>
  <c r="AC985" i="3"/>
  <c r="P849" i="3"/>
  <c r="AF843" i="3"/>
  <c r="R940" i="3"/>
  <c r="N1027" i="3"/>
  <c r="AF987" i="3"/>
  <c r="U930" i="3"/>
  <c r="I902" i="3"/>
  <c r="AD926" i="3"/>
  <c r="AD957" i="3"/>
  <c r="Q842" i="3"/>
  <c r="M862" i="3"/>
  <c r="AH964" i="3"/>
  <c r="S900" i="3"/>
  <c r="M1011" i="3"/>
  <c r="O953" i="3"/>
  <c r="S1050" i="3"/>
  <c r="N897" i="3"/>
  <c r="I929" i="3"/>
  <c r="N901" i="3"/>
  <c r="P799" i="3"/>
  <c r="AD939" i="3"/>
  <c r="K915" i="3"/>
  <c r="K976" i="3"/>
  <c r="R942" i="3"/>
  <c r="M929" i="3"/>
  <c r="AH914" i="3"/>
  <c r="O994" i="3"/>
  <c r="S914" i="3"/>
  <c r="I945" i="3"/>
  <c r="AH1005" i="3"/>
  <c r="O1082" i="3"/>
  <c r="K1049" i="3"/>
  <c r="O1017" i="3"/>
  <c r="AD1082" i="3"/>
  <c r="O1074" i="3"/>
  <c r="O1005" i="3"/>
  <c r="Q1041" i="3"/>
  <c r="O932" i="3"/>
  <c r="O802" i="3"/>
  <c r="AE798" i="3"/>
  <c r="R896" i="3"/>
  <c r="AF878" i="3"/>
  <c r="O909" i="3"/>
  <c r="O1007" i="3"/>
  <c r="U990" i="3"/>
  <c r="S983" i="3"/>
  <c r="O1051" i="3"/>
  <c r="I830" i="3"/>
  <c r="M806" i="3"/>
  <c r="O886" i="3"/>
  <c r="R919" i="3"/>
  <c r="AC975" i="3"/>
  <c r="AH970" i="3"/>
  <c r="AE909" i="3"/>
  <c r="AF942" i="3"/>
  <c r="N969" i="3"/>
  <c r="AG1043" i="3"/>
  <c r="S915" i="3"/>
  <c r="N799" i="3"/>
  <c r="R881" i="3"/>
  <c r="AF919" i="3"/>
  <c r="R902" i="3"/>
  <c r="M1032" i="3"/>
  <c r="AD1010" i="3"/>
  <c r="AF950" i="3"/>
  <c r="M1068" i="3"/>
  <c r="AF965" i="3"/>
  <c r="I823" i="3"/>
  <c r="S884" i="3"/>
  <c r="AE923" i="3"/>
  <c r="AG893" i="3"/>
  <c r="Q917" i="3"/>
  <c r="M922" i="3"/>
  <c r="O948" i="3"/>
  <c r="N992" i="3"/>
  <c r="AD1054" i="3"/>
  <c r="K1006" i="3"/>
  <c r="AF1047" i="3"/>
  <c r="M1025" i="3"/>
  <c r="N1082" i="3"/>
  <c r="P1045" i="3"/>
  <c r="U1057" i="3"/>
  <c r="M1052" i="3"/>
  <c r="P1081" i="3"/>
  <c r="Q1005" i="3"/>
  <c r="AC1036" i="3"/>
  <c r="R1052" i="3"/>
  <c r="AH895" i="3"/>
  <c r="AF956" i="3"/>
  <c r="K811" i="3"/>
  <c r="N867" i="3"/>
  <c r="AF913" i="3"/>
  <c r="N948" i="3"/>
  <c r="AF902" i="3"/>
  <c r="K998" i="3"/>
  <c r="P918" i="3"/>
  <c r="P1032" i="3"/>
  <c r="AE795" i="3"/>
  <c r="AE885" i="3"/>
  <c r="AC887" i="3"/>
  <c r="N921" i="3"/>
  <c r="P967" i="3"/>
  <c r="R1076" i="3"/>
  <c r="R987" i="3"/>
  <c r="I973" i="3"/>
  <c r="AD1004" i="3"/>
  <c r="K908" i="3"/>
  <c r="AG1044" i="3"/>
  <c r="S939" i="3"/>
  <c r="O884" i="3"/>
  <c r="AD975" i="3"/>
  <c r="P1020" i="3"/>
  <c r="AE980" i="3"/>
  <c r="M902" i="3"/>
  <c r="O1053" i="3"/>
  <c r="I1051" i="3"/>
  <c r="AD872" i="3"/>
  <c r="AF870" i="3"/>
  <c r="Q854" i="3"/>
  <c r="I822" i="3"/>
  <c r="AD945" i="3"/>
  <c r="U898" i="3"/>
  <c r="AG1006" i="3"/>
  <c r="M1050" i="3"/>
  <c r="K917" i="3"/>
  <c r="U906" i="3"/>
  <c r="M1029" i="3"/>
  <c r="R1042" i="3"/>
  <c r="U1041" i="3"/>
  <c r="AC1045" i="3"/>
  <c r="AD1065" i="3"/>
  <c r="P1066" i="3"/>
  <c r="Q1058" i="3"/>
  <c r="AF1033" i="3"/>
  <c r="I940" i="3"/>
  <c r="N842" i="3"/>
  <c r="AF932" i="3"/>
  <c r="AG868" i="3"/>
  <c r="P1004" i="3"/>
  <c r="Q1032" i="3"/>
  <c r="U949" i="3"/>
  <c r="AG938" i="3"/>
  <c r="AH937" i="3"/>
  <c r="P987" i="3"/>
  <c r="AD928" i="3"/>
  <c r="P936" i="3"/>
  <c r="N896" i="3"/>
  <c r="O919" i="3"/>
  <c r="AF978" i="3"/>
  <c r="AC898" i="3"/>
  <c r="Q941" i="3"/>
  <c r="K984" i="3"/>
  <c r="AD941" i="3"/>
  <c r="N959" i="3"/>
  <c r="S858" i="3"/>
  <c r="K1044" i="3"/>
  <c r="Q1016" i="3"/>
  <c r="U1073" i="3"/>
  <c r="K1052" i="3"/>
  <c r="I1045" i="3"/>
  <c r="AD1064" i="3"/>
  <c r="Q1029" i="3"/>
  <c r="S1041" i="3"/>
  <c r="K439" i="3"/>
  <c r="Q598" i="3"/>
  <c r="AG754" i="3"/>
  <c r="Q742" i="3"/>
  <c r="S484" i="3"/>
  <c r="P729" i="3"/>
  <c r="P792" i="3"/>
  <c r="AC864" i="3"/>
  <c r="N402" i="3"/>
  <c r="R556" i="3"/>
  <c r="K553" i="3"/>
  <c r="S651" i="3"/>
  <c r="R865" i="3"/>
  <c r="U786" i="3"/>
  <c r="K740" i="3"/>
  <c r="N426" i="3"/>
  <c r="N522" i="3"/>
  <c r="U695" i="3"/>
  <c r="N709" i="3"/>
  <c r="I555" i="3"/>
  <c r="AC522" i="3"/>
  <c r="AH865" i="3"/>
  <c r="R1008" i="3"/>
  <c r="H62" i="1"/>
  <c r="E112" i="1"/>
  <c r="E78" i="1"/>
  <c r="AH684" i="3"/>
  <c r="K840" i="3"/>
  <c r="AF684" i="3"/>
  <c r="AD423" i="3"/>
  <c r="R501" i="3"/>
  <c r="G34" i="1"/>
  <c r="R705" i="3"/>
  <c r="AH672" i="3"/>
  <c r="U765" i="3"/>
  <c r="U861" i="3"/>
  <c r="Q839" i="3"/>
  <c r="N516" i="3"/>
  <c r="M647" i="3"/>
  <c r="F53" i="1"/>
  <c r="AH733" i="3"/>
  <c r="AF670" i="3"/>
  <c r="AG679" i="3"/>
  <c r="AH791" i="3"/>
  <c r="N545" i="3"/>
  <c r="P482" i="3"/>
  <c r="Q596" i="3"/>
  <c r="P687" i="3"/>
  <c r="R603" i="3"/>
  <c r="AH688" i="3"/>
  <c r="AC804" i="3"/>
  <c r="AE838" i="3"/>
  <c r="U415" i="3"/>
  <c r="E28" i="1"/>
  <c r="AH613" i="3"/>
  <c r="AE672" i="3"/>
  <c r="AF793" i="3"/>
  <c r="O657" i="3"/>
  <c r="AG882" i="3"/>
  <c r="AF502" i="3"/>
  <c r="AD614" i="3"/>
  <c r="AC527" i="3"/>
  <c r="AH603" i="3"/>
  <c r="I808" i="3"/>
  <c r="N663" i="3"/>
  <c r="Q850" i="3"/>
  <c r="AF470" i="3"/>
  <c r="P679" i="3"/>
  <c r="R594" i="3"/>
  <c r="N633" i="3"/>
  <c r="AF471" i="3"/>
  <c r="K723" i="3"/>
  <c r="R612" i="3"/>
  <c r="AC795" i="3"/>
  <c r="G70" i="1"/>
  <c r="O790" i="3"/>
  <c r="AH406" i="3"/>
  <c r="R729" i="3"/>
  <c r="M845" i="3"/>
  <c r="N710" i="3"/>
  <c r="K964" i="3"/>
  <c r="AH589" i="3"/>
  <c r="AG455" i="3"/>
  <c r="I529" i="3"/>
  <c r="P654" i="3"/>
  <c r="K703" i="3"/>
  <c r="Q775" i="3"/>
  <c r="AF745" i="3"/>
  <c r="Q582" i="3"/>
  <c r="AE517" i="3"/>
  <c r="K695" i="3"/>
  <c r="AC645" i="3"/>
  <c r="AG920" i="3"/>
  <c r="N731" i="3"/>
  <c r="Q861" i="3"/>
  <c r="S924" i="3"/>
  <c r="AH503" i="3"/>
  <c r="AG722" i="3"/>
  <c r="AE607" i="3"/>
  <c r="AH755" i="3"/>
  <c r="R776" i="3"/>
  <c r="O832" i="3"/>
  <c r="AD638" i="3"/>
  <c r="R540" i="3"/>
  <c r="P600" i="3"/>
  <c r="I603" i="3"/>
  <c r="K708" i="3"/>
  <c r="S763" i="3"/>
  <c r="U739" i="3"/>
  <c r="M815" i="3"/>
  <c r="I598" i="3"/>
  <c r="AC694" i="3"/>
  <c r="S611" i="3"/>
  <c r="I820" i="3"/>
  <c r="Q777" i="3"/>
  <c r="M939" i="3"/>
  <c r="D37" i="1"/>
  <c r="Q485" i="3"/>
  <c r="AD667" i="3"/>
  <c r="AF687" i="3"/>
  <c r="Q904" i="3"/>
  <c r="N505" i="3"/>
  <c r="S874" i="3"/>
  <c r="AC936" i="3"/>
  <c r="I585" i="3"/>
  <c r="AD657" i="3"/>
  <c r="AH638" i="3"/>
  <c r="S877" i="3"/>
  <c r="Q760" i="3"/>
  <c r="AH637" i="3"/>
  <c r="F110" i="1"/>
  <c r="O488" i="3"/>
  <c r="AE762" i="3"/>
  <c r="AD501" i="3"/>
  <c r="AF708" i="3"/>
  <c r="M731" i="3"/>
  <c r="N693" i="3"/>
  <c r="N854" i="3"/>
  <c r="R564" i="3"/>
  <c r="O693" i="3"/>
  <c r="AC614" i="3"/>
  <c r="K583" i="3"/>
  <c r="R731" i="3"/>
  <c r="AF599" i="3"/>
  <c r="H18" i="1"/>
  <c r="M497" i="3"/>
  <c r="N754" i="3"/>
  <c r="AF617" i="3"/>
  <c r="N647" i="3"/>
  <c r="N750" i="3"/>
  <c r="P856" i="3"/>
  <c r="K931" i="3"/>
  <c r="S474" i="3"/>
  <c r="I534" i="3"/>
  <c r="AC536" i="3"/>
  <c r="AC730" i="3"/>
  <c r="I754" i="3"/>
  <c r="AF561" i="3"/>
  <c r="AE951" i="3"/>
  <c r="O691" i="3"/>
  <c r="AC582" i="3"/>
  <c r="S583" i="3"/>
  <c r="S586" i="3"/>
  <c r="AF816" i="3"/>
  <c r="AE783" i="3"/>
  <c r="AD904" i="3"/>
  <c r="AG903" i="3"/>
  <c r="AF410" i="3"/>
  <c r="E50" i="1"/>
  <c r="AD746" i="3"/>
  <c r="P620" i="3"/>
  <c r="AH632" i="3"/>
  <c r="AH828" i="3"/>
  <c r="AH596" i="3"/>
  <c r="F57" i="1"/>
  <c r="U671" i="3"/>
  <c r="AE640" i="3"/>
  <c r="AH512" i="3"/>
  <c r="O789" i="3"/>
  <c r="P748" i="3"/>
  <c r="P795" i="3"/>
  <c r="AG520" i="3"/>
  <c r="AC502" i="3"/>
  <c r="R654" i="3"/>
  <c r="AD766" i="3"/>
  <c r="AC837" i="3"/>
  <c r="M723" i="3"/>
  <c r="H35" i="1"/>
  <c r="P487" i="3"/>
  <c r="AD454" i="3"/>
  <c r="AH669" i="3"/>
  <c r="R718" i="3"/>
  <c r="M546" i="3"/>
  <c r="AE785" i="3"/>
  <c r="Q886" i="3"/>
  <c r="K484" i="3"/>
  <c r="G99" i="1"/>
  <c r="I423" i="3"/>
  <c r="P655" i="3"/>
  <c r="R772" i="3"/>
  <c r="AG523" i="3"/>
  <c r="AG931" i="3"/>
  <c r="AH473" i="3"/>
  <c r="I507" i="3"/>
  <c r="N546" i="3"/>
  <c r="H113" i="1"/>
  <c r="AC773" i="3"/>
  <c r="AD782" i="3"/>
  <c r="U853" i="3"/>
  <c r="AC822" i="3"/>
  <c r="I859" i="3"/>
  <c r="AF928" i="3"/>
  <c r="AC823" i="3"/>
  <c r="AD806" i="3"/>
  <c r="U946" i="3"/>
  <c r="S978" i="3"/>
  <c r="M941" i="3"/>
  <c r="Q980" i="3"/>
  <c r="U995" i="3"/>
  <c r="AF1007" i="3"/>
  <c r="U860" i="3"/>
  <c r="I819" i="3"/>
  <c r="I892" i="3"/>
  <c r="R867" i="3"/>
  <c r="K1011" i="3"/>
  <c r="AG913" i="3"/>
  <c r="AG965" i="3"/>
  <c r="AF1054" i="3"/>
  <c r="N1076" i="3"/>
  <c r="M1053" i="3"/>
  <c r="S916" i="3"/>
  <c r="U842" i="3"/>
  <c r="AD860" i="3"/>
  <c r="S807" i="3"/>
  <c r="O925" i="3"/>
  <c r="Q897" i="3"/>
  <c r="S954" i="3"/>
  <c r="N1004" i="3"/>
  <c r="P901" i="3"/>
  <c r="AE941" i="3"/>
  <c r="R860" i="3"/>
  <c r="O893" i="3"/>
  <c r="AE891" i="3"/>
  <c r="AD912" i="3"/>
  <c r="R969" i="3"/>
  <c r="R917" i="3"/>
  <c r="AC901" i="3"/>
  <c r="S969" i="3"/>
  <c r="U963" i="3"/>
  <c r="M974" i="3"/>
  <c r="AC1090" i="3"/>
  <c r="AC1047" i="3"/>
  <c r="AH1064" i="3"/>
  <c r="AH1052" i="3"/>
  <c r="R1070" i="3"/>
  <c r="P1025" i="3"/>
  <c r="R579" i="3"/>
  <c r="N467" i="3"/>
  <c r="K635" i="3"/>
  <c r="H74" i="1"/>
  <c r="N920" i="3"/>
  <c r="S841" i="3"/>
  <c r="AE708" i="3"/>
  <c r="AE870" i="3"/>
  <c r="K453" i="3"/>
  <c r="K593" i="3"/>
  <c r="AC691" i="3"/>
  <c r="AE693" i="3"/>
  <c r="AH920" i="3"/>
  <c r="E18" i="1"/>
  <c r="M703" i="3"/>
  <c r="O485" i="3"/>
  <c r="AG554" i="3"/>
  <c r="AF584" i="3"/>
  <c r="D87" i="1"/>
  <c r="M808" i="3"/>
  <c r="R748" i="3"/>
  <c r="AG789" i="3"/>
  <c r="Q951" i="3"/>
  <c r="I546" i="3"/>
  <c r="Q687" i="3"/>
  <c r="R626" i="3"/>
  <c r="S701" i="3"/>
  <c r="E23" i="1"/>
  <c r="R808" i="3"/>
  <c r="AG659" i="3"/>
  <c r="AC668" i="3"/>
  <c r="AE498" i="3"/>
  <c r="U676" i="3"/>
  <c r="I522" i="3"/>
  <c r="N744" i="3"/>
  <c r="AH590" i="3"/>
  <c r="AC885" i="3"/>
  <c r="I572" i="3"/>
  <c r="P470" i="3"/>
  <c r="AG726" i="3"/>
  <c r="AG543" i="3"/>
  <c r="M749" i="3"/>
  <c r="M699" i="3"/>
  <c r="K877" i="3"/>
  <c r="S578" i="3"/>
  <c r="AG516" i="3"/>
  <c r="O633" i="3"/>
  <c r="U551" i="3"/>
  <c r="AE841" i="3"/>
  <c r="N801" i="3"/>
  <c r="AE767" i="3"/>
  <c r="AH847" i="3"/>
  <c r="O476" i="3"/>
  <c r="R426" i="3"/>
  <c r="R542" i="3"/>
  <c r="AC581" i="3"/>
  <c r="U904" i="3"/>
  <c r="S696" i="3"/>
  <c r="AD521" i="3"/>
  <c r="M411" i="3"/>
  <c r="O616" i="3"/>
  <c r="P644" i="3"/>
  <c r="AC651" i="3"/>
  <c r="R751" i="3"/>
  <c r="AE837" i="3"/>
  <c r="AC814" i="3"/>
  <c r="AE631" i="3"/>
  <c r="N650" i="3"/>
  <c r="M609" i="3"/>
  <c r="Q443" i="3"/>
  <c r="R660" i="3"/>
  <c r="N720" i="3"/>
  <c r="AG751" i="3"/>
  <c r="P497" i="3"/>
  <c r="P488" i="3"/>
  <c r="AE528" i="3"/>
  <c r="AD709" i="3"/>
  <c r="U514" i="3"/>
  <c r="N781" i="3"/>
  <c r="P808" i="3"/>
  <c r="K896" i="3"/>
  <c r="I406" i="3"/>
  <c r="D63" i="1"/>
  <c r="U664" i="3"/>
  <c r="N530" i="3"/>
  <c r="R716" i="3"/>
  <c r="AE787" i="3"/>
  <c r="U868" i="3"/>
  <c r="N572" i="3"/>
  <c r="AF406" i="3"/>
  <c r="I479" i="3"/>
  <c r="AE701" i="3"/>
  <c r="M744" i="3"/>
  <c r="U751" i="3"/>
  <c r="M880" i="3"/>
  <c r="AE541" i="3"/>
  <c r="O496" i="3"/>
  <c r="E59" i="1"/>
  <c r="E40" i="1"/>
  <c r="P739" i="3"/>
  <c r="AE496" i="3"/>
  <c r="AF831" i="3"/>
  <c r="S517" i="3"/>
  <c r="N525" i="3"/>
  <c r="AH714" i="3"/>
  <c r="AG630" i="3"/>
  <c r="U448" i="3"/>
  <c r="AD551" i="3"/>
  <c r="AC810" i="3"/>
  <c r="O555" i="3"/>
  <c r="AC599" i="3"/>
  <c r="R667" i="3"/>
  <c r="AH702" i="3"/>
  <c r="P794" i="3"/>
  <c r="AF853" i="3"/>
  <c r="P888" i="3"/>
  <c r="R536" i="3"/>
  <c r="P538" i="3"/>
  <c r="F63" i="1"/>
  <c r="S686" i="3"/>
  <c r="I648" i="3"/>
  <c r="Q740" i="3"/>
  <c r="AG843" i="3"/>
  <c r="P526" i="3"/>
  <c r="AC454" i="3"/>
  <c r="H53" i="1"/>
  <c r="M685" i="3"/>
  <c r="R889" i="3"/>
  <c r="S459" i="3"/>
  <c r="O826" i="3"/>
  <c r="Q411" i="3"/>
  <c r="I561" i="3"/>
  <c r="N753" i="3"/>
  <c r="K600" i="3"/>
  <c r="AG573" i="3"/>
  <c r="N791" i="3"/>
  <c r="AE855" i="3"/>
  <c r="U475" i="3"/>
  <c r="AG610" i="3"/>
  <c r="Q536" i="3"/>
  <c r="G115" i="1"/>
  <c r="M779" i="3"/>
  <c r="O512" i="3"/>
  <c r="AC935" i="3"/>
  <c r="I722" i="3"/>
  <c r="Q520" i="3"/>
  <c r="AD685" i="3"/>
  <c r="Q497" i="3"/>
  <c r="R696" i="3"/>
  <c r="I800" i="3"/>
  <c r="AE699" i="3"/>
  <c r="O940" i="3"/>
  <c r="O431" i="3"/>
  <c r="K726" i="3"/>
  <c r="K730" i="3"/>
  <c r="Q480" i="3"/>
  <c r="U574" i="3"/>
  <c r="N763" i="3"/>
  <c r="Q655" i="3"/>
  <c r="G46" i="1"/>
  <c r="R533" i="3"/>
  <c r="AC672" i="3"/>
  <c r="N691" i="3"/>
  <c r="S837" i="3"/>
  <c r="M651" i="3"/>
  <c r="Q1060" i="3"/>
  <c r="AG932" i="3"/>
  <c r="AH458" i="3"/>
  <c r="Q805" i="3"/>
  <c r="AF447" i="3"/>
  <c r="P840" i="3"/>
  <c r="N812" i="3"/>
  <c r="P855" i="3"/>
  <c r="Q613" i="3"/>
  <c r="M402" i="3"/>
  <c r="U643" i="3"/>
  <c r="S470" i="3"/>
  <c r="AG856" i="3"/>
  <c r="U793" i="3"/>
  <c r="N931" i="3"/>
  <c r="Q871" i="3"/>
  <c r="U426" i="3"/>
  <c r="AE725" i="3"/>
  <c r="P685" i="3"/>
  <c r="AC468" i="3"/>
  <c r="O812" i="3"/>
  <c r="N684" i="3"/>
  <c r="M466" i="3"/>
  <c r="AF639" i="3"/>
  <c r="AF624" i="3"/>
  <c r="Q505" i="3"/>
  <c r="P820" i="3"/>
  <c r="U801" i="3"/>
  <c r="Q637" i="3"/>
  <c r="M935" i="3"/>
  <c r="N502" i="3"/>
  <c r="M588" i="3"/>
  <c r="E80" i="1"/>
  <c r="I687" i="3"/>
  <c r="O1055" i="3"/>
  <c r="R728" i="3"/>
  <c r="P858" i="3"/>
  <c r="AH551" i="3"/>
  <c r="AE443" i="3"/>
  <c r="F64" i="1"/>
  <c r="K717" i="3"/>
  <c r="U972" i="3"/>
  <c r="K495" i="3"/>
  <c r="S862" i="3"/>
  <c r="AF827" i="3"/>
  <c r="I802" i="3"/>
  <c r="U846" i="3"/>
  <c r="AC868" i="3"/>
  <c r="AF854" i="3"/>
  <c r="O1016" i="3"/>
  <c r="N1020" i="3"/>
  <c r="AF1010" i="3"/>
  <c r="N966" i="3"/>
  <c r="AE1014" i="3"/>
  <c r="AD909" i="3"/>
  <c r="AH844" i="3"/>
  <c r="R939" i="3"/>
  <c r="U879" i="3"/>
  <c r="AH946" i="3"/>
  <c r="U894" i="3"/>
  <c r="AD946" i="3"/>
  <c r="Q968" i="3"/>
  <c r="AH1076" i="3"/>
  <c r="R1084" i="3"/>
  <c r="O806" i="3"/>
  <c r="N872" i="3"/>
  <c r="AF876" i="3"/>
  <c r="O819" i="3"/>
  <c r="AH1008" i="3"/>
  <c r="I950" i="3"/>
  <c r="AE1076" i="3"/>
  <c r="AG901" i="3"/>
  <c r="R933" i="3"/>
  <c r="Q902" i="3"/>
  <c r="I959" i="3"/>
  <c r="AG866" i="3"/>
  <c r="M835" i="3"/>
  <c r="N892" i="3"/>
  <c r="AG967" i="3"/>
  <c r="Q953" i="3"/>
  <c r="N1032" i="3"/>
  <c r="AE971" i="3"/>
  <c r="O985" i="3"/>
  <c r="P998" i="3"/>
  <c r="U971" i="3"/>
  <c r="I1066" i="3"/>
  <c r="K1025" i="3"/>
  <c r="AE1045" i="3"/>
  <c r="N1064" i="3"/>
  <c r="M1061" i="3"/>
  <c r="AH1070" i="3"/>
  <c r="U993" i="3"/>
  <c r="AF1021" i="3"/>
  <c r="S844" i="3"/>
  <c r="I1044" i="3"/>
  <c r="N847" i="3"/>
  <c r="K1023" i="3"/>
  <c r="R977" i="3"/>
  <c r="M918" i="3"/>
  <c r="AH1038" i="3"/>
  <c r="AH898" i="3"/>
  <c r="I948" i="3"/>
  <c r="AD952" i="3"/>
  <c r="Q903" i="3"/>
  <c r="AH1060" i="3"/>
  <c r="N936" i="3"/>
  <c r="U918" i="3"/>
  <c r="S959" i="3"/>
  <c r="AF973" i="3"/>
  <c r="AF1075" i="3"/>
  <c r="O941" i="3"/>
  <c r="N941" i="3"/>
  <c r="K956" i="3"/>
  <c r="I936" i="3"/>
  <c r="P1044" i="3"/>
  <c r="AD900" i="3"/>
  <c r="AG942" i="3"/>
  <c r="Q1068" i="3"/>
  <c r="N905" i="3"/>
  <c r="AD1050" i="3"/>
  <c r="S1006" i="3"/>
  <c r="N910" i="3"/>
  <c r="AG947" i="3"/>
  <c r="I883" i="3"/>
  <c r="I851" i="3"/>
  <c r="R859" i="3"/>
  <c r="K925" i="3"/>
  <c r="I962" i="3"/>
  <c r="AF918" i="3"/>
  <c r="Q991" i="3"/>
  <c r="Q978" i="3"/>
  <c r="S1047" i="3"/>
  <c r="O1089" i="3"/>
  <c r="AG1033" i="3"/>
  <c r="O1073" i="3"/>
  <c r="AH1081" i="3"/>
  <c r="AC1082" i="3"/>
  <c r="O1086" i="3"/>
  <c r="M1070" i="3"/>
  <c r="R1085" i="3"/>
  <c r="M916" i="3"/>
  <c r="AC866" i="3"/>
  <c r="Q947" i="3"/>
  <c r="AE990" i="3"/>
  <c r="M986" i="3"/>
  <c r="P921" i="3"/>
  <c r="AD1035" i="3"/>
  <c r="R901" i="3"/>
  <c r="Q979" i="3"/>
  <c r="Q890" i="3"/>
  <c r="AC860" i="3"/>
  <c r="AD923" i="3"/>
  <c r="U822" i="3"/>
  <c r="AG1010" i="3"/>
  <c r="I922" i="3"/>
  <c r="AE1032" i="3"/>
  <c r="AH918" i="3"/>
  <c r="I999" i="3"/>
  <c r="M934" i="3"/>
  <c r="AC875" i="3"/>
  <c r="Q822" i="3"/>
  <c r="R955" i="3"/>
  <c r="AD915" i="3"/>
  <c r="I985" i="3"/>
  <c r="AG978" i="3"/>
  <c r="AF1027" i="3"/>
  <c r="I1011" i="3"/>
  <c r="N1026" i="3"/>
  <c r="Q937" i="3"/>
  <c r="O1060" i="3"/>
  <c r="AC880" i="3"/>
  <c r="O849" i="3"/>
  <c r="I863" i="3"/>
  <c r="I986" i="3"/>
  <c r="I981" i="3"/>
  <c r="AG981" i="3"/>
  <c r="K898" i="3"/>
  <c r="I983" i="3"/>
  <c r="AF917" i="3"/>
  <c r="AH1047" i="3"/>
  <c r="AF1077" i="3"/>
  <c r="AH1025" i="3"/>
  <c r="AE1074" i="3"/>
  <c r="AD1074" i="3"/>
  <c r="U1058" i="3"/>
  <c r="I1047" i="3"/>
  <c r="N1021" i="3"/>
  <c r="R880" i="3"/>
  <c r="AC891" i="3"/>
  <c r="S927" i="3"/>
  <c r="P819" i="3"/>
  <c r="R839" i="3"/>
  <c r="O902" i="3"/>
  <c r="AH933" i="3"/>
  <c r="I1076" i="3"/>
  <c r="S994" i="3"/>
  <c r="AG992" i="3"/>
  <c r="AD863" i="3"/>
  <c r="M855" i="3"/>
  <c r="P810" i="3"/>
  <c r="S823" i="3"/>
  <c r="AF981" i="3"/>
  <c r="AF979" i="3"/>
  <c r="AG894" i="3"/>
  <c r="AF948" i="3"/>
  <c r="AD983" i="3"/>
  <c r="N943" i="3"/>
  <c r="AH822" i="3"/>
  <c r="AC815" i="3"/>
  <c r="AG956" i="3"/>
  <c r="Q916" i="3"/>
  <c r="AC1043" i="3"/>
  <c r="O980" i="3"/>
  <c r="Q925" i="3"/>
  <c r="U934" i="3"/>
  <c r="U897" i="3"/>
  <c r="P980" i="3"/>
  <c r="S928" i="3"/>
  <c r="U815" i="3"/>
  <c r="AC807" i="3"/>
  <c r="AG1011" i="3"/>
  <c r="M1038" i="3"/>
  <c r="AE967" i="3"/>
  <c r="Q1006" i="3"/>
  <c r="AE901" i="3"/>
  <c r="R1022" i="3"/>
  <c r="S938" i="3"/>
  <c r="M1082" i="3"/>
  <c r="Q1082" i="3"/>
  <c r="R1005" i="3"/>
  <c r="O1049" i="3"/>
  <c r="P1052" i="3"/>
  <c r="AE1021" i="3"/>
  <c r="AE1061" i="3"/>
  <c r="I1089" i="3"/>
  <c r="M1065" i="3"/>
  <c r="AD1036" i="3"/>
  <c r="S864" i="3"/>
  <c r="I834" i="3"/>
  <c r="AD936" i="3"/>
  <c r="O882" i="3"/>
  <c r="Q1007" i="3"/>
  <c r="O922" i="3"/>
  <c r="O913" i="3"/>
  <c r="AG957" i="3"/>
  <c r="N1031" i="3"/>
  <c r="AH959" i="3"/>
  <c r="AD1060" i="3"/>
  <c r="R823" i="3"/>
  <c r="O888" i="3"/>
  <c r="R960" i="3"/>
  <c r="N942" i="3"/>
  <c r="U958" i="3"/>
  <c r="N918" i="3"/>
  <c r="AH995" i="3"/>
  <c r="AG1016" i="3"/>
  <c r="O867" i="3"/>
  <c r="U881" i="3"/>
  <c r="AG858" i="3"/>
  <c r="S1008" i="3"/>
  <c r="AE949" i="3"/>
  <c r="N977" i="3"/>
  <c r="Q1015" i="3"/>
  <c r="AF971" i="3"/>
  <c r="K930" i="3"/>
  <c r="S986" i="3"/>
  <c r="AE932" i="3"/>
  <c r="S830" i="3"/>
  <c r="O895" i="3"/>
  <c r="O810" i="3"/>
  <c r="R971" i="3"/>
  <c r="AH981" i="3"/>
  <c r="AF980" i="3"/>
  <c r="AF1038" i="3"/>
  <c r="N1043" i="3"/>
  <c r="P984" i="3"/>
  <c r="O1061" i="3"/>
  <c r="AG1085" i="3"/>
  <c r="U1086" i="3"/>
  <c r="S1052" i="3"/>
  <c r="R1089" i="3"/>
  <c r="I1001" i="3"/>
  <c r="U1061" i="3"/>
  <c r="P1065" i="3"/>
  <c r="S903" i="3"/>
  <c r="Q880" i="3"/>
  <c r="R855" i="3"/>
  <c r="AD1044" i="3"/>
  <c r="AG926" i="3"/>
  <c r="Q984" i="3"/>
  <c r="K1051" i="3"/>
  <c r="O910" i="3"/>
  <c r="S922" i="3"/>
  <c r="U1032" i="3"/>
  <c r="R819" i="3"/>
  <c r="Q872" i="3"/>
  <c r="AE956" i="3"/>
  <c r="P884" i="3"/>
  <c r="U1043" i="3"/>
  <c r="I979" i="3"/>
  <c r="AC1011" i="3"/>
  <c r="S999" i="3"/>
  <c r="M897" i="3"/>
  <c r="U1035" i="3"/>
  <c r="AG890" i="3"/>
  <c r="AH826" i="3"/>
  <c r="AE815" i="3"/>
  <c r="S967" i="3"/>
  <c r="I934" i="3"/>
  <c r="Q999" i="3"/>
  <c r="M1035" i="3"/>
  <c r="AE910" i="3"/>
  <c r="K963" i="3"/>
  <c r="AE947" i="3"/>
  <c r="K859" i="3"/>
  <c r="AG844" i="3"/>
  <c r="R827" i="3"/>
  <c r="AG966" i="3"/>
  <c r="P1043" i="3"/>
  <c r="AE975" i="3"/>
  <c r="AE1051" i="3"/>
  <c r="O1075" i="3"/>
  <c r="AC1032" i="3"/>
  <c r="AD1085" i="3"/>
  <c r="Q1081" i="3"/>
  <c r="K1082" i="3"/>
  <c r="Q1074" i="3"/>
  <c r="O1036" i="3"/>
  <c r="AC1085" i="3"/>
  <c r="AE1090" i="3"/>
  <c r="S1033" i="3"/>
  <c r="AH1049" i="3"/>
  <c r="U892" i="3"/>
  <c r="R944" i="3"/>
  <c r="AE851" i="3"/>
  <c r="AF887" i="3"/>
  <c r="R985" i="3"/>
  <c r="AF1043" i="3"/>
  <c r="O898" i="3"/>
  <c r="M905" i="3"/>
  <c r="I910" i="3"/>
  <c r="K1068" i="3"/>
  <c r="U907" i="3"/>
  <c r="S859" i="3"/>
  <c r="M814" i="3"/>
  <c r="AD1026" i="3"/>
  <c r="K1050" i="3"/>
  <c r="O934" i="3"/>
  <c r="P961" i="3"/>
  <c r="M925" i="3"/>
  <c r="AE977" i="3"/>
  <c r="S964" i="3"/>
  <c r="N855" i="3"/>
  <c r="AD1028" i="3"/>
  <c r="AG835" i="3"/>
  <c r="N1039" i="3"/>
  <c r="R986" i="3"/>
  <c r="AD949" i="3"/>
  <c r="AC957" i="3"/>
  <c r="AE1035" i="3"/>
  <c r="AG1051" i="3"/>
  <c r="N838" i="3"/>
  <c r="AD799" i="3"/>
  <c r="Q927" i="3"/>
  <c r="O798" i="3"/>
  <c r="S897" i="3"/>
  <c r="S929" i="3"/>
  <c r="AD917" i="3"/>
  <c r="AC989" i="3"/>
  <c r="P1051" i="3"/>
  <c r="AF1016" i="3"/>
  <c r="K1086" i="3"/>
  <c r="AD1066" i="3"/>
  <c r="K1021" i="3"/>
  <c r="I1073" i="3"/>
  <c r="S1058" i="3"/>
  <c r="AF1005" i="3"/>
  <c r="N1089" i="3"/>
  <c r="AD1077" i="3"/>
  <c r="M1005" i="3"/>
  <c r="N1074" i="3"/>
  <c r="AG834" i="3"/>
  <c r="R847" i="3"/>
  <c r="AD890" i="3"/>
  <c r="U876" i="3"/>
  <c r="O983" i="3"/>
  <c r="AC929" i="3"/>
  <c r="N1035" i="3"/>
  <c r="N991" i="3"/>
  <c r="R984" i="3"/>
  <c r="R968" i="3"/>
  <c r="AG863" i="3"/>
  <c r="AH850" i="3"/>
  <c r="AG827" i="3"/>
  <c r="AE850" i="3"/>
  <c r="AF909" i="3"/>
  <c r="O998" i="3"/>
  <c r="I984" i="3"/>
  <c r="AC1084" i="3"/>
  <c r="K922" i="3"/>
  <c r="R943" i="3"/>
  <c r="R822" i="3"/>
  <c r="AC872" i="3"/>
  <c r="AD849" i="3"/>
  <c r="K883" i="3"/>
  <c r="AC986" i="3"/>
  <c r="S973" i="3"/>
  <c r="U910" i="3"/>
  <c r="U933" i="3"/>
  <c r="AD898" i="3"/>
  <c r="U921" i="3"/>
  <c r="N803" i="3"/>
  <c r="O1008" i="3"/>
  <c r="AC842" i="3"/>
  <c r="M942" i="3"/>
  <c r="U961" i="3"/>
  <c r="AF1051" i="3"/>
  <c r="U965" i="3"/>
  <c r="S1051" i="3"/>
  <c r="U970" i="3"/>
  <c r="AC1009" i="3"/>
  <c r="AC1057" i="3"/>
  <c r="R1029" i="3"/>
  <c r="AE1065" i="3"/>
  <c r="N1058" i="3"/>
  <c r="AD1057" i="3"/>
  <c r="U1064" i="3"/>
  <c r="N1029" i="3"/>
  <c r="M867" i="3"/>
  <c r="I931" i="3"/>
  <c r="U869" i="3"/>
  <c r="I887" i="3"/>
  <c r="U937" i="3"/>
  <c r="AF1015" i="3"/>
  <c r="O906" i="3"/>
  <c r="U1039" i="3"/>
  <c r="AG1027" i="3"/>
  <c r="U954" i="3"/>
  <c r="AH911" i="3"/>
  <c r="M907" i="3"/>
  <c r="AH890" i="3"/>
  <c r="U940" i="3"/>
  <c r="I913" i="3"/>
  <c r="Q1011" i="3"/>
  <c r="AE926" i="3"/>
  <c r="P989" i="3"/>
  <c r="AE987" i="3"/>
  <c r="S989" i="3"/>
  <c r="U814" i="3"/>
  <c r="AF842" i="3"/>
  <c r="AH887" i="3"/>
  <c r="Q952" i="3"/>
  <c r="P905" i="3"/>
  <c r="Q983" i="3"/>
  <c r="P975" i="3"/>
  <c r="U945" i="3"/>
  <c r="AG906" i="3"/>
  <c r="Q969" i="3"/>
  <c r="K878" i="3"/>
  <c r="U798" i="3"/>
  <c r="AC912" i="3"/>
  <c r="N883" i="3"/>
  <c r="AH901" i="3"/>
  <c r="K913" i="3"/>
  <c r="N1010" i="3"/>
  <c r="AE1043" i="3"/>
  <c r="S1043" i="3"/>
  <c r="O954" i="3"/>
  <c r="AF1070" i="3"/>
  <c r="I1064" i="3"/>
  <c r="AF1078" i="3"/>
  <c r="AC1029" i="3"/>
  <c r="P1021" i="3"/>
  <c r="AC1041" i="3"/>
  <c r="I993" i="3"/>
  <c r="N1085" i="3"/>
  <c r="AC811" i="3"/>
  <c r="S868" i="3"/>
  <c r="AH960" i="3"/>
  <c r="S795" i="3"/>
  <c r="U953" i="3"/>
  <c r="AF901" i="3"/>
  <c r="K1039" i="3"/>
  <c r="N1007" i="3"/>
  <c r="AF1006" i="3"/>
  <c r="R926" i="3"/>
  <c r="AD835" i="3"/>
  <c r="AE868" i="3"/>
  <c r="M883" i="3"/>
  <c r="AG940" i="3"/>
  <c r="AH950" i="3"/>
  <c r="AC981" i="3"/>
  <c r="AD897" i="3"/>
  <c r="K980" i="3"/>
  <c r="I978" i="3"/>
  <c r="Q1054" i="3"/>
  <c r="K907" i="3"/>
  <c r="AD850" i="3"/>
  <c r="P908" i="3"/>
  <c r="AG936" i="3"/>
  <c r="AC998" i="3"/>
  <c r="M963" i="3"/>
  <c r="AG1022" i="3"/>
  <c r="M981" i="3"/>
  <c r="AG1076" i="3"/>
  <c r="K937" i="3"/>
  <c r="AG919" i="3"/>
  <c r="M878" i="3"/>
  <c r="AG814" i="3"/>
  <c r="I954" i="3"/>
  <c r="M1014" i="3"/>
  <c r="S979" i="3"/>
  <c r="AE902" i="3"/>
  <c r="M958" i="3"/>
  <c r="AF977" i="3"/>
  <c r="AG1052" i="3"/>
  <c r="I1017" i="3"/>
  <c r="R1021" i="3"/>
  <c r="I1052" i="3"/>
  <c r="AE1042" i="3"/>
  <c r="K1001" i="3"/>
  <c r="I1036" i="3"/>
  <c r="O1021" i="3"/>
  <c r="AE1041" i="3"/>
  <c r="S1042" i="3"/>
  <c r="AC1021" i="3"/>
  <c r="AE935" i="3"/>
  <c r="O1028" i="3"/>
  <c r="M839" i="3"/>
  <c r="I990" i="3"/>
  <c r="Q990" i="3"/>
  <c r="M938" i="3"/>
  <c r="I925" i="3"/>
  <c r="U975" i="3"/>
  <c r="R963" i="3"/>
  <c r="AG862" i="3"/>
  <c r="R803" i="3"/>
  <c r="O814" i="3"/>
  <c r="Q911" i="3"/>
  <c r="R994" i="3"/>
  <c r="N1051" i="3"/>
  <c r="M991" i="3"/>
  <c r="AE1084" i="3"/>
  <c r="AG977" i="3"/>
  <c r="I1014" i="3"/>
  <c r="AG899" i="3"/>
  <c r="R807" i="3"/>
  <c r="AF1028" i="3"/>
  <c r="P818" i="3"/>
  <c r="Q949" i="3"/>
  <c r="K1007" i="3"/>
  <c r="AH943" i="3"/>
  <c r="O1054" i="3"/>
  <c r="Q906" i="3"/>
  <c r="P977" i="3"/>
  <c r="R849" i="3"/>
  <c r="N814" i="3"/>
  <c r="AC900" i="3"/>
  <c r="AH919" i="3"/>
  <c r="AG948" i="3"/>
  <c r="AC948" i="3"/>
  <c r="U917" i="3"/>
  <c r="N974" i="3"/>
  <c r="AF1084" i="3"/>
  <c r="AG1029" i="3"/>
  <c r="AE1089" i="3"/>
  <c r="AF1045" i="3"/>
  <c r="AC1064" i="3"/>
  <c r="AG1065" i="3"/>
  <c r="Q1033" i="3"/>
  <c r="M1009" i="3"/>
  <c r="U1025" i="3"/>
  <c r="AF1041" i="3"/>
  <c r="M850" i="3"/>
  <c r="AG960" i="3"/>
  <c r="N976" i="3"/>
  <c r="K858" i="3"/>
  <c r="O894" i="3"/>
  <c r="N985" i="3"/>
  <c r="U957" i="3"/>
  <c r="AF1020" i="3"/>
  <c r="Q973" i="3"/>
  <c r="AD907" i="3"/>
  <c r="O900" i="3"/>
  <c r="S880" i="3"/>
  <c r="AG867" i="3"/>
  <c r="AG1039" i="3"/>
  <c r="AG953" i="3"/>
  <c r="Q1084" i="3"/>
  <c r="AC959" i="3"/>
  <c r="U987" i="3"/>
  <c r="AG898" i="3"/>
  <c r="S956" i="3"/>
  <c r="R887" i="3"/>
  <c r="N907" i="3"/>
  <c r="Q930" i="3"/>
  <c r="O1066" i="3"/>
  <c r="AE1017" i="3"/>
  <c r="M1074" i="3"/>
  <c r="AH1057" i="3"/>
  <c r="Q1078" i="3"/>
  <c r="Q1047" i="3"/>
  <c r="N556" i="3"/>
  <c r="U498" i="3"/>
  <c r="R672" i="3"/>
  <c r="N515" i="3"/>
  <c r="P780" i="3"/>
  <c r="K707" i="3"/>
  <c r="O502" i="3"/>
  <c r="R802" i="3"/>
  <c r="AC525" i="3"/>
  <c r="M706" i="3"/>
  <c r="AF490" i="3"/>
  <c r="I526" i="3"/>
  <c r="U780" i="3"/>
  <c r="AG787" i="3"/>
  <c r="O865" i="3"/>
  <c r="K426" i="3"/>
  <c r="M499" i="3"/>
  <c r="M676" i="3"/>
  <c r="AF522" i="3"/>
  <c r="AG779" i="3"/>
  <c r="AC777" i="3"/>
  <c r="AG687" i="3"/>
  <c r="Q931" i="3"/>
  <c r="M656" i="3"/>
  <c r="AG684" i="3"/>
  <c r="AH673" i="3"/>
  <c r="AE472" i="3"/>
  <c r="K538" i="3"/>
  <c r="Q772" i="3"/>
  <c r="AG463" i="3"/>
  <c r="AH630" i="3"/>
  <c r="AE677" i="3"/>
  <c r="AF673" i="3"/>
  <c r="R666" i="3"/>
  <c r="AD793" i="3"/>
  <c r="AH856" i="3"/>
  <c r="Q891" i="3"/>
  <c r="AG577" i="3"/>
  <c r="U513" i="3"/>
  <c r="K681" i="3"/>
  <c r="I443" i="3"/>
  <c r="P633" i="3"/>
  <c r="P845" i="3"/>
  <c r="K791" i="3"/>
  <c r="G85" i="1"/>
  <c r="E43" i="1"/>
  <c r="AE749" i="3"/>
  <c r="AG873" i="3"/>
  <c r="R829" i="3"/>
  <c r="P801" i="3"/>
  <c r="Q783" i="3"/>
  <c r="S911" i="3"/>
  <c r="S476" i="3"/>
  <c r="AD604" i="3"/>
  <c r="K741" i="3"/>
  <c r="AH472" i="3"/>
  <c r="P649" i="3"/>
  <c r="R699" i="3"/>
  <c r="R472" i="3"/>
  <c r="AC542" i="3"/>
  <c r="O774" i="3"/>
  <c r="M574" i="3"/>
  <c r="AD710" i="3"/>
  <c r="AG877" i="3"/>
  <c r="AD713" i="3"/>
  <c r="Q844" i="3"/>
  <c r="AC523" i="3"/>
  <c r="AF709" i="3"/>
  <c r="AE646" i="3"/>
  <c r="AE694" i="3"/>
  <c r="AE702" i="3"/>
  <c r="AH646" i="3"/>
  <c r="AH763" i="3"/>
  <c r="P790" i="3"/>
  <c r="M511" i="3"/>
  <c r="H94" i="1"/>
  <c r="U687" i="3"/>
  <c r="AF746" i="3"/>
  <c r="AC813" i="3"/>
  <c r="P760" i="3"/>
  <c r="P826" i="3"/>
  <c r="AF594" i="3"/>
  <c r="O649" i="3"/>
  <c r="U649" i="3"/>
  <c r="AD625" i="3"/>
  <c r="AH759" i="3"/>
  <c r="S688" i="3"/>
  <c r="M936" i="3"/>
  <c r="Q442" i="3"/>
  <c r="U562" i="3"/>
  <c r="S594" i="3"/>
  <c r="AE635" i="3"/>
  <c r="M732" i="3"/>
  <c r="AE523" i="3"/>
  <c r="Q876" i="3"/>
  <c r="R431" i="3"/>
  <c r="K550" i="3"/>
  <c r="S544" i="3"/>
  <c r="AD422" i="3"/>
  <c r="AC865" i="3"/>
  <c r="AD739" i="3"/>
  <c r="AF855" i="3"/>
  <c r="Q535" i="3"/>
  <c r="G82" i="1"/>
  <c r="AH498" i="3"/>
  <c r="K742" i="3"/>
  <c r="S800" i="3"/>
  <c r="P603" i="3"/>
  <c r="Q900" i="3"/>
  <c r="AE874" i="3"/>
  <c r="AH509" i="3"/>
  <c r="H93" i="1"/>
  <c r="F19" i="1"/>
  <c r="AG761" i="3"/>
  <c r="AH636" i="3"/>
  <c r="I882" i="3"/>
  <c r="O579" i="3"/>
  <c r="N446" i="3"/>
  <c r="Q448" i="3"/>
  <c r="M689" i="3"/>
  <c r="N694" i="3"/>
  <c r="AH744" i="3"/>
  <c r="I903" i="3"/>
  <c r="AF415" i="3"/>
  <c r="E48" i="1"/>
  <c r="AC414" i="3"/>
  <c r="H109" i="1"/>
  <c r="R792" i="3"/>
  <c r="Q683" i="3"/>
  <c r="K939" i="3"/>
  <c r="I411" i="3"/>
  <c r="AF427" i="3"/>
  <c r="AH577" i="3"/>
  <c r="I655" i="3"/>
  <c r="U865" i="3"/>
  <c r="Q446" i="3"/>
  <c r="P886" i="3"/>
  <c r="S932" i="3"/>
  <c r="AG560" i="3"/>
  <c r="N672" i="3"/>
  <c r="P601" i="3"/>
  <c r="U779" i="3"/>
  <c r="K589" i="3"/>
  <c r="M868" i="3"/>
  <c r="S633" i="3"/>
  <c r="AD451" i="3"/>
  <c r="AD608" i="3"/>
  <c r="AG519" i="3"/>
  <c r="AD740" i="3"/>
  <c r="I904" i="3"/>
  <c r="AH764" i="3"/>
  <c r="AH819" i="3"/>
  <c r="N557" i="3"/>
  <c r="AE657" i="3"/>
  <c r="O530" i="3"/>
  <c r="Q650" i="3"/>
  <c r="I505" i="3"/>
  <c r="O735" i="3"/>
  <c r="Q527" i="3"/>
  <c r="S554" i="3"/>
  <c r="Q427" i="3"/>
  <c r="I790" i="3"/>
  <c r="I683" i="3"/>
  <c r="AE604" i="3"/>
  <c r="M785" i="3"/>
  <c r="K887" i="3"/>
  <c r="K838" i="3"/>
  <c r="P458" i="3"/>
  <c r="AH742" i="3"/>
  <c r="K610" i="3"/>
  <c r="K748" i="3"/>
  <c r="I756" i="3"/>
  <c r="R744" i="3"/>
  <c r="O654" i="3"/>
  <c r="M578" i="3"/>
  <c r="AH656" i="3"/>
  <c r="F21" i="1"/>
  <c r="I764" i="3"/>
  <c r="P788" i="3"/>
  <c r="N712" i="3"/>
  <c r="AF907" i="3"/>
  <c r="M571" i="3"/>
  <c r="R698" i="3"/>
  <c r="AE697" i="3"/>
  <c r="AE617" i="3"/>
  <c r="N755" i="3"/>
  <c r="P781" i="3"/>
  <c r="O551" i="3"/>
  <c r="AC453" i="3"/>
  <c r="I636" i="3"/>
  <c r="R625" i="3"/>
  <c r="Q766" i="3"/>
  <c r="U770" i="3"/>
  <c r="N715" i="3"/>
  <c r="U932" i="3"/>
  <c r="K407" i="3"/>
  <c r="AF873" i="3"/>
  <c r="M714" i="3"/>
  <c r="S741" i="3"/>
  <c r="Q972" i="3"/>
  <c r="S744" i="3"/>
  <c r="AE880" i="3"/>
  <c r="I475" i="3"/>
  <c r="AG474" i="3"/>
  <c r="S488" i="3"/>
  <c r="K652" i="3"/>
  <c r="AF829" i="3"/>
  <c r="S776" i="3"/>
  <c r="AC806" i="3"/>
  <c r="M944" i="3"/>
  <c r="R844" i="3"/>
  <c r="S879" i="3"/>
  <c r="AE928" i="3"/>
  <c r="I885" i="3"/>
  <c r="AF961" i="3"/>
  <c r="AD1015" i="3"/>
  <c r="M954" i="3"/>
  <c r="M1076" i="3"/>
  <c r="I926" i="3"/>
  <c r="AD943" i="3"/>
  <c r="K849" i="3"/>
  <c r="Q870" i="3"/>
  <c r="AE1044" i="3"/>
  <c r="AF954" i="3"/>
  <c r="AH1023" i="3"/>
  <c r="K1076" i="3"/>
  <c r="AD925" i="3"/>
  <c r="AG914" i="3"/>
  <c r="O1039" i="3"/>
  <c r="I893" i="3"/>
  <c r="K903" i="3"/>
  <c r="P870" i="3"/>
  <c r="AF814" i="3"/>
  <c r="U956" i="3"/>
  <c r="AG934" i="3"/>
  <c r="P941" i="3"/>
  <c r="R1007" i="3"/>
  <c r="AD1051" i="3"/>
  <c r="R1020" i="3"/>
  <c r="AF897" i="3"/>
  <c r="AE900" i="3"/>
  <c r="N908" i="3"/>
  <c r="AE881" i="3"/>
  <c r="Q959" i="3"/>
  <c r="N914" i="3"/>
  <c r="Q1014" i="3"/>
  <c r="Q1022" i="3"/>
  <c r="M983" i="3"/>
  <c r="R975" i="3"/>
  <c r="N970" i="3"/>
  <c r="AH1001" i="3"/>
  <c r="R1061" i="3"/>
  <c r="AF1061" i="3"/>
  <c r="Q1052" i="3"/>
  <c r="S1029" i="3"/>
  <c r="K993" i="3"/>
  <c r="U654" i="3"/>
  <c r="AF615" i="3"/>
  <c r="F39" i="1"/>
  <c r="P637" i="3"/>
  <c r="R920" i="3"/>
  <c r="AH550" i="3"/>
  <c r="I838" i="3"/>
  <c r="I480" i="3"/>
  <c r="M438" i="3"/>
  <c r="M526" i="3"/>
  <c r="P443" i="3"/>
  <c r="P733" i="3"/>
  <c r="M812" i="3"/>
  <c r="O660" i="3"/>
  <c r="O875" i="3"/>
  <c r="U466" i="3"/>
  <c r="I667" i="3"/>
  <c r="AG512" i="3"/>
  <c r="S626" i="3"/>
  <c r="AC780" i="3"/>
  <c r="K682" i="3"/>
  <c r="AH798" i="3"/>
  <c r="AC884" i="3"/>
  <c r="M459" i="3"/>
  <c r="M646" i="3"/>
  <c r="AG504" i="3"/>
  <c r="P759" i="3"/>
  <c r="P841" i="3"/>
  <c r="AF782" i="3"/>
  <c r="E88" i="1"/>
  <c r="H43" i="1"/>
  <c r="AC660" i="3"/>
  <c r="Q599" i="3"/>
  <c r="P797" i="3"/>
  <c r="I707" i="3"/>
  <c r="AD750" i="3"/>
  <c r="AG884" i="3"/>
  <c r="AG566" i="3"/>
  <c r="AC474" i="3"/>
  <c r="O463" i="3"/>
  <c r="AC684" i="3"/>
  <c r="AH857" i="3"/>
  <c r="K781" i="3"/>
  <c r="N831" i="3"/>
  <c r="N450" i="3"/>
  <c r="R476" i="3"/>
  <c r="S534" i="3"/>
  <c r="O521" i="3"/>
  <c r="AF797" i="3"/>
  <c r="AC442" i="3"/>
  <c r="P916" i="3"/>
  <c r="P472" i="3"/>
  <c r="N569" i="3"/>
  <c r="R684" i="3"/>
  <c r="E35" i="1"/>
  <c r="O716" i="3"/>
  <c r="N732" i="3"/>
  <c r="AE764" i="3"/>
  <c r="AC663" i="3"/>
  <c r="S468" i="3"/>
  <c r="M721" i="3"/>
  <c r="I665" i="3"/>
  <c r="M679" i="3"/>
  <c r="AG780" i="3"/>
  <c r="AD724" i="3"/>
  <c r="O842" i="3"/>
  <c r="D94" i="1"/>
  <c r="M464" i="3"/>
  <c r="AF590" i="3"/>
  <c r="H106" i="1"/>
  <c r="I700" i="3"/>
  <c r="K793" i="3"/>
  <c r="D93" i="1"/>
  <c r="AC458" i="3"/>
  <c r="U560" i="3"/>
  <c r="H92" i="1"/>
  <c r="N485" i="3"/>
  <c r="P852" i="3"/>
  <c r="AC817" i="3"/>
  <c r="M786" i="3"/>
  <c r="S1060" i="3"/>
  <c r="AD453" i="3"/>
  <c r="O644" i="3"/>
  <c r="AD669" i="3"/>
  <c r="R714" i="3"/>
  <c r="AG683" i="3"/>
  <c r="I782" i="3"/>
  <c r="S519" i="3"/>
  <c r="AH578" i="3"/>
  <c r="AC438" i="3"/>
  <c r="F94" i="1"/>
  <c r="M641" i="3"/>
  <c r="U775" i="3"/>
  <c r="K920" i="3"/>
  <c r="O835" i="3"/>
  <c r="I570" i="3"/>
  <c r="N656" i="3"/>
  <c r="M636" i="3"/>
  <c r="AC676" i="3"/>
  <c r="AC816" i="3"/>
  <c r="O856" i="3"/>
  <c r="K414" i="3"/>
  <c r="AD639" i="3"/>
  <c r="I593" i="3"/>
  <c r="M661" i="3"/>
  <c r="AF629" i="3"/>
  <c r="AH719" i="3"/>
  <c r="I817" i="3"/>
  <c r="AD931" i="3"/>
  <c r="AF476" i="3"/>
  <c r="Q410" i="3"/>
  <c r="D76" i="1"/>
  <c r="AE889" i="3"/>
  <c r="AH772" i="3"/>
  <c r="U841" i="3"/>
  <c r="AG603" i="3"/>
  <c r="AC480" i="3"/>
  <c r="E108" i="1"/>
  <c r="K646" i="3"/>
  <c r="S766" i="3"/>
  <c r="I833" i="3"/>
  <c r="R710" i="3"/>
  <c r="AF844" i="3"/>
  <c r="M513" i="3"/>
  <c r="P473" i="3"/>
  <c r="AE698" i="3"/>
  <c r="AC641" i="3"/>
  <c r="M431" i="3"/>
  <c r="M748" i="3"/>
  <c r="AG888" i="3"/>
  <c r="AF630" i="3"/>
  <c r="F55" i="1"/>
  <c r="O572" i="3"/>
  <c r="M600" i="3"/>
  <c r="I765" i="3"/>
  <c r="AD852" i="3"/>
  <c r="Q868" i="3"/>
  <c r="AE407" i="3"/>
  <c r="Q643" i="3"/>
  <c r="K510" i="3"/>
  <c r="AD681" i="3"/>
  <c r="AF740" i="3"/>
  <c r="AH716" i="3"/>
  <c r="U806" i="3"/>
  <c r="I427" i="3"/>
  <c r="N514" i="3"/>
  <c r="AD537" i="3"/>
  <c r="Q636" i="3"/>
  <c r="AC764" i="3"/>
  <c r="S684" i="3"/>
  <c r="K900" i="3"/>
  <c r="AD895" i="3"/>
  <c r="AF472" i="3"/>
  <c r="N758" i="3"/>
  <c r="E65" i="1"/>
  <c r="AE857" i="3"/>
  <c r="AF724" i="3"/>
  <c r="S631" i="3"/>
  <c r="AF598" i="3"/>
  <c r="AC620" i="3"/>
  <c r="M672" i="3"/>
  <c r="P754" i="3"/>
  <c r="N528" i="3"/>
  <c r="E36" i="1"/>
  <c r="AC711" i="3"/>
  <c r="R907" i="3"/>
  <c r="AG490" i="3"/>
  <c r="AE563" i="3"/>
  <c r="P525" i="3"/>
  <c r="D98" i="1"/>
  <c r="U825" i="3"/>
  <c r="AD672" i="3"/>
  <c r="S882" i="3"/>
  <c r="E55" i="1"/>
  <c r="M545" i="3"/>
  <c r="D24" i="1"/>
  <c r="AD513" i="3"/>
  <c r="S812" i="3"/>
  <c r="D43" i="1"/>
  <c r="AE872" i="3"/>
  <c r="AC543" i="3"/>
  <c r="AD495" i="3"/>
  <c r="Q741" i="3"/>
  <c r="P426" i="3"/>
  <c r="AC857" i="3"/>
  <c r="S750" i="3"/>
  <c r="P880" i="3"/>
  <c r="AD448" i="3"/>
  <c r="M533" i="3"/>
  <c r="AC533" i="3"/>
  <c r="F58" i="1"/>
  <c r="R760" i="3"/>
  <c r="AD743" i="3"/>
  <c r="P839" i="3"/>
  <c r="M879" i="3"/>
  <c r="N722" i="3"/>
  <c r="N738" i="3"/>
  <c r="R726" i="3"/>
  <c r="M632" i="3"/>
  <c r="M794" i="3"/>
  <c r="AF772" i="3"/>
  <c r="U516" i="3"/>
  <c r="AD635" i="3"/>
  <c r="U598" i="3"/>
  <c r="N644" i="3"/>
  <c r="U725" i="3"/>
  <c r="O787" i="3"/>
  <c r="AG800" i="3"/>
  <c r="AC907" i="3"/>
  <c r="R871" i="3"/>
  <c r="Q806" i="3"/>
  <c r="S912" i="3"/>
  <c r="AE939" i="3"/>
  <c r="K975" i="3"/>
  <c r="Q1075" i="3"/>
  <c r="U994" i="3"/>
  <c r="K945" i="3"/>
  <c r="R1075" i="3"/>
  <c r="N1011" i="3"/>
  <c r="N868" i="3"/>
  <c r="AD882" i="3"/>
  <c r="AG855" i="3"/>
  <c r="M1019" i="3"/>
  <c r="O1020" i="3"/>
  <c r="O1014" i="3"/>
  <c r="O914" i="3"/>
  <c r="AF985" i="3"/>
  <c r="N981" i="3"/>
  <c r="R1043" i="3"/>
  <c r="AH838" i="3"/>
  <c r="N890" i="3"/>
  <c r="N858" i="3"/>
  <c r="AD884" i="3"/>
  <c r="M1016" i="3"/>
  <c r="AG909" i="3"/>
  <c r="AF968" i="3"/>
  <c r="N1015" i="3"/>
  <c r="AH948" i="3"/>
  <c r="AF1076" i="3"/>
  <c r="AH884" i="3"/>
  <c r="P935" i="3"/>
  <c r="AE859" i="3"/>
  <c r="M890" i="3"/>
  <c r="U1007" i="3"/>
  <c r="U1076" i="3"/>
  <c r="N958" i="3"/>
  <c r="AC909" i="3"/>
  <c r="AG1004" i="3"/>
  <c r="Q965" i="3"/>
  <c r="U1009" i="3"/>
  <c r="AD1033" i="3"/>
  <c r="AE1081" i="3"/>
  <c r="U1074" i="3"/>
  <c r="U1077" i="3"/>
  <c r="U1017" i="3"/>
  <c r="I1021" i="3"/>
  <c r="S1001" i="3"/>
  <c r="AG1060" i="3"/>
  <c r="AD807" i="3"/>
  <c r="AG842" i="3"/>
  <c r="AD924" i="3"/>
  <c r="O1043" i="3"/>
  <c r="K1038" i="3"/>
  <c r="O971" i="3"/>
  <c r="AG984" i="3"/>
  <c r="M979" i="3"/>
  <c r="Q909" i="3"/>
  <c r="AE915" i="3"/>
  <c r="AD795" i="3"/>
  <c r="AH866" i="3"/>
  <c r="AD1008" i="3"/>
  <c r="M999" i="3"/>
  <c r="S910" i="3"/>
  <c r="N961" i="3"/>
  <c r="AF910" i="3"/>
  <c r="P930" i="3"/>
  <c r="Q958" i="3"/>
  <c r="AE964" i="3"/>
  <c r="AH1044" i="3"/>
  <c r="U886" i="3"/>
  <c r="U871" i="3"/>
  <c r="O995" i="3"/>
  <c r="I1039" i="3"/>
  <c r="P929" i="3"/>
  <c r="AC990" i="3"/>
  <c r="AH1011" i="3"/>
  <c r="I827" i="3"/>
  <c r="AC834" i="3"/>
  <c r="AH860" i="3"/>
  <c r="AG895" i="3"/>
  <c r="S1054" i="3"/>
  <c r="AF992" i="3"/>
  <c r="I994" i="3"/>
  <c r="AH968" i="3"/>
  <c r="Q922" i="3"/>
  <c r="P959" i="3"/>
  <c r="AG993" i="3"/>
  <c r="AH1058" i="3"/>
  <c r="K1090" i="3"/>
  <c r="N1066" i="3"/>
  <c r="O1064" i="3"/>
  <c r="I1077" i="3"/>
  <c r="I1025" i="3"/>
  <c r="O1081" i="3"/>
  <c r="S811" i="3"/>
  <c r="Q819" i="3"/>
  <c r="AC899" i="3"/>
  <c r="K940" i="3"/>
  <c r="O930" i="3"/>
  <c r="P1035" i="3"/>
  <c r="AC1007" i="3"/>
  <c r="U941" i="3"/>
  <c r="K894" i="3"/>
  <c r="AD987" i="3"/>
  <c r="R830" i="3"/>
  <c r="AE835" i="3"/>
  <c r="AF1008" i="3"/>
  <c r="Q860" i="3"/>
  <c r="U979" i="3"/>
  <c r="R982" i="3"/>
  <c r="U1026" i="3"/>
  <c r="R978" i="3"/>
  <c r="AD979" i="3"/>
  <c r="S901" i="3"/>
  <c r="P893" i="3"/>
  <c r="AH928" i="3"/>
  <c r="I900" i="3"/>
  <c r="Q944" i="3"/>
  <c r="S1022" i="3"/>
  <c r="AH986" i="3"/>
  <c r="AF995" i="3"/>
  <c r="M945" i="3"/>
  <c r="AC992" i="3"/>
  <c r="I969" i="3"/>
  <c r="R976" i="3"/>
  <c r="AC915" i="3"/>
  <c r="I860" i="3"/>
  <c r="I1028" i="3"/>
  <c r="AE1004" i="3"/>
  <c r="AD974" i="3"/>
  <c r="R970" i="3"/>
  <c r="AH922" i="3"/>
  <c r="O946" i="3"/>
  <c r="AG1068" i="3"/>
  <c r="AG1064" i="3"/>
  <c r="P1009" i="3"/>
  <c r="M1021" i="3"/>
  <c r="U1078" i="3"/>
  <c r="P1082" i="3"/>
  <c r="AE1057" i="3"/>
  <c r="AC1065" i="3"/>
  <c r="AC1081" i="3"/>
  <c r="I888" i="3"/>
  <c r="O947" i="3"/>
  <c r="AC862" i="3"/>
  <c r="U955" i="3"/>
  <c r="AC942" i="3"/>
  <c r="AF974" i="3"/>
  <c r="K1015" i="3"/>
  <c r="AC968" i="3"/>
  <c r="I1016" i="3"/>
  <c r="AH913" i="3"/>
  <c r="U834" i="3"/>
  <c r="N818" i="3"/>
  <c r="M844" i="3"/>
  <c r="I927" i="3"/>
  <c r="U980" i="3"/>
  <c r="AG983" i="3"/>
  <c r="M1023" i="3"/>
  <c r="M985" i="3"/>
  <c r="AC910" i="3"/>
  <c r="U929" i="3"/>
  <c r="AE886" i="3"/>
  <c r="P883" i="3"/>
  <c r="S818" i="3"/>
  <c r="I923" i="3"/>
  <c r="AC946" i="3"/>
  <c r="R1050" i="3"/>
  <c r="M1022" i="3"/>
  <c r="AF966" i="3"/>
  <c r="AD902" i="3"/>
  <c r="R846" i="3"/>
  <c r="AH939" i="3"/>
  <c r="S883" i="3"/>
  <c r="N899" i="3"/>
  <c r="AG918" i="3"/>
  <c r="U1051" i="3"/>
  <c r="U962" i="3"/>
  <c r="AE957" i="3"/>
  <c r="AG990" i="3"/>
  <c r="O937" i="3"/>
  <c r="U1005" i="3"/>
  <c r="Q1089" i="3"/>
  <c r="P1049" i="3"/>
  <c r="O1009" i="3"/>
  <c r="P1086" i="3"/>
  <c r="Q1001" i="3"/>
  <c r="AC1073" i="3"/>
  <c r="AE1073" i="3"/>
  <c r="AE1070" i="3"/>
  <c r="S1049" i="3"/>
  <c r="AE1064" i="3"/>
  <c r="AG849" i="3"/>
  <c r="N885" i="3"/>
  <c r="O1019" i="3"/>
  <c r="P976" i="3"/>
  <c r="R989" i="3"/>
  <c r="R922" i="3"/>
  <c r="Q957" i="3"/>
  <c r="U1014" i="3"/>
  <c r="AE905" i="3"/>
  <c r="P969" i="3"/>
  <c r="AG819" i="3"/>
  <c r="N849" i="3"/>
  <c r="K1028" i="3"/>
  <c r="AD990" i="3"/>
  <c r="P991" i="3"/>
  <c r="AG979" i="3"/>
  <c r="AC1014" i="3"/>
  <c r="O991" i="3"/>
  <c r="Q975" i="3"/>
  <c r="Q823" i="3"/>
  <c r="AF890" i="3"/>
  <c r="U862" i="3"/>
  <c r="AG881" i="3"/>
  <c r="AD1068" i="3"/>
  <c r="AD978" i="3"/>
  <c r="AE978" i="3"/>
  <c r="N906" i="3"/>
  <c r="N1022" i="3"/>
  <c r="P898" i="3"/>
  <c r="AH807" i="3"/>
  <c r="AD960" i="3"/>
  <c r="R869" i="3"/>
  <c r="AE887" i="3"/>
  <c r="AD1039" i="3"/>
  <c r="AC966" i="3"/>
  <c r="P945" i="3"/>
  <c r="S905" i="3"/>
  <c r="AF1068" i="3"/>
  <c r="S933" i="3"/>
  <c r="AF1086" i="3"/>
  <c r="AE1033" i="3"/>
  <c r="AE1009" i="3"/>
  <c r="O1033" i="3"/>
  <c r="R1082" i="3"/>
  <c r="AG1009" i="3"/>
  <c r="R1074" i="3"/>
  <c r="U1089" i="3"/>
  <c r="AG799" i="3"/>
  <c r="P871" i="3"/>
  <c r="AG795" i="3"/>
  <c r="AE842" i="3"/>
  <c r="I918" i="3"/>
  <c r="AF926" i="3"/>
  <c r="R979" i="3"/>
  <c r="N1038" i="3"/>
  <c r="R945" i="3"/>
  <c r="S1016" i="3"/>
  <c r="O952" i="3"/>
  <c r="AG928" i="3"/>
  <c r="AH859" i="3"/>
  <c r="R1006" i="3"/>
  <c r="AG950" i="3"/>
  <c r="AD1011" i="3"/>
  <c r="AD954" i="3"/>
  <c r="AH938" i="3"/>
  <c r="S898" i="3"/>
  <c r="Q830" i="3"/>
  <c r="K952" i="3"/>
  <c r="P1060" i="3"/>
  <c r="S936" i="3"/>
  <c r="P1031" i="3"/>
  <c r="O1038" i="3"/>
  <c r="N953" i="3"/>
  <c r="P957" i="3"/>
  <c r="I949" i="3"/>
  <c r="AD1006" i="3"/>
  <c r="AD798" i="3"/>
  <c r="P1019" i="3"/>
  <c r="AF822" i="3"/>
  <c r="R912" i="3"/>
  <c r="AD992" i="3"/>
  <c r="O987" i="3"/>
  <c r="AG959" i="3"/>
  <c r="AD989" i="3"/>
  <c r="AD991" i="3"/>
  <c r="AG943" i="3"/>
  <c r="AD1090" i="3"/>
  <c r="AH1029" i="3"/>
  <c r="I1070" i="3"/>
  <c r="K1033" i="3"/>
  <c r="N1073" i="3"/>
  <c r="N1036" i="3"/>
  <c r="AH1074" i="3"/>
  <c r="AD1001" i="3"/>
  <c r="I1082" i="3"/>
  <c r="P964" i="3"/>
  <c r="AD830" i="3"/>
  <c r="S847" i="3"/>
  <c r="M847" i="3"/>
  <c r="I1022" i="3"/>
  <c r="I943" i="3"/>
  <c r="K905" i="3"/>
  <c r="K949" i="3"/>
  <c r="AE998" i="3"/>
  <c r="R842" i="3"/>
  <c r="N826" i="3"/>
  <c r="AD869" i="3"/>
  <c r="N944" i="3"/>
  <c r="AH1035" i="3"/>
  <c r="N971" i="3"/>
  <c r="Q1039" i="3"/>
  <c r="O975" i="3"/>
  <c r="R959" i="3"/>
  <c r="AG946" i="3"/>
  <c r="AC843" i="3"/>
  <c r="R876" i="3"/>
  <c r="K806" i="3"/>
  <c r="AG916" i="3"/>
  <c r="AD986" i="3"/>
  <c r="O981" i="3"/>
  <c r="AD929" i="3"/>
  <c r="I1020" i="3"/>
  <c r="AG941" i="3"/>
  <c r="AE897" i="3"/>
  <c r="AD871" i="3"/>
  <c r="M911" i="3"/>
  <c r="AD815" i="3"/>
  <c r="AD827" i="3"/>
  <c r="AH1007" i="3"/>
  <c r="S942" i="3"/>
  <c r="K1010" i="3"/>
  <c r="P910" i="3"/>
  <c r="P1038" i="3"/>
  <c r="AG970" i="3"/>
  <c r="Q1064" i="3"/>
  <c r="AF993" i="3"/>
  <c r="AD1070" i="3"/>
  <c r="U1047" i="3"/>
  <c r="AE1066" i="3"/>
  <c r="S1021" i="3"/>
  <c r="R1064" i="3"/>
  <c r="AD1049" i="3"/>
  <c r="M1047" i="3"/>
  <c r="R1065" i="3"/>
  <c r="K866" i="3"/>
  <c r="M964" i="3"/>
  <c r="R814" i="3"/>
  <c r="AH1019" i="3"/>
  <c r="I1054" i="3"/>
  <c r="Q1053" i="3"/>
  <c r="AE1053" i="3"/>
  <c r="N934" i="3"/>
  <c r="U1053" i="3"/>
  <c r="O1026" i="3"/>
  <c r="U928" i="3"/>
  <c r="AG822" i="3"/>
  <c r="U899" i="3"/>
  <c r="U866" i="3"/>
  <c r="AE984" i="3"/>
  <c r="AE950" i="3"/>
  <c r="N929" i="3"/>
  <c r="Q948" i="3"/>
  <c r="M894" i="3"/>
  <c r="R954" i="3"/>
  <c r="Q843" i="3"/>
  <c r="M846" i="3"/>
  <c r="AD868" i="3"/>
  <c r="AF937" i="3"/>
  <c r="P958" i="3"/>
  <c r="AD913" i="3"/>
  <c r="R925" i="3"/>
  <c r="AE917" i="3"/>
  <c r="Q1027" i="3"/>
  <c r="AC927" i="3"/>
  <c r="AC960" i="3"/>
  <c r="O931" i="3"/>
  <c r="I879" i="3"/>
  <c r="Q966" i="3"/>
  <c r="S966" i="3"/>
  <c r="AE937" i="3"/>
  <c r="P986" i="3"/>
  <c r="S909" i="3"/>
  <c r="AG910" i="3"/>
  <c r="M1036" i="3"/>
  <c r="O1041" i="3"/>
  <c r="S1005" i="3"/>
  <c r="P1085" i="3"/>
  <c r="N1047" i="3"/>
  <c r="AC1078" i="3"/>
  <c r="U1085" i="3"/>
  <c r="P1061" i="3"/>
  <c r="O834" i="3"/>
  <c r="R799" i="3"/>
  <c r="M860" i="3"/>
  <c r="AG878" i="3"/>
  <c r="AC937" i="3"/>
  <c r="U1004" i="3"/>
  <c r="S1004" i="3"/>
  <c r="U982" i="3"/>
  <c r="AF1050" i="3"/>
  <c r="AE913" i="3"/>
  <c r="AG869" i="3"/>
  <c r="AD892" i="3"/>
  <c r="N964" i="3"/>
  <c r="O864" i="3"/>
  <c r="AE963" i="3"/>
  <c r="N1068" i="3"/>
  <c r="AC926" i="3"/>
  <c r="K979" i="3"/>
  <c r="K941" i="3"/>
  <c r="N950" i="3"/>
  <c r="AD844" i="3"/>
  <c r="Q811" i="3"/>
  <c r="AE846" i="3"/>
  <c r="O942" i="3"/>
  <c r="R962" i="3"/>
  <c r="N949" i="3"/>
  <c r="AF906" i="3"/>
  <c r="O905" i="3"/>
  <c r="R999" i="3"/>
  <c r="K850" i="3"/>
  <c r="AH869" i="3"/>
  <c r="M858" i="3"/>
  <c r="AE866" i="3"/>
  <c r="S992" i="3"/>
  <c r="O999" i="3"/>
  <c r="M1084" i="3"/>
  <c r="R1015" i="3"/>
  <c r="P897" i="3"/>
  <c r="U938" i="3"/>
  <c r="I1086" i="3"/>
  <c r="N1061" i="3"/>
  <c r="AE1077" i="3"/>
  <c r="P1001" i="3"/>
  <c r="AF1089" i="3"/>
  <c r="P1064" i="3"/>
  <c r="Q1021" i="3"/>
  <c r="K1085" i="3"/>
  <c r="K1081" i="3"/>
  <c r="Q818" i="3"/>
  <c r="O844" i="3"/>
  <c r="P927" i="3"/>
  <c r="M866" i="3"/>
  <c r="AE999" i="3"/>
  <c r="K982" i="3"/>
  <c r="I995" i="3"/>
  <c r="S949" i="3"/>
  <c r="AH980" i="3"/>
  <c r="M987" i="3"/>
  <c r="S806" i="3"/>
  <c r="I872" i="3"/>
  <c r="S826" i="3"/>
  <c r="P859" i="3"/>
  <c r="O1027" i="3"/>
  <c r="AE1026" i="3"/>
  <c r="O958" i="3"/>
  <c r="M1054" i="3"/>
  <c r="S950" i="3"/>
  <c r="O924" i="3"/>
  <c r="Q834" i="3"/>
  <c r="I944" i="3"/>
  <c r="AC867" i="3"/>
  <c r="AE1054" i="3"/>
  <c r="M917" i="3"/>
  <c r="AH921" i="3"/>
  <c r="N978" i="3"/>
  <c r="M953" i="3"/>
  <c r="K926" i="3"/>
  <c r="P822" i="3"/>
  <c r="AH915" i="3"/>
  <c r="AE888" i="3"/>
  <c r="P814" i="3"/>
  <c r="P950" i="3"/>
  <c r="AF959" i="3"/>
  <c r="AE969" i="3"/>
  <c r="AF898" i="3"/>
  <c r="N926" i="3"/>
  <c r="AF953" i="3"/>
  <c r="M1077" i="3"/>
  <c r="AF1064" i="3"/>
  <c r="S1036" i="3"/>
  <c r="O1058" i="3"/>
  <c r="R1058" i="3"/>
  <c r="I1042" i="3"/>
  <c r="K1066" i="3"/>
  <c r="R1045" i="3"/>
  <c r="M1041" i="3"/>
  <c r="N1001" i="3"/>
  <c r="AH931" i="3"/>
  <c r="Q867" i="3"/>
  <c r="AF888" i="3"/>
  <c r="N879" i="3"/>
  <c r="K1054" i="3"/>
  <c r="N925" i="3"/>
  <c r="P1053" i="3"/>
  <c r="AH1032" i="3"/>
  <c r="N973" i="3"/>
  <c r="AE981" i="3"/>
  <c r="K834" i="3"/>
  <c r="P867" i="3"/>
  <c r="U870" i="3"/>
  <c r="S1044" i="3"/>
  <c r="AH982" i="3"/>
  <c r="S930" i="3"/>
  <c r="Q914" i="3"/>
  <c r="K921" i="3"/>
  <c r="AC963" i="3"/>
  <c r="AE1007" i="3"/>
  <c r="AC908" i="3"/>
  <c r="N900" i="3"/>
  <c r="U850" i="3"/>
  <c r="AE895" i="3"/>
  <c r="U943" i="3"/>
  <c r="O982" i="3"/>
  <c r="S934" i="3"/>
  <c r="M1026" i="3"/>
  <c r="S921" i="3"/>
  <c r="AF826" i="3"/>
  <c r="K879" i="3"/>
  <c r="AC888" i="3"/>
  <c r="AD956" i="3"/>
  <c r="U991" i="3"/>
  <c r="AH1043" i="3"/>
  <c r="AC1010" i="3"/>
  <c r="AF1014" i="3"/>
  <c r="K989" i="3"/>
  <c r="P934" i="3"/>
  <c r="K1005" i="3"/>
  <c r="S1061" i="3"/>
  <c r="U1065" i="3"/>
  <c r="K1036" i="3"/>
  <c r="K1073" i="3"/>
  <c r="S1045" i="3"/>
  <c r="N1042" i="3"/>
  <c r="AC1033" i="3"/>
  <c r="I839" i="3"/>
  <c r="K924" i="3"/>
  <c r="M870" i="3"/>
  <c r="N924" i="3"/>
  <c r="Q989" i="3"/>
  <c r="AE894" i="3"/>
  <c r="AC933" i="3"/>
  <c r="P1054" i="3"/>
  <c r="S1039" i="3"/>
  <c r="K946" i="3"/>
  <c r="I880" i="3"/>
  <c r="P842" i="3"/>
  <c r="U893" i="3"/>
  <c r="U939" i="3"/>
  <c r="Q1076" i="3"/>
  <c r="AG982" i="3"/>
  <c r="N1053" i="3"/>
  <c r="AH1004" i="3"/>
  <c r="AE921" i="3"/>
  <c r="I1035" i="3"/>
  <c r="AC876" i="3"/>
  <c r="K799" i="3"/>
  <c r="U1060" i="3"/>
  <c r="AH1028" i="3"/>
  <c r="U1011" i="3"/>
  <c r="P937" i="3"/>
  <c r="I963" i="3"/>
  <c r="O921" i="3"/>
  <c r="K966" i="3"/>
  <c r="AC954" i="3"/>
  <c r="P831" i="3"/>
  <c r="R900" i="3"/>
  <c r="K916" i="3"/>
  <c r="P838" i="3"/>
  <c r="AC1031" i="3"/>
  <c r="R913" i="3"/>
  <c r="P926" i="3"/>
  <c r="AD921" i="3"/>
  <c r="S946" i="3"/>
  <c r="N1075" i="3"/>
  <c r="O1070" i="3"/>
  <c r="AG1005" i="3"/>
  <c r="AG1081" i="3"/>
  <c r="AC1058" i="3"/>
  <c r="I1057" i="3"/>
  <c r="N1045" i="3"/>
  <c r="K1064" i="3"/>
  <c r="N1049" i="3"/>
  <c r="AG1001" i="3"/>
  <c r="O872" i="3"/>
  <c r="Q964" i="3"/>
  <c r="AG976" i="3"/>
  <c r="AH799" i="3"/>
  <c r="AC941" i="3"/>
  <c r="S1007" i="3"/>
  <c r="O1031" i="3"/>
  <c r="U974" i="3"/>
  <c r="M1031" i="3"/>
  <c r="AH984" i="3"/>
  <c r="K860" i="3"/>
  <c r="P851" i="3"/>
  <c r="K951" i="3"/>
  <c r="S867" i="3"/>
  <c r="M909" i="3"/>
  <c r="AC950" i="3"/>
  <c r="S957" i="3"/>
  <c r="S968" i="3"/>
  <c r="I909" i="3"/>
  <c r="U900" i="3"/>
  <c r="N807" i="3"/>
  <c r="N869" i="3"/>
  <c r="I815" i="3"/>
  <c r="P1006" i="3"/>
  <c r="K1031" i="3"/>
  <c r="S918" i="3"/>
  <c r="AG1007" i="3"/>
  <c r="AF1022" i="3"/>
  <c r="AE942" i="3"/>
  <c r="U951" i="3"/>
  <c r="U944" i="3"/>
  <c r="N955" i="3"/>
  <c r="M843" i="3"/>
  <c r="P974" i="3"/>
  <c r="AE966" i="3"/>
  <c r="AD995" i="3"/>
  <c r="AF957" i="3"/>
  <c r="AG1053" i="3"/>
  <c r="I1027" i="3"/>
  <c r="R1081" i="3"/>
  <c r="K1041" i="3"/>
  <c r="AF1025" i="3"/>
  <c r="M1066" i="3"/>
  <c r="AF1073" i="3"/>
  <c r="AF1052" i="3"/>
  <c r="AG1045" i="3"/>
  <c r="S1066" i="3"/>
  <c r="K1042" i="3"/>
  <c r="M881" i="3"/>
  <c r="AD967" i="3"/>
  <c r="AD999" i="3"/>
  <c r="AG897" i="3"/>
  <c r="P1014" i="3"/>
  <c r="AH1026" i="3"/>
  <c r="I905" i="3"/>
  <c r="AF868" i="3"/>
  <c r="Q826" i="3"/>
  <c r="P869" i="3"/>
  <c r="O899" i="3"/>
  <c r="AC913" i="3"/>
  <c r="U978" i="3"/>
  <c r="K957" i="3"/>
  <c r="R953" i="3"/>
  <c r="AE958" i="3"/>
  <c r="N982" i="3"/>
  <c r="I1065" i="3"/>
  <c r="AG1061" i="3"/>
  <c r="P1078" i="3"/>
  <c r="AC1077" i="3"/>
  <c r="R1041" i="3"/>
  <c r="AE993" i="3"/>
  <c r="K1029" i="3"/>
  <c r="AE1049" i="3"/>
  <c r="AH1041" i="3"/>
  <c r="K869" i="3"/>
  <c r="AF900" i="3"/>
  <c r="AF799" i="3"/>
  <c r="R831" i="3"/>
  <c r="M998" i="3"/>
  <c r="M910" i="3"/>
  <c r="S1076" i="3"/>
  <c r="U926" i="3"/>
  <c r="R950" i="3"/>
  <c r="S810" i="3"/>
  <c r="AC838" i="3"/>
  <c r="N798" i="3"/>
  <c r="AE908" i="3"/>
  <c r="P1016" i="3"/>
  <c r="S937" i="3"/>
  <c r="U1010" i="3"/>
  <c r="N902" i="3"/>
  <c r="AD1014" i="3"/>
  <c r="AE1023" i="3"/>
  <c r="AF872" i="3"/>
  <c r="N903" i="3"/>
  <c r="AG872" i="3"/>
  <c r="AD888" i="3"/>
  <c r="P1084" i="3"/>
  <c r="K934" i="3"/>
  <c r="S1032" i="3"/>
  <c r="Q1004" i="3"/>
  <c r="AE985" i="3"/>
  <c r="S1011" i="3"/>
  <c r="I849" i="3"/>
  <c r="S839" i="3"/>
  <c r="AE849" i="3"/>
  <c r="N835" i="3"/>
  <c r="U1015" i="3"/>
  <c r="AH1068" i="3"/>
  <c r="N963" i="3"/>
  <c r="O938" i="3"/>
  <c r="M930" i="3"/>
  <c r="AF934" i="3"/>
  <c r="N1025" i="3"/>
  <c r="AF1082" i="3"/>
  <c r="AH1065" i="3"/>
  <c r="N1041" i="3"/>
  <c r="AH1045" i="3"/>
  <c r="AD1045" i="3"/>
  <c r="M1017" i="3"/>
  <c r="AC1052" i="3"/>
  <c r="K835" i="3"/>
  <c r="I898" i="3"/>
  <c r="AH967" i="3"/>
  <c r="S970" i="3"/>
  <c r="AF1026" i="3"/>
  <c r="AC1053" i="3"/>
  <c r="I974" i="3"/>
  <c r="N795" i="3"/>
  <c r="S951" i="3"/>
  <c r="O815" i="3"/>
  <c r="AC882" i="3"/>
  <c r="AH974" i="3"/>
  <c r="AC980" i="3"/>
  <c r="AE934" i="3"/>
  <c r="AF984" i="3"/>
  <c r="AD1038" i="3"/>
  <c r="AE906" i="3"/>
  <c r="AE1085" i="3"/>
  <c r="O1057" i="3"/>
  <c r="O993" i="3"/>
  <c r="O1001" i="3"/>
  <c r="AE1058" i="3"/>
  <c r="R1078" i="3"/>
  <c r="AF1036" i="3"/>
  <c r="AH1021" i="3"/>
  <c r="I831" i="3"/>
  <c r="O911" i="3"/>
  <c r="AG944" i="3"/>
  <c r="AE893" i="3"/>
  <c r="AC799" i="3"/>
  <c r="Q982" i="3"/>
  <c r="P917" i="3"/>
  <c r="AG1032" i="3"/>
  <c r="Q898" i="3"/>
  <c r="I982" i="3"/>
  <c r="AE879" i="3"/>
  <c r="O896" i="3"/>
  <c r="M903" i="3"/>
  <c r="O870" i="3"/>
  <c r="K1075" i="3"/>
  <c r="AF943" i="3"/>
  <c r="AC1023" i="3"/>
  <c r="AE953" i="3"/>
  <c r="AH1015" i="3"/>
  <c r="AF914" i="3"/>
  <c r="AH849" i="3"/>
  <c r="AE803" i="3"/>
  <c r="AG850" i="3"/>
  <c r="AC863" i="3"/>
  <c r="K1032" i="3"/>
  <c r="U966" i="3"/>
  <c r="AH989" i="3"/>
  <c r="Q987" i="3"/>
  <c r="AF949" i="3"/>
  <c r="AE1006" i="3"/>
  <c r="AF850" i="3"/>
  <c r="U935" i="3"/>
  <c r="R886" i="3"/>
  <c r="AG1008" i="3"/>
  <c r="R1004" i="3"/>
  <c r="S965" i="3"/>
  <c r="AH906" i="3"/>
  <c r="Q894" i="3"/>
  <c r="R995" i="3"/>
  <c r="O979" i="3"/>
  <c r="U1081" i="3"/>
  <c r="M1064" i="3"/>
  <c r="AH1009" i="3"/>
  <c r="AE1029" i="3"/>
  <c r="S1074" i="3"/>
  <c r="AD1017" i="3"/>
  <c r="Q1085" i="3"/>
  <c r="I1061" i="3"/>
  <c r="I866" i="3"/>
  <c r="O1032" i="3"/>
  <c r="O974" i="3"/>
  <c r="K914" i="3"/>
  <c r="K995" i="3"/>
  <c r="AC1039" i="3"/>
  <c r="R991" i="3"/>
  <c r="K815" i="3"/>
  <c r="U919" i="3"/>
  <c r="K955" i="3"/>
  <c r="AC893" i="3"/>
  <c r="Q929" i="3"/>
  <c r="AH930" i="3"/>
  <c r="P973" i="3"/>
  <c r="U1006" i="3"/>
  <c r="O1006" i="3"/>
  <c r="P970" i="3"/>
  <c r="P1058" i="3"/>
  <c r="Q1073" i="3"/>
  <c r="U1029" i="3"/>
  <c r="S1082" i="3"/>
  <c r="S1070" i="3"/>
  <c r="N1077" i="3"/>
  <c r="M993" i="3"/>
  <c r="N1005" i="3"/>
  <c r="AH951" i="3"/>
  <c r="AE882" i="3"/>
  <c r="Q795" i="3"/>
  <c r="AG908" i="3"/>
  <c r="S1010" i="3"/>
  <c r="U905" i="3"/>
  <c r="AE933" i="3"/>
  <c r="AC1075" i="3"/>
  <c r="AH949" i="3"/>
  <c r="O959" i="3"/>
  <c r="AG1019" i="3"/>
  <c r="N860" i="3"/>
  <c r="Q919" i="3"/>
  <c r="AF807" i="3"/>
  <c r="Q962" i="3"/>
  <c r="P1015" i="3"/>
  <c r="M926" i="3"/>
  <c r="AD933" i="3"/>
  <c r="I958" i="3"/>
  <c r="P943" i="3"/>
  <c r="AH947" i="3"/>
  <c r="U835" i="3"/>
  <c r="AE931" i="3"/>
  <c r="S860" i="3"/>
  <c r="AF929" i="3"/>
  <c r="K1022" i="3"/>
  <c r="M937" i="3"/>
  <c r="K971" i="3"/>
  <c r="O1004" i="3"/>
  <c r="S803" i="3"/>
  <c r="N811" i="3"/>
  <c r="I964" i="3"/>
  <c r="N863" i="3"/>
  <c r="AG921" i="3"/>
  <c r="I930" i="3"/>
  <c r="M946" i="3"/>
  <c r="U959" i="3"/>
  <c r="M995" i="3"/>
  <c r="Q1051" i="3"/>
  <c r="K1089" i="3"/>
  <c r="K1057" i="3"/>
  <c r="AC1025" i="3"/>
  <c r="N1086" i="3"/>
  <c r="S1017" i="3"/>
  <c r="AC1001" i="3"/>
  <c r="AD1009" i="3"/>
  <c r="K1058" i="3"/>
  <c r="Q1049" i="3"/>
  <c r="AF1" i="3" l="1"/>
  <c r="P1" i="3"/>
  <c r="AD1" i="3"/>
  <c r="AC1" i="3"/>
  <c r="M1" i="3"/>
  <c r="AE1" i="3"/>
  <c r="N1" i="3"/>
  <c r="U1" i="3"/>
  <c r="AH1" i="3"/>
  <c r="R1" i="3"/>
  <c r="Q1" i="3"/>
  <c r="O1" i="3"/>
  <c r="K1" i="3"/>
  <c r="AG1" i="3"/>
  <c r="S1" i="3"/>
  <c r="I1" i="3"/>
  <c r="H18" i="2"/>
  <c r="O17" i="2"/>
  <c r="K18" i="2"/>
  <c r="L17" i="2"/>
  <c r="H19" i="2" l="1"/>
  <c r="O18" i="2"/>
  <c r="L18" i="2"/>
  <c r="K19" i="2"/>
  <c r="H20" i="2" l="1"/>
  <c r="O19" i="2"/>
  <c r="L19" i="2"/>
  <c r="K20" i="2"/>
  <c r="H21" i="2" l="1"/>
  <c r="O20" i="2"/>
  <c r="K21" i="2"/>
  <c r="L20" i="2"/>
  <c r="H22" i="2" l="1"/>
  <c r="O21" i="2"/>
  <c r="K22" i="2"/>
  <c r="L21" i="2"/>
  <c r="H23" i="2" l="1"/>
  <c r="O22" i="2"/>
  <c r="L22" i="2"/>
  <c r="K23" i="2"/>
  <c r="H24" i="2" l="1"/>
  <c r="O23" i="2"/>
  <c r="L23" i="2"/>
  <c r="K24" i="2"/>
  <c r="H25" i="2" l="1"/>
  <c r="O24" i="2"/>
  <c r="K25" i="2"/>
  <c r="L24" i="2"/>
  <c r="H26" i="2" l="1"/>
  <c r="O25" i="2"/>
  <c r="K26" i="2"/>
  <c r="L25" i="2"/>
  <c r="H27" i="2" l="1"/>
  <c r="O26" i="2"/>
  <c r="L26" i="2"/>
  <c r="K27" i="2"/>
  <c r="H28" i="2" l="1"/>
  <c r="O27" i="2"/>
  <c r="K28" i="2"/>
  <c r="L27" i="2"/>
  <c r="H29" i="2" l="1"/>
  <c r="O28" i="2"/>
  <c r="K29" i="2"/>
  <c r="L28" i="2"/>
  <c r="H30" i="2" l="1"/>
  <c r="O29" i="2"/>
  <c r="K30" i="2"/>
  <c r="L29" i="2"/>
  <c r="H31" i="2" l="1"/>
  <c r="O30" i="2"/>
  <c r="L30" i="2"/>
  <c r="K31" i="2"/>
  <c r="H32" i="2" l="1"/>
  <c r="O31" i="2"/>
  <c r="L31" i="2"/>
  <c r="K32" i="2"/>
  <c r="H33" i="2" l="1"/>
  <c r="O32" i="2"/>
  <c r="K33" i="2"/>
  <c r="L32" i="2"/>
  <c r="H34" i="2" l="1"/>
  <c r="O33" i="2"/>
  <c r="K34" i="2"/>
  <c r="L33" i="2"/>
  <c r="H35" i="2" l="1"/>
  <c r="O34" i="2"/>
  <c r="L34" i="2"/>
  <c r="K35" i="2"/>
  <c r="H36" i="2" l="1"/>
  <c r="O35" i="2"/>
  <c r="L35" i="2"/>
  <c r="K36" i="2"/>
  <c r="H37" i="2" l="1"/>
  <c r="O36" i="2"/>
  <c r="K37" i="2"/>
  <c r="L36" i="2"/>
  <c r="H38" i="2" l="1"/>
  <c r="O37" i="2"/>
  <c r="K38" i="2"/>
  <c r="L37" i="2"/>
  <c r="H39" i="2" l="1"/>
  <c r="O38" i="2"/>
  <c r="L38" i="2"/>
  <c r="K39" i="2"/>
  <c r="H40" i="2" l="1"/>
  <c r="O39" i="2"/>
  <c r="L39" i="2"/>
  <c r="K40" i="2"/>
  <c r="H41" i="2" l="1"/>
  <c r="O40" i="2"/>
  <c r="K41" i="2"/>
  <c r="L40" i="2"/>
  <c r="H42" i="2" l="1"/>
  <c r="O41" i="2"/>
  <c r="K42" i="2"/>
  <c r="L41" i="2"/>
  <c r="H43" i="2" l="1"/>
  <c r="O42" i="2"/>
  <c r="L42" i="2"/>
  <c r="K43" i="2"/>
  <c r="H44" i="2" l="1"/>
  <c r="O43" i="2"/>
  <c r="L43" i="2"/>
  <c r="K44" i="2"/>
  <c r="H45" i="2" l="1"/>
  <c r="O44" i="2"/>
  <c r="K45" i="2"/>
  <c r="L44" i="2"/>
  <c r="H46" i="2" l="1"/>
  <c r="O45" i="2"/>
  <c r="K46" i="2"/>
  <c r="L45" i="2"/>
  <c r="H47" i="2" l="1"/>
  <c r="O46" i="2"/>
  <c r="L46" i="2"/>
  <c r="K47" i="2"/>
  <c r="H48" i="2" l="1"/>
  <c r="O47" i="2"/>
  <c r="L47" i="2"/>
  <c r="K48" i="2"/>
  <c r="H49" i="2" l="1"/>
  <c r="O48" i="2"/>
  <c r="K49" i="2"/>
  <c r="L48" i="2"/>
  <c r="H50" i="2" l="1"/>
  <c r="O49" i="2"/>
  <c r="K50" i="2"/>
  <c r="L49" i="2"/>
  <c r="H51" i="2" l="1"/>
  <c r="O50" i="2"/>
  <c r="L50" i="2"/>
  <c r="K51" i="2"/>
  <c r="H52" i="2" l="1"/>
  <c r="O51" i="2"/>
  <c r="L51" i="2"/>
  <c r="K52" i="2"/>
  <c r="H53" i="2" l="1"/>
  <c r="O52" i="2"/>
  <c r="K53" i="2"/>
  <c r="L52" i="2"/>
  <c r="H54" i="2" l="1"/>
  <c r="O53" i="2"/>
  <c r="K54" i="2"/>
  <c r="L53" i="2"/>
  <c r="H55" i="2" l="1"/>
  <c r="O54" i="2"/>
  <c r="L54" i="2"/>
  <c r="K55" i="2"/>
  <c r="H56" i="2" l="1"/>
  <c r="O55" i="2"/>
  <c r="L55" i="2"/>
  <c r="K56" i="2"/>
  <c r="H57" i="2" l="1"/>
  <c r="O56" i="2"/>
  <c r="K57" i="2"/>
  <c r="L56" i="2"/>
  <c r="H58" i="2" l="1"/>
  <c r="O57" i="2"/>
  <c r="K58" i="2"/>
  <c r="L57" i="2"/>
  <c r="H59" i="2" l="1"/>
  <c r="O58" i="2"/>
  <c r="L58" i="2"/>
  <c r="K59" i="2"/>
  <c r="H60" i="2" l="1"/>
  <c r="O59" i="2"/>
  <c r="L59" i="2"/>
  <c r="K60" i="2"/>
  <c r="H61" i="2" l="1"/>
  <c r="O60" i="2"/>
  <c r="K61" i="2"/>
  <c r="L60" i="2"/>
  <c r="H62" i="2" l="1"/>
  <c r="O61" i="2"/>
  <c r="K62" i="2"/>
  <c r="L61" i="2"/>
  <c r="H63" i="2" l="1"/>
  <c r="O62" i="2"/>
  <c r="L62" i="2"/>
  <c r="K63" i="2"/>
  <c r="H64" i="2" l="1"/>
  <c r="O63" i="2"/>
  <c r="L63" i="2"/>
  <c r="K64" i="2"/>
  <c r="H65" i="2" l="1"/>
  <c r="O64" i="2"/>
  <c r="K65" i="2"/>
  <c r="L64" i="2"/>
  <c r="H66" i="2" l="1"/>
  <c r="O65" i="2"/>
  <c r="K66" i="2"/>
  <c r="L65" i="2"/>
  <c r="H67" i="2" l="1"/>
  <c r="O66" i="2"/>
  <c r="L66" i="2"/>
  <c r="K67" i="2"/>
  <c r="H68" i="2" l="1"/>
  <c r="O67" i="2"/>
  <c r="L67" i="2"/>
  <c r="K68" i="2"/>
  <c r="H69" i="2" l="1"/>
  <c r="O68" i="2"/>
  <c r="K69" i="2"/>
  <c r="L68" i="2"/>
  <c r="H70" i="2" l="1"/>
  <c r="O69" i="2"/>
  <c r="K70" i="2"/>
  <c r="L69" i="2"/>
  <c r="H71" i="2" l="1"/>
  <c r="O70" i="2"/>
  <c r="L70" i="2"/>
  <c r="K71" i="2"/>
  <c r="H72" i="2" l="1"/>
  <c r="O71" i="2"/>
  <c r="L71" i="2"/>
  <c r="K72" i="2"/>
  <c r="H73" i="2" l="1"/>
  <c r="O72" i="2"/>
  <c r="K73" i="2"/>
  <c r="L72" i="2"/>
  <c r="H74" i="2" l="1"/>
  <c r="O73" i="2"/>
  <c r="K74" i="2"/>
  <c r="L73" i="2"/>
  <c r="H75" i="2" l="1"/>
  <c r="O74" i="2"/>
  <c r="L74" i="2"/>
  <c r="K75" i="2"/>
  <c r="H76" i="2" l="1"/>
  <c r="O75" i="2"/>
  <c r="L75" i="2"/>
  <c r="K76" i="2"/>
  <c r="H77" i="2" l="1"/>
  <c r="O76" i="2"/>
  <c r="K77" i="2"/>
  <c r="L76" i="2"/>
  <c r="H78" i="2" l="1"/>
  <c r="O77" i="2"/>
  <c r="K78" i="2"/>
  <c r="L77" i="2"/>
  <c r="H79" i="2" l="1"/>
  <c r="O78" i="2"/>
  <c r="L78" i="2"/>
  <c r="K79" i="2"/>
  <c r="H80" i="2" l="1"/>
  <c r="O79" i="2"/>
  <c r="L79" i="2"/>
  <c r="K80" i="2"/>
  <c r="H81" i="2" l="1"/>
  <c r="O80" i="2"/>
  <c r="K81" i="2"/>
  <c r="L80" i="2"/>
  <c r="H82" i="2" l="1"/>
  <c r="O81" i="2"/>
  <c r="K82" i="2"/>
  <c r="L81" i="2"/>
  <c r="H83" i="2" l="1"/>
  <c r="O82" i="2"/>
  <c r="L82" i="2"/>
  <c r="K83" i="2"/>
  <c r="H84" i="2" l="1"/>
  <c r="O83" i="2"/>
  <c r="L83" i="2"/>
  <c r="K84" i="2"/>
  <c r="H85" i="2" l="1"/>
  <c r="O84" i="2"/>
  <c r="K85" i="2"/>
  <c r="L84" i="2"/>
  <c r="H86" i="2" l="1"/>
  <c r="O85" i="2"/>
  <c r="K86" i="2"/>
  <c r="L85" i="2"/>
  <c r="H87" i="2" l="1"/>
  <c r="O86" i="2"/>
  <c r="L86" i="2"/>
  <c r="K87" i="2"/>
  <c r="H88" i="2" l="1"/>
  <c r="O87" i="2"/>
  <c r="L87" i="2"/>
  <c r="K88" i="2"/>
  <c r="H89" i="2" l="1"/>
  <c r="O88" i="2"/>
  <c r="K89" i="2"/>
  <c r="L88" i="2"/>
  <c r="H90" i="2" l="1"/>
  <c r="O89" i="2"/>
  <c r="K90" i="2"/>
  <c r="L89" i="2"/>
  <c r="H91" i="2" l="1"/>
  <c r="O90" i="2"/>
  <c r="L90" i="2"/>
  <c r="K91" i="2"/>
  <c r="H92" i="2" l="1"/>
  <c r="O91" i="2"/>
  <c r="L91" i="2"/>
  <c r="K92" i="2"/>
  <c r="H93" i="2" l="1"/>
  <c r="O92" i="2"/>
  <c r="K93" i="2"/>
  <c r="L92" i="2"/>
  <c r="H94" i="2" l="1"/>
  <c r="O93" i="2"/>
  <c r="K94" i="2"/>
  <c r="L93" i="2"/>
  <c r="H95" i="2" l="1"/>
  <c r="O94" i="2"/>
  <c r="L94" i="2"/>
  <c r="K95" i="2"/>
  <c r="H96" i="2" l="1"/>
  <c r="O95" i="2"/>
  <c r="L95" i="2"/>
  <c r="K96" i="2"/>
  <c r="H97" i="2" l="1"/>
  <c r="O96" i="2"/>
  <c r="K97" i="2"/>
  <c r="L96" i="2"/>
  <c r="H98" i="2" l="1"/>
  <c r="O97" i="2"/>
  <c r="K98" i="2"/>
  <c r="L97" i="2"/>
  <c r="H99" i="2" l="1"/>
  <c r="O98" i="2"/>
  <c r="L98" i="2"/>
  <c r="K99" i="2"/>
  <c r="H100" i="2" l="1"/>
  <c r="O99" i="2"/>
  <c r="L99" i="2"/>
  <c r="K100" i="2"/>
  <c r="H101" i="2" l="1"/>
  <c r="O101" i="2" s="1"/>
  <c r="O100" i="2"/>
  <c r="K101" i="2"/>
  <c r="L100" i="2"/>
  <c r="L101" i="2" l="1"/>
  <c r="AC16" i="2"/>
  <c r="AD48" i="2"/>
  <c r="AC80" i="2"/>
  <c r="AC13" i="2"/>
  <c r="AC45" i="2"/>
  <c r="Q10" i="2"/>
  <c r="AF42" i="2"/>
  <c r="AE39" i="2"/>
  <c r="AG20" i="2"/>
  <c r="AF52" i="2"/>
  <c r="Q84" i="2"/>
  <c r="Q17" i="2"/>
  <c r="AE49" i="2"/>
  <c r="Q81" i="2"/>
  <c r="AD14" i="2"/>
  <c r="AD46" i="2"/>
  <c r="AC78" i="2"/>
  <c r="Q11" i="2"/>
  <c r="AE43" i="2"/>
  <c r="AH75" i="2"/>
  <c r="AE8" i="2"/>
  <c r="AG40" i="2"/>
  <c r="Q72" i="2"/>
  <c r="AG5" i="2"/>
  <c r="AG37" i="2"/>
  <c r="AF69" i="2"/>
  <c r="AF101" i="2"/>
  <c r="AF34" i="2"/>
  <c r="AG66" i="2"/>
  <c r="Q98" i="2"/>
  <c r="AG31" i="2"/>
  <c r="AH63" i="2"/>
  <c r="Q95" i="2"/>
  <c r="Q74" i="2"/>
  <c r="AH55" i="2"/>
  <c r="AD28" i="2"/>
  <c r="AC60" i="2"/>
  <c r="AH92" i="2"/>
  <c r="AH25" i="2"/>
  <c r="Q57" i="2"/>
  <c r="AE89" i="2"/>
  <c r="AH22" i="2"/>
  <c r="Q54" i="2"/>
  <c r="AF86" i="2"/>
  <c r="Q19" i="2"/>
  <c r="AH51" i="2"/>
  <c r="Q83" i="2"/>
  <c r="AH61" i="2"/>
  <c r="AE23" i="2"/>
  <c r="AF87" i="2"/>
  <c r="V610" i="3"/>
  <c r="W939" i="3"/>
  <c r="V80" i="3"/>
  <c r="V310" i="3"/>
  <c r="V1035" i="3"/>
  <c r="J1000" i="3"/>
  <c r="Y636" i="3"/>
  <c r="X732" i="3"/>
  <c r="Z218" i="3"/>
  <c r="Y52" i="3"/>
  <c r="J975" i="3"/>
  <c r="J809" i="3"/>
  <c r="X841" i="3"/>
  <c r="J675" i="3"/>
  <c r="W707" i="3"/>
  <c r="W343" i="3"/>
  <c r="V78" i="3"/>
  <c r="J209" i="3"/>
  <c r="X1033" i="3"/>
  <c r="AG16" i="2"/>
  <c r="AE48" i="2"/>
  <c r="AD80" i="2"/>
  <c r="AF13" i="2"/>
  <c r="Q45" i="2"/>
  <c r="AF10" i="2"/>
  <c r="Q42" i="2"/>
  <c r="AD39" i="2"/>
  <c r="AC20" i="2"/>
  <c r="AD52" i="2"/>
  <c r="AF84" i="2"/>
  <c r="AG17" i="2"/>
  <c r="AD49" i="2"/>
  <c r="AF81" i="2"/>
  <c r="AH14" i="2"/>
  <c r="AE46" i="2"/>
  <c r="AG78" i="2"/>
  <c r="AD11" i="2"/>
  <c r="AH43" i="2"/>
  <c r="AC75" i="2"/>
  <c r="AH8" i="2"/>
  <c r="AH40" i="2"/>
  <c r="AH72" i="2"/>
  <c r="AD5" i="2"/>
  <c r="AH37" i="2"/>
  <c r="AH69" i="2"/>
  <c r="AG101" i="2"/>
  <c r="AH34" i="2"/>
  <c r="AF66" i="2"/>
  <c r="AF98" i="2"/>
  <c r="AC31" i="2"/>
  <c r="AE63" i="2"/>
  <c r="AH95" i="2"/>
  <c r="AH74" i="2"/>
  <c r="AF55" i="2"/>
  <c r="AH28" i="2"/>
  <c r="AE60" i="2"/>
  <c r="AC92" i="2"/>
  <c r="AE25" i="2"/>
  <c r="AC57" i="2"/>
  <c r="AH89" i="2"/>
  <c r="Q22" i="2"/>
  <c r="AH54" i="2"/>
  <c r="AH86" i="2"/>
  <c r="AC19" i="2"/>
  <c r="AC51" i="2"/>
  <c r="AG83" i="2"/>
  <c r="AE61" i="2"/>
  <c r="Q23" i="2"/>
  <c r="Q87" i="2"/>
  <c r="V511" i="3"/>
  <c r="W840" i="3"/>
  <c r="V971" i="3"/>
  <c r="V13" i="3"/>
  <c r="V45" i="3"/>
  <c r="J109" i="3"/>
  <c r="Y141" i="3"/>
  <c r="X831" i="3"/>
  <c r="Z1010" i="3"/>
  <c r="Y250" i="3"/>
  <c r="J282" i="3"/>
  <c r="J215" i="3"/>
  <c r="X49" i="3"/>
  <c r="J378" i="3"/>
  <c r="W311" i="3"/>
  <c r="W937" i="3"/>
  <c r="V375" i="3"/>
  <c r="J902" i="3"/>
  <c r="X340" i="3"/>
  <c r="AD16" i="2"/>
  <c r="AG48" i="2"/>
  <c r="AH80" i="2"/>
  <c r="Q13" i="2"/>
  <c r="AD45" i="2"/>
  <c r="AD10" i="2"/>
  <c r="AG42" i="2"/>
  <c r="AH39" i="2"/>
  <c r="AD20" i="2"/>
  <c r="AC52" i="2"/>
  <c r="AE84" i="2"/>
  <c r="AC17" i="2"/>
  <c r="AC49" i="2"/>
  <c r="AD81" i="2"/>
  <c r="AG14" i="2"/>
  <c r="AC46" i="2"/>
  <c r="AD78" i="2"/>
  <c r="AG11" i="2"/>
  <c r="Q43" i="2"/>
  <c r="Q75" i="2"/>
  <c r="AG8" i="2"/>
  <c r="AE40" i="2"/>
  <c r="AD72" i="2"/>
  <c r="AF5" i="2"/>
  <c r="AD37" i="2"/>
  <c r="Q69" i="2"/>
  <c r="AH101" i="2"/>
  <c r="AD34" i="2"/>
  <c r="AD66" i="2"/>
  <c r="AG98" i="2"/>
  <c r="AH31" i="2"/>
  <c r="AG63" i="2"/>
  <c r="AG95" i="2"/>
  <c r="AF74" i="2"/>
  <c r="AC55" i="2"/>
  <c r="Q28" i="2"/>
  <c r="AG60" i="2"/>
  <c r="AG92" i="2"/>
  <c r="AC25" i="2"/>
  <c r="AH57" i="2"/>
  <c r="AD89" i="2"/>
  <c r="AC22" i="2"/>
  <c r="AE54" i="2"/>
  <c r="AE86" i="2"/>
  <c r="AG19" i="2"/>
  <c r="AD51" i="2"/>
  <c r="AF83" i="2"/>
  <c r="AC61" i="2"/>
  <c r="AF23" i="2"/>
  <c r="AD87" i="2"/>
  <c r="Z709" i="3"/>
  <c r="X840" i="3"/>
  <c r="W80" i="3"/>
  <c r="Y112" i="3"/>
  <c r="J936" i="3"/>
  <c r="Y505" i="3"/>
  <c r="J537" i="3"/>
  <c r="W138" i="3"/>
  <c r="V317" i="3"/>
  <c r="W151" i="3"/>
  <c r="Y678" i="3"/>
  <c r="Z314" i="3"/>
  <c r="W445" i="3"/>
  <c r="Y675" i="3"/>
  <c r="AA14" i="3"/>
  <c r="X46" i="3"/>
  <c r="Z870" i="3"/>
  <c r="W704" i="3"/>
  <c r="AA538" i="3"/>
  <c r="AI16" i="2"/>
  <c r="AB511" i="3" s="1"/>
  <c r="AI48" i="2"/>
  <c r="AB444" i="3" s="1"/>
  <c r="AI80" i="2"/>
  <c r="AB278" i="3" s="1"/>
  <c r="AI13" i="2"/>
  <c r="AB805" i="3" s="1"/>
  <c r="AI45" i="2"/>
  <c r="AB441" i="3" s="1"/>
  <c r="AI10" i="2"/>
  <c r="AB604" i="3" s="1"/>
  <c r="AI42" i="2"/>
  <c r="AB636" i="3" s="1"/>
  <c r="AI39" i="2"/>
  <c r="AB138" i="3" s="1"/>
  <c r="AI20" i="2"/>
  <c r="AB713" i="3" s="1"/>
  <c r="AI52" i="2"/>
  <c r="AB745" i="3" s="1"/>
  <c r="AI84" i="2"/>
  <c r="AB1074" i="3" s="1"/>
  <c r="AI17" i="2"/>
  <c r="AB17" i="3" s="1"/>
  <c r="AI49" i="2"/>
  <c r="AB544" i="3" s="1"/>
  <c r="AI81" i="2"/>
  <c r="AB279" i="3" s="1"/>
  <c r="AI14" i="2"/>
  <c r="AB806" i="3" s="1"/>
  <c r="AI46" i="2"/>
  <c r="AB541" i="3" s="1"/>
  <c r="AI78" i="2"/>
  <c r="AB672" i="3" s="1"/>
  <c r="AI11" i="2"/>
  <c r="AB110" i="3" s="1"/>
  <c r="AI43" i="2"/>
  <c r="AB439" i="3" s="1"/>
  <c r="AI75" i="2"/>
  <c r="AI8" i="2"/>
  <c r="AI40" i="2"/>
  <c r="AI72" i="2"/>
  <c r="AE5" i="2"/>
  <c r="AI37" i="2"/>
  <c r="AI69" i="2"/>
  <c r="AI101" i="2"/>
  <c r="AI34" i="2"/>
  <c r="AI66" i="2"/>
  <c r="AI98" i="2"/>
  <c r="AI31" i="2"/>
  <c r="AI63" i="2"/>
  <c r="AI95" i="2"/>
  <c r="AI74" i="2"/>
  <c r="AI55" i="2"/>
  <c r="AI28" i="2"/>
  <c r="AI60" i="2"/>
  <c r="AI92" i="2"/>
  <c r="AI25" i="2"/>
  <c r="AI57" i="2"/>
  <c r="AI89" i="2"/>
  <c r="AI22" i="2"/>
  <c r="AI54" i="2"/>
  <c r="AI86" i="2"/>
  <c r="AI19" i="2"/>
  <c r="AI51" i="2"/>
  <c r="AI83" i="2"/>
  <c r="AI61" i="2"/>
  <c r="AI23" i="2"/>
  <c r="AI87" i="2"/>
  <c r="Z1006" i="3"/>
  <c r="AB115" i="3"/>
  <c r="X543" i="3"/>
  <c r="AB939" i="3"/>
  <c r="W278" i="3"/>
  <c r="AB773" i="3"/>
  <c r="Y310" i="3"/>
  <c r="AB706" i="3"/>
  <c r="J738" i="3"/>
  <c r="AB144" i="3"/>
  <c r="Y1000" i="3"/>
  <c r="AB307" i="3"/>
  <c r="J735" i="3"/>
  <c r="AB537" i="3"/>
  <c r="W534" i="3"/>
  <c r="AB930" i="3"/>
  <c r="V119" i="3"/>
  <c r="AB416" i="3"/>
  <c r="W52" i="3"/>
  <c r="AB547" i="3"/>
  <c r="Y579" i="3"/>
  <c r="AB183" i="3"/>
  <c r="Z215" i="3"/>
  <c r="AB809" i="3"/>
  <c r="W49" i="3"/>
  <c r="AB643" i="3"/>
  <c r="Y1071" i="3"/>
  <c r="AB180" i="3"/>
  <c r="AA707" i="3"/>
  <c r="AB311" i="3"/>
  <c r="X838" i="3"/>
  <c r="AB937" i="3"/>
  <c r="Z78" i="3"/>
  <c r="AB969" i="3"/>
  <c r="W110" i="3"/>
  <c r="AB209" i="3"/>
  <c r="AA835" i="3"/>
  <c r="AB835" i="3"/>
  <c r="AE16" i="2"/>
  <c r="AC48" i="2"/>
  <c r="AE80" i="2"/>
  <c r="AH13" i="2"/>
  <c r="AG45" i="2"/>
  <c r="AG10" i="2"/>
  <c r="AD42" i="2"/>
  <c r="Q39" i="2"/>
  <c r="AH20" i="2"/>
  <c r="AE52" i="2"/>
  <c r="AC84" i="2"/>
  <c r="AF17" i="2"/>
  <c r="AG49" i="2"/>
  <c r="AH81" i="2"/>
  <c r="AC14" i="2"/>
  <c r="AH46" i="2"/>
  <c r="AF78" i="2"/>
  <c r="AC11" i="2"/>
  <c r="AD43" i="2"/>
  <c r="AE75" i="2"/>
  <c r="AD8" i="2"/>
  <c r="AD40" i="2"/>
  <c r="AF72" i="2"/>
  <c r="AI5" i="2"/>
  <c r="Q37" i="2"/>
  <c r="AG69" i="2"/>
  <c r="AD101" i="2"/>
  <c r="AG34" i="2"/>
  <c r="AH66" i="2"/>
  <c r="AE98" i="2"/>
  <c r="AE31" i="2"/>
  <c r="AF63" i="2"/>
  <c r="AC95" i="2"/>
  <c r="AE74" i="2"/>
  <c r="AE55" i="2"/>
  <c r="AC28" i="2"/>
  <c r="AD60" i="2"/>
  <c r="AE92" i="2"/>
  <c r="AF25" i="2"/>
  <c r="AE57" i="2"/>
  <c r="AC89" i="2"/>
  <c r="AE22" i="2"/>
  <c r="AD54" i="2"/>
  <c r="Q86" i="2"/>
  <c r="AF19" i="2"/>
  <c r="AG51" i="2"/>
  <c r="AD83" i="2"/>
  <c r="AD61" i="2"/>
  <c r="AH23" i="2"/>
  <c r="AH87" i="2"/>
  <c r="Z907" i="3"/>
  <c r="X808" i="3"/>
  <c r="W214" i="3"/>
  <c r="X444" i="3"/>
  <c r="V48" i="3"/>
  <c r="Z147" i="3"/>
  <c r="W179" i="3"/>
  <c r="X872" i="3"/>
  <c r="AA278" i="3"/>
  <c r="Y508" i="3"/>
  <c r="AA310" i="3"/>
  <c r="J805" i="3"/>
  <c r="J144" i="3"/>
  <c r="Z45" i="3"/>
  <c r="W540" i="3"/>
  <c r="Y604" i="3"/>
  <c r="Z901" i="3"/>
  <c r="W307" i="3"/>
  <c r="J339" i="3"/>
  <c r="W141" i="3"/>
  <c r="Z339" i="3"/>
  <c r="W39" i="3"/>
  <c r="J39" i="3"/>
  <c r="AA39" i="3"/>
  <c r="V515" i="3"/>
  <c r="AA119" i="3"/>
  <c r="W20" i="3"/>
  <c r="W844" i="3"/>
  <c r="X250" i="3"/>
  <c r="V844" i="3"/>
  <c r="Y1074" i="3"/>
  <c r="V777" i="3"/>
  <c r="X84" i="3"/>
  <c r="Z710" i="3"/>
  <c r="Y710" i="3"/>
  <c r="V512" i="3"/>
  <c r="W247" i="3"/>
  <c r="Z1039" i="3"/>
  <c r="V841" i="3"/>
  <c r="Y378" i="3"/>
  <c r="AA972" i="3"/>
  <c r="W180" i="3"/>
  <c r="AA410" i="3"/>
  <c r="V113" i="3"/>
  <c r="Z212" i="3"/>
  <c r="X145" i="3"/>
  <c r="AA640" i="3"/>
  <c r="V838" i="3"/>
  <c r="Z474" i="3"/>
  <c r="Y573" i="3"/>
  <c r="W771" i="3"/>
  <c r="W902" i="3"/>
  <c r="V902" i="3"/>
  <c r="Z704" i="3"/>
  <c r="AA637" i="3"/>
  <c r="W43" i="3"/>
  <c r="J637" i="3"/>
  <c r="AH16" i="2"/>
  <c r="AH48" i="2"/>
  <c r="Q80" i="2"/>
  <c r="AG13" i="2"/>
  <c r="AE45" i="2"/>
  <c r="AE10" i="2"/>
  <c r="AH42" i="2"/>
  <c r="AG39" i="2"/>
  <c r="AF20" i="2"/>
  <c r="Q52" i="2"/>
  <c r="AD84" i="2"/>
  <c r="AE17" i="2"/>
  <c r="AH49" i="2"/>
  <c r="AE81" i="2"/>
  <c r="AF14" i="2"/>
  <c r="Q46" i="2"/>
  <c r="AH78" i="2"/>
  <c r="AF11" i="2"/>
  <c r="AC43" i="2"/>
  <c r="AD75" i="2"/>
  <c r="AC8" i="2"/>
  <c r="Q40" i="2"/>
  <c r="AG72" i="2"/>
  <c r="Q5" i="2"/>
  <c r="AF37" i="2"/>
  <c r="AE69" i="2"/>
  <c r="AE101" i="2"/>
  <c r="Q34" i="2"/>
  <c r="AE66" i="2"/>
  <c r="AH98" i="2"/>
  <c r="AD31" i="2"/>
  <c r="AC63" i="2"/>
  <c r="AD95" i="2"/>
  <c r="AG74" i="2"/>
  <c r="Q55" i="2"/>
  <c r="AE28" i="2"/>
  <c r="Q60" i="2"/>
  <c r="Q92" i="2"/>
  <c r="AG25" i="2"/>
  <c r="AG57" i="2"/>
  <c r="Q89" i="2"/>
  <c r="AD22" i="2"/>
  <c r="AF54" i="2"/>
  <c r="AG86" i="2"/>
  <c r="AD19" i="2"/>
  <c r="Q51" i="2"/>
  <c r="AE83" i="2"/>
  <c r="AF61" i="2"/>
  <c r="AC23" i="2"/>
  <c r="AG87" i="2"/>
  <c r="Z610" i="3"/>
  <c r="X907" i="3"/>
  <c r="AA610" i="3"/>
  <c r="AB808" i="3"/>
  <c r="X642" i="3"/>
  <c r="V543" i="3"/>
  <c r="AA345" i="3"/>
  <c r="AB1038" i="3"/>
  <c r="W1070" i="3"/>
  <c r="X80" i="3"/>
  <c r="J80" i="3"/>
  <c r="AB1070" i="3"/>
  <c r="Y805" i="3"/>
  <c r="AA904" i="3"/>
  <c r="Z706" i="3"/>
  <c r="AB607" i="3"/>
  <c r="J540" i="3"/>
  <c r="Z540" i="3"/>
  <c r="X342" i="3"/>
  <c r="AB342" i="3"/>
  <c r="Y901" i="3"/>
  <c r="Z208" i="3"/>
  <c r="X505" i="3"/>
  <c r="AB10" i="3"/>
  <c r="J933" i="3"/>
  <c r="W933" i="3"/>
  <c r="AA834" i="3"/>
  <c r="AB42" i="3"/>
  <c r="W732" i="3"/>
  <c r="J633" i="3"/>
  <c r="Z534" i="3"/>
  <c r="AB534" i="3"/>
  <c r="V812" i="3"/>
  <c r="AA317" i="3"/>
  <c r="Y218" i="3"/>
  <c r="AB911" i="3"/>
  <c r="W250" i="3"/>
  <c r="X52" i="3"/>
  <c r="J547" i="3"/>
  <c r="AB844" i="3"/>
  <c r="Y876" i="3"/>
  <c r="V183" i="3"/>
  <c r="W975" i="3"/>
  <c r="AB876" i="3"/>
  <c r="Z611" i="3"/>
  <c r="Y809" i="3"/>
  <c r="X908" i="3"/>
  <c r="AB512" i="3"/>
  <c r="W643" i="3"/>
  <c r="Z643" i="3"/>
  <c r="AA346" i="3"/>
  <c r="AB346" i="3"/>
  <c r="Y279" i="3"/>
  <c r="AA1071" i="3"/>
  <c r="X477" i="3"/>
  <c r="AB576" i="3"/>
  <c r="AA1004" i="3"/>
  <c r="V905" i="3"/>
  <c r="Y608" i="3"/>
  <c r="AB509" i="3"/>
  <c r="X739" i="3"/>
  <c r="AA1036" i="3"/>
  <c r="J739" i="3"/>
  <c r="AB343" i="3"/>
  <c r="Z1068" i="3"/>
  <c r="Y474" i="3"/>
  <c r="AA1068" i="3"/>
  <c r="AB276" i="3"/>
  <c r="W1001" i="3"/>
  <c r="V506" i="3"/>
  <c r="Y1001" i="3"/>
  <c r="AB506" i="3"/>
  <c r="AA142" i="3"/>
  <c r="W439" i="3"/>
  <c r="V736" i="3"/>
  <c r="AB538" i="3"/>
  <c r="AF32" i="2"/>
  <c r="AH64" i="2"/>
  <c r="AC96" i="2"/>
  <c r="Q29" i="2"/>
  <c r="AH77" i="2"/>
  <c r="AC26" i="2"/>
  <c r="AH90" i="2"/>
  <c r="AG4" i="2"/>
  <c r="AD36" i="2"/>
  <c r="AE68" i="2"/>
  <c r="AC100" i="2"/>
  <c r="AD33" i="2"/>
  <c r="AG65" i="2"/>
  <c r="AF97" i="2"/>
  <c r="AF30" i="2"/>
  <c r="AD62" i="2"/>
  <c r="AH94" i="2"/>
  <c r="AE27" i="2"/>
  <c r="AE59" i="2"/>
  <c r="AD91" i="2"/>
  <c r="Q24" i="2"/>
  <c r="AF56" i="2"/>
  <c r="AH88" i="2"/>
  <c r="AD21" i="2"/>
  <c r="AE53" i="2"/>
  <c r="AD85" i="2"/>
  <c r="Q18" i="2"/>
  <c r="AC50" i="2"/>
  <c r="AH82" i="2"/>
  <c r="AD15" i="2"/>
  <c r="AH47" i="2"/>
  <c r="AF79" i="2"/>
  <c r="AD93" i="2"/>
  <c r="AF7" i="2"/>
  <c r="AD12" i="2"/>
  <c r="AG44" i="2"/>
  <c r="AD76" i="2"/>
  <c r="AG9" i="2"/>
  <c r="AC41" i="2"/>
  <c r="AG73" i="2"/>
  <c r="AF6" i="2"/>
  <c r="AE38" i="2"/>
  <c r="AF70" i="2"/>
  <c r="AH3" i="2"/>
  <c r="AC35" i="2"/>
  <c r="AH67" i="2"/>
  <c r="AD99" i="2"/>
  <c r="AH58" i="2"/>
  <c r="AC71" i="2"/>
  <c r="V313" i="3"/>
  <c r="Z16" i="3"/>
  <c r="X412" i="3"/>
  <c r="W511" i="3"/>
  <c r="AB16" i="3"/>
  <c r="Y824" i="3"/>
  <c r="W543" i="3"/>
  <c r="X48" i="3"/>
  <c r="V741" i="3"/>
  <c r="Z246" i="3"/>
  <c r="AB48" i="3"/>
  <c r="AA955" i="3"/>
  <c r="V179" i="3"/>
  <c r="W872" i="3"/>
  <c r="X377" i="3"/>
  <c r="AA575" i="3"/>
  <c r="AB179" i="3"/>
  <c r="V591" i="3"/>
  <c r="V1003" i="3"/>
  <c r="Y13" i="3"/>
  <c r="AA409" i="3"/>
  <c r="J211" i="3"/>
  <c r="AB112" i="3"/>
  <c r="J227" i="3"/>
  <c r="V738" i="3"/>
  <c r="J441" i="3"/>
  <c r="Z243" i="3"/>
  <c r="W1035" i="3"/>
  <c r="AB540" i="3"/>
  <c r="AA869" i="3"/>
  <c r="J10" i="3"/>
  <c r="Y208" i="3"/>
  <c r="Z406" i="3"/>
  <c r="W109" i="3"/>
  <c r="AB109" i="3"/>
  <c r="V917" i="3"/>
  <c r="Y735" i="3"/>
  <c r="J636" i="3"/>
  <c r="W42" i="3"/>
  <c r="Z735" i="3"/>
  <c r="AB240" i="3"/>
  <c r="AA189" i="3"/>
  <c r="X237" i="3"/>
  <c r="W435" i="3"/>
  <c r="J831" i="3"/>
  <c r="AA831" i="3"/>
  <c r="AB633" i="3"/>
  <c r="Z994" i="3"/>
  <c r="Z119" i="3"/>
  <c r="V20" i="3"/>
  <c r="AA713" i="3"/>
  <c r="W515" i="3"/>
  <c r="AB614" i="3"/>
  <c r="W927" i="3"/>
  <c r="Y151" i="3"/>
  <c r="W943" i="3"/>
  <c r="X151" i="3"/>
  <c r="V943" i="3"/>
  <c r="AB943" i="3"/>
  <c r="X167" i="3"/>
  <c r="J678" i="3"/>
  <c r="Y282" i="3"/>
  <c r="V975" i="3"/>
  <c r="X480" i="3"/>
  <c r="AB975" i="3"/>
  <c r="V595" i="3"/>
  <c r="J314" i="3"/>
  <c r="Z1007" i="3"/>
  <c r="Y116" i="3"/>
  <c r="V809" i="3"/>
  <c r="AB116" i="3"/>
  <c r="W132" i="3"/>
  <c r="X247" i="3"/>
  <c r="W841" i="3"/>
  <c r="Z544" i="3"/>
  <c r="V940" i="3"/>
  <c r="AB841" i="3"/>
  <c r="Z65" i="3"/>
  <c r="J972" i="3"/>
  <c r="Y81" i="3"/>
  <c r="AA675" i="3"/>
  <c r="W378" i="3"/>
  <c r="AB1071" i="3"/>
  <c r="Y988" i="3"/>
  <c r="W14" i="3"/>
  <c r="AA311" i="3"/>
  <c r="V509" i="3"/>
  <c r="Z410" i="3"/>
  <c r="AB707" i="3"/>
  <c r="Y327" i="3"/>
  <c r="W739" i="3"/>
  <c r="X640" i="3"/>
  <c r="AA46" i="3"/>
  <c r="V739" i="3"/>
  <c r="AB46" i="3"/>
  <c r="W854" i="3"/>
  <c r="V276" i="3"/>
  <c r="Z969" i="3"/>
  <c r="Y870" i="3"/>
  <c r="W177" i="3"/>
  <c r="AB177" i="3"/>
  <c r="AA94" i="3"/>
  <c r="J803" i="3"/>
  <c r="W803" i="3"/>
  <c r="V1001" i="3"/>
  <c r="Z407" i="3"/>
  <c r="AB11" i="3"/>
  <c r="X918" i="3"/>
  <c r="X439" i="3"/>
  <c r="AA43" i="3"/>
  <c r="W835" i="3"/>
  <c r="J241" i="3"/>
  <c r="AB637" i="3"/>
  <c r="X851" i="3"/>
  <c r="Q32" i="2"/>
  <c r="AG64" i="2"/>
  <c r="AD96" i="2"/>
  <c r="AC29" i="2"/>
  <c r="AE77" i="2"/>
  <c r="AD26" i="2"/>
  <c r="AG90" i="2"/>
  <c r="AE4" i="2"/>
  <c r="AF36" i="2"/>
  <c r="AF68" i="2"/>
  <c r="AH100" i="2"/>
  <c r="AF33" i="2"/>
  <c r="AE65" i="2"/>
  <c r="AG97" i="2"/>
  <c r="Q30" i="2"/>
  <c r="Q62" i="2"/>
  <c r="AC94" i="2"/>
  <c r="AD27" i="2"/>
  <c r="AF59" i="2"/>
  <c r="Q91" i="2"/>
  <c r="AE24" i="2"/>
  <c r="AD56" i="2"/>
  <c r="AF88" i="2"/>
  <c r="AF21" i="2"/>
  <c r="AF53" i="2"/>
  <c r="AC85" i="2"/>
  <c r="AD18" i="2"/>
  <c r="AG50" i="2"/>
  <c r="Q82" i="2"/>
  <c r="AE15" i="2"/>
  <c r="AD47" i="2"/>
  <c r="AD79" i="2"/>
  <c r="AF93" i="2"/>
  <c r="Q7" i="2"/>
  <c r="AH12" i="2"/>
  <c r="AC44" i="2"/>
  <c r="AC76" i="2"/>
  <c r="AC9" i="2"/>
  <c r="AF41" i="2"/>
  <c r="AC73" i="2"/>
  <c r="AC6" i="2"/>
  <c r="AC38" i="2"/>
  <c r="AD70" i="2"/>
  <c r="AC3" i="2"/>
  <c r="AG35" i="2"/>
  <c r="AE67" i="2"/>
  <c r="AE99" i="2"/>
  <c r="AG58" i="2"/>
  <c r="AF71" i="2"/>
  <c r="V214" i="3"/>
  <c r="Z214" i="3"/>
  <c r="X610" i="3"/>
  <c r="W907" i="3"/>
  <c r="AB313" i="3"/>
  <c r="Y725" i="3"/>
  <c r="J1022" i="3"/>
  <c r="W345" i="3"/>
  <c r="X1038" i="3"/>
  <c r="V147" i="3"/>
  <c r="Z642" i="3"/>
  <c r="AB345" i="3"/>
  <c r="AA262" i="3"/>
  <c r="Z757" i="3"/>
  <c r="V773" i="3"/>
  <c r="W971" i="3"/>
  <c r="X476" i="3"/>
  <c r="AA476" i="3"/>
  <c r="AB377" i="3"/>
  <c r="V294" i="3"/>
  <c r="W492" i="3"/>
  <c r="V706" i="3"/>
  <c r="Y1003" i="3"/>
  <c r="AA805" i="3"/>
  <c r="J112" i="3"/>
  <c r="AB310" i="3"/>
  <c r="J29" i="3"/>
  <c r="V623" i="3"/>
  <c r="V639" i="3"/>
  <c r="J243" i="3"/>
  <c r="Z936" i="3"/>
  <c r="W342" i="3"/>
  <c r="AB837" i="3"/>
  <c r="AA770" i="3"/>
  <c r="X572" i="3"/>
  <c r="J505" i="3"/>
  <c r="Y703" i="3"/>
  <c r="Z505" i="3"/>
  <c r="W901" i="3"/>
  <c r="AB1000" i="3"/>
  <c r="V719" i="3"/>
  <c r="W719" i="3"/>
  <c r="Y438" i="3"/>
  <c r="J1032" i="3"/>
  <c r="W537" i="3"/>
  <c r="Z834" i="3"/>
  <c r="AB141" i="3"/>
  <c r="AA981" i="3"/>
  <c r="Z90" i="3"/>
  <c r="X1029" i="3"/>
  <c r="W237" i="3"/>
  <c r="J1029" i="3"/>
  <c r="AA732" i="3"/>
  <c r="AB831" i="3"/>
  <c r="Z697" i="3"/>
  <c r="X697" i="3"/>
  <c r="Z20" i="3"/>
  <c r="V1010" i="3"/>
  <c r="AA812" i="3"/>
  <c r="W911" i="3"/>
  <c r="AB119" i="3"/>
  <c r="W828" i="3"/>
  <c r="Y927" i="3"/>
  <c r="Y646" i="3"/>
  <c r="W745" i="3"/>
  <c r="X448" i="3"/>
  <c r="V745" i="3"/>
  <c r="AB151" i="3"/>
  <c r="X761" i="3"/>
  <c r="Y464" i="3"/>
  <c r="J84" i="3"/>
  <c r="Y480" i="3"/>
  <c r="V876" i="3"/>
  <c r="X381" i="3"/>
  <c r="AB84" i="3"/>
  <c r="V1090" i="3"/>
  <c r="AA199" i="3"/>
  <c r="J17" i="3"/>
  <c r="Z809" i="3"/>
  <c r="Y908" i="3"/>
  <c r="V314" i="3"/>
  <c r="AB908" i="3"/>
  <c r="W825" i="3"/>
  <c r="Y825" i="3"/>
  <c r="X445" i="3"/>
  <c r="W346" i="3"/>
  <c r="Z841" i="3"/>
  <c r="V247" i="3"/>
  <c r="AB148" i="3"/>
  <c r="Z857" i="3"/>
  <c r="X956" i="3"/>
  <c r="J1071" i="3"/>
  <c r="Y972" i="3"/>
  <c r="AA774" i="3"/>
  <c r="W972" i="3"/>
  <c r="AB873" i="3"/>
  <c r="Y493" i="3"/>
  <c r="Z592" i="3"/>
  <c r="W212" i="3"/>
  <c r="AA806" i="3"/>
  <c r="V806" i="3"/>
  <c r="Z1004" i="3"/>
  <c r="AB608" i="3"/>
  <c r="Y921" i="3"/>
  <c r="J129" i="3"/>
  <c r="W244" i="3"/>
  <c r="X541" i="3"/>
  <c r="AA343" i="3"/>
  <c r="V937" i="3"/>
  <c r="AB739" i="3"/>
  <c r="W656" i="3"/>
  <c r="J854" i="3"/>
  <c r="V573" i="3"/>
  <c r="Z573" i="3"/>
  <c r="Y672" i="3"/>
  <c r="W573" i="3"/>
  <c r="AB1068" i="3"/>
  <c r="AA193" i="3"/>
  <c r="V787" i="3"/>
  <c r="J407" i="3"/>
  <c r="W407" i="3"/>
  <c r="V704" i="3"/>
  <c r="Z11" i="3"/>
  <c r="AB407" i="3"/>
  <c r="X1017" i="3"/>
  <c r="W720" i="3"/>
  <c r="X241" i="3"/>
  <c r="AA1033" i="3"/>
  <c r="W538" i="3"/>
  <c r="J538" i="3"/>
  <c r="AB736" i="3"/>
  <c r="X158" i="3"/>
  <c r="AH32" i="2"/>
  <c r="AC64" i="2"/>
  <c r="Q96" i="2"/>
  <c r="AE29" i="2"/>
  <c r="AD77" i="2"/>
  <c r="AE26" i="2"/>
  <c r="AF90" i="2"/>
  <c r="AF4" i="2"/>
  <c r="Q36" i="2"/>
  <c r="AC68" i="2"/>
  <c r="Q100" i="2"/>
  <c r="AC33" i="2"/>
  <c r="AF65" i="2"/>
  <c r="AC97" i="2"/>
  <c r="AH30" i="2"/>
  <c r="AC62" i="2"/>
  <c r="AG94" i="2"/>
  <c r="Q27" i="2"/>
  <c r="AC59" i="2"/>
  <c r="AH91" i="2"/>
  <c r="AC24" i="2"/>
  <c r="AG56" i="2"/>
  <c r="AC88" i="2"/>
  <c r="AE21" i="2"/>
  <c r="AH53" i="2"/>
  <c r="Q85" i="2"/>
  <c r="AE18" i="2"/>
  <c r="AF50" i="2"/>
  <c r="AE82" i="2"/>
  <c r="AH15" i="2"/>
  <c r="AE47" i="2"/>
  <c r="AE79" i="2"/>
  <c r="AG93" i="2"/>
  <c r="AH7" i="2"/>
  <c r="AE12" i="2"/>
  <c r="AE44" i="2"/>
  <c r="AE76" i="2"/>
  <c r="AI9" i="2"/>
  <c r="AE41" i="2"/>
  <c r="AD73" i="2"/>
  <c r="AD6" i="2"/>
  <c r="AH38" i="2"/>
  <c r="AE70" i="2"/>
  <c r="AD3" i="2"/>
  <c r="AH35" i="2"/>
  <c r="AD67" i="2"/>
  <c r="Q99" i="2"/>
  <c r="AF58" i="2"/>
  <c r="AH71" i="2"/>
  <c r="V907" i="3"/>
  <c r="Z313" i="3"/>
  <c r="X16" i="3"/>
  <c r="AA214" i="3"/>
  <c r="AB709" i="3"/>
  <c r="AA923" i="3"/>
  <c r="Y527" i="3"/>
  <c r="J725" i="3"/>
  <c r="W444" i="3"/>
  <c r="X939" i="3"/>
  <c r="V246" i="3"/>
  <c r="AA642" i="3"/>
  <c r="AB642" i="3"/>
  <c r="V361" i="3"/>
  <c r="AA460" i="3"/>
  <c r="Z856" i="3"/>
  <c r="V1070" i="3"/>
  <c r="W575" i="3"/>
  <c r="X179" i="3"/>
  <c r="J1070" i="3"/>
  <c r="AB674" i="3"/>
  <c r="J195" i="3"/>
  <c r="V393" i="3"/>
  <c r="W96" i="3"/>
  <c r="V211" i="3"/>
  <c r="Y211" i="3"/>
  <c r="AA508" i="3"/>
  <c r="Z607" i="3"/>
  <c r="AB508" i="3"/>
  <c r="X623" i="3"/>
  <c r="J128" i="3"/>
  <c r="V425" i="3"/>
  <c r="V243" i="3"/>
  <c r="J45" i="3"/>
  <c r="Z144" i="3"/>
  <c r="X936" i="3"/>
  <c r="AB1035" i="3"/>
  <c r="W176" i="3"/>
  <c r="AA968" i="3"/>
  <c r="X968" i="3"/>
  <c r="J604" i="3"/>
  <c r="Y109" i="3"/>
  <c r="Z10" i="3"/>
  <c r="X307" i="3"/>
  <c r="AB802" i="3"/>
  <c r="X26" i="3"/>
  <c r="V323" i="3"/>
  <c r="W323" i="3"/>
  <c r="Y933" i="3"/>
  <c r="J141" i="3"/>
  <c r="W735" i="3"/>
  <c r="AA1032" i="3"/>
  <c r="AB339" i="3"/>
  <c r="Y684" i="3"/>
  <c r="AA1080" i="3"/>
  <c r="Z288" i="3"/>
  <c r="X930" i="3"/>
  <c r="W1029" i="3"/>
  <c r="J336" i="3"/>
  <c r="Z237" i="3"/>
  <c r="AB732" i="3"/>
  <c r="Y499" i="3"/>
  <c r="Z103" i="3"/>
  <c r="X895" i="3"/>
  <c r="Z416" i="3"/>
  <c r="V218" i="3"/>
  <c r="AA614" i="3"/>
  <c r="Y20" i="3"/>
  <c r="AB218" i="3"/>
  <c r="J531" i="3"/>
  <c r="W234" i="3"/>
  <c r="Y234" i="3"/>
  <c r="Y943" i="3"/>
  <c r="W646" i="3"/>
  <c r="X844" i="3"/>
  <c r="J52" i="3"/>
  <c r="AB1042" i="3"/>
  <c r="V464" i="3"/>
  <c r="X662" i="3"/>
  <c r="Y365" i="3"/>
  <c r="J876" i="3"/>
  <c r="Y381" i="3"/>
  <c r="V381" i="3"/>
  <c r="W1074" i="3"/>
  <c r="AB777" i="3"/>
  <c r="J496" i="3"/>
  <c r="V793" i="3"/>
  <c r="AA298" i="3"/>
  <c r="J1007" i="3"/>
  <c r="Z17" i="3"/>
  <c r="Y413" i="3"/>
  <c r="X413" i="3"/>
  <c r="AB314" i="3"/>
  <c r="V231" i="3"/>
  <c r="W330" i="3"/>
  <c r="Y330" i="3"/>
  <c r="X544" i="3"/>
  <c r="W742" i="3"/>
  <c r="Z49" i="3"/>
  <c r="AA1039" i="3"/>
  <c r="AB940" i="3"/>
  <c r="Y65" i="3"/>
  <c r="Z560" i="3"/>
  <c r="X1055" i="3"/>
  <c r="J81" i="3"/>
  <c r="Y477" i="3"/>
  <c r="AA378" i="3"/>
  <c r="X81" i="3"/>
  <c r="AB477" i="3"/>
  <c r="V889" i="3"/>
  <c r="Y97" i="3"/>
  <c r="Z295" i="3"/>
  <c r="W806" i="3"/>
  <c r="AA509" i="3"/>
  <c r="V212" i="3"/>
  <c r="Y311" i="3"/>
  <c r="AB1004" i="3"/>
  <c r="AA921" i="3"/>
  <c r="Y30" i="3"/>
  <c r="J525" i="3"/>
  <c r="W46" i="3"/>
  <c r="X244" i="3"/>
  <c r="AA838" i="3"/>
  <c r="J244" i="3"/>
  <c r="AB145" i="3"/>
  <c r="V755" i="3"/>
  <c r="W161" i="3"/>
  <c r="J161" i="3"/>
  <c r="V1068" i="3"/>
  <c r="Z177" i="3"/>
  <c r="Y1068" i="3"/>
  <c r="AA276" i="3"/>
  <c r="AB78" i="3"/>
  <c r="Z94" i="3"/>
  <c r="AA292" i="3"/>
  <c r="V688" i="3"/>
  <c r="J1001" i="3"/>
  <c r="W11" i="3"/>
  <c r="V803" i="3"/>
  <c r="Y704" i="3"/>
  <c r="AB902" i="3"/>
  <c r="J720" i="3"/>
  <c r="X225" i="3"/>
  <c r="W918" i="3"/>
  <c r="X637" i="3"/>
  <c r="AA736" i="3"/>
  <c r="W637" i="3"/>
  <c r="V835" i="3"/>
  <c r="AB241" i="3"/>
  <c r="V356" i="3"/>
  <c r="X356" i="3"/>
  <c r="Y455" i="3"/>
  <c r="AD32" i="2"/>
  <c r="AD64" i="2"/>
  <c r="AE96" i="2"/>
  <c r="AG29" i="2"/>
  <c r="AC77" i="2"/>
  <c r="Q26" i="2"/>
  <c r="AC90" i="2"/>
  <c r="AC4" i="2"/>
  <c r="AE36" i="2"/>
  <c r="AG68" i="2"/>
  <c r="AD100" i="2"/>
  <c r="Q33" i="2"/>
  <c r="AD65" i="2"/>
  <c r="Q97" i="2"/>
  <c r="AE30" i="2"/>
  <c r="AF62" i="2"/>
  <c r="AE94" i="2"/>
  <c r="AF27" i="2"/>
  <c r="AH59" i="2"/>
  <c r="AG91" i="2"/>
  <c r="AG24" i="2"/>
  <c r="Q56" i="2"/>
  <c r="AG88" i="2"/>
  <c r="AC21" i="2"/>
  <c r="AD53" i="2"/>
  <c r="AE85" i="2"/>
  <c r="AC18" i="2"/>
  <c r="AE50" i="2"/>
  <c r="AF82" i="2"/>
  <c r="Q15" i="2"/>
  <c r="AG47" i="2"/>
  <c r="AC79" i="2"/>
  <c r="AC93" i="2"/>
  <c r="AG7" i="2"/>
  <c r="AC12" i="2"/>
  <c r="AD44" i="2"/>
  <c r="Q76" i="2"/>
  <c r="AD9" i="2"/>
  <c r="AD41" i="2"/>
  <c r="AF73" i="2"/>
  <c r="AE6" i="2"/>
  <c r="AF38" i="2"/>
  <c r="AG70" i="2"/>
  <c r="AG3" i="2"/>
  <c r="AE35" i="2"/>
  <c r="AC67" i="2"/>
  <c r="AF99" i="2"/>
  <c r="AE58" i="2"/>
  <c r="AE71" i="2"/>
  <c r="V115" i="3"/>
  <c r="Z808" i="3"/>
  <c r="X115" i="3"/>
  <c r="AA115" i="3"/>
  <c r="AB610" i="3"/>
  <c r="AA824" i="3"/>
  <c r="Y923" i="3"/>
  <c r="J32" i="3"/>
  <c r="W642" i="3"/>
  <c r="X246" i="3"/>
  <c r="V444" i="3"/>
  <c r="AA840" i="3"/>
  <c r="AB147" i="3"/>
  <c r="V559" i="3"/>
  <c r="AA757" i="3"/>
  <c r="Z262" i="3"/>
  <c r="V476" i="3"/>
  <c r="W773" i="3"/>
  <c r="X674" i="3"/>
  <c r="J773" i="3"/>
  <c r="AB575" i="3"/>
  <c r="J294" i="3"/>
  <c r="V1086" i="3"/>
  <c r="W987" i="3"/>
  <c r="V112" i="3"/>
  <c r="Y904" i="3"/>
  <c r="AA706" i="3"/>
  <c r="Z1003" i="3"/>
  <c r="AB211" i="3"/>
  <c r="X425" i="3"/>
  <c r="J623" i="3"/>
  <c r="V326" i="3"/>
  <c r="V144" i="3"/>
  <c r="J1035" i="3"/>
  <c r="Z1035" i="3"/>
  <c r="X45" i="3"/>
  <c r="AB738" i="3"/>
  <c r="W77" i="3"/>
  <c r="AA374" i="3"/>
  <c r="X473" i="3"/>
  <c r="J307" i="3"/>
  <c r="Y802" i="3"/>
  <c r="Z802" i="3"/>
  <c r="X406" i="3"/>
  <c r="AB505" i="3"/>
  <c r="X422" i="3"/>
  <c r="V224" i="3"/>
  <c r="W818" i="3"/>
  <c r="Y240" i="3"/>
  <c r="J42" i="3"/>
  <c r="W339" i="3"/>
  <c r="AA42" i="3"/>
  <c r="AB834" i="3"/>
  <c r="Y783" i="3"/>
  <c r="AA486" i="3"/>
  <c r="Z684" i="3"/>
  <c r="X39" i="3"/>
  <c r="W633" i="3"/>
  <c r="J930" i="3"/>
  <c r="Z39" i="3"/>
  <c r="AB1029" i="3"/>
  <c r="Y301" i="3"/>
  <c r="Z400" i="3"/>
  <c r="X499" i="3"/>
  <c r="Z911" i="3"/>
  <c r="V713" i="3"/>
  <c r="AA20" i="3"/>
  <c r="Y614" i="3"/>
  <c r="AB812" i="3"/>
  <c r="J729" i="3"/>
  <c r="W432" i="3"/>
  <c r="Y729" i="3"/>
  <c r="Y844" i="3"/>
  <c r="W349" i="3"/>
  <c r="X646" i="3"/>
  <c r="J745" i="3"/>
  <c r="AB448" i="3"/>
  <c r="V365" i="3"/>
  <c r="X266" i="3"/>
  <c r="Y761" i="3"/>
  <c r="J579" i="3"/>
  <c r="Y183" i="3"/>
  <c r="V282" i="3"/>
  <c r="W84" i="3"/>
  <c r="AB282" i="3"/>
  <c r="J1090" i="3"/>
  <c r="V298" i="3"/>
  <c r="AA991" i="3"/>
  <c r="J413" i="3"/>
  <c r="Z512" i="3"/>
  <c r="Y17" i="3"/>
  <c r="X17" i="3"/>
  <c r="AB1007" i="3"/>
  <c r="V33" i="3"/>
  <c r="W33" i="3"/>
  <c r="Y231" i="3"/>
  <c r="X940" i="3"/>
  <c r="W148" i="3"/>
  <c r="Z940" i="3"/>
  <c r="AA643" i="3"/>
  <c r="AB49" i="3"/>
  <c r="Y956" i="3"/>
  <c r="Z164" i="3"/>
  <c r="X560" i="3"/>
  <c r="J279" i="3"/>
  <c r="Y873" i="3"/>
  <c r="AA279" i="3"/>
  <c r="X180" i="3"/>
  <c r="AB675" i="3"/>
  <c r="V97" i="3"/>
  <c r="Y790" i="3"/>
  <c r="Z493" i="3"/>
  <c r="W509" i="3"/>
  <c r="AA608" i="3"/>
  <c r="V14" i="3"/>
  <c r="Y113" i="3"/>
  <c r="AB113" i="3"/>
  <c r="AA1020" i="3"/>
  <c r="Y723" i="3"/>
  <c r="J822" i="3"/>
  <c r="W640" i="3"/>
  <c r="X442" i="3"/>
  <c r="AA541" i="3"/>
  <c r="J46" i="3"/>
  <c r="AB244" i="3"/>
  <c r="V557" i="3"/>
  <c r="W1052" i="3"/>
  <c r="J359" i="3"/>
  <c r="V870" i="3"/>
  <c r="Z672" i="3"/>
  <c r="Y276" i="3"/>
  <c r="AA969" i="3"/>
  <c r="AB375" i="3"/>
  <c r="Z589" i="3"/>
  <c r="AA1084" i="3"/>
  <c r="V1084" i="3"/>
  <c r="J605" i="3"/>
  <c r="W605" i="3"/>
  <c r="V605" i="3"/>
  <c r="Y308" i="3"/>
  <c r="AB308" i="3"/>
  <c r="J819" i="3"/>
  <c r="X324" i="3"/>
  <c r="W1017" i="3"/>
  <c r="X43" i="3"/>
  <c r="AA340" i="3"/>
  <c r="W934" i="3"/>
  <c r="V43" i="3"/>
  <c r="AB1033" i="3"/>
  <c r="V1049" i="3"/>
  <c r="X752" i="3"/>
  <c r="Y1049" i="3"/>
  <c r="AG32" i="2"/>
  <c r="Q64" i="2"/>
  <c r="AH96" i="2"/>
  <c r="AF29" i="2"/>
  <c r="AG77" i="2"/>
  <c r="AG26" i="2"/>
  <c r="Q90" i="2"/>
  <c r="AH4" i="2"/>
  <c r="AC36" i="2"/>
  <c r="Q68" i="2"/>
  <c r="AF100" i="2"/>
  <c r="AE33" i="2"/>
  <c r="Q65" i="2"/>
  <c r="AH97" i="2"/>
  <c r="AC30" i="2"/>
  <c r="AG62" i="2"/>
  <c r="AD94" i="2"/>
  <c r="AC27" i="2"/>
  <c r="AG59" i="2"/>
  <c r="AE91" i="2"/>
  <c r="AD24" i="2"/>
  <c r="AE56" i="2"/>
  <c r="Q88" i="2"/>
  <c r="Q21" i="2"/>
  <c r="AG53" i="2"/>
  <c r="AG85" i="2"/>
  <c r="AH18" i="2"/>
  <c r="Q50" i="2"/>
  <c r="AD82" i="2"/>
  <c r="AF15" i="2"/>
  <c r="AF47" i="2"/>
  <c r="AG79" i="2"/>
  <c r="AH93" i="2"/>
  <c r="AD7" i="2"/>
  <c r="AF12" i="2"/>
  <c r="AF44" i="2"/>
  <c r="AF76" i="2"/>
  <c r="AF9" i="2"/>
  <c r="AG41" i="2"/>
  <c r="Q73" i="2"/>
  <c r="AH6" i="2"/>
  <c r="AG38" i="2"/>
  <c r="AH70" i="2"/>
  <c r="AE3" i="2"/>
  <c r="AD35" i="2"/>
  <c r="Q67" i="2"/>
  <c r="AG99" i="2"/>
  <c r="AC58" i="2"/>
  <c r="AD71" i="2"/>
  <c r="V412" i="3"/>
  <c r="X313" i="3"/>
  <c r="W16" i="3"/>
  <c r="AB214" i="3"/>
  <c r="W626" i="3"/>
  <c r="Y230" i="3"/>
  <c r="W48" i="3"/>
  <c r="V939" i="3"/>
  <c r="Z939" i="3"/>
  <c r="AB543" i="3"/>
  <c r="W955" i="3"/>
  <c r="AA64" i="3"/>
  <c r="V674" i="3"/>
  <c r="X1070" i="3"/>
  <c r="AA872" i="3"/>
  <c r="AB476" i="3"/>
  <c r="X96" i="3"/>
  <c r="V96" i="3"/>
  <c r="V409" i="3"/>
  <c r="AA211" i="3"/>
  <c r="J508" i="3"/>
  <c r="AB1003" i="3"/>
  <c r="Z623" i="3"/>
  <c r="J524" i="3"/>
  <c r="V441" i="3"/>
  <c r="Z738" i="3"/>
  <c r="W639" i="3"/>
  <c r="AB243" i="3"/>
  <c r="V77" i="3"/>
  <c r="AA473" i="3"/>
  <c r="J703" i="3"/>
  <c r="Z703" i="3"/>
  <c r="W505" i="3"/>
  <c r="AB406" i="3"/>
  <c r="J917" i="3"/>
  <c r="V422" i="3"/>
  <c r="Y537" i="3"/>
  <c r="W240" i="3"/>
  <c r="Z537" i="3"/>
  <c r="AB735" i="3"/>
  <c r="V585" i="3"/>
  <c r="AA585" i="3"/>
  <c r="X633" i="3"/>
  <c r="J138" i="3"/>
  <c r="AA435" i="3"/>
  <c r="AB435" i="3"/>
  <c r="V598" i="3"/>
  <c r="Z796" i="3"/>
  <c r="Z614" i="3"/>
  <c r="AA218" i="3"/>
  <c r="W614" i="3"/>
  <c r="AB20" i="3"/>
  <c r="X432" i="3"/>
  <c r="W531" i="3"/>
  <c r="Y349" i="3"/>
  <c r="X349" i="3"/>
  <c r="V250" i="3"/>
  <c r="AB52" i="3"/>
  <c r="Z563" i="3"/>
  <c r="X1058" i="3"/>
  <c r="J1074" i="3"/>
  <c r="V678" i="3"/>
  <c r="X678" i="3"/>
  <c r="AB381" i="3"/>
  <c r="W793" i="3"/>
  <c r="V694" i="3"/>
  <c r="J611" i="3"/>
  <c r="Y215" i="3"/>
  <c r="V116" i="3"/>
  <c r="AB413" i="3"/>
  <c r="J726" i="3"/>
  <c r="W627" i="3"/>
  <c r="X643" i="3"/>
  <c r="Z742" i="3"/>
  <c r="V742" i="3"/>
  <c r="AB247" i="3"/>
  <c r="W164" i="3"/>
  <c r="Z362" i="3"/>
  <c r="J873" i="3"/>
  <c r="AA477" i="3"/>
  <c r="W279" i="3"/>
  <c r="AB774" i="3"/>
  <c r="J493" i="3"/>
  <c r="Y691" i="3"/>
  <c r="W1004" i="3"/>
  <c r="V1004" i="3"/>
  <c r="Z806" i="3"/>
  <c r="AB14" i="3"/>
  <c r="X1020" i="3"/>
  <c r="Y1020" i="3"/>
  <c r="W1036" i="3"/>
  <c r="AA937" i="3"/>
  <c r="V244" i="3"/>
  <c r="AB640" i="3"/>
  <c r="Y1052" i="3"/>
  <c r="W260" i="3"/>
  <c r="V969" i="3"/>
  <c r="Y78" i="3"/>
  <c r="W375" i="3"/>
  <c r="AB870" i="3"/>
  <c r="X94" i="3"/>
  <c r="AA688" i="3"/>
  <c r="J506" i="3"/>
  <c r="V209" i="3"/>
  <c r="Z209" i="3"/>
  <c r="AB704" i="3"/>
  <c r="Y27" i="3"/>
  <c r="X819" i="3"/>
  <c r="X934" i="3"/>
  <c r="W142" i="3"/>
  <c r="J142" i="3"/>
  <c r="AB340" i="3"/>
  <c r="AA653" i="3"/>
  <c r="X455" i="3"/>
  <c r="AI32" i="2"/>
  <c r="AI64" i="2"/>
  <c r="AI96" i="2"/>
  <c r="AI29" i="2"/>
  <c r="AI77" i="2"/>
  <c r="AI26" i="2"/>
  <c r="AI90" i="2"/>
  <c r="AI4" i="2"/>
  <c r="AI36" i="2"/>
  <c r="AI68" i="2"/>
  <c r="AI100" i="2"/>
  <c r="AI33" i="2"/>
  <c r="AI65" i="2"/>
  <c r="AI97" i="2"/>
  <c r="AI30" i="2"/>
  <c r="AI62" i="2"/>
  <c r="AI94" i="2"/>
  <c r="AI27" i="2"/>
  <c r="AI59" i="2"/>
  <c r="AI91" i="2"/>
  <c r="AI24" i="2"/>
  <c r="AI56" i="2"/>
  <c r="AI88" i="2"/>
  <c r="AI21" i="2"/>
  <c r="AI53" i="2"/>
  <c r="AI85" i="2"/>
  <c r="AI18" i="2"/>
  <c r="AI50" i="2"/>
  <c r="AI82" i="2"/>
  <c r="AI15" i="2"/>
  <c r="AI47" i="2"/>
  <c r="AI79" i="2"/>
  <c r="AI93" i="2"/>
  <c r="AI7" i="2"/>
  <c r="AI12" i="2"/>
  <c r="AI44" i="2"/>
  <c r="AI76" i="2"/>
  <c r="Q9" i="2"/>
  <c r="AI41" i="2"/>
  <c r="AI73" i="2"/>
  <c r="AI6" i="2"/>
  <c r="AI38" i="2"/>
  <c r="AI70" i="2"/>
  <c r="AI3" i="2"/>
  <c r="AI35" i="2"/>
  <c r="AI67" i="2"/>
  <c r="AI99" i="2"/>
  <c r="AI58" i="2"/>
  <c r="AI71" i="2"/>
  <c r="V1006" i="3"/>
  <c r="AA511" i="3"/>
  <c r="W709" i="3"/>
  <c r="AB1006" i="3"/>
  <c r="W329" i="3"/>
  <c r="Y428" i="3"/>
  <c r="AB230" i="3"/>
  <c r="W1038" i="3"/>
  <c r="AA444" i="3"/>
  <c r="Z1038" i="3"/>
  <c r="AB840" i="3"/>
  <c r="W262" i="3"/>
  <c r="AA559" i="3"/>
  <c r="AB559" i="3"/>
  <c r="V377" i="3"/>
  <c r="J872" i="3"/>
  <c r="AA674" i="3"/>
  <c r="AB971" i="3"/>
  <c r="X492" i="3"/>
  <c r="V987" i="3"/>
  <c r="AB96" i="3"/>
  <c r="V607" i="3"/>
  <c r="Z904" i="3"/>
  <c r="J1003" i="3"/>
  <c r="AB409" i="3"/>
  <c r="Z1019" i="3"/>
  <c r="J1019" i="3"/>
  <c r="AB227" i="3"/>
  <c r="V936" i="3"/>
  <c r="X738" i="3"/>
  <c r="W738" i="3"/>
  <c r="AB45" i="3"/>
  <c r="V968" i="3"/>
  <c r="AA77" i="3"/>
  <c r="AB176" i="3"/>
  <c r="J901" i="3"/>
  <c r="X901" i="3"/>
  <c r="W703" i="3"/>
  <c r="AB208" i="3"/>
  <c r="J422" i="3"/>
  <c r="V26" i="3"/>
  <c r="AB620" i="3"/>
  <c r="Y834" i="3"/>
  <c r="AA537" i="3"/>
  <c r="Z42" i="3"/>
  <c r="AB933" i="3"/>
  <c r="V882" i="3"/>
  <c r="AA90" i="3"/>
  <c r="AB288" i="3"/>
  <c r="X435" i="3"/>
  <c r="Z831" i="3"/>
  <c r="AA1029" i="3"/>
  <c r="AB336" i="3"/>
  <c r="V697" i="3"/>
  <c r="Z301" i="3"/>
  <c r="AB400" i="3"/>
  <c r="Z515" i="3"/>
  <c r="Y911" i="3"/>
  <c r="W317" i="3"/>
  <c r="AB1010" i="3"/>
  <c r="X630" i="3"/>
  <c r="W1026" i="3"/>
  <c r="AB333" i="3"/>
  <c r="Y547" i="3"/>
  <c r="J943" i="3"/>
  <c r="V646" i="3"/>
  <c r="AB349" i="3"/>
  <c r="Z761" i="3"/>
  <c r="X959" i="3"/>
  <c r="AB662" i="3"/>
  <c r="J777" i="3"/>
  <c r="W876" i="3"/>
  <c r="X282" i="3"/>
  <c r="AB579" i="3"/>
  <c r="W199" i="3"/>
  <c r="V496" i="3"/>
  <c r="AB694" i="3"/>
  <c r="J710" i="3"/>
  <c r="X215" i="3"/>
  <c r="V215" i="3"/>
  <c r="AB611" i="3"/>
  <c r="J33" i="3"/>
  <c r="W528" i="3"/>
  <c r="AB1023" i="3"/>
  <c r="X742" i="3"/>
  <c r="AA49" i="3"/>
  <c r="V148" i="3"/>
  <c r="AB445" i="3"/>
  <c r="W65" i="3"/>
  <c r="Z956" i="3"/>
  <c r="AB65" i="3"/>
  <c r="J576" i="3"/>
  <c r="X378" i="3"/>
  <c r="W1071" i="3"/>
  <c r="AB972" i="3"/>
  <c r="J394" i="3"/>
  <c r="Y1087" i="3"/>
  <c r="AB592" i="3"/>
  <c r="W608" i="3"/>
  <c r="Y806" i="3"/>
  <c r="Z608" i="3"/>
  <c r="AB410" i="3"/>
  <c r="X921" i="3"/>
  <c r="Y525" i="3"/>
  <c r="AB624" i="3"/>
  <c r="W442" i="3"/>
  <c r="J541" i="3"/>
  <c r="V541" i="3"/>
  <c r="AB1036" i="3"/>
  <c r="Y953" i="3"/>
  <c r="W557" i="3"/>
  <c r="AB953" i="3"/>
  <c r="V177" i="3"/>
  <c r="AA573" i="3"/>
  <c r="W870" i="3"/>
  <c r="AB573" i="3"/>
  <c r="X985" i="3"/>
  <c r="AA490" i="3"/>
  <c r="AB1084" i="3"/>
  <c r="J308" i="3"/>
  <c r="Y110" i="3"/>
  <c r="Z1001" i="3"/>
  <c r="AB803" i="3"/>
  <c r="Y225" i="3"/>
  <c r="X27" i="3"/>
  <c r="AB225" i="3"/>
  <c r="X142" i="3"/>
  <c r="V142" i="3"/>
  <c r="J736" i="3"/>
  <c r="AB934" i="3"/>
  <c r="AA851" i="3"/>
  <c r="X554" i="3"/>
  <c r="AE32" i="2"/>
  <c r="AE64" i="2"/>
  <c r="AF96" i="2"/>
  <c r="AH29" i="2"/>
  <c r="AF77" i="2"/>
  <c r="AH26" i="2"/>
  <c r="AD90" i="2"/>
  <c r="AD4" i="2"/>
  <c r="AH36" i="2"/>
  <c r="AD68" i="2"/>
  <c r="AE100" i="2"/>
  <c r="AH33" i="2"/>
  <c r="AC65" i="2"/>
  <c r="AD97" i="2"/>
  <c r="AD30" i="2"/>
  <c r="AH62" i="2"/>
  <c r="AF94" i="2"/>
  <c r="AG27" i="2"/>
  <c r="Q59" i="2"/>
  <c r="AC91" i="2"/>
  <c r="AH24" i="2"/>
  <c r="AC56" i="2"/>
  <c r="AD88" i="2"/>
  <c r="AH21" i="2"/>
  <c r="AC53" i="2"/>
  <c r="AF85" i="2"/>
  <c r="AG18" i="2"/>
  <c r="AH50" i="2"/>
  <c r="AC82" i="2"/>
  <c r="AC15" i="2"/>
  <c r="Q47" i="2"/>
  <c r="Q79" i="2"/>
  <c r="AE93" i="2"/>
  <c r="AE7" i="2"/>
  <c r="AG12" i="2"/>
  <c r="AH44" i="2"/>
  <c r="AH76" i="2"/>
  <c r="AE9" i="2"/>
  <c r="Q41" i="2"/>
  <c r="AH73" i="2"/>
  <c r="AG6" i="2"/>
  <c r="Q38" i="2"/>
  <c r="AC70" i="2"/>
  <c r="AF3" i="2"/>
  <c r="Q35" i="2"/>
  <c r="AG67" i="2"/>
  <c r="AH99" i="2"/>
  <c r="AD58" i="2"/>
  <c r="AG71" i="2"/>
  <c r="V16" i="3"/>
  <c r="Z115" i="3"/>
  <c r="X1006" i="3"/>
  <c r="W610" i="3"/>
  <c r="AB412" i="3"/>
  <c r="W923" i="3"/>
  <c r="Y131" i="3"/>
  <c r="X626" i="3"/>
  <c r="Z428" i="3"/>
  <c r="W147" i="3"/>
  <c r="X147" i="3"/>
  <c r="V345" i="3"/>
  <c r="Z543" i="3"/>
  <c r="AB741" i="3"/>
  <c r="W361" i="3"/>
  <c r="AA1054" i="3"/>
  <c r="X856" i="3"/>
  <c r="J1054" i="3"/>
  <c r="V575" i="3"/>
  <c r="W377" i="3"/>
  <c r="X278" i="3"/>
  <c r="AA377" i="3"/>
  <c r="AB872" i="3"/>
  <c r="X1086" i="3"/>
  <c r="V789" i="3"/>
  <c r="Y195" i="3"/>
  <c r="AA96" i="3"/>
  <c r="V508" i="3"/>
  <c r="Y706" i="3"/>
  <c r="AA607" i="3"/>
  <c r="J607" i="3"/>
  <c r="AB13" i="3"/>
  <c r="Z524" i="3"/>
  <c r="J425" i="3"/>
  <c r="AA29" i="3"/>
  <c r="Y722" i="3"/>
  <c r="V342" i="3"/>
  <c r="J342" i="3"/>
  <c r="Z639" i="3"/>
  <c r="W441" i="3"/>
  <c r="AB639" i="3"/>
  <c r="V671" i="3"/>
  <c r="AA176" i="3"/>
  <c r="Y77" i="3"/>
  <c r="Z1067" i="3"/>
  <c r="J208" i="3"/>
  <c r="Y10" i="3"/>
  <c r="Z307" i="3"/>
  <c r="W802" i="3"/>
  <c r="AB901" i="3"/>
  <c r="J719" i="3"/>
  <c r="V818" i="3"/>
  <c r="AA917" i="3"/>
  <c r="Z620" i="3"/>
  <c r="Y1032" i="3"/>
  <c r="J834" i="3"/>
  <c r="W636" i="3"/>
  <c r="Z636" i="3"/>
  <c r="AB438" i="3"/>
  <c r="V1080" i="3"/>
  <c r="AA684" i="3"/>
  <c r="W585" i="3"/>
  <c r="J288" i="3"/>
  <c r="X138" i="3"/>
  <c r="W336" i="3"/>
  <c r="J534" i="3"/>
  <c r="AA633" i="3"/>
  <c r="AB39" i="3"/>
  <c r="V202" i="3"/>
  <c r="Z202" i="3"/>
  <c r="W994" i="3"/>
  <c r="AA103" i="3"/>
  <c r="Z713" i="3"/>
  <c r="V614" i="3"/>
  <c r="AA416" i="3"/>
  <c r="W119" i="3"/>
  <c r="AB515" i="3"/>
  <c r="X729" i="3"/>
  <c r="W36" i="3"/>
  <c r="AA36" i="3"/>
  <c r="V927" i="3"/>
  <c r="Y448" i="3"/>
  <c r="W547" i="3"/>
  <c r="X547" i="3"/>
  <c r="V448" i="3"/>
  <c r="AB250" i="3"/>
  <c r="Z860" i="3"/>
  <c r="X860" i="3"/>
  <c r="W662" i="3"/>
  <c r="J1058" i="3"/>
  <c r="J381" i="3"/>
  <c r="Y975" i="3"/>
  <c r="V480" i="3"/>
  <c r="X975" i="3"/>
  <c r="AB678" i="3"/>
  <c r="W694" i="3"/>
  <c r="V892" i="3"/>
  <c r="X199" i="3"/>
  <c r="Y991" i="3"/>
  <c r="J116" i="3"/>
  <c r="Z413" i="3"/>
  <c r="Y611" i="3"/>
  <c r="V1007" i="3"/>
  <c r="AB215" i="3"/>
  <c r="J825" i="3"/>
  <c r="W924" i="3"/>
  <c r="AA924" i="3"/>
  <c r="X231" i="3"/>
  <c r="X148" i="3"/>
  <c r="W1039" i="3"/>
  <c r="Z346" i="3"/>
  <c r="V643" i="3"/>
  <c r="AB1039" i="3"/>
  <c r="W956" i="3"/>
  <c r="Z1055" i="3"/>
  <c r="V560" i="3"/>
  <c r="J65" i="3"/>
  <c r="J477" i="3"/>
  <c r="Y576" i="3"/>
  <c r="AA576" i="3"/>
  <c r="W774" i="3"/>
  <c r="AB378" i="3"/>
  <c r="J295" i="3"/>
  <c r="Y889" i="3"/>
  <c r="W592" i="3"/>
  <c r="AA394" i="3"/>
  <c r="W905" i="3"/>
  <c r="AA113" i="3"/>
  <c r="V410" i="3"/>
  <c r="Z905" i="3"/>
  <c r="AB905" i="3"/>
  <c r="X30" i="3"/>
  <c r="Y624" i="3"/>
  <c r="W327" i="3"/>
  <c r="V1020" i="3"/>
  <c r="W145" i="3"/>
  <c r="X1036" i="3"/>
  <c r="AA739" i="3"/>
  <c r="V46" i="3"/>
  <c r="AB442" i="3"/>
  <c r="Y854" i="3"/>
  <c r="W62" i="3"/>
  <c r="AA62" i="3"/>
  <c r="Z557" i="3"/>
  <c r="V672" i="3"/>
  <c r="Z276" i="3"/>
  <c r="Y969" i="3"/>
  <c r="W474" i="3"/>
  <c r="AB771" i="3"/>
  <c r="X193" i="3"/>
  <c r="AA985" i="3"/>
  <c r="Y589" i="3"/>
  <c r="W391" i="3"/>
  <c r="J110" i="3"/>
  <c r="W308" i="3"/>
  <c r="V11" i="3"/>
  <c r="Z308" i="3"/>
  <c r="AB1001" i="3"/>
  <c r="Y423" i="3"/>
  <c r="X621" i="3"/>
  <c r="Z720" i="3"/>
  <c r="V819" i="3"/>
  <c r="X538" i="3"/>
  <c r="AA934" i="3"/>
  <c r="W340" i="3"/>
  <c r="J43" i="3"/>
  <c r="AB43" i="3"/>
  <c r="AA950" i="3"/>
  <c r="X950" i="3"/>
  <c r="J653" i="3"/>
  <c r="AC32" i="2"/>
  <c r="AF64" i="2"/>
  <c r="AG96" i="2"/>
  <c r="AD29" i="2"/>
  <c r="Q77" i="2"/>
  <c r="AF26" i="2"/>
  <c r="AE90" i="2"/>
  <c r="Q4" i="2"/>
  <c r="AG36" i="2"/>
  <c r="AH68" i="2"/>
  <c r="AG100" i="2"/>
  <c r="AG33" i="2"/>
  <c r="AH65" i="2"/>
  <c r="AE97" i="2"/>
  <c r="AG30" i="2"/>
  <c r="AE62" i="2"/>
  <c r="Q94" i="2"/>
  <c r="AH27" i="2"/>
  <c r="AD59" i="2"/>
  <c r="AF91" i="2"/>
  <c r="AF24" i="2"/>
  <c r="AH56" i="2"/>
  <c r="AE88" i="2"/>
  <c r="AG21" i="2"/>
  <c r="Q53" i="2"/>
  <c r="AH85" i="2"/>
  <c r="AF18" i="2"/>
  <c r="AD50" i="2"/>
  <c r="AG82" i="2"/>
  <c r="AG15" i="2"/>
  <c r="AC47" i="2"/>
  <c r="AH79" i="2"/>
  <c r="Q93" i="2"/>
  <c r="AC7" i="2"/>
  <c r="Q12" i="2"/>
  <c r="Q44" i="2"/>
  <c r="AG76" i="2"/>
  <c r="AH9" i="2"/>
  <c r="AH41" i="2"/>
  <c r="AE73" i="2"/>
  <c r="Q6" i="2"/>
  <c r="AD38" i="2"/>
  <c r="Q70" i="2"/>
  <c r="Q3" i="2"/>
  <c r="AF35" i="2"/>
  <c r="AF67" i="2"/>
  <c r="AC99" i="2"/>
  <c r="Q58" i="2"/>
  <c r="Q71" i="2"/>
  <c r="V808" i="3"/>
  <c r="Z412" i="3"/>
  <c r="X511" i="3"/>
  <c r="W412" i="3"/>
  <c r="AB907" i="3"/>
  <c r="W32" i="3"/>
  <c r="Y1022" i="3"/>
  <c r="X923" i="3"/>
  <c r="V131" i="3"/>
  <c r="AB131" i="3"/>
  <c r="W741" i="3"/>
  <c r="X345" i="3"/>
  <c r="V1038" i="3"/>
  <c r="Z345" i="3"/>
  <c r="AB246" i="3"/>
  <c r="W460" i="3"/>
  <c r="AA361" i="3"/>
  <c r="X64" i="3"/>
  <c r="Y757" i="3"/>
  <c r="AB64" i="3"/>
  <c r="V872" i="3"/>
  <c r="W674" i="3"/>
  <c r="X575" i="3"/>
  <c r="AA1070" i="3"/>
  <c r="AB80" i="3"/>
  <c r="X789" i="3"/>
  <c r="V195" i="3"/>
  <c r="Y393" i="3"/>
  <c r="Z492" i="3"/>
  <c r="AB492" i="3"/>
  <c r="V904" i="3"/>
  <c r="Y607" i="3"/>
  <c r="AA13" i="3"/>
  <c r="J409" i="3"/>
  <c r="AB904" i="3"/>
  <c r="Z326" i="3"/>
  <c r="J821" i="3"/>
  <c r="AA1019" i="3"/>
  <c r="W1019" i="3"/>
  <c r="AB623" i="3"/>
  <c r="V540" i="3"/>
  <c r="J837" i="3"/>
  <c r="Z837" i="3"/>
  <c r="W144" i="3"/>
  <c r="AB936" i="3"/>
  <c r="V275" i="3"/>
  <c r="AA671" i="3"/>
  <c r="Y374" i="3"/>
  <c r="J671" i="3"/>
  <c r="AB968" i="3"/>
  <c r="J406" i="3"/>
  <c r="Y307" i="3"/>
  <c r="Z1000" i="3"/>
  <c r="W406" i="3"/>
  <c r="AB703" i="3"/>
  <c r="J818" i="3"/>
  <c r="V125" i="3"/>
  <c r="AA1016" i="3"/>
  <c r="Y620" i="3"/>
  <c r="AB323" i="3"/>
  <c r="Y42" i="3"/>
  <c r="J240" i="3"/>
  <c r="W834" i="3"/>
  <c r="Z141" i="3"/>
  <c r="AB1032" i="3"/>
  <c r="V981" i="3"/>
  <c r="AA387" i="3"/>
  <c r="W288" i="3"/>
  <c r="X90" i="3"/>
  <c r="AB684" i="3"/>
  <c r="X336" i="3"/>
  <c r="W930" i="3"/>
  <c r="J237" i="3"/>
  <c r="AA237" i="3"/>
  <c r="AB237" i="3"/>
  <c r="V895" i="3"/>
  <c r="Z598" i="3"/>
  <c r="W796" i="3"/>
  <c r="J202" i="3"/>
  <c r="AB103" i="3"/>
  <c r="Z317" i="3"/>
  <c r="V416" i="3"/>
  <c r="AA515" i="3"/>
  <c r="W713" i="3"/>
  <c r="AB317" i="3"/>
  <c r="X828" i="3"/>
  <c r="W135" i="3"/>
  <c r="AA234" i="3"/>
  <c r="Z333" i="3"/>
  <c r="AB432" i="3"/>
  <c r="Y745" i="3"/>
  <c r="W448" i="3"/>
  <c r="X943" i="3"/>
  <c r="V52" i="3"/>
  <c r="AB646" i="3"/>
  <c r="Z266" i="3"/>
  <c r="X68" i="3"/>
  <c r="W563" i="3"/>
  <c r="AA464" i="3"/>
  <c r="AB860" i="3"/>
  <c r="J183" i="3"/>
  <c r="Y777" i="3"/>
  <c r="V579" i="3"/>
  <c r="X876" i="3"/>
  <c r="AB480" i="3"/>
  <c r="W397" i="3"/>
  <c r="V991" i="3"/>
  <c r="X892" i="3"/>
  <c r="Z1090" i="3"/>
  <c r="AB397" i="3"/>
  <c r="J908" i="3"/>
  <c r="Z908" i="3"/>
  <c r="Y314" i="3"/>
  <c r="V611" i="3"/>
  <c r="AB710" i="3"/>
  <c r="J429" i="3"/>
  <c r="W1023" i="3"/>
  <c r="AA132" i="3"/>
  <c r="Z429" i="3"/>
  <c r="AB132" i="3"/>
  <c r="X346" i="3"/>
  <c r="W940" i="3"/>
  <c r="Z148" i="3"/>
  <c r="V544" i="3"/>
  <c r="AB742" i="3"/>
  <c r="W857" i="3"/>
  <c r="Z758" i="3"/>
  <c r="V461" i="3"/>
  <c r="AA659" i="3"/>
  <c r="AB1055" i="3"/>
  <c r="J180" i="3"/>
  <c r="Y774" i="3"/>
  <c r="AA180" i="3"/>
  <c r="W81" i="3"/>
  <c r="AB81" i="3"/>
  <c r="J691" i="3"/>
  <c r="Y295" i="3"/>
  <c r="W691" i="3"/>
  <c r="X97" i="3"/>
  <c r="AB394" i="3"/>
  <c r="W113" i="3"/>
  <c r="AA905" i="3"/>
  <c r="V707" i="3"/>
  <c r="Z14" i="3"/>
  <c r="AB212" i="3"/>
  <c r="X129" i="3"/>
  <c r="Y228" i="3"/>
  <c r="W723" i="3"/>
  <c r="Z1020" i="3"/>
  <c r="AB129" i="3"/>
  <c r="W541" i="3"/>
  <c r="X937" i="3"/>
  <c r="AA442" i="3"/>
  <c r="V442" i="3"/>
  <c r="AB838" i="3"/>
  <c r="Y557" i="3"/>
  <c r="W458" i="3"/>
  <c r="AA656" i="3"/>
  <c r="X458" i="3"/>
  <c r="AB161" i="3"/>
  <c r="V771" i="3"/>
  <c r="Z771" i="3"/>
  <c r="Y771" i="3"/>
  <c r="W969" i="3"/>
  <c r="AB474" i="3"/>
  <c r="X391" i="3"/>
  <c r="AA787" i="3"/>
  <c r="Y490" i="3"/>
  <c r="J292" i="3"/>
  <c r="AB787" i="3"/>
  <c r="J11" i="3"/>
  <c r="W506" i="3"/>
  <c r="V308" i="3"/>
  <c r="Z902" i="3"/>
  <c r="AB605" i="3"/>
  <c r="Y720" i="3"/>
  <c r="X720" i="3"/>
  <c r="Z27" i="3"/>
  <c r="AA819" i="3"/>
  <c r="AB324" i="3"/>
  <c r="X736" i="3"/>
  <c r="AA241" i="3"/>
  <c r="W736" i="3"/>
  <c r="J1033" i="3"/>
  <c r="AB142" i="3"/>
  <c r="AA752" i="3"/>
  <c r="X257" i="3"/>
  <c r="Q16" i="2"/>
  <c r="Q48" i="2"/>
  <c r="AF80" i="2"/>
  <c r="AD13" i="2"/>
  <c r="AF45" i="2"/>
  <c r="AH10" i="2"/>
  <c r="AE42" i="2"/>
  <c r="AC39" i="2"/>
  <c r="Q20" i="2"/>
  <c r="AH52" i="2"/>
  <c r="AH84" i="2"/>
  <c r="AH17" i="2"/>
  <c r="AF49" i="2"/>
  <c r="AC81" i="2"/>
  <c r="AE14" i="2"/>
  <c r="AG46" i="2"/>
  <c r="AE78" i="2"/>
  <c r="AE11" i="2"/>
  <c r="AF43" i="2"/>
  <c r="AF75" i="2"/>
  <c r="Q8" i="2"/>
  <c r="AF40" i="2"/>
  <c r="AE72" i="2"/>
  <c r="AH5" i="2"/>
  <c r="AE37" i="2"/>
  <c r="AD69" i="2"/>
  <c r="Q101" i="2"/>
  <c r="AE34" i="2"/>
  <c r="Q66" i="2"/>
  <c r="AD98" i="2"/>
  <c r="Q31" i="2"/>
  <c r="AD63" i="2"/>
  <c r="AF95" i="2"/>
  <c r="AC74" i="2"/>
  <c r="AG55" i="2"/>
  <c r="AF28" i="2"/>
  <c r="AF60" i="2"/>
  <c r="AD92" i="2"/>
  <c r="AD25" i="2"/>
  <c r="AD57" i="2"/>
  <c r="AF89" i="2"/>
  <c r="AG22" i="2"/>
  <c r="AC54" i="2"/>
  <c r="AD86" i="2"/>
  <c r="AE19" i="2"/>
  <c r="AE51" i="2"/>
  <c r="AC83" i="2"/>
  <c r="Q61" i="2"/>
  <c r="AD23" i="2"/>
  <c r="AC87" i="2"/>
  <c r="V709" i="3"/>
  <c r="J214" i="3"/>
  <c r="AA1006" i="3"/>
  <c r="W313" i="3"/>
  <c r="AA32" i="3"/>
  <c r="W230" i="3"/>
  <c r="J824" i="3"/>
  <c r="X824" i="3"/>
  <c r="Z329" i="3"/>
  <c r="AB428" i="3"/>
  <c r="W246" i="3"/>
  <c r="J48" i="3"/>
  <c r="AA1038" i="3"/>
  <c r="Z840" i="3"/>
  <c r="V856" i="3"/>
  <c r="W559" i="3"/>
  <c r="Z658" i="3"/>
  <c r="X262" i="3"/>
  <c r="J361" i="3"/>
  <c r="AB757" i="3"/>
  <c r="V278" i="3"/>
  <c r="Y1070" i="3"/>
  <c r="J971" i="3"/>
  <c r="AA179" i="3"/>
  <c r="J888" i="3"/>
  <c r="X888" i="3"/>
  <c r="W393" i="3"/>
  <c r="Y789" i="3"/>
  <c r="AA393" i="3"/>
  <c r="AB393" i="3"/>
  <c r="V805" i="3"/>
  <c r="W706" i="3"/>
  <c r="Z13" i="3"/>
  <c r="J706" i="3"/>
  <c r="X29" i="3"/>
  <c r="Z425" i="3"/>
  <c r="V722" i="3"/>
  <c r="AA326" i="3"/>
  <c r="Y326" i="3"/>
  <c r="AB425" i="3"/>
  <c r="V837" i="3"/>
  <c r="Y144" i="3"/>
  <c r="X441" i="3"/>
  <c r="W837" i="3"/>
  <c r="W473" i="3"/>
  <c r="V869" i="3"/>
  <c r="X77" i="3"/>
  <c r="Y770" i="3"/>
  <c r="Z374" i="3"/>
  <c r="AB1067" i="3"/>
  <c r="J802" i="3"/>
  <c r="AA406" i="3"/>
  <c r="X703" i="3"/>
  <c r="W1000" i="3"/>
  <c r="X818" i="3"/>
  <c r="J26" i="3"/>
  <c r="W422" i="3"/>
  <c r="AA323" i="3"/>
  <c r="Z323" i="3"/>
  <c r="AB1016" i="3"/>
  <c r="Y339" i="3"/>
  <c r="X834" i="3"/>
  <c r="AA141" i="3"/>
  <c r="Z1032" i="3"/>
  <c r="Y486" i="3"/>
  <c r="V684" i="3"/>
  <c r="Z882" i="3"/>
  <c r="W387" i="3"/>
  <c r="J387" i="3"/>
  <c r="AB189" i="3"/>
  <c r="X534" i="3"/>
  <c r="V237" i="3"/>
  <c r="Z435" i="3"/>
  <c r="AA930" i="3"/>
  <c r="Y796" i="3"/>
  <c r="V400" i="3"/>
  <c r="X202" i="3"/>
  <c r="W400" i="3"/>
  <c r="AA994" i="3"/>
  <c r="AB697" i="3"/>
  <c r="Z812" i="3"/>
  <c r="J1010" i="3"/>
  <c r="Y812" i="3"/>
  <c r="W218" i="3"/>
  <c r="J1026" i="3"/>
  <c r="X234" i="3"/>
  <c r="Y828" i="3"/>
  <c r="AA432" i="3"/>
  <c r="V828" i="3"/>
  <c r="AB729" i="3"/>
  <c r="Y1042" i="3"/>
  <c r="AA250" i="3"/>
  <c r="J646" i="3"/>
  <c r="V151" i="3"/>
  <c r="V563" i="3"/>
  <c r="Z1058" i="3"/>
  <c r="Y266" i="3"/>
  <c r="W1058" i="3"/>
  <c r="J464" i="3"/>
  <c r="AB68" i="3"/>
  <c r="J480" i="3"/>
  <c r="AA678" i="3"/>
  <c r="W381" i="3"/>
  <c r="X579" i="3"/>
  <c r="J298" i="3"/>
  <c r="W595" i="3"/>
  <c r="AA397" i="3"/>
  <c r="X100" i="3"/>
  <c r="Y694" i="3"/>
  <c r="AB595" i="3"/>
  <c r="J512" i="3"/>
  <c r="AA710" i="3"/>
  <c r="X314" i="3"/>
  <c r="V17" i="3"/>
  <c r="V726" i="3"/>
  <c r="J924" i="3"/>
  <c r="Y429" i="3"/>
  <c r="AA33" i="3"/>
  <c r="X132" i="3"/>
  <c r="AB528" i="3"/>
  <c r="X1039" i="3"/>
  <c r="Y346" i="3"/>
  <c r="AA544" i="3"/>
  <c r="V49" i="3"/>
  <c r="Y263" i="3"/>
  <c r="W1055" i="3"/>
  <c r="X758" i="3"/>
  <c r="V263" i="3"/>
  <c r="J362" i="3"/>
  <c r="AB956" i="3"/>
  <c r="J774" i="3"/>
  <c r="V477" i="3"/>
  <c r="X774" i="3"/>
  <c r="W873" i="3"/>
  <c r="V295" i="3"/>
  <c r="J988" i="3"/>
  <c r="Z394" i="3"/>
  <c r="W790" i="3"/>
  <c r="AA97" i="3"/>
  <c r="AB1087" i="3"/>
  <c r="W410" i="3"/>
  <c r="X410" i="3"/>
  <c r="Y14" i="3"/>
  <c r="Z707" i="3"/>
  <c r="AA327" i="3"/>
  <c r="X426" i="3"/>
  <c r="J723" i="3"/>
  <c r="W624" i="3"/>
  <c r="V30" i="3"/>
  <c r="AB30" i="3"/>
  <c r="W838" i="3"/>
  <c r="Z937" i="3"/>
  <c r="J442" i="3"/>
  <c r="V1036" i="3"/>
  <c r="V854" i="3"/>
  <c r="Y458" i="3"/>
  <c r="J557" i="3"/>
  <c r="AA755" i="3"/>
  <c r="Z62" i="3"/>
  <c r="AB854" i="3"/>
  <c r="V474" i="3"/>
  <c r="X474" i="3"/>
  <c r="AA375" i="3"/>
  <c r="W1068" i="3"/>
  <c r="Z1084" i="3"/>
  <c r="X292" i="3"/>
  <c r="V193" i="3"/>
  <c r="Y1084" i="3"/>
  <c r="W589" i="3"/>
  <c r="AB688" i="3"/>
  <c r="J704" i="3"/>
  <c r="X902" i="3"/>
  <c r="Y902" i="3"/>
  <c r="Z506" i="3"/>
  <c r="J324" i="3"/>
  <c r="Y1017" i="3"/>
  <c r="W522" i="3"/>
  <c r="Z225" i="3"/>
  <c r="V621" i="3"/>
  <c r="AB918" i="3"/>
  <c r="X835" i="3"/>
  <c r="Y439" i="3"/>
  <c r="V340" i="3"/>
  <c r="J934" i="3"/>
  <c r="V752" i="3"/>
  <c r="AA356" i="3"/>
  <c r="Y158" i="3"/>
  <c r="AF16" i="2"/>
  <c r="AF48" i="2"/>
  <c r="AG80" i="2"/>
  <c r="AE13" i="2"/>
  <c r="AH45" i="2"/>
  <c r="AC10" i="2"/>
  <c r="AC42" i="2"/>
  <c r="AF39" i="2"/>
  <c r="AE20" i="2"/>
  <c r="AG52" i="2"/>
  <c r="AG84" i="2"/>
  <c r="AD17" i="2"/>
  <c r="Q49" i="2"/>
  <c r="AG81" i="2"/>
  <c r="Q14" i="2"/>
  <c r="AF46" i="2"/>
  <c r="Q78" i="2"/>
  <c r="AH11" i="2"/>
  <c r="AG43" i="2"/>
  <c r="AG75" i="2"/>
  <c r="AF8" i="2"/>
  <c r="AC40" i="2"/>
  <c r="AC72" i="2"/>
  <c r="AC5" i="2"/>
  <c r="AC37" i="2"/>
  <c r="AC69" i="2"/>
  <c r="AC101" i="2"/>
  <c r="AC34" i="2"/>
  <c r="AC66" i="2"/>
  <c r="AC98" i="2"/>
  <c r="AF31" i="2"/>
  <c r="Q63" i="2"/>
  <c r="AE95" i="2"/>
  <c r="AD74" i="2"/>
  <c r="AD55" i="2"/>
  <c r="AG28" i="2"/>
  <c r="AH60" i="2"/>
  <c r="AF92" i="2"/>
  <c r="Q25" i="2"/>
  <c r="AF57" i="2"/>
  <c r="AG89" i="2"/>
  <c r="AF22" i="2"/>
  <c r="AG54" i="2"/>
  <c r="AC86" i="2"/>
  <c r="AH19" i="2"/>
  <c r="AF51" i="2"/>
  <c r="AH83" i="2"/>
  <c r="AG61" i="2"/>
  <c r="AG23" i="2"/>
  <c r="AE87" i="2"/>
  <c r="Z511" i="3"/>
  <c r="J313" i="3"/>
  <c r="Y16" i="3"/>
  <c r="AA16" i="3"/>
  <c r="W1006" i="3"/>
  <c r="AA626" i="3"/>
  <c r="W428" i="3"/>
  <c r="J923" i="3"/>
  <c r="X725" i="3"/>
  <c r="Z1022" i="3"/>
  <c r="AB32" i="3"/>
  <c r="X741" i="3"/>
  <c r="J840" i="3"/>
  <c r="Y939" i="3"/>
  <c r="AA741" i="3"/>
  <c r="Z444" i="3"/>
  <c r="V64" i="3"/>
  <c r="W163" i="3"/>
  <c r="Z1054" i="3"/>
  <c r="X361" i="3"/>
  <c r="J262" i="3"/>
  <c r="AB658" i="3"/>
  <c r="W476" i="3"/>
  <c r="Y80" i="3"/>
  <c r="Z674" i="3"/>
  <c r="J278" i="3"/>
  <c r="AA773" i="3"/>
  <c r="J789" i="3"/>
  <c r="X690" i="3"/>
  <c r="W888" i="3"/>
  <c r="Y888" i="3"/>
  <c r="AA492" i="3"/>
  <c r="AB690" i="3"/>
  <c r="Y409" i="3"/>
  <c r="W805" i="3"/>
  <c r="X607" i="3"/>
  <c r="Z805" i="3"/>
  <c r="J904" i="3"/>
  <c r="X920" i="3"/>
  <c r="Z722" i="3"/>
  <c r="V29" i="3"/>
  <c r="AA623" i="3"/>
  <c r="Y920" i="3"/>
  <c r="AB1019" i="3"/>
  <c r="J639" i="3"/>
  <c r="Y738" i="3"/>
  <c r="AA738" i="3"/>
  <c r="X144" i="3"/>
  <c r="W936" i="3"/>
  <c r="W671" i="3"/>
  <c r="V770" i="3"/>
  <c r="X374" i="3"/>
  <c r="Y275" i="3"/>
  <c r="Z572" i="3"/>
  <c r="AB869" i="3"/>
  <c r="Y406" i="3"/>
  <c r="AA901" i="3"/>
  <c r="V406" i="3"/>
  <c r="X208" i="3"/>
  <c r="W208" i="3"/>
  <c r="X323" i="3"/>
  <c r="J323" i="3"/>
  <c r="W521" i="3"/>
  <c r="AA620" i="3"/>
  <c r="Z125" i="3"/>
  <c r="AB521" i="3"/>
  <c r="J438" i="3"/>
  <c r="X141" i="3"/>
  <c r="V1032" i="3"/>
  <c r="AA240" i="3"/>
  <c r="Z438" i="3"/>
  <c r="Y981" i="3"/>
  <c r="V387" i="3"/>
  <c r="Z189" i="3"/>
  <c r="W1080" i="3"/>
  <c r="J684" i="3"/>
  <c r="AB981" i="3"/>
  <c r="W831" i="3"/>
  <c r="V435" i="3"/>
  <c r="Y732" i="3"/>
  <c r="Z732" i="3"/>
  <c r="AA138" i="3"/>
  <c r="Y103" i="3"/>
  <c r="V103" i="3"/>
  <c r="X994" i="3"/>
  <c r="W598" i="3"/>
  <c r="AA895" i="3"/>
  <c r="AB895" i="3"/>
  <c r="V911" i="3"/>
  <c r="J317" i="3"/>
  <c r="X1010" i="3"/>
  <c r="Y416" i="3"/>
  <c r="W1010" i="3"/>
  <c r="J630" i="3"/>
  <c r="X135" i="3"/>
  <c r="Y1026" i="3"/>
  <c r="AA927" i="3"/>
  <c r="V729" i="3"/>
  <c r="AB36" i="3"/>
  <c r="W1042" i="3"/>
  <c r="AA943" i="3"/>
  <c r="Z448" i="3"/>
  <c r="J448" i="3"/>
  <c r="V547" i="3"/>
  <c r="V662" i="3"/>
  <c r="Z959" i="3"/>
  <c r="Y563" i="3"/>
  <c r="W266" i="3"/>
  <c r="J266" i="3"/>
  <c r="AB1058" i="3"/>
  <c r="Y84" i="3"/>
  <c r="AA876" i="3"/>
  <c r="Z777" i="3"/>
  <c r="W777" i="3"/>
  <c r="X1074" i="3"/>
  <c r="J694" i="3"/>
  <c r="W991" i="3"/>
  <c r="AA1090" i="3"/>
  <c r="X694" i="3"/>
  <c r="Y595" i="3"/>
  <c r="AB298" i="3"/>
  <c r="Z116" i="3"/>
  <c r="AA314" i="3"/>
  <c r="W413" i="3"/>
  <c r="X116" i="3"/>
  <c r="V908" i="3"/>
  <c r="V1023" i="3"/>
  <c r="J627" i="3"/>
  <c r="Y132" i="3"/>
  <c r="AA726" i="3"/>
  <c r="X825" i="3"/>
  <c r="AB924" i="3"/>
  <c r="W544" i="3"/>
  <c r="Y247" i="3"/>
  <c r="J49" i="3"/>
  <c r="AA841" i="3"/>
  <c r="V346" i="3"/>
  <c r="Y461" i="3"/>
  <c r="W659" i="3"/>
  <c r="X659" i="3"/>
  <c r="V1055" i="3"/>
  <c r="J659" i="3"/>
  <c r="AB560" i="3"/>
  <c r="Y180" i="3"/>
  <c r="V675" i="3"/>
  <c r="Z279" i="3"/>
  <c r="X279" i="3"/>
  <c r="W675" i="3"/>
  <c r="V790" i="3"/>
  <c r="J592" i="3"/>
  <c r="Z889" i="3"/>
  <c r="W988" i="3"/>
  <c r="AA889" i="3"/>
  <c r="AB988" i="3"/>
  <c r="AA212" i="3"/>
  <c r="X1004" i="3"/>
  <c r="J806" i="3"/>
  <c r="Y410" i="3"/>
  <c r="Z113" i="3"/>
  <c r="AA129" i="3"/>
  <c r="X723" i="3"/>
  <c r="J1020" i="3"/>
  <c r="W525" i="3"/>
  <c r="V525" i="3"/>
  <c r="AB327" i="3"/>
  <c r="X343" i="3"/>
  <c r="Z145" i="3"/>
  <c r="Y937" i="3"/>
  <c r="J1036" i="3"/>
  <c r="V145" i="3"/>
  <c r="V1052" i="3"/>
  <c r="Y359" i="3"/>
  <c r="J755" i="3"/>
  <c r="AA1052" i="3"/>
  <c r="Z1052" i="3"/>
  <c r="AB755" i="3"/>
  <c r="Z375" i="3"/>
  <c r="X969" i="3"/>
  <c r="J78" i="3"/>
  <c r="AA177" i="3"/>
  <c r="W78" i="3"/>
  <c r="Z490" i="3"/>
  <c r="X688" i="3"/>
  <c r="V490" i="3"/>
  <c r="Y193" i="3"/>
  <c r="W886" i="3"/>
  <c r="AB391" i="3"/>
  <c r="W209" i="3"/>
  <c r="X1001" i="3"/>
  <c r="AA605" i="3"/>
  <c r="Y803" i="3"/>
  <c r="Z110" i="3"/>
  <c r="J1017" i="3"/>
  <c r="Y819" i="3"/>
  <c r="W225" i="3"/>
  <c r="Z522" i="3"/>
  <c r="V27" i="3"/>
  <c r="AB126" i="3"/>
  <c r="AA439" i="3"/>
  <c r="Y340" i="3"/>
  <c r="Z538" i="3"/>
  <c r="V241" i="3"/>
  <c r="J340" i="3"/>
  <c r="V851" i="3"/>
  <c r="AA158" i="3"/>
  <c r="Y752" i="3"/>
  <c r="Y59" i="3"/>
  <c r="J950" i="3"/>
  <c r="Z257" i="3"/>
  <c r="AB356" i="3"/>
  <c r="V471" i="3"/>
  <c r="Y768" i="3"/>
  <c r="X768" i="3"/>
  <c r="W174" i="3"/>
  <c r="AB75" i="3"/>
  <c r="AA883" i="3"/>
  <c r="W685" i="3"/>
  <c r="J883" i="3"/>
  <c r="V190" i="3"/>
  <c r="X982" i="3"/>
  <c r="AB784" i="3"/>
  <c r="AA503" i="3"/>
  <c r="J107" i="3"/>
  <c r="W701" i="3"/>
  <c r="V8" i="3"/>
  <c r="AB503" i="3"/>
  <c r="V519" i="3"/>
  <c r="J123" i="3"/>
  <c r="X717" i="3"/>
  <c r="AA420" i="3"/>
  <c r="W618" i="3"/>
  <c r="AB816" i="3"/>
  <c r="AA238" i="3"/>
  <c r="Y337" i="3"/>
  <c r="W733" i="3"/>
  <c r="J337" i="3"/>
  <c r="AB238" i="3"/>
  <c r="Z650" i="3"/>
  <c r="Y155" i="3"/>
  <c r="W650" i="3"/>
  <c r="V155" i="3"/>
  <c r="X848" i="3"/>
  <c r="AB353" i="3"/>
  <c r="AA270" i="3"/>
  <c r="X270" i="3"/>
  <c r="Y1062" i="3"/>
  <c r="Z765" i="3"/>
  <c r="AB72" i="3"/>
  <c r="V583" i="3"/>
  <c r="AA1078" i="3"/>
  <c r="Y583" i="3"/>
  <c r="W88" i="3"/>
  <c r="J781" i="3"/>
  <c r="AB88" i="3"/>
  <c r="W599" i="3"/>
  <c r="AA995" i="3"/>
  <c r="AB5" i="3"/>
  <c r="J500" i="3"/>
  <c r="X896" i="3"/>
  <c r="X516" i="3"/>
  <c r="W318" i="3"/>
  <c r="Y615" i="3"/>
  <c r="AA615" i="3"/>
  <c r="J516" i="3"/>
  <c r="AB1011" i="3"/>
  <c r="AA1027" i="3"/>
  <c r="X1027" i="3"/>
  <c r="J37" i="3"/>
  <c r="Y433" i="3"/>
  <c r="AB136" i="3"/>
  <c r="AA251" i="3"/>
  <c r="X1043" i="3"/>
  <c r="Y152" i="3"/>
  <c r="V746" i="3"/>
  <c r="Z53" i="3"/>
  <c r="AB53" i="3"/>
  <c r="AA465" i="3"/>
  <c r="W69" i="3"/>
  <c r="Z69" i="3"/>
  <c r="X69" i="3"/>
  <c r="AB762" i="3"/>
  <c r="J1075" i="3"/>
  <c r="W283" i="3"/>
  <c r="V184" i="3"/>
  <c r="Y1075" i="3"/>
  <c r="Z778" i="3"/>
  <c r="AB481" i="3"/>
  <c r="Z398" i="3"/>
  <c r="J992" i="3"/>
  <c r="W200" i="3"/>
  <c r="X200" i="3"/>
  <c r="AB200" i="3"/>
  <c r="X612" i="3"/>
  <c r="J711" i="3"/>
  <c r="W117" i="3"/>
  <c r="Z513" i="3"/>
  <c r="AA909" i="3"/>
  <c r="AB117" i="3"/>
  <c r="AA529" i="3"/>
  <c r="X1024" i="3"/>
  <c r="Z1024" i="3"/>
  <c r="J925" i="3"/>
  <c r="AB430" i="3"/>
  <c r="Y50" i="3"/>
  <c r="V743" i="3"/>
  <c r="Z446" i="3"/>
  <c r="AA644" i="3"/>
  <c r="J248" i="3"/>
  <c r="AB347" i="3"/>
  <c r="Y66" i="3"/>
  <c r="J165" i="3"/>
  <c r="AA759" i="3"/>
  <c r="X561" i="3"/>
  <c r="AB858" i="3"/>
  <c r="X181" i="3"/>
  <c r="AA181" i="3"/>
  <c r="J1072" i="3"/>
  <c r="V577" i="3"/>
  <c r="W676" i="3"/>
  <c r="AB82" i="3"/>
  <c r="Y395" i="3"/>
  <c r="W296" i="3"/>
  <c r="X890" i="3"/>
  <c r="AA494" i="3"/>
  <c r="AB98" i="3"/>
  <c r="AA807" i="3"/>
  <c r="W510" i="3"/>
  <c r="X807" i="3"/>
  <c r="V807" i="3"/>
  <c r="Y312" i="3"/>
  <c r="AB807" i="3"/>
  <c r="V229" i="3"/>
  <c r="J328" i="3"/>
  <c r="X625" i="3"/>
  <c r="W526" i="3"/>
  <c r="AB229" i="3"/>
  <c r="X47" i="3"/>
  <c r="AA245" i="3"/>
  <c r="W47" i="3"/>
  <c r="J443" i="3"/>
  <c r="Y542" i="3"/>
  <c r="AB938" i="3"/>
  <c r="X954" i="3"/>
  <c r="W954" i="3"/>
  <c r="Y954" i="3"/>
  <c r="V459" i="3"/>
  <c r="AB360" i="3"/>
  <c r="X475" i="3"/>
  <c r="Y871" i="3"/>
  <c r="W772" i="3"/>
  <c r="J277" i="3"/>
  <c r="Z475" i="3"/>
  <c r="AB277" i="3"/>
  <c r="AA788" i="3"/>
  <c r="Y986" i="3"/>
  <c r="V392" i="3"/>
  <c r="W590" i="3"/>
  <c r="AB392" i="3"/>
  <c r="Z192" i="3"/>
  <c r="W93" i="3"/>
  <c r="Y885" i="3"/>
  <c r="X489" i="3"/>
  <c r="AA588" i="3"/>
  <c r="AB786" i="3"/>
  <c r="AA74" i="3"/>
  <c r="V965" i="3"/>
  <c r="X569" i="3"/>
  <c r="Z470" i="3"/>
  <c r="AB668" i="3"/>
  <c r="AA304" i="3"/>
  <c r="Y601" i="3"/>
  <c r="J502" i="3"/>
  <c r="X205" i="3"/>
  <c r="W304" i="3"/>
  <c r="AB898" i="3"/>
  <c r="Y748" i="3"/>
  <c r="Z1045" i="3"/>
  <c r="X649" i="3"/>
  <c r="J352" i="3"/>
  <c r="AB649" i="3"/>
  <c r="X606" i="3"/>
  <c r="W804" i="3"/>
  <c r="AA705" i="3"/>
  <c r="Z309" i="3"/>
  <c r="Y12" i="3"/>
  <c r="AB12" i="3"/>
  <c r="AA1018" i="3"/>
  <c r="Y226" i="3"/>
  <c r="V424" i="3"/>
  <c r="X424" i="3"/>
  <c r="AB1018" i="3"/>
  <c r="X242" i="3"/>
  <c r="Z638" i="3"/>
  <c r="V539" i="3"/>
  <c r="AA836" i="3"/>
  <c r="Y1034" i="3"/>
  <c r="AB242" i="3"/>
  <c r="X456" i="3"/>
  <c r="Y555" i="3"/>
  <c r="W555" i="3"/>
  <c r="J258" i="3"/>
  <c r="AB60" i="3"/>
  <c r="X274" i="3"/>
  <c r="W571" i="3"/>
  <c r="V76" i="3"/>
  <c r="AA670" i="3"/>
  <c r="Y670" i="3"/>
  <c r="AB472" i="3"/>
  <c r="V983" i="3"/>
  <c r="W785" i="3"/>
  <c r="X92" i="3"/>
  <c r="J587" i="3"/>
  <c r="AB389" i="3"/>
  <c r="AB207" i="3"/>
  <c r="Z999" i="3"/>
  <c r="V9" i="3"/>
  <c r="X108" i="3"/>
  <c r="Y801" i="3"/>
  <c r="J900" i="3"/>
  <c r="X25" i="3"/>
  <c r="W817" i="3"/>
  <c r="Y520" i="3"/>
  <c r="Z619" i="3"/>
  <c r="AB916" i="3"/>
  <c r="X635" i="3"/>
  <c r="V833" i="3"/>
  <c r="Y734" i="3"/>
  <c r="J239" i="3"/>
  <c r="Z734" i="3"/>
  <c r="AB338" i="3"/>
  <c r="V948" i="3"/>
  <c r="W156" i="3"/>
  <c r="X948" i="3"/>
  <c r="Z156" i="3"/>
  <c r="AB453" i="3"/>
  <c r="W271" i="3"/>
  <c r="Z568" i="3"/>
  <c r="V568" i="3"/>
  <c r="AA964" i="3"/>
  <c r="J667" i="3"/>
  <c r="AB667" i="3"/>
  <c r="AA485" i="3"/>
  <c r="Y782" i="3"/>
  <c r="V782" i="3"/>
  <c r="J485" i="3"/>
  <c r="AB683" i="3"/>
  <c r="W798" i="3"/>
  <c r="Y699" i="3"/>
  <c r="V204" i="3"/>
  <c r="Z6" i="3"/>
  <c r="AA798" i="3"/>
  <c r="AB501" i="3"/>
  <c r="J319" i="3"/>
  <c r="Z1012" i="3"/>
  <c r="X418" i="3"/>
  <c r="W715" i="3"/>
  <c r="AB319" i="3"/>
  <c r="AA1028" i="3"/>
  <c r="X533" i="3"/>
  <c r="V236" i="3"/>
  <c r="J632" i="3"/>
  <c r="Z731" i="3"/>
  <c r="AB632" i="3"/>
  <c r="AA846" i="3"/>
  <c r="V252" i="3"/>
  <c r="W747" i="3"/>
  <c r="Y549" i="3"/>
  <c r="AB252" i="3"/>
  <c r="X1060" i="3"/>
  <c r="Y169" i="3"/>
  <c r="W70" i="3"/>
  <c r="V961" i="3"/>
  <c r="AA169" i="3"/>
  <c r="AB268" i="3"/>
  <c r="AA581" i="3"/>
  <c r="W383" i="3"/>
  <c r="J185" i="3"/>
  <c r="Z1076" i="3"/>
  <c r="AB1076" i="3"/>
  <c r="W894" i="3"/>
  <c r="AA894" i="3"/>
  <c r="V498" i="3"/>
  <c r="Y102" i="3"/>
  <c r="X498" i="3"/>
  <c r="AB696" i="3"/>
  <c r="V910" i="3"/>
  <c r="X514" i="3"/>
  <c r="Y118" i="3"/>
  <c r="W118" i="3"/>
  <c r="AB811" i="3"/>
  <c r="AA629" i="3"/>
  <c r="V332" i="3"/>
  <c r="Z926" i="3"/>
  <c r="J134" i="3"/>
  <c r="W35" i="3"/>
  <c r="AB233" i="3"/>
  <c r="V249" i="3"/>
  <c r="X1041" i="3"/>
  <c r="Z150" i="3"/>
  <c r="J843" i="3"/>
  <c r="AB150" i="3"/>
  <c r="W859" i="3"/>
  <c r="AA562" i="3"/>
  <c r="X661" i="3"/>
  <c r="Z166" i="3"/>
  <c r="J166" i="3"/>
  <c r="AB364" i="3"/>
  <c r="Z1073" i="3"/>
  <c r="V1073" i="3"/>
  <c r="W281" i="3"/>
  <c r="X677" i="3"/>
  <c r="AB182" i="3"/>
  <c r="J990" i="3"/>
  <c r="W297" i="3"/>
  <c r="X495" i="3"/>
  <c r="AA198" i="3"/>
  <c r="Z198" i="3"/>
  <c r="AB99" i="3"/>
  <c r="X457" i="3"/>
  <c r="J457" i="3"/>
  <c r="W556" i="3"/>
  <c r="Y754" i="3"/>
  <c r="AB259" i="3"/>
  <c r="Y751" i="3"/>
  <c r="AA850" i="3"/>
  <c r="Z949" i="3"/>
  <c r="W157" i="3"/>
  <c r="V652" i="3"/>
  <c r="AB751" i="3"/>
  <c r="J23" i="3"/>
  <c r="W617" i="3"/>
  <c r="AA1013" i="3"/>
  <c r="V221" i="3"/>
  <c r="AB23" i="3"/>
  <c r="AA170" i="3"/>
  <c r="V269" i="3"/>
  <c r="Y962" i="3"/>
  <c r="Z269" i="3"/>
  <c r="W962" i="3"/>
  <c r="AB71" i="3"/>
  <c r="J87" i="3"/>
  <c r="V681" i="3"/>
  <c r="AA483" i="3"/>
  <c r="Z582" i="3"/>
  <c r="AB681" i="3"/>
  <c r="J752" i="3"/>
  <c r="Z851" i="3"/>
  <c r="AB455" i="3"/>
  <c r="V372" i="3"/>
  <c r="Y273" i="3"/>
  <c r="Z669" i="3"/>
  <c r="W867" i="3"/>
  <c r="J75" i="3"/>
  <c r="AA487" i="3"/>
  <c r="Z190" i="3"/>
  <c r="J784" i="3"/>
  <c r="V685" i="3"/>
  <c r="X91" i="3"/>
  <c r="AB685" i="3"/>
  <c r="AA701" i="3"/>
  <c r="J899" i="3"/>
  <c r="Y404" i="3"/>
  <c r="V107" i="3"/>
  <c r="Z800" i="3"/>
  <c r="V618" i="3"/>
  <c r="Z321" i="3"/>
  <c r="X24" i="3"/>
  <c r="AA24" i="3"/>
  <c r="W816" i="3"/>
  <c r="AB321" i="3"/>
  <c r="AA535" i="3"/>
  <c r="Y634" i="3"/>
  <c r="V139" i="3"/>
  <c r="J931" i="3"/>
  <c r="X337" i="3"/>
  <c r="Z452" i="3"/>
  <c r="J947" i="3"/>
  <c r="W1046" i="3"/>
  <c r="V947" i="3"/>
  <c r="X56" i="3"/>
  <c r="AB254" i="3"/>
  <c r="AA765" i="3"/>
  <c r="X567" i="3"/>
  <c r="V270" i="3"/>
  <c r="Z567" i="3"/>
  <c r="W468" i="3"/>
  <c r="V88" i="3"/>
  <c r="Z979" i="3"/>
  <c r="Y88" i="3"/>
  <c r="W1078" i="3"/>
  <c r="J1078" i="3"/>
  <c r="AB1078" i="3"/>
  <c r="W401" i="3"/>
  <c r="AA5" i="3"/>
  <c r="V500" i="3"/>
  <c r="J104" i="3"/>
  <c r="Y203" i="3"/>
  <c r="X615" i="3"/>
  <c r="V21" i="3"/>
  <c r="Y21" i="3"/>
  <c r="AA516" i="3"/>
  <c r="J417" i="3"/>
  <c r="AB318" i="3"/>
  <c r="AA334" i="3"/>
  <c r="X631" i="3"/>
  <c r="V631" i="3"/>
  <c r="Y532" i="3"/>
  <c r="W136" i="3"/>
  <c r="AA944" i="3"/>
  <c r="W350" i="3"/>
  <c r="Y845" i="3"/>
  <c r="V152" i="3"/>
  <c r="Z251" i="3"/>
  <c r="AB350" i="3"/>
  <c r="AA762" i="3"/>
  <c r="W960" i="3"/>
  <c r="V861" i="3"/>
  <c r="X663" i="3"/>
  <c r="J465" i="3"/>
  <c r="J976" i="3"/>
  <c r="X481" i="3"/>
  <c r="V1075" i="3"/>
  <c r="Y283" i="3"/>
  <c r="Z580" i="3"/>
  <c r="AB778" i="3"/>
  <c r="Z794" i="3"/>
  <c r="J101" i="3"/>
  <c r="V1091" i="3"/>
  <c r="X992" i="3"/>
  <c r="AA101" i="3"/>
  <c r="X810" i="3"/>
  <c r="V612" i="3"/>
  <c r="W612" i="3"/>
  <c r="Z711" i="3"/>
  <c r="AA711" i="3"/>
  <c r="AB1008" i="3"/>
  <c r="AA133" i="3"/>
  <c r="X232" i="3"/>
  <c r="V826" i="3"/>
  <c r="J430" i="3"/>
  <c r="W430" i="3"/>
  <c r="Y644" i="3"/>
  <c r="X347" i="3"/>
  <c r="Z347" i="3"/>
  <c r="AA50" i="3"/>
  <c r="J644" i="3"/>
  <c r="AB545" i="3"/>
  <c r="Y165" i="3"/>
  <c r="J264" i="3"/>
  <c r="V66" i="3"/>
  <c r="X1056" i="3"/>
  <c r="W858" i="3"/>
  <c r="X577" i="3"/>
  <c r="Y1072" i="3"/>
  <c r="J577" i="3"/>
  <c r="V775" i="3"/>
  <c r="W577" i="3"/>
  <c r="AB676" i="3"/>
  <c r="Y296" i="3"/>
  <c r="W890" i="3"/>
  <c r="V989" i="3"/>
  <c r="AA395" i="3"/>
  <c r="Z791" i="3"/>
  <c r="AA114" i="3"/>
  <c r="J906" i="3"/>
  <c r="X609" i="3"/>
  <c r="V15" i="3"/>
  <c r="Y15" i="3"/>
  <c r="AB609" i="3"/>
  <c r="V130" i="3"/>
  <c r="J625" i="3"/>
  <c r="Y1021" i="3"/>
  <c r="W130" i="3"/>
  <c r="AA328" i="3"/>
  <c r="X344" i="3"/>
  <c r="Z245" i="3"/>
  <c r="W938" i="3"/>
  <c r="J839" i="3"/>
  <c r="Y641" i="3"/>
  <c r="AB839" i="3"/>
  <c r="X558" i="3"/>
  <c r="W360" i="3"/>
  <c r="J558" i="3"/>
  <c r="V1053" i="3"/>
  <c r="Z954" i="3"/>
  <c r="X79" i="3"/>
  <c r="V277" i="3"/>
  <c r="W871" i="3"/>
  <c r="J970" i="3"/>
  <c r="Z79" i="3"/>
  <c r="AB673" i="3"/>
  <c r="AA293" i="3"/>
  <c r="Y590" i="3"/>
  <c r="X1085" i="3"/>
  <c r="W95" i="3"/>
  <c r="Z293" i="3"/>
  <c r="Z687" i="3"/>
  <c r="V786" i="3"/>
  <c r="Y687" i="3"/>
  <c r="X885" i="3"/>
  <c r="AA1083" i="3"/>
  <c r="AB192" i="3"/>
  <c r="AA1064" i="3"/>
  <c r="V470" i="3"/>
  <c r="W965" i="3"/>
  <c r="Z272" i="3"/>
  <c r="Y767" i="3"/>
  <c r="AA799" i="3"/>
  <c r="Z205" i="3"/>
  <c r="J799" i="3"/>
  <c r="X304" i="3"/>
  <c r="W898" i="3"/>
  <c r="AB700" i="3"/>
  <c r="Y550" i="3"/>
  <c r="Z55" i="3"/>
  <c r="W253" i="3"/>
  <c r="J550" i="3"/>
  <c r="V154" i="3"/>
  <c r="X12" i="3"/>
  <c r="V210" i="3"/>
  <c r="AA903" i="3"/>
  <c r="Z12" i="3"/>
  <c r="Y309" i="3"/>
  <c r="AB1002" i="3"/>
  <c r="AA523" i="3"/>
  <c r="Y721" i="3"/>
  <c r="Z523" i="3"/>
  <c r="X622" i="3"/>
  <c r="J721" i="3"/>
  <c r="X836" i="3"/>
  <c r="W143" i="3"/>
  <c r="V935" i="3"/>
  <c r="AA440" i="3"/>
  <c r="Y242" i="3"/>
  <c r="AB341" i="3"/>
  <c r="X258" i="3"/>
  <c r="Y159" i="3"/>
  <c r="AA60" i="3"/>
  <c r="J357" i="3"/>
  <c r="Z258" i="3"/>
  <c r="X1066" i="3"/>
  <c r="J967" i="3"/>
  <c r="V1066" i="3"/>
  <c r="AA571" i="3"/>
  <c r="Y373" i="3"/>
  <c r="AB274" i="3"/>
  <c r="V686" i="3"/>
  <c r="W191" i="3"/>
  <c r="Y191" i="3"/>
  <c r="J983" i="3"/>
  <c r="Z983" i="3"/>
  <c r="AB702" i="3"/>
  <c r="W900" i="3"/>
  <c r="V603" i="3"/>
  <c r="X306" i="3"/>
  <c r="Y999" i="3"/>
  <c r="J9" i="3"/>
  <c r="X718" i="3"/>
  <c r="W619" i="3"/>
  <c r="J1015" i="3"/>
  <c r="Z322" i="3"/>
  <c r="V124" i="3"/>
  <c r="X932" i="3"/>
  <c r="W833" i="3"/>
  <c r="Y536" i="3"/>
  <c r="J1031" i="3"/>
  <c r="Z437" i="3"/>
  <c r="AB1031" i="3"/>
  <c r="V750" i="3"/>
  <c r="W1047" i="3"/>
  <c r="Y750" i="3"/>
  <c r="Z750" i="3"/>
  <c r="AA57" i="3"/>
  <c r="W865" i="3"/>
  <c r="Y370" i="3"/>
  <c r="V469" i="3"/>
  <c r="AA271" i="3"/>
  <c r="J469" i="3"/>
  <c r="AB964" i="3"/>
  <c r="AA1079" i="3"/>
  <c r="Y188" i="3"/>
  <c r="Z1079" i="3"/>
  <c r="J584" i="3"/>
  <c r="W485" i="3"/>
  <c r="W402" i="3"/>
  <c r="X600" i="3"/>
  <c r="V699" i="3"/>
  <c r="Z402" i="3"/>
  <c r="AA600" i="3"/>
  <c r="AB303" i="3"/>
  <c r="J517" i="3"/>
  <c r="Z418" i="3"/>
  <c r="Y814" i="3"/>
  <c r="W517" i="3"/>
  <c r="V715" i="3"/>
  <c r="AA236" i="3"/>
  <c r="Y1028" i="3"/>
  <c r="V137" i="3"/>
  <c r="J38" i="3"/>
  <c r="Z1028" i="3"/>
  <c r="AB137" i="3"/>
  <c r="AA351" i="3"/>
  <c r="V153" i="3"/>
  <c r="Z252" i="3"/>
  <c r="Y1044" i="3"/>
  <c r="X747" i="3"/>
  <c r="X169" i="3"/>
  <c r="Z70" i="3"/>
  <c r="W862" i="3"/>
  <c r="V466" i="3"/>
  <c r="AA466" i="3"/>
  <c r="AB763" i="3"/>
  <c r="AA1076" i="3"/>
  <c r="W779" i="3"/>
  <c r="V1076" i="3"/>
  <c r="Z482" i="3"/>
  <c r="X581" i="3"/>
  <c r="W993" i="3"/>
  <c r="Z3" i="3"/>
  <c r="V399" i="3"/>
  <c r="Y201" i="3"/>
  <c r="X894" i="3"/>
  <c r="AB201" i="3"/>
  <c r="V217" i="3"/>
  <c r="X217" i="3"/>
  <c r="AA910" i="3"/>
  <c r="W514" i="3"/>
  <c r="Z415" i="3"/>
  <c r="AA134" i="3"/>
  <c r="X827" i="3"/>
  <c r="Z530" i="3"/>
  <c r="J926" i="3"/>
  <c r="W629" i="3"/>
  <c r="AB530" i="3"/>
  <c r="V150" i="3"/>
  <c r="X843" i="3"/>
  <c r="Y744" i="3"/>
  <c r="J744" i="3"/>
  <c r="W249" i="3"/>
  <c r="W364" i="3"/>
  <c r="V364" i="3"/>
  <c r="X958" i="3"/>
  <c r="Z760" i="3"/>
  <c r="J562" i="3"/>
  <c r="AB760" i="3"/>
  <c r="Z974" i="3"/>
  <c r="V578" i="3"/>
  <c r="AA578" i="3"/>
  <c r="X875" i="3"/>
  <c r="Y281" i="3"/>
  <c r="J99" i="3"/>
  <c r="Y396" i="3"/>
  <c r="X99" i="3"/>
  <c r="AA396" i="3"/>
  <c r="Z792" i="3"/>
  <c r="AB1089" i="3"/>
  <c r="X952" i="3"/>
  <c r="J1051" i="3"/>
  <c r="Z160" i="3"/>
  <c r="Y457" i="3"/>
  <c r="V358" i="3"/>
  <c r="Y454" i="3"/>
  <c r="X454" i="3"/>
  <c r="Z1048" i="3"/>
  <c r="W256" i="3"/>
  <c r="V355" i="3"/>
  <c r="AB454" i="3"/>
  <c r="J1013" i="3"/>
  <c r="W122" i="3"/>
  <c r="Z1013" i="3"/>
  <c r="V617" i="3"/>
  <c r="Y1013" i="3"/>
  <c r="AA269" i="3"/>
  <c r="X566" i="3"/>
  <c r="Y863" i="3"/>
  <c r="Z764" i="3"/>
  <c r="W566" i="3"/>
  <c r="AB1061" i="3"/>
  <c r="J186" i="3"/>
  <c r="V186" i="3"/>
  <c r="X780" i="3"/>
  <c r="Z285" i="3"/>
  <c r="W87" i="3"/>
  <c r="J158" i="3"/>
  <c r="W851" i="3"/>
  <c r="AB59" i="3"/>
  <c r="AA75" i="3"/>
  <c r="Y669" i="3"/>
  <c r="Z1065" i="3"/>
  <c r="W966" i="3"/>
  <c r="J273" i="3"/>
  <c r="AA685" i="3"/>
  <c r="Z487" i="3"/>
  <c r="W982" i="3"/>
  <c r="V91" i="3"/>
  <c r="Y982" i="3"/>
  <c r="AB190" i="3"/>
  <c r="X899" i="3"/>
  <c r="J998" i="3"/>
  <c r="Y602" i="3"/>
  <c r="V404" i="3"/>
  <c r="Z107" i="3"/>
  <c r="V915" i="3"/>
  <c r="Z420" i="3"/>
  <c r="J816" i="3"/>
  <c r="AA1014" i="3"/>
  <c r="Y321" i="3"/>
  <c r="AB420" i="3"/>
  <c r="Z436" i="3"/>
  <c r="Y238" i="3"/>
  <c r="V238" i="3"/>
  <c r="J733" i="3"/>
  <c r="X634" i="3"/>
  <c r="Z749" i="3"/>
  <c r="J155" i="3"/>
  <c r="Y848" i="3"/>
  <c r="V749" i="3"/>
  <c r="AA56" i="3"/>
  <c r="AB650" i="3"/>
  <c r="J567" i="3"/>
  <c r="X765" i="3"/>
  <c r="V864" i="3"/>
  <c r="Z369" i="3"/>
  <c r="W765" i="3"/>
  <c r="V781" i="3"/>
  <c r="Z583" i="3"/>
  <c r="AA187" i="3"/>
  <c r="W682" i="3"/>
  <c r="X286" i="3"/>
  <c r="AB484" i="3"/>
  <c r="Z896" i="3"/>
  <c r="AA500" i="3"/>
  <c r="V401" i="3"/>
  <c r="J302" i="3"/>
  <c r="Y5" i="3"/>
  <c r="X318" i="3"/>
  <c r="V417" i="3"/>
  <c r="W1011" i="3"/>
  <c r="AA318" i="3"/>
  <c r="Z714" i="3"/>
  <c r="AB714" i="3"/>
  <c r="Z136" i="3"/>
  <c r="X730" i="3"/>
  <c r="V136" i="3"/>
  <c r="Y334" i="3"/>
  <c r="W631" i="3"/>
  <c r="AA1043" i="3"/>
  <c r="W251" i="3"/>
  <c r="X845" i="3"/>
  <c r="V449" i="3"/>
  <c r="J548" i="3"/>
  <c r="AB1043" i="3"/>
  <c r="Y267" i="3"/>
  <c r="W861" i="3"/>
  <c r="V465" i="3"/>
  <c r="X168" i="3"/>
  <c r="J960" i="3"/>
  <c r="J283" i="3"/>
  <c r="X184" i="3"/>
  <c r="W778" i="3"/>
  <c r="Y382" i="3"/>
  <c r="AA283" i="3"/>
  <c r="AB976" i="3"/>
  <c r="Y299" i="3"/>
  <c r="J497" i="3"/>
  <c r="V398" i="3"/>
  <c r="X497" i="3"/>
  <c r="AA893" i="3"/>
  <c r="X18" i="3"/>
  <c r="V513" i="3"/>
  <c r="J216" i="3"/>
  <c r="Z612" i="3"/>
  <c r="Y216" i="3"/>
  <c r="AB810" i="3"/>
  <c r="Y925" i="3"/>
  <c r="X133" i="3"/>
  <c r="V925" i="3"/>
  <c r="J727" i="3"/>
  <c r="W628" i="3"/>
  <c r="Y1040" i="3"/>
  <c r="X743" i="3"/>
  <c r="V644" i="3"/>
  <c r="AA842" i="3"/>
  <c r="W248" i="3"/>
  <c r="AB149" i="3"/>
  <c r="Z858" i="3"/>
  <c r="J66" i="3"/>
  <c r="V1056" i="3"/>
  <c r="X363" i="3"/>
  <c r="W363" i="3"/>
  <c r="X775" i="3"/>
  <c r="Y280" i="3"/>
  <c r="AA280" i="3"/>
  <c r="V280" i="3"/>
  <c r="Z973" i="3"/>
  <c r="AB280" i="3"/>
  <c r="J1088" i="3"/>
  <c r="W989" i="3"/>
  <c r="V692" i="3"/>
  <c r="AA791" i="3"/>
  <c r="Z692" i="3"/>
  <c r="AA609" i="3"/>
  <c r="J807" i="3"/>
  <c r="W15" i="3"/>
  <c r="V708" i="3"/>
  <c r="Z411" i="3"/>
  <c r="AB114" i="3"/>
  <c r="Z625" i="3"/>
  <c r="J31" i="3"/>
  <c r="Y31" i="3"/>
  <c r="W823" i="3"/>
  <c r="AA526" i="3"/>
  <c r="X839" i="3"/>
  <c r="Z146" i="3"/>
  <c r="AA641" i="3"/>
  <c r="J344" i="3"/>
  <c r="V938" i="3"/>
  <c r="AB344" i="3"/>
  <c r="AA954" i="3"/>
  <c r="W459" i="3"/>
  <c r="J954" i="3"/>
  <c r="V756" i="3"/>
  <c r="Z459" i="3"/>
  <c r="X772" i="3"/>
  <c r="V475" i="3"/>
  <c r="Y178" i="3"/>
  <c r="J79" i="3"/>
  <c r="AA574" i="3"/>
  <c r="AB475" i="3"/>
  <c r="J689" i="3"/>
  <c r="Y194" i="3"/>
  <c r="X887" i="3"/>
  <c r="W392" i="3"/>
  <c r="Z788" i="3"/>
  <c r="Z786" i="3"/>
  <c r="V588" i="3"/>
  <c r="W390" i="3"/>
  <c r="X1083" i="3"/>
  <c r="J885" i="3"/>
  <c r="AB390" i="3"/>
  <c r="J272" i="3"/>
  <c r="V569" i="3"/>
  <c r="W371" i="3"/>
  <c r="Z371" i="3"/>
  <c r="Y371" i="3"/>
  <c r="AA898" i="3"/>
  <c r="Z403" i="3"/>
  <c r="Y205" i="3"/>
  <c r="X700" i="3"/>
  <c r="V997" i="3"/>
  <c r="AB997" i="3"/>
  <c r="AA1045" i="3"/>
  <c r="Z352" i="3"/>
  <c r="W847" i="3"/>
  <c r="J748" i="3"/>
  <c r="V946" i="3"/>
  <c r="X408" i="3"/>
  <c r="V507" i="3"/>
  <c r="W606" i="3"/>
  <c r="Z111" i="3"/>
  <c r="J705" i="3"/>
  <c r="AB903" i="3"/>
  <c r="W622" i="3"/>
  <c r="Y523" i="3"/>
  <c r="Z820" i="3"/>
  <c r="X127" i="3"/>
  <c r="J1018" i="3"/>
  <c r="X341" i="3"/>
  <c r="W836" i="3"/>
  <c r="Z242" i="3"/>
  <c r="AA737" i="3"/>
  <c r="J440" i="3"/>
  <c r="AB1034" i="3"/>
  <c r="V357" i="3"/>
  <c r="Y753" i="3"/>
  <c r="AA951" i="3"/>
  <c r="J456" i="3"/>
  <c r="Z654" i="3"/>
  <c r="X373" i="3"/>
  <c r="J571" i="3"/>
  <c r="W76" i="3"/>
  <c r="AA472" i="3"/>
  <c r="Z967" i="3"/>
  <c r="AB769" i="3"/>
  <c r="AA389" i="3"/>
  <c r="W1082" i="3"/>
  <c r="Y389" i="3"/>
  <c r="J92" i="3"/>
  <c r="Z488" i="3"/>
  <c r="AB999" i="3"/>
  <c r="W108" i="3"/>
  <c r="Z207" i="3"/>
  <c r="X9" i="3"/>
  <c r="AA306" i="3"/>
  <c r="J999" i="3"/>
  <c r="AA124" i="3"/>
  <c r="W124" i="3"/>
  <c r="J421" i="3"/>
  <c r="Z223" i="3"/>
  <c r="V916" i="3"/>
  <c r="X140" i="3"/>
  <c r="W437" i="3"/>
  <c r="V41" i="3"/>
  <c r="J932" i="3"/>
  <c r="AA833" i="3"/>
  <c r="AB140" i="3"/>
  <c r="J750" i="3"/>
  <c r="W750" i="3"/>
  <c r="Y354" i="3"/>
  <c r="Z948" i="3"/>
  <c r="AA750" i="3"/>
  <c r="W568" i="3"/>
  <c r="Y865" i="3"/>
  <c r="Z766" i="3"/>
  <c r="AA73" i="3"/>
  <c r="X469" i="3"/>
  <c r="AB865" i="3"/>
  <c r="X287" i="3"/>
  <c r="Y584" i="3"/>
  <c r="Z683" i="3"/>
  <c r="J386" i="3"/>
  <c r="W584" i="3"/>
  <c r="W600" i="3"/>
  <c r="X897" i="3"/>
  <c r="Y501" i="3"/>
  <c r="Z699" i="3"/>
  <c r="J105" i="3"/>
  <c r="AB699" i="3"/>
  <c r="AA814" i="3"/>
  <c r="Z517" i="3"/>
  <c r="Y121" i="3"/>
  <c r="W319" i="3"/>
  <c r="V517" i="3"/>
  <c r="AA632" i="3"/>
  <c r="Y236" i="3"/>
  <c r="X137" i="3"/>
  <c r="J830" i="3"/>
  <c r="W830" i="3"/>
  <c r="AB533" i="3"/>
  <c r="J153" i="3"/>
  <c r="V54" i="3"/>
  <c r="Z450" i="3"/>
  <c r="Y252" i="3"/>
  <c r="X252" i="3"/>
  <c r="X70" i="3"/>
  <c r="Z763" i="3"/>
  <c r="Y70" i="3"/>
  <c r="V565" i="3"/>
  <c r="J70" i="3"/>
  <c r="AB367" i="3"/>
  <c r="Y482" i="3"/>
  <c r="W185" i="3"/>
  <c r="V878" i="3"/>
  <c r="Z581" i="3"/>
  <c r="X284" i="3"/>
  <c r="W3" i="3"/>
  <c r="Z795" i="3"/>
  <c r="AA300" i="3"/>
  <c r="Y696" i="3"/>
  <c r="J102" i="3"/>
  <c r="AB894" i="3"/>
  <c r="J613" i="3"/>
  <c r="X19" i="3"/>
  <c r="AA811" i="3"/>
  <c r="W712" i="3"/>
  <c r="Z19" i="3"/>
  <c r="AA233" i="3"/>
  <c r="X233" i="3"/>
  <c r="V1025" i="3"/>
  <c r="J332" i="3"/>
  <c r="Y431" i="3"/>
  <c r="AB827" i="3"/>
  <c r="AA51" i="3"/>
  <c r="X645" i="3"/>
  <c r="Y249" i="3"/>
  <c r="J1041" i="3"/>
  <c r="W645" i="3"/>
  <c r="W265" i="3"/>
  <c r="V562" i="3"/>
  <c r="AA1057" i="3"/>
  <c r="Z1057" i="3"/>
  <c r="Y166" i="3"/>
  <c r="AB166" i="3"/>
  <c r="J974" i="3"/>
  <c r="V182" i="3"/>
  <c r="AA479" i="3"/>
  <c r="X380" i="3"/>
  <c r="Y1073" i="3"/>
  <c r="J396" i="3"/>
  <c r="Y1089" i="3"/>
  <c r="W1089" i="3"/>
  <c r="AA891" i="3"/>
  <c r="V396" i="3"/>
  <c r="AB198" i="3"/>
  <c r="AA556" i="3"/>
  <c r="J259" i="3"/>
  <c r="Z853" i="3"/>
  <c r="Y358" i="3"/>
  <c r="V655" i="3"/>
  <c r="Y850" i="3"/>
  <c r="X652" i="3"/>
  <c r="AA256" i="3"/>
  <c r="W1048" i="3"/>
  <c r="J256" i="3"/>
  <c r="AB157" i="3"/>
  <c r="X23" i="3"/>
  <c r="W419" i="3"/>
  <c r="Z122" i="3"/>
  <c r="V716" i="3"/>
  <c r="Y221" i="3"/>
  <c r="AA467" i="3"/>
  <c r="X1061" i="3"/>
  <c r="V71" i="3"/>
  <c r="Z467" i="3"/>
  <c r="J962" i="3"/>
  <c r="AB566" i="3"/>
  <c r="Y681" i="3"/>
  <c r="V1077" i="3"/>
  <c r="X582" i="3"/>
  <c r="Z681" i="3"/>
  <c r="W978" i="3"/>
  <c r="J356" i="3"/>
  <c r="W554" i="3"/>
  <c r="AB950" i="3"/>
  <c r="AA768" i="3"/>
  <c r="Y174" i="3"/>
  <c r="Z273" i="3"/>
  <c r="W1065" i="3"/>
  <c r="J1065" i="3"/>
  <c r="AA982" i="3"/>
  <c r="Y356" i="3"/>
  <c r="W950" i="3"/>
  <c r="Z653" i="3"/>
  <c r="AA867" i="3"/>
  <c r="V570" i="3"/>
  <c r="Z867" i="3"/>
  <c r="X669" i="3"/>
  <c r="J372" i="3"/>
  <c r="AB966" i="3"/>
  <c r="AA1081" i="3"/>
  <c r="W289" i="3"/>
  <c r="J91" i="3"/>
  <c r="Y883" i="3"/>
  <c r="X883" i="3"/>
  <c r="X800" i="3"/>
  <c r="AA404" i="3"/>
  <c r="Y206" i="3"/>
  <c r="W206" i="3"/>
  <c r="Z602" i="3"/>
  <c r="AB206" i="3"/>
  <c r="V222" i="3"/>
  <c r="J519" i="3"/>
  <c r="X519" i="3"/>
  <c r="Y717" i="3"/>
  <c r="W222" i="3"/>
  <c r="Z238" i="3"/>
  <c r="AA733" i="3"/>
  <c r="V337" i="3"/>
  <c r="W139" i="3"/>
  <c r="X1030" i="3"/>
  <c r="AB40" i="3"/>
  <c r="Z848" i="3"/>
  <c r="Y56" i="3"/>
  <c r="W749" i="3"/>
  <c r="AA254" i="3"/>
  <c r="X749" i="3"/>
  <c r="J468" i="3"/>
  <c r="AA864" i="3"/>
  <c r="V468" i="3"/>
  <c r="Y369" i="3"/>
  <c r="W1062" i="3"/>
  <c r="AB270" i="3"/>
  <c r="V484" i="3"/>
  <c r="AA682" i="3"/>
  <c r="Y781" i="3"/>
  <c r="X781" i="3"/>
  <c r="J484" i="3"/>
  <c r="Z995" i="3"/>
  <c r="W698" i="3"/>
  <c r="V104" i="3"/>
  <c r="AB995" i="3"/>
  <c r="Y995" i="3"/>
  <c r="X500" i="3"/>
  <c r="X120" i="3"/>
  <c r="W912" i="3"/>
  <c r="Y912" i="3"/>
  <c r="Z417" i="3"/>
  <c r="J219" i="3"/>
  <c r="Z1027" i="3"/>
  <c r="AA37" i="3"/>
  <c r="V37" i="3"/>
  <c r="J730" i="3"/>
  <c r="W334" i="3"/>
  <c r="AB334" i="3"/>
  <c r="AA350" i="3"/>
  <c r="X548" i="3"/>
  <c r="Y251" i="3"/>
  <c r="J1043" i="3"/>
  <c r="Z548" i="3"/>
  <c r="Y366" i="3"/>
  <c r="AA663" i="3"/>
  <c r="V267" i="3"/>
  <c r="Z465" i="3"/>
  <c r="J168" i="3"/>
  <c r="AB366" i="3"/>
  <c r="J877" i="3"/>
  <c r="W184" i="3"/>
  <c r="V778" i="3"/>
  <c r="AA778" i="3"/>
  <c r="Z976" i="3"/>
  <c r="Y695" i="3"/>
  <c r="Z101" i="3"/>
  <c r="V101" i="3"/>
  <c r="W1091" i="3"/>
  <c r="AA992" i="3"/>
  <c r="AB101" i="3"/>
  <c r="X1008" i="3"/>
  <c r="J612" i="3"/>
  <c r="W315" i="3"/>
  <c r="Y117" i="3"/>
  <c r="AA612" i="3"/>
  <c r="Y727" i="3"/>
  <c r="AA826" i="3"/>
  <c r="V331" i="3"/>
  <c r="Z826" i="3"/>
  <c r="W529" i="3"/>
  <c r="AB133" i="3"/>
  <c r="Y545" i="3"/>
  <c r="V347" i="3"/>
  <c r="Z743" i="3"/>
  <c r="W644" i="3"/>
  <c r="J446" i="3"/>
  <c r="Z957" i="3"/>
  <c r="Y264" i="3"/>
  <c r="V957" i="3"/>
  <c r="AA957" i="3"/>
  <c r="W759" i="3"/>
  <c r="AB759" i="3"/>
  <c r="X280" i="3"/>
  <c r="AA775" i="3"/>
  <c r="J973" i="3"/>
  <c r="Z280" i="3"/>
  <c r="W1072" i="3"/>
  <c r="J791" i="3"/>
  <c r="Y593" i="3"/>
  <c r="V395" i="3"/>
  <c r="X197" i="3"/>
  <c r="Z1088" i="3"/>
  <c r="AB890" i="3"/>
  <c r="AA1005" i="3"/>
  <c r="W411" i="3"/>
  <c r="X411" i="3"/>
  <c r="Z807" i="3"/>
  <c r="Y510" i="3"/>
  <c r="Z31" i="3"/>
  <c r="V823" i="3"/>
  <c r="Y526" i="3"/>
  <c r="X922" i="3"/>
  <c r="AA31" i="3"/>
  <c r="AB724" i="3"/>
  <c r="X146" i="3"/>
  <c r="AA938" i="3"/>
  <c r="W542" i="3"/>
  <c r="V839" i="3"/>
  <c r="Y443" i="3"/>
  <c r="AA261" i="3"/>
  <c r="X261" i="3"/>
  <c r="J360" i="3"/>
  <c r="Y261" i="3"/>
  <c r="Z756" i="3"/>
  <c r="AB756" i="3"/>
  <c r="X970" i="3"/>
  <c r="Y772" i="3"/>
  <c r="W673" i="3"/>
  <c r="AA1069" i="3"/>
  <c r="Z673" i="3"/>
  <c r="J392" i="3"/>
  <c r="AA491" i="3"/>
  <c r="X689" i="3"/>
  <c r="V194" i="3"/>
  <c r="Z986" i="3"/>
  <c r="AB95" i="3"/>
  <c r="Z390" i="3"/>
  <c r="W192" i="3"/>
  <c r="Y192" i="3"/>
  <c r="J984" i="3"/>
  <c r="AA786" i="3"/>
  <c r="J470" i="3"/>
  <c r="AA272" i="3"/>
  <c r="W470" i="3"/>
  <c r="X1064" i="3"/>
  <c r="Y866" i="3"/>
  <c r="AB371" i="3"/>
  <c r="AA502" i="3"/>
  <c r="Y997" i="3"/>
  <c r="J7" i="3"/>
  <c r="V304" i="3"/>
  <c r="W106" i="3"/>
  <c r="AA550" i="3"/>
  <c r="Y1045" i="3"/>
  <c r="W748" i="3"/>
  <c r="X550" i="3"/>
  <c r="V1045" i="3"/>
  <c r="AB253" i="3"/>
  <c r="X804" i="3"/>
  <c r="W111" i="3"/>
  <c r="AA606" i="3"/>
  <c r="J1002" i="3"/>
  <c r="Y111" i="3"/>
  <c r="W325" i="3"/>
  <c r="AA28" i="3"/>
  <c r="Z424" i="3"/>
  <c r="V622" i="3"/>
  <c r="J226" i="3"/>
  <c r="AB28" i="3"/>
  <c r="X1034" i="3"/>
  <c r="Z737" i="3"/>
  <c r="V737" i="3"/>
  <c r="J341" i="3"/>
  <c r="Y935" i="3"/>
  <c r="V654" i="3"/>
  <c r="X852" i="3"/>
  <c r="AA654" i="3"/>
  <c r="W159" i="3"/>
  <c r="Z753" i="3"/>
  <c r="AB357" i="3"/>
  <c r="X769" i="3"/>
  <c r="W274" i="3"/>
  <c r="V967" i="3"/>
  <c r="Z868" i="3"/>
  <c r="Y472" i="3"/>
  <c r="AA488" i="3"/>
  <c r="V389" i="3"/>
  <c r="Y488" i="3"/>
  <c r="X785" i="3"/>
  <c r="Z92" i="3"/>
  <c r="AB884" i="3"/>
  <c r="AB405" i="3"/>
  <c r="Z504" i="3"/>
  <c r="V999" i="3"/>
  <c r="AA900" i="3"/>
  <c r="Y603" i="3"/>
  <c r="AA322" i="3"/>
  <c r="X916" i="3"/>
  <c r="J223" i="3"/>
  <c r="Y421" i="3"/>
  <c r="V421" i="3"/>
  <c r="AB124" i="3"/>
  <c r="X734" i="3"/>
  <c r="V239" i="3"/>
  <c r="Y437" i="3"/>
  <c r="AA437" i="3"/>
  <c r="Z833" i="3"/>
  <c r="J354" i="3"/>
  <c r="V57" i="3"/>
  <c r="Y849" i="3"/>
  <c r="X453" i="3"/>
  <c r="AA552" i="3"/>
  <c r="AB255" i="3"/>
  <c r="W1063" i="3"/>
  <c r="Z469" i="3"/>
  <c r="V964" i="3"/>
  <c r="X865" i="3"/>
  <c r="J271" i="3"/>
  <c r="X386" i="3"/>
  <c r="AA287" i="3"/>
  <c r="Z980" i="3"/>
  <c r="V980" i="3"/>
  <c r="W89" i="3"/>
  <c r="AB782" i="3"/>
  <c r="W204" i="3"/>
  <c r="Y897" i="3"/>
  <c r="V798" i="3"/>
  <c r="J897" i="3"/>
  <c r="AA996" i="3"/>
  <c r="AA715" i="3"/>
  <c r="J715" i="3"/>
  <c r="Y22" i="3"/>
  <c r="X913" i="3"/>
  <c r="V220" i="3"/>
  <c r="AB121" i="3"/>
  <c r="AA38" i="3"/>
  <c r="X335" i="3"/>
  <c r="V38" i="3"/>
  <c r="W434" i="3"/>
  <c r="Z830" i="3"/>
  <c r="J252" i="3"/>
  <c r="AA450" i="3"/>
  <c r="Z549" i="3"/>
  <c r="W549" i="3"/>
  <c r="X648" i="3"/>
  <c r="AB648" i="3"/>
  <c r="X664" i="3"/>
  <c r="Y1060" i="3"/>
  <c r="W1060" i="3"/>
  <c r="J1060" i="3"/>
  <c r="AA70" i="3"/>
  <c r="Y977" i="3"/>
  <c r="AA482" i="3"/>
  <c r="V779" i="3"/>
  <c r="J878" i="3"/>
  <c r="X680" i="3"/>
  <c r="AB779" i="3"/>
  <c r="W300" i="3"/>
  <c r="AA399" i="3"/>
  <c r="V3" i="3"/>
  <c r="J795" i="3"/>
  <c r="X201" i="3"/>
  <c r="J910" i="3"/>
  <c r="V118" i="3"/>
  <c r="AA613" i="3"/>
  <c r="Y415" i="3"/>
  <c r="Z910" i="3"/>
  <c r="AB1009" i="3"/>
  <c r="AA926" i="3"/>
  <c r="V926" i="3"/>
  <c r="Z629" i="3"/>
  <c r="Y332" i="3"/>
  <c r="W332" i="3"/>
  <c r="AA645" i="3"/>
  <c r="V447" i="3"/>
  <c r="Y645" i="3"/>
  <c r="Z942" i="3"/>
  <c r="W843" i="3"/>
  <c r="AB942" i="3"/>
  <c r="W760" i="3"/>
  <c r="AA265" i="3"/>
  <c r="X1057" i="3"/>
  <c r="Y562" i="3"/>
  <c r="J859" i="3"/>
  <c r="J281" i="3"/>
  <c r="Z677" i="3"/>
  <c r="AA974" i="3"/>
  <c r="W776" i="3"/>
  <c r="Y578" i="3"/>
  <c r="AB1073" i="3"/>
  <c r="J495" i="3"/>
  <c r="W99" i="3"/>
  <c r="X297" i="3"/>
  <c r="V297" i="3"/>
  <c r="Z99" i="3"/>
  <c r="AA655" i="3"/>
  <c r="X358" i="3"/>
  <c r="Z358" i="3"/>
  <c r="W160" i="3"/>
  <c r="V952" i="3"/>
  <c r="AB952" i="3"/>
  <c r="Y1048" i="3"/>
  <c r="AA1048" i="3"/>
  <c r="Z652" i="3"/>
  <c r="J949" i="3"/>
  <c r="V751" i="3"/>
  <c r="X320" i="3"/>
  <c r="J320" i="3"/>
  <c r="Z716" i="3"/>
  <c r="AA419" i="3"/>
  <c r="Y419" i="3"/>
  <c r="AB914" i="3"/>
  <c r="AA665" i="3"/>
  <c r="V170" i="3"/>
  <c r="Y1061" i="3"/>
  <c r="J467" i="3"/>
  <c r="W269" i="3"/>
  <c r="Y1077" i="3"/>
  <c r="J1077" i="3"/>
  <c r="X87" i="3"/>
  <c r="AA1077" i="3"/>
  <c r="W483" i="3"/>
  <c r="AB285" i="3"/>
  <c r="W1049" i="3"/>
  <c r="Z950" i="3"/>
  <c r="AB851" i="3"/>
  <c r="V75" i="3"/>
  <c r="Y372" i="3"/>
  <c r="X372" i="3"/>
  <c r="W75" i="3"/>
  <c r="AB768" i="3"/>
  <c r="AA289" i="3"/>
  <c r="W388" i="3"/>
  <c r="J388" i="3"/>
  <c r="Y1081" i="3"/>
  <c r="X289" i="3"/>
  <c r="AB91" i="3"/>
  <c r="AA899" i="3"/>
  <c r="J8" i="3"/>
  <c r="W998" i="3"/>
  <c r="V800" i="3"/>
  <c r="AB602" i="3"/>
  <c r="V24" i="3"/>
  <c r="J321" i="3"/>
  <c r="X420" i="3"/>
  <c r="Y519" i="3"/>
  <c r="W1014" i="3"/>
  <c r="AB1014" i="3"/>
  <c r="AA337" i="3"/>
  <c r="Y733" i="3"/>
  <c r="W1030" i="3"/>
  <c r="J535" i="3"/>
  <c r="AB535" i="3"/>
  <c r="Z155" i="3"/>
  <c r="Y353" i="3"/>
  <c r="W947" i="3"/>
  <c r="AA155" i="3"/>
  <c r="X650" i="3"/>
  <c r="AB551" i="3"/>
  <c r="AA963" i="3"/>
  <c r="X1062" i="3"/>
  <c r="Y666" i="3"/>
  <c r="Z171" i="3"/>
  <c r="AB171" i="3"/>
  <c r="V682" i="3"/>
  <c r="AA385" i="3"/>
  <c r="Y880" i="3"/>
  <c r="X484" i="3"/>
  <c r="J682" i="3"/>
  <c r="AB979" i="3"/>
  <c r="W302" i="3"/>
  <c r="AA896" i="3"/>
  <c r="AB698" i="3"/>
  <c r="J797" i="3"/>
  <c r="X797" i="3"/>
  <c r="X219" i="3"/>
  <c r="W615" i="3"/>
  <c r="Y714" i="3"/>
  <c r="Z318" i="3"/>
  <c r="J318" i="3"/>
  <c r="AB516" i="3"/>
  <c r="AA829" i="3"/>
  <c r="X334" i="3"/>
  <c r="J235" i="3"/>
  <c r="Y829" i="3"/>
  <c r="AB631" i="3"/>
  <c r="AA449" i="3"/>
  <c r="X251" i="3"/>
  <c r="Y746" i="3"/>
  <c r="J944" i="3"/>
  <c r="Z1043" i="3"/>
  <c r="AB251" i="3"/>
  <c r="AA366" i="3"/>
  <c r="W168" i="3"/>
  <c r="Z267" i="3"/>
  <c r="X564" i="3"/>
  <c r="AB69" i="3"/>
  <c r="J85" i="3"/>
  <c r="W382" i="3"/>
  <c r="V580" i="3"/>
  <c r="AA877" i="3"/>
  <c r="Z283" i="3"/>
  <c r="AB382" i="3"/>
  <c r="Z695" i="3"/>
  <c r="J299" i="3"/>
  <c r="W497" i="3"/>
  <c r="X398" i="3"/>
  <c r="AB794" i="3"/>
  <c r="X216" i="3"/>
  <c r="J414" i="3"/>
  <c r="W513" i="3"/>
  <c r="Y612" i="3"/>
  <c r="AA414" i="3"/>
  <c r="AB315" i="3"/>
  <c r="AA331" i="3"/>
  <c r="X430" i="3"/>
  <c r="Z430" i="3"/>
  <c r="J232" i="3"/>
  <c r="AB529" i="3"/>
  <c r="Y149" i="3"/>
  <c r="V545" i="3"/>
  <c r="Z644" i="3"/>
  <c r="W149" i="3"/>
  <c r="J842" i="3"/>
  <c r="AB446" i="3"/>
  <c r="Y957" i="3"/>
  <c r="J660" i="3"/>
  <c r="AA264" i="3"/>
  <c r="X660" i="3"/>
  <c r="AB165" i="3"/>
  <c r="X379" i="3"/>
  <c r="AA379" i="3"/>
  <c r="J280" i="3"/>
  <c r="Z1072" i="3"/>
  <c r="W280" i="3"/>
  <c r="AB181" i="3"/>
  <c r="Y1088" i="3"/>
  <c r="W791" i="3"/>
  <c r="X692" i="3"/>
  <c r="AA593" i="3"/>
  <c r="AB593" i="3"/>
  <c r="AA510" i="3"/>
  <c r="W213" i="3"/>
  <c r="X114" i="3"/>
  <c r="Z213" i="3"/>
  <c r="Y213" i="3"/>
  <c r="AB411" i="3"/>
  <c r="V31" i="3"/>
  <c r="J724" i="3"/>
  <c r="X229" i="3"/>
  <c r="W427" i="3"/>
  <c r="AB130" i="3"/>
  <c r="X542" i="3"/>
  <c r="AA146" i="3"/>
  <c r="W146" i="3"/>
  <c r="V344" i="3"/>
  <c r="Y1037" i="3"/>
  <c r="AB542" i="3"/>
  <c r="X657" i="3"/>
  <c r="W1053" i="3"/>
  <c r="Y1053" i="3"/>
  <c r="V954" i="3"/>
  <c r="AB459" i="3"/>
  <c r="X376" i="3"/>
  <c r="Y475" i="3"/>
  <c r="W1069" i="3"/>
  <c r="AA277" i="3"/>
  <c r="Z1069" i="3"/>
  <c r="AB574" i="3"/>
  <c r="AA590" i="3"/>
  <c r="Y95" i="3"/>
  <c r="V788" i="3"/>
  <c r="W788" i="3"/>
  <c r="AB491" i="3"/>
  <c r="Z984" i="3"/>
  <c r="W1083" i="3"/>
  <c r="Y489" i="3"/>
  <c r="J192" i="3"/>
  <c r="AA390" i="3"/>
  <c r="AB984" i="3"/>
  <c r="AA173" i="3"/>
  <c r="V1064" i="3"/>
  <c r="X965" i="3"/>
  <c r="Z74" i="3"/>
  <c r="AB866" i="3"/>
  <c r="AA601" i="3"/>
  <c r="Y898" i="3"/>
  <c r="J700" i="3"/>
  <c r="V601" i="3"/>
  <c r="W403" i="3"/>
  <c r="AB7" i="3"/>
  <c r="Y253" i="3"/>
  <c r="Z451" i="3"/>
  <c r="X154" i="3"/>
  <c r="J451" i="3"/>
  <c r="AB847" i="3"/>
  <c r="X309" i="3"/>
  <c r="W210" i="3"/>
  <c r="AA12" i="3"/>
  <c r="J309" i="3"/>
  <c r="Y507" i="3"/>
  <c r="AB507" i="3"/>
  <c r="AA127" i="3"/>
  <c r="Y424" i="3"/>
  <c r="V919" i="3"/>
  <c r="X820" i="3"/>
  <c r="AB127" i="3"/>
  <c r="X935" i="3"/>
  <c r="Z1034" i="3"/>
  <c r="V440" i="3"/>
  <c r="J935" i="3"/>
  <c r="Y836" i="3"/>
  <c r="AB440" i="3"/>
  <c r="X951" i="3"/>
  <c r="Y456" i="3"/>
  <c r="W654" i="3"/>
  <c r="J1050" i="3"/>
  <c r="AB654" i="3"/>
  <c r="X670" i="3"/>
  <c r="W868" i="3"/>
  <c r="V769" i="3"/>
  <c r="Z670" i="3"/>
  <c r="Y868" i="3"/>
  <c r="AB76" i="3"/>
  <c r="V587" i="3"/>
  <c r="W587" i="3"/>
  <c r="X983" i="3"/>
  <c r="J191" i="3"/>
  <c r="AB488" i="3"/>
  <c r="AB9" i="3"/>
  <c r="Z900" i="3"/>
  <c r="V108" i="3"/>
  <c r="AA603" i="3"/>
  <c r="Y504" i="3"/>
  <c r="J801" i="3"/>
  <c r="X124" i="3"/>
  <c r="W916" i="3"/>
  <c r="Y322" i="3"/>
  <c r="Z25" i="3"/>
  <c r="AB322" i="3"/>
  <c r="X239" i="3"/>
  <c r="V140" i="3"/>
  <c r="Y140" i="3"/>
  <c r="AA338" i="3"/>
  <c r="Z536" i="3"/>
  <c r="AB536" i="3"/>
  <c r="V354" i="3"/>
  <c r="W453" i="3"/>
  <c r="X1047" i="3"/>
  <c r="Z453" i="3"/>
  <c r="AB849" i="3"/>
  <c r="W964" i="3"/>
  <c r="Z964" i="3"/>
  <c r="V766" i="3"/>
  <c r="X964" i="3"/>
  <c r="J964" i="3"/>
  <c r="AB469" i="3"/>
  <c r="AA782" i="3"/>
  <c r="Y386" i="3"/>
  <c r="V287" i="3"/>
  <c r="J683" i="3"/>
  <c r="AB584" i="3"/>
  <c r="W699" i="3"/>
  <c r="Y303" i="3"/>
  <c r="V501" i="3"/>
  <c r="J6" i="3"/>
  <c r="AA402" i="3"/>
  <c r="AB600" i="3"/>
  <c r="J220" i="3"/>
  <c r="Z715" i="3"/>
  <c r="X220" i="3"/>
  <c r="W121" i="3"/>
  <c r="AB22" i="3"/>
  <c r="AA533" i="3"/>
  <c r="X632" i="3"/>
  <c r="V830" i="3"/>
  <c r="W929" i="3"/>
  <c r="Z137" i="3"/>
  <c r="AB731" i="3"/>
  <c r="AA549" i="3"/>
  <c r="V351" i="3"/>
  <c r="W450" i="3"/>
  <c r="Y747" i="3"/>
  <c r="AB153" i="3"/>
  <c r="X367" i="3"/>
  <c r="Y268" i="3"/>
  <c r="W169" i="3"/>
  <c r="J466" i="3"/>
  <c r="AA664" i="3"/>
  <c r="AB565" i="3"/>
  <c r="AA779" i="3"/>
  <c r="W680" i="3"/>
  <c r="J284" i="3"/>
  <c r="Z284" i="3"/>
  <c r="AB284" i="3"/>
  <c r="W795" i="3"/>
  <c r="AA795" i="3"/>
  <c r="V696" i="3"/>
  <c r="J993" i="3"/>
  <c r="X696" i="3"/>
  <c r="AB993" i="3"/>
  <c r="V316" i="3"/>
  <c r="X811" i="3"/>
  <c r="Y514" i="3"/>
  <c r="W811" i="3"/>
  <c r="AB415" i="3"/>
  <c r="AA827" i="3"/>
  <c r="V35" i="3"/>
  <c r="Z134" i="3"/>
  <c r="Y35" i="3"/>
  <c r="W431" i="3"/>
  <c r="AB926" i="3"/>
  <c r="V645" i="3"/>
  <c r="X348" i="3"/>
  <c r="Z645" i="3"/>
  <c r="J942" i="3"/>
  <c r="AB1041" i="3"/>
  <c r="W562" i="3"/>
  <c r="AA760" i="3"/>
  <c r="X463" i="3"/>
  <c r="Y364" i="3"/>
  <c r="J364" i="3"/>
  <c r="AB1057" i="3"/>
  <c r="Z182" i="3"/>
  <c r="V479" i="3"/>
  <c r="W479" i="3"/>
  <c r="X1073" i="3"/>
  <c r="AB83" i="3"/>
  <c r="J891" i="3"/>
  <c r="W792" i="3"/>
  <c r="X1089" i="3"/>
  <c r="V792" i="3"/>
  <c r="Z693" i="3"/>
  <c r="AB495" i="3"/>
  <c r="X655" i="3"/>
  <c r="J754" i="3"/>
  <c r="W457" i="3"/>
  <c r="Y853" i="3"/>
  <c r="AB655" i="3"/>
  <c r="Y652" i="3"/>
  <c r="AA553" i="3"/>
  <c r="Z850" i="3"/>
  <c r="J1048" i="3"/>
  <c r="V949" i="3"/>
  <c r="AB58" i="3"/>
  <c r="J617" i="3"/>
  <c r="W518" i="3"/>
  <c r="AA617" i="3"/>
  <c r="V419" i="3"/>
  <c r="AB518" i="3"/>
  <c r="AA566" i="3"/>
  <c r="V863" i="3"/>
  <c r="Y566" i="3"/>
  <c r="J764" i="3"/>
  <c r="W71" i="3"/>
  <c r="AB269" i="3"/>
  <c r="J978" i="3"/>
  <c r="V384" i="3"/>
  <c r="AA681" i="3"/>
  <c r="Z483" i="3"/>
  <c r="AB1077" i="3"/>
  <c r="J851" i="3"/>
  <c r="Z554" i="3"/>
  <c r="AB752" i="3"/>
  <c r="V1065" i="3"/>
  <c r="Y471" i="3"/>
  <c r="X273" i="3"/>
  <c r="W372" i="3"/>
  <c r="J966" i="3"/>
  <c r="AA586" i="3"/>
  <c r="Z289" i="3"/>
  <c r="J289" i="3"/>
  <c r="V1081" i="3"/>
  <c r="X685" i="3"/>
  <c r="AB586" i="3"/>
  <c r="AA998" i="3"/>
  <c r="J701" i="3"/>
  <c r="W899" i="3"/>
  <c r="V206" i="3"/>
  <c r="Z503" i="3"/>
  <c r="V1014" i="3"/>
  <c r="Z123" i="3"/>
  <c r="X222" i="3"/>
  <c r="AA915" i="3"/>
  <c r="W123" i="3"/>
  <c r="AB717" i="3"/>
  <c r="AA139" i="3"/>
  <c r="Y436" i="3"/>
  <c r="W535" i="3"/>
  <c r="J436" i="3"/>
  <c r="X733" i="3"/>
  <c r="Z551" i="3"/>
  <c r="J551" i="3"/>
  <c r="W551" i="3"/>
  <c r="V353" i="3"/>
  <c r="X1046" i="3"/>
  <c r="AB452" i="3"/>
  <c r="AA468" i="3"/>
  <c r="X369" i="3"/>
  <c r="Y270" i="3"/>
  <c r="Z1062" i="3"/>
  <c r="W171" i="3"/>
  <c r="V1078" i="3"/>
  <c r="Z187" i="3"/>
  <c r="Y187" i="3"/>
  <c r="W979" i="3"/>
  <c r="J583" i="3"/>
  <c r="AB286" i="3"/>
  <c r="W5" i="3"/>
  <c r="AA401" i="3"/>
  <c r="AB797" i="3"/>
  <c r="J401" i="3"/>
  <c r="Y698" i="3"/>
  <c r="X417" i="3"/>
  <c r="V813" i="3"/>
  <c r="Y417" i="3"/>
  <c r="AA120" i="3"/>
  <c r="J912" i="3"/>
  <c r="AB219" i="3"/>
  <c r="AA433" i="3"/>
  <c r="X433" i="3"/>
  <c r="J433" i="3"/>
  <c r="Y730" i="3"/>
  <c r="W235" i="3"/>
  <c r="AA647" i="3"/>
  <c r="W152" i="3"/>
  <c r="Y647" i="3"/>
  <c r="V548" i="3"/>
  <c r="Z845" i="3"/>
  <c r="AB548" i="3"/>
  <c r="AA564" i="3"/>
  <c r="W366" i="3"/>
  <c r="Z960" i="3"/>
  <c r="X465" i="3"/>
  <c r="J762" i="3"/>
  <c r="J184" i="3"/>
  <c r="X580" i="3"/>
  <c r="V877" i="3"/>
  <c r="Y85" i="3"/>
  <c r="Z382" i="3"/>
  <c r="AB877" i="3"/>
  <c r="Z497" i="3"/>
  <c r="J695" i="3"/>
  <c r="W695" i="3"/>
  <c r="X596" i="3"/>
  <c r="AA695" i="3"/>
  <c r="X711" i="3"/>
  <c r="V414" i="3"/>
  <c r="W711" i="3"/>
  <c r="Z117" i="3"/>
  <c r="AA1008" i="3"/>
  <c r="AB18" i="3"/>
  <c r="AA430" i="3"/>
  <c r="X628" i="3"/>
  <c r="Z133" i="3"/>
  <c r="J826" i="3"/>
  <c r="W133" i="3"/>
  <c r="Y743" i="3"/>
  <c r="X545" i="3"/>
  <c r="Z50" i="3"/>
  <c r="AA545" i="3"/>
  <c r="J545" i="3"/>
  <c r="AB743" i="3"/>
  <c r="Y561" i="3"/>
  <c r="J759" i="3"/>
  <c r="AA660" i="3"/>
  <c r="X66" i="3"/>
  <c r="W561" i="3"/>
  <c r="X82" i="3"/>
  <c r="Y775" i="3"/>
  <c r="J82" i="3"/>
  <c r="V973" i="3"/>
  <c r="W181" i="3"/>
  <c r="AB478" i="3"/>
  <c r="Y989" i="3"/>
  <c r="W98" i="3"/>
  <c r="X494" i="3"/>
  <c r="AA890" i="3"/>
  <c r="Z98" i="3"/>
  <c r="AA15" i="3"/>
  <c r="J411" i="3"/>
  <c r="X1005" i="3"/>
  <c r="V609" i="3"/>
  <c r="Y807" i="3"/>
  <c r="AB510" i="3"/>
  <c r="V922" i="3"/>
  <c r="J229" i="3"/>
  <c r="X1021" i="3"/>
  <c r="W328" i="3"/>
  <c r="AA229" i="3"/>
  <c r="X938" i="3"/>
  <c r="Z47" i="3"/>
  <c r="W740" i="3"/>
  <c r="J245" i="3"/>
  <c r="Y146" i="3"/>
  <c r="AB146" i="3"/>
  <c r="X756" i="3"/>
  <c r="W63" i="3"/>
  <c r="Y657" i="3"/>
  <c r="V63" i="3"/>
  <c r="Z261" i="3"/>
  <c r="X574" i="3"/>
  <c r="V970" i="3"/>
  <c r="W79" i="3"/>
  <c r="J871" i="3"/>
  <c r="Z970" i="3"/>
  <c r="AB178" i="3"/>
  <c r="AA986" i="3"/>
  <c r="Y1085" i="3"/>
  <c r="V689" i="3"/>
  <c r="W986" i="3"/>
  <c r="Z194" i="3"/>
  <c r="Z93" i="3"/>
  <c r="V192" i="3"/>
  <c r="Y1083" i="3"/>
  <c r="X93" i="3"/>
  <c r="AA885" i="3"/>
  <c r="AB687" i="3"/>
  <c r="AA767" i="3"/>
  <c r="V173" i="3"/>
  <c r="X74" i="3"/>
  <c r="Z965" i="3"/>
  <c r="Y965" i="3"/>
  <c r="AA7" i="3"/>
  <c r="Z502" i="3"/>
  <c r="J205" i="3"/>
  <c r="X502" i="3"/>
  <c r="W205" i="3"/>
  <c r="AB304" i="3"/>
  <c r="Y352" i="3"/>
  <c r="Z748" i="3"/>
  <c r="X253" i="3"/>
  <c r="J253" i="3"/>
  <c r="V253" i="3"/>
  <c r="X903" i="3"/>
  <c r="V111" i="3"/>
  <c r="AA804" i="3"/>
  <c r="Z903" i="3"/>
  <c r="Y903" i="3"/>
  <c r="AB408" i="3"/>
  <c r="AA919" i="3"/>
  <c r="Y919" i="3"/>
  <c r="V523" i="3"/>
  <c r="X919" i="3"/>
  <c r="J424" i="3"/>
  <c r="X638" i="3"/>
  <c r="W44" i="3"/>
  <c r="V44" i="3"/>
  <c r="AA341" i="3"/>
  <c r="Y737" i="3"/>
  <c r="AB44" i="3"/>
  <c r="X1050" i="3"/>
  <c r="Y852" i="3"/>
  <c r="W852" i="3"/>
  <c r="J555" i="3"/>
  <c r="Z852" i="3"/>
  <c r="X472" i="3"/>
  <c r="J868" i="3"/>
  <c r="V373" i="3"/>
  <c r="AA175" i="3"/>
  <c r="Y769" i="3"/>
  <c r="AB967" i="3"/>
  <c r="V92" i="3"/>
  <c r="W983" i="3"/>
  <c r="X1082" i="3"/>
  <c r="J389" i="3"/>
  <c r="Z686" i="3"/>
  <c r="AB801" i="3"/>
  <c r="W702" i="3"/>
  <c r="V702" i="3"/>
  <c r="X603" i="3"/>
  <c r="Y900" i="3"/>
  <c r="J504" i="3"/>
  <c r="X421" i="3"/>
  <c r="W520" i="3"/>
  <c r="Y916" i="3"/>
  <c r="Z718" i="3"/>
  <c r="V718" i="3"/>
  <c r="X1031" i="3"/>
  <c r="W239" i="3"/>
  <c r="Y932" i="3"/>
  <c r="J140" i="3"/>
  <c r="Z338" i="3"/>
  <c r="AB239" i="3"/>
  <c r="V651" i="3"/>
  <c r="W552" i="3"/>
  <c r="X849" i="3"/>
  <c r="Z849" i="3"/>
  <c r="AA156" i="3"/>
  <c r="W172" i="3"/>
  <c r="Y1063" i="3"/>
  <c r="V73" i="3"/>
  <c r="AA766" i="3"/>
  <c r="J865" i="3"/>
  <c r="AB1063" i="3"/>
  <c r="AA89" i="3"/>
  <c r="Y881" i="3"/>
  <c r="V386" i="3"/>
  <c r="J980" i="3"/>
  <c r="W386" i="3"/>
  <c r="W6" i="3"/>
  <c r="X303" i="3"/>
  <c r="V6" i="3"/>
  <c r="Z501" i="3"/>
  <c r="AA897" i="3"/>
  <c r="AB105" i="3"/>
  <c r="J814" i="3"/>
  <c r="Z616" i="3"/>
  <c r="X616" i="3"/>
  <c r="W616" i="3"/>
  <c r="V121" i="3"/>
  <c r="AA335" i="3"/>
  <c r="Y137" i="3"/>
  <c r="V335" i="3"/>
  <c r="J236" i="3"/>
  <c r="Z434" i="3"/>
  <c r="AB236" i="3"/>
  <c r="AA945" i="3"/>
  <c r="V1044" i="3"/>
  <c r="W54" i="3"/>
  <c r="Y846" i="3"/>
  <c r="X450" i="3"/>
  <c r="X268" i="3"/>
  <c r="Z268" i="3"/>
  <c r="W664" i="3"/>
  <c r="V664" i="3"/>
  <c r="AA367" i="3"/>
  <c r="AB961" i="3"/>
  <c r="AA383" i="3"/>
  <c r="W86" i="3"/>
  <c r="J581" i="3"/>
  <c r="Z779" i="3"/>
  <c r="X482" i="3"/>
  <c r="W597" i="3"/>
  <c r="Z498" i="3"/>
  <c r="V597" i="3"/>
  <c r="Y300" i="3"/>
  <c r="X993" i="3"/>
  <c r="AB399" i="3"/>
  <c r="V514" i="3"/>
  <c r="X613" i="3"/>
  <c r="Y712" i="3"/>
  <c r="W217" i="3"/>
  <c r="Z1009" i="3"/>
  <c r="AA431" i="3"/>
  <c r="X431" i="3"/>
  <c r="Z1025" i="3"/>
  <c r="J1025" i="3"/>
  <c r="W926" i="3"/>
  <c r="AB134" i="3"/>
  <c r="V744" i="3"/>
  <c r="X51" i="3"/>
  <c r="Z1041" i="3"/>
  <c r="J51" i="3"/>
  <c r="W447" i="3"/>
  <c r="W1057" i="3"/>
  <c r="V1057" i="3"/>
  <c r="X166" i="3"/>
  <c r="Z364" i="3"/>
  <c r="J67" i="3"/>
  <c r="AB265" i="3"/>
  <c r="Z281" i="3"/>
  <c r="V83" i="3"/>
  <c r="W875" i="3"/>
  <c r="X479" i="3"/>
  <c r="Y182" i="3"/>
  <c r="J594" i="3"/>
  <c r="Y297" i="3"/>
  <c r="X990" i="3"/>
  <c r="AA1089" i="3"/>
  <c r="Z495" i="3"/>
  <c r="AB594" i="3"/>
  <c r="X259" i="3"/>
  <c r="J160" i="3"/>
  <c r="W358" i="3"/>
  <c r="Y160" i="3"/>
  <c r="V457" i="3"/>
  <c r="Y58" i="3"/>
  <c r="X751" i="3"/>
  <c r="Z553" i="3"/>
  <c r="W949" i="3"/>
  <c r="V454" i="3"/>
  <c r="AB256" i="3"/>
  <c r="J419" i="3"/>
  <c r="W815" i="3"/>
  <c r="AA320" i="3"/>
  <c r="V518" i="3"/>
  <c r="Y716" i="3"/>
  <c r="AA71" i="3"/>
  <c r="X764" i="3"/>
  <c r="Y665" i="3"/>
  <c r="Z71" i="3"/>
  <c r="W1061" i="3"/>
  <c r="AB467" i="3"/>
  <c r="J879" i="3"/>
  <c r="V780" i="3"/>
  <c r="AA87" i="3"/>
  <c r="Z87" i="3"/>
  <c r="W582" i="3"/>
  <c r="J554" i="3"/>
  <c r="Z752" i="3"/>
  <c r="AB554" i="3"/>
  <c r="V273" i="3"/>
  <c r="Y966" i="3"/>
  <c r="X867" i="3"/>
  <c r="W471" i="3"/>
  <c r="AB1065" i="3"/>
  <c r="AA784" i="3"/>
  <c r="J1049" i="3"/>
  <c r="W653" i="3"/>
  <c r="AB653" i="3"/>
  <c r="AA174" i="3"/>
  <c r="Y1065" i="3"/>
  <c r="Z174" i="3"/>
  <c r="X1065" i="3"/>
  <c r="J471" i="3"/>
  <c r="AB471" i="3"/>
  <c r="Z388" i="3"/>
  <c r="W190" i="3"/>
  <c r="V586" i="3"/>
  <c r="Y784" i="3"/>
  <c r="AB289" i="3"/>
  <c r="X503" i="3"/>
  <c r="J503" i="3"/>
  <c r="Y899" i="3"/>
  <c r="W503" i="3"/>
  <c r="Z305" i="3"/>
  <c r="AB8" i="3"/>
  <c r="Z222" i="3"/>
  <c r="J1014" i="3"/>
  <c r="AA321" i="3"/>
  <c r="Y420" i="3"/>
  <c r="AB123" i="3"/>
  <c r="Z832" i="3"/>
  <c r="Y40" i="3"/>
  <c r="V634" i="3"/>
  <c r="W436" i="3"/>
  <c r="X931" i="3"/>
  <c r="AB337" i="3"/>
  <c r="J56" i="3"/>
  <c r="Y947" i="3"/>
  <c r="V254" i="3"/>
  <c r="AA947" i="3"/>
  <c r="AB155" i="3"/>
  <c r="J963" i="3"/>
  <c r="X468" i="3"/>
  <c r="V1062" i="3"/>
  <c r="Y72" i="3"/>
  <c r="W666" i="3"/>
  <c r="AB468" i="3"/>
  <c r="Z1078" i="3"/>
  <c r="AA781" i="3"/>
  <c r="W385" i="3"/>
  <c r="X88" i="3"/>
  <c r="AB781" i="3"/>
  <c r="Z797" i="3"/>
  <c r="AA203" i="3"/>
  <c r="V797" i="3"/>
  <c r="AB500" i="3"/>
  <c r="Y104" i="3"/>
  <c r="X5" i="3"/>
  <c r="V615" i="3"/>
  <c r="W219" i="3"/>
  <c r="AA714" i="3"/>
  <c r="Z813" i="3"/>
  <c r="AB417" i="3"/>
  <c r="Z334" i="3"/>
  <c r="X37" i="3"/>
  <c r="V928" i="3"/>
  <c r="J829" i="3"/>
  <c r="W532" i="3"/>
  <c r="AB235" i="3"/>
  <c r="W746" i="3"/>
  <c r="X350" i="3"/>
  <c r="V647" i="3"/>
  <c r="J53" i="3"/>
  <c r="AB746" i="3"/>
  <c r="Y663" i="3"/>
  <c r="W267" i="3"/>
  <c r="V69" i="3"/>
  <c r="Z861" i="3"/>
  <c r="J564" i="3"/>
  <c r="AB267" i="3"/>
  <c r="X1075" i="3"/>
  <c r="W481" i="3"/>
  <c r="Y976" i="3"/>
  <c r="AA85" i="3"/>
  <c r="AB283" i="3"/>
  <c r="Y497" i="3"/>
  <c r="J596" i="3"/>
  <c r="V992" i="3"/>
  <c r="W101" i="3"/>
  <c r="AA596" i="3"/>
  <c r="AB497" i="3"/>
  <c r="V1008" i="3"/>
  <c r="J1008" i="3"/>
  <c r="Z18" i="3"/>
  <c r="Y909" i="3"/>
  <c r="AB513" i="3"/>
  <c r="Y34" i="3"/>
  <c r="X529" i="3"/>
  <c r="V529" i="3"/>
  <c r="Z529" i="3"/>
  <c r="W1024" i="3"/>
  <c r="AB925" i="3"/>
  <c r="X248" i="3"/>
  <c r="V149" i="3"/>
  <c r="AA1040" i="3"/>
  <c r="W347" i="3"/>
  <c r="AB248" i="3"/>
  <c r="Z561" i="3"/>
  <c r="J957" i="3"/>
  <c r="V660" i="3"/>
  <c r="AA1056" i="3"/>
  <c r="W66" i="3"/>
  <c r="AB957" i="3"/>
  <c r="Y181" i="3"/>
  <c r="AA82" i="3"/>
  <c r="V874" i="3"/>
  <c r="Z775" i="3"/>
  <c r="AB577" i="3"/>
  <c r="J98" i="3"/>
  <c r="W197" i="3"/>
  <c r="V593" i="3"/>
  <c r="X296" i="3"/>
  <c r="Z395" i="3"/>
  <c r="AB1088" i="3"/>
  <c r="J114" i="3"/>
  <c r="W906" i="3"/>
  <c r="V213" i="3"/>
  <c r="Z1005" i="3"/>
  <c r="AB906" i="3"/>
  <c r="Z526" i="3"/>
  <c r="J922" i="3"/>
  <c r="Y328" i="3"/>
  <c r="X328" i="3"/>
  <c r="AA823" i="3"/>
  <c r="AB31" i="3"/>
  <c r="Z1037" i="3"/>
  <c r="AA542" i="3"/>
  <c r="J146" i="3"/>
  <c r="V1037" i="3"/>
  <c r="AB641" i="3"/>
  <c r="AA360" i="3"/>
  <c r="W756" i="3"/>
  <c r="J657" i="3"/>
  <c r="Y63" i="3"/>
  <c r="Z63" i="3"/>
  <c r="AB657" i="3"/>
  <c r="V772" i="3"/>
  <c r="Y574" i="3"/>
  <c r="J574" i="3"/>
  <c r="AA673" i="3"/>
  <c r="AB1069" i="3"/>
  <c r="J194" i="3"/>
  <c r="Y788" i="3"/>
  <c r="X392" i="3"/>
  <c r="V293" i="3"/>
  <c r="Z689" i="3"/>
  <c r="AB788" i="3"/>
  <c r="V885" i="3"/>
  <c r="W885" i="3"/>
  <c r="X984" i="3"/>
  <c r="J489" i="3"/>
  <c r="AB93" i="3"/>
  <c r="J866" i="3"/>
  <c r="V866" i="3"/>
  <c r="W668" i="3"/>
  <c r="X470" i="3"/>
  <c r="Y272" i="3"/>
  <c r="AB272" i="3"/>
  <c r="Z601" i="3"/>
  <c r="Y799" i="3"/>
  <c r="X898" i="3"/>
  <c r="V205" i="3"/>
  <c r="AB205" i="3"/>
  <c r="AA649" i="3"/>
  <c r="Z847" i="3"/>
  <c r="W550" i="3"/>
  <c r="X847" i="3"/>
  <c r="V748" i="3"/>
  <c r="AB451" i="3"/>
  <c r="V1002" i="3"/>
  <c r="W903" i="3"/>
  <c r="Z606" i="3"/>
  <c r="J408" i="3"/>
  <c r="AB210" i="3"/>
  <c r="W919" i="3"/>
  <c r="Y820" i="3"/>
  <c r="Z127" i="3"/>
  <c r="V28" i="3"/>
  <c r="J28" i="3"/>
  <c r="AB523" i="3"/>
  <c r="W638" i="3"/>
  <c r="Z836" i="3"/>
  <c r="AA638" i="3"/>
  <c r="J836" i="3"/>
  <c r="AB737" i="3"/>
  <c r="V852" i="3"/>
  <c r="Y951" i="3"/>
  <c r="AA852" i="3"/>
  <c r="W753" i="3"/>
  <c r="Z357" i="3"/>
  <c r="AB951" i="3"/>
  <c r="J373" i="3"/>
  <c r="W373" i="3"/>
  <c r="AA373" i="3"/>
  <c r="Z76" i="3"/>
  <c r="AB1066" i="3"/>
  <c r="AA983" i="3"/>
  <c r="W389" i="3"/>
  <c r="Y1082" i="3"/>
  <c r="X884" i="3"/>
  <c r="Z785" i="3"/>
  <c r="AB587" i="3"/>
  <c r="W405" i="3"/>
  <c r="Z405" i="3"/>
  <c r="X702" i="3"/>
  <c r="AA207" i="3"/>
  <c r="J603" i="3"/>
  <c r="AA619" i="3"/>
  <c r="W421" i="3"/>
  <c r="J124" i="3"/>
  <c r="Y25" i="3"/>
  <c r="V322" i="3"/>
  <c r="AB223" i="3"/>
  <c r="W734" i="3"/>
  <c r="V734" i="3"/>
  <c r="J833" i="3"/>
  <c r="AA635" i="3"/>
  <c r="AB833" i="3"/>
  <c r="J57" i="3"/>
  <c r="W354" i="3"/>
  <c r="Y57" i="3"/>
  <c r="X354" i="3"/>
  <c r="AA255" i="3"/>
  <c r="AB552" i="3"/>
  <c r="Y667" i="3"/>
  <c r="Z1063" i="3"/>
  <c r="AA370" i="3"/>
  <c r="X73" i="3"/>
  <c r="AB766" i="3"/>
  <c r="X188" i="3"/>
  <c r="Y485" i="3"/>
  <c r="Z485" i="3"/>
  <c r="V584" i="3"/>
  <c r="W980" i="3"/>
  <c r="AB485" i="3"/>
  <c r="X501" i="3"/>
  <c r="Y402" i="3"/>
  <c r="Z204" i="3"/>
  <c r="J996" i="3"/>
  <c r="AB897" i="3"/>
  <c r="AA220" i="3"/>
  <c r="Z121" i="3"/>
  <c r="Y715" i="3"/>
  <c r="X814" i="3"/>
  <c r="V418" i="3"/>
  <c r="AB814" i="3"/>
  <c r="Y731" i="3"/>
  <c r="X38" i="3"/>
  <c r="J1028" i="3"/>
  <c r="W1028" i="3"/>
  <c r="AB335" i="3"/>
  <c r="J747" i="3"/>
  <c r="V549" i="3"/>
  <c r="Z54" i="3"/>
  <c r="W252" i="3"/>
  <c r="X351" i="3"/>
  <c r="AB846" i="3"/>
  <c r="Z466" i="3"/>
  <c r="Y367" i="3"/>
  <c r="V763" i="3"/>
  <c r="J367" i="3"/>
  <c r="AB664" i="3"/>
  <c r="Y878" i="3"/>
  <c r="W878" i="3"/>
  <c r="V284" i="3"/>
  <c r="J977" i="3"/>
  <c r="X878" i="3"/>
  <c r="AB482" i="3"/>
  <c r="Z300" i="3"/>
  <c r="AA3" i="3"/>
  <c r="Y894" i="3"/>
  <c r="J597" i="3"/>
  <c r="AB498" i="3"/>
  <c r="J712" i="3"/>
  <c r="X118" i="3"/>
  <c r="AA514" i="3"/>
  <c r="Y613" i="3"/>
  <c r="Z811" i="3"/>
  <c r="AB712" i="3"/>
  <c r="X629" i="3"/>
  <c r="V629" i="3"/>
  <c r="J728" i="3"/>
  <c r="Y728" i="3"/>
  <c r="AB1025" i="3"/>
  <c r="AA348" i="3"/>
  <c r="X546" i="3"/>
  <c r="Y843" i="3"/>
  <c r="Z843" i="3"/>
  <c r="W150" i="3"/>
  <c r="AB249" i="3"/>
  <c r="V265" i="3"/>
  <c r="AA364" i="3"/>
  <c r="Z661" i="3"/>
  <c r="Y760" i="3"/>
  <c r="AB67" i="3"/>
  <c r="J776" i="3"/>
  <c r="V677" i="3"/>
  <c r="AA182" i="3"/>
  <c r="W677" i="3"/>
  <c r="Y380" i="3"/>
  <c r="AB776" i="3"/>
  <c r="Y990" i="3"/>
  <c r="W990" i="3"/>
  <c r="AA99" i="3"/>
  <c r="V594" i="3"/>
  <c r="AB396" i="3"/>
  <c r="AA358" i="3"/>
  <c r="J358" i="3"/>
  <c r="Z259" i="3"/>
  <c r="W259" i="3"/>
  <c r="V1051" i="3"/>
  <c r="AB160" i="3"/>
  <c r="X949" i="3"/>
  <c r="AA751" i="3"/>
  <c r="W751" i="3"/>
  <c r="J553" i="3"/>
  <c r="AB850" i="3"/>
  <c r="X518" i="3"/>
  <c r="W221" i="3"/>
  <c r="Z320" i="3"/>
  <c r="AA23" i="3"/>
  <c r="Y617" i="3"/>
  <c r="AB419" i="3"/>
  <c r="X170" i="3"/>
  <c r="V1061" i="3"/>
  <c r="Z1061" i="3"/>
  <c r="J665" i="3"/>
  <c r="AB764" i="3"/>
  <c r="Y582" i="3"/>
  <c r="V978" i="3"/>
  <c r="X384" i="3"/>
  <c r="AA978" i="3"/>
  <c r="W681" i="3"/>
  <c r="AB978" i="3"/>
  <c r="W356" i="3"/>
  <c r="Z158" i="3"/>
  <c r="AA273" i="3"/>
  <c r="V669" i="3"/>
  <c r="Z966" i="3"/>
  <c r="X966" i="3"/>
  <c r="J669" i="3"/>
  <c r="AB867" i="3"/>
  <c r="Z883" i="3"/>
  <c r="W91" i="3"/>
  <c r="J685" i="3"/>
  <c r="Y289" i="3"/>
  <c r="X388" i="3"/>
  <c r="X8" i="3"/>
  <c r="AA206" i="3"/>
  <c r="Y701" i="3"/>
  <c r="W800" i="3"/>
  <c r="Z206" i="3"/>
  <c r="AB305" i="3"/>
  <c r="Z519" i="3"/>
  <c r="J222" i="3"/>
  <c r="X1014" i="3"/>
  <c r="Y915" i="3"/>
  <c r="W321" i="3"/>
  <c r="Z634" i="3"/>
  <c r="AA436" i="3"/>
  <c r="V832" i="3"/>
  <c r="W832" i="3"/>
  <c r="X238" i="3"/>
  <c r="AB931" i="3"/>
  <c r="J254" i="3"/>
  <c r="Y1046" i="3"/>
  <c r="W254" i="3"/>
  <c r="AA353" i="3"/>
  <c r="X155" i="3"/>
  <c r="J666" i="3"/>
  <c r="AA369" i="3"/>
  <c r="V765" i="3"/>
  <c r="Y963" i="3"/>
  <c r="W567" i="3"/>
  <c r="AB963" i="3"/>
  <c r="Z880" i="3"/>
  <c r="AA286" i="3"/>
  <c r="Y286" i="3"/>
  <c r="X187" i="3"/>
  <c r="J187" i="3"/>
  <c r="Z698" i="3"/>
  <c r="W995" i="3"/>
  <c r="V203" i="3"/>
  <c r="AB203" i="3"/>
  <c r="Y797" i="3"/>
  <c r="X203" i="3"/>
  <c r="V219" i="3"/>
  <c r="W120" i="3"/>
  <c r="Y813" i="3"/>
  <c r="Z21" i="3"/>
  <c r="J615" i="3"/>
  <c r="Z235" i="3"/>
  <c r="AA532" i="3"/>
  <c r="V829" i="3"/>
  <c r="J928" i="3"/>
  <c r="W37" i="3"/>
  <c r="AB433" i="3"/>
  <c r="W845" i="3"/>
  <c r="X647" i="3"/>
  <c r="Y449" i="3"/>
  <c r="J251" i="3"/>
  <c r="Z746" i="3"/>
  <c r="Y960" i="3"/>
  <c r="AA69" i="3"/>
  <c r="V663" i="3"/>
  <c r="Z762" i="3"/>
  <c r="J366" i="3"/>
  <c r="AB1059" i="3"/>
  <c r="X283" i="3"/>
  <c r="W580" i="3"/>
  <c r="V679" i="3"/>
  <c r="AA679" i="3"/>
  <c r="Z1075" i="3"/>
  <c r="Y596" i="3"/>
  <c r="Z1091" i="3"/>
  <c r="V695" i="3"/>
  <c r="W596" i="3"/>
  <c r="AA200" i="3"/>
  <c r="AB299" i="3"/>
  <c r="V810" i="3"/>
  <c r="J810" i="3"/>
  <c r="W216" i="3"/>
  <c r="Y315" i="3"/>
  <c r="AA117" i="3"/>
  <c r="Y628" i="3"/>
  <c r="AA628" i="3"/>
  <c r="V1024" i="3"/>
  <c r="Z727" i="3"/>
  <c r="W331" i="3"/>
  <c r="AB826" i="3"/>
  <c r="X842" i="3"/>
  <c r="V248" i="3"/>
  <c r="Z149" i="3"/>
  <c r="W50" i="3"/>
  <c r="J743" i="3"/>
  <c r="Z660" i="3"/>
  <c r="Y462" i="3"/>
  <c r="V759" i="3"/>
  <c r="AA462" i="3"/>
  <c r="W165" i="3"/>
  <c r="AB264" i="3"/>
  <c r="Y82" i="3"/>
  <c r="AA676" i="3"/>
  <c r="J676" i="3"/>
  <c r="Z379" i="3"/>
  <c r="W82" i="3"/>
  <c r="J494" i="3"/>
  <c r="Y494" i="3"/>
  <c r="V1088" i="3"/>
  <c r="X395" i="3"/>
  <c r="Z890" i="3"/>
  <c r="AB989" i="3"/>
  <c r="J510" i="3"/>
  <c r="W312" i="3"/>
  <c r="X15" i="3"/>
  <c r="Z609" i="3"/>
  <c r="Y114" i="3"/>
  <c r="Z229" i="3"/>
  <c r="V1021" i="3"/>
  <c r="Y823" i="3"/>
  <c r="X823" i="3"/>
  <c r="AA1021" i="3"/>
  <c r="AB1021" i="3"/>
  <c r="Z542" i="3"/>
  <c r="AA47" i="3"/>
  <c r="W1037" i="3"/>
  <c r="V245" i="3"/>
  <c r="Y245" i="3"/>
  <c r="AA657" i="3"/>
  <c r="X360" i="3"/>
  <c r="J162" i="3"/>
  <c r="Y459" i="3"/>
  <c r="Z657" i="3"/>
  <c r="AB162" i="3"/>
  <c r="V376" i="3"/>
  <c r="Y673" i="3"/>
  <c r="W970" i="3"/>
  <c r="AA475" i="3"/>
  <c r="Z277" i="3"/>
  <c r="J293" i="3"/>
  <c r="AA95" i="3"/>
  <c r="X788" i="3"/>
  <c r="V986" i="3"/>
  <c r="Z1085" i="3"/>
  <c r="AB689" i="3"/>
  <c r="V687" i="3"/>
  <c r="W489" i="3"/>
  <c r="Y588" i="3"/>
  <c r="J93" i="3"/>
  <c r="AA687" i="3"/>
  <c r="J569" i="3"/>
  <c r="AA668" i="3"/>
  <c r="W866" i="3"/>
  <c r="X272" i="3"/>
  <c r="Y668" i="3"/>
  <c r="AB965" i="3"/>
  <c r="Z304" i="3"/>
  <c r="Y403" i="3"/>
  <c r="J403" i="3"/>
  <c r="V502" i="3"/>
  <c r="W997" i="3"/>
  <c r="AA55" i="3"/>
  <c r="Y451" i="3"/>
  <c r="W352" i="3"/>
  <c r="X55" i="3"/>
  <c r="V55" i="3"/>
  <c r="AB55" i="3"/>
  <c r="V12" i="3"/>
  <c r="W1002" i="3"/>
  <c r="AA309" i="3"/>
  <c r="J210" i="3"/>
  <c r="Y705" i="3"/>
  <c r="W127" i="3"/>
  <c r="AA424" i="3"/>
  <c r="Z1018" i="3"/>
  <c r="V820" i="3"/>
  <c r="J523" i="3"/>
  <c r="AB622" i="3"/>
  <c r="W737" i="3"/>
  <c r="Z341" i="3"/>
  <c r="V242" i="3"/>
  <c r="J638" i="3"/>
  <c r="Y638" i="3"/>
  <c r="V456" i="3"/>
  <c r="X60" i="3"/>
  <c r="AA555" i="3"/>
  <c r="W1050" i="3"/>
  <c r="Z456" i="3"/>
  <c r="AB159" i="3"/>
  <c r="J769" i="3"/>
  <c r="W967" i="3"/>
  <c r="V670" i="3"/>
  <c r="Z571" i="3"/>
  <c r="Y1066" i="3"/>
  <c r="AA1082" i="3"/>
  <c r="V191" i="3"/>
  <c r="Y290" i="3"/>
  <c r="X686" i="3"/>
  <c r="Z290" i="3"/>
  <c r="AB290" i="3"/>
  <c r="W306" i="3"/>
  <c r="Z108" i="3"/>
  <c r="V900" i="3"/>
  <c r="AA9" i="3"/>
  <c r="Y405" i="3"/>
  <c r="AA718" i="3"/>
  <c r="X322" i="3"/>
  <c r="J322" i="3"/>
  <c r="Y1015" i="3"/>
  <c r="V619" i="3"/>
  <c r="AB421" i="3"/>
  <c r="W41" i="3"/>
  <c r="V932" i="3"/>
  <c r="Y1031" i="3"/>
  <c r="AA1031" i="3"/>
  <c r="Z41" i="3"/>
  <c r="J453" i="3"/>
  <c r="V156" i="3"/>
  <c r="Y255" i="3"/>
  <c r="X255" i="3"/>
  <c r="AA849" i="3"/>
  <c r="AB57" i="3"/>
  <c r="Y73" i="3"/>
  <c r="Z172" i="3"/>
  <c r="V865" i="3"/>
  <c r="X172" i="3"/>
  <c r="J766" i="3"/>
  <c r="X89" i="3"/>
  <c r="AA881" i="3"/>
  <c r="Z386" i="3"/>
  <c r="V485" i="3"/>
  <c r="W287" i="3"/>
  <c r="AB881" i="3"/>
  <c r="X204" i="3"/>
  <c r="Y105" i="3"/>
  <c r="V402" i="3"/>
  <c r="J600" i="3"/>
  <c r="AA204" i="3"/>
  <c r="AA319" i="3"/>
  <c r="J22" i="3"/>
  <c r="Y319" i="3"/>
  <c r="X517" i="3"/>
  <c r="V1012" i="3"/>
  <c r="AB913" i="3"/>
  <c r="Y434" i="3"/>
  <c r="X1028" i="3"/>
  <c r="V929" i="3"/>
  <c r="W137" i="3"/>
  <c r="Z929" i="3"/>
  <c r="J549" i="3"/>
  <c r="AA153" i="3"/>
  <c r="Z1044" i="3"/>
  <c r="W351" i="3"/>
  <c r="X945" i="3"/>
  <c r="AB1044" i="3"/>
  <c r="Z1060" i="3"/>
  <c r="Y862" i="3"/>
  <c r="W763" i="3"/>
  <c r="J169" i="3"/>
  <c r="AA961" i="3"/>
  <c r="Y383" i="3"/>
  <c r="AA185" i="3"/>
  <c r="V977" i="3"/>
  <c r="J680" i="3"/>
  <c r="X185" i="3"/>
  <c r="AB581" i="3"/>
  <c r="Z696" i="3"/>
  <c r="AA696" i="3"/>
  <c r="V102" i="3"/>
  <c r="J498" i="3"/>
  <c r="X3" i="3"/>
  <c r="J118" i="3"/>
  <c r="V19" i="3"/>
  <c r="AA415" i="3"/>
  <c r="Y1009" i="3"/>
  <c r="Z217" i="3"/>
  <c r="AB19" i="3"/>
  <c r="X728" i="3"/>
  <c r="V431" i="3"/>
  <c r="Z233" i="3"/>
  <c r="Y233" i="3"/>
  <c r="W134" i="3"/>
  <c r="AA150" i="3"/>
  <c r="V348" i="3"/>
  <c r="Y1041" i="3"/>
  <c r="Z744" i="3"/>
  <c r="W51" i="3"/>
  <c r="AB645" i="3"/>
  <c r="V760" i="3"/>
  <c r="AA166" i="3"/>
  <c r="X265" i="3"/>
  <c r="Y265" i="3"/>
  <c r="J760" i="3"/>
  <c r="J578" i="3"/>
  <c r="Z479" i="3"/>
  <c r="AA677" i="3"/>
  <c r="W578" i="3"/>
  <c r="Y974" i="3"/>
  <c r="AB281" i="3"/>
  <c r="Y693" i="3"/>
  <c r="W495" i="3"/>
  <c r="X594" i="3"/>
  <c r="V891" i="3"/>
  <c r="Z594" i="3"/>
  <c r="AA259" i="3"/>
  <c r="X853" i="3"/>
  <c r="Z1051" i="3"/>
  <c r="W1051" i="3"/>
  <c r="V754" i="3"/>
  <c r="AB1051" i="3"/>
  <c r="X256" i="3"/>
  <c r="AA58" i="3"/>
  <c r="Z58" i="3"/>
  <c r="J652" i="3"/>
  <c r="V256" i="3"/>
  <c r="X221" i="3"/>
  <c r="J122" i="3"/>
  <c r="Z617" i="3"/>
  <c r="AA716" i="3"/>
  <c r="Y23" i="3"/>
  <c r="AB815" i="3"/>
  <c r="X269" i="3"/>
  <c r="V368" i="3"/>
  <c r="Y764" i="3"/>
  <c r="J170" i="3"/>
  <c r="W467" i="3"/>
  <c r="Y87" i="3"/>
  <c r="J582" i="3"/>
  <c r="X978" i="3"/>
  <c r="AA285" i="3"/>
  <c r="W1077" i="3"/>
  <c r="AB582" i="3"/>
  <c r="W158" i="3"/>
  <c r="Z455" i="3"/>
  <c r="AA1065" i="3"/>
  <c r="V768" i="3"/>
  <c r="Y867" i="3"/>
  <c r="X174" i="3"/>
  <c r="W273" i="3"/>
  <c r="AB372" i="3"/>
  <c r="AA190" i="3"/>
  <c r="W883" i="3"/>
  <c r="J190" i="3"/>
  <c r="Y91" i="3"/>
  <c r="X1081" i="3"/>
  <c r="X206" i="3"/>
  <c r="AA305" i="3"/>
  <c r="J206" i="3"/>
  <c r="W107" i="3"/>
  <c r="V899" i="3"/>
  <c r="AB701" i="3"/>
  <c r="V816" i="3"/>
  <c r="J915" i="3"/>
  <c r="X123" i="3"/>
  <c r="Y618" i="3"/>
  <c r="W519" i="3"/>
  <c r="Z40" i="3"/>
  <c r="AA40" i="3"/>
  <c r="Y931" i="3"/>
  <c r="W634" i="3"/>
  <c r="J238" i="3"/>
  <c r="AB832" i="3"/>
  <c r="Z353" i="3"/>
  <c r="Y650" i="3"/>
  <c r="W353" i="3"/>
  <c r="AA1046" i="3"/>
  <c r="X353" i="3"/>
  <c r="J765" i="3"/>
  <c r="AA72" i="3"/>
  <c r="X864" i="3"/>
  <c r="Y567" i="3"/>
  <c r="Z468" i="3"/>
  <c r="AB666" i="3"/>
  <c r="V286" i="3"/>
  <c r="AA979" i="3"/>
  <c r="Y484" i="3"/>
  <c r="X979" i="3"/>
  <c r="J385" i="3"/>
  <c r="Z500" i="3"/>
  <c r="W104" i="3"/>
  <c r="AA698" i="3"/>
  <c r="AB302" i="3"/>
  <c r="J599" i="3"/>
  <c r="X698" i="3"/>
  <c r="X714" i="3"/>
  <c r="W516" i="3"/>
  <c r="Y318" i="3"/>
  <c r="Z1011" i="3"/>
  <c r="J1011" i="3"/>
  <c r="Z829" i="3"/>
  <c r="AA631" i="3"/>
  <c r="X829" i="3"/>
  <c r="J1027" i="3"/>
  <c r="Y235" i="3"/>
  <c r="AB37" i="3"/>
  <c r="AA53" i="3"/>
  <c r="X944" i="3"/>
  <c r="Y944" i="3"/>
  <c r="J152" i="3"/>
  <c r="Z152" i="3"/>
  <c r="Y168" i="3"/>
  <c r="AA168" i="3"/>
  <c r="W564" i="3"/>
  <c r="Z663" i="3"/>
  <c r="X861" i="3"/>
  <c r="AB564" i="3"/>
  <c r="J679" i="3"/>
  <c r="W679" i="3"/>
  <c r="V283" i="3"/>
  <c r="AA580" i="3"/>
  <c r="Z184" i="3"/>
  <c r="Y992" i="3"/>
  <c r="Z992" i="3"/>
  <c r="J794" i="3"/>
  <c r="W893" i="3"/>
  <c r="X1091" i="3"/>
  <c r="AB398" i="3"/>
  <c r="X117" i="3"/>
  <c r="J18" i="3"/>
  <c r="W909" i="3"/>
  <c r="Y711" i="3"/>
  <c r="AA810" i="3"/>
  <c r="Y826" i="3"/>
  <c r="AA1024" i="3"/>
  <c r="X826" i="3"/>
  <c r="Z232" i="3"/>
  <c r="J1024" i="3"/>
  <c r="AB727" i="3"/>
  <c r="Y842" i="3"/>
  <c r="V50" i="3"/>
  <c r="Z1040" i="3"/>
  <c r="W743" i="3"/>
  <c r="J149" i="3"/>
  <c r="Z264" i="3"/>
  <c r="Y858" i="3"/>
  <c r="J363" i="3"/>
  <c r="AA165" i="3"/>
  <c r="X957" i="3"/>
  <c r="AB1056" i="3"/>
  <c r="X874" i="3"/>
  <c r="AA577" i="3"/>
  <c r="J775" i="3"/>
  <c r="Z676" i="3"/>
  <c r="W379" i="3"/>
  <c r="J197" i="3"/>
  <c r="Y692" i="3"/>
  <c r="W494" i="3"/>
  <c r="X1088" i="3"/>
  <c r="AA296" i="3"/>
  <c r="AB296" i="3"/>
  <c r="AA708" i="3"/>
  <c r="W708" i="3"/>
  <c r="X906" i="3"/>
  <c r="Z312" i="3"/>
  <c r="Y1005" i="3"/>
  <c r="Z724" i="3"/>
  <c r="V724" i="3"/>
  <c r="J130" i="3"/>
  <c r="X724" i="3"/>
  <c r="W1021" i="3"/>
  <c r="AB823" i="3"/>
  <c r="X641" i="3"/>
  <c r="AA1037" i="3"/>
  <c r="W443" i="3"/>
  <c r="V641" i="3"/>
  <c r="Y839" i="3"/>
  <c r="AA756" i="3"/>
  <c r="X63" i="3"/>
  <c r="W855" i="3"/>
  <c r="Y558" i="3"/>
  <c r="V360" i="3"/>
  <c r="AB261" i="3"/>
  <c r="X178" i="3"/>
  <c r="Y277" i="3"/>
  <c r="W475" i="3"/>
  <c r="AA178" i="3"/>
  <c r="Z376" i="3"/>
  <c r="J590" i="3"/>
  <c r="AA1085" i="3"/>
  <c r="Y491" i="3"/>
  <c r="V1085" i="3"/>
  <c r="W1085" i="3"/>
  <c r="AB590" i="3"/>
  <c r="Z1083" i="3"/>
  <c r="W786" i="3"/>
  <c r="Y390" i="3"/>
  <c r="J687" i="3"/>
  <c r="AA93" i="3"/>
  <c r="J173" i="3"/>
  <c r="AA569" i="3"/>
  <c r="V371" i="3"/>
  <c r="X866" i="3"/>
  <c r="Z569" i="3"/>
  <c r="AB173" i="3"/>
  <c r="AA205" i="3"/>
  <c r="Y502" i="3"/>
  <c r="J997" i="3"/>
  <c r="V898" i="3"/>
  <c r="W799" i="3"/>
  <c r="AA451" i="3"/>
  <c r="Y946" i="3"/>
  <c r="Z154" i="3"/>
  <c r="X451" i="3"/>
  <c r="J154" i="3"/>
  <c r="AB748" i="3"/>
  <c r="X705" i="3"/>
  <c r="W507" i="3"/>
  <c r="AA210" i="3"/>
  <c r="J507" i="3"/>
  <c r="Y210" i="3"/>
  <c r="W226" i="3"/>
  <c r="AA226" i="3"/>
  <c r="Y28" i="3"/>
  <c r="V127" i="3"/>
  <c r="X226" i="3"/>
  <c r="AB424" i="3"/>
  <c r="X143" i="3"/>
  <c r="Z143" i="3"/>
  <c r="V1034" i="3"/>
  <c r="J1034" i="3"/>
  <c r="Y539" i="3"/>
  <c r="V1050" i="3"/>
  <c r="X555" i="3"/>
  <c r="Y1050" i="3"/>
  <c r="W951" i="3"/>
  <c r="J654" i="3"/>
  <c r="AB852" i="3"/>
  <c r="X175" i="3"/>
  <c r="W1066" i="3"/>
  <c r="V175" i="3"/>
  <c r="Z1066" i="3"/>
  <c r="Y274" i="3"/>
  <c r="AA92" i="3"/>
  <c r="V290" i="3"/>
  <c r="W290" i="3"/>
  <c r="X191" i="3"/>
  <c r="J785" i="3"/>
  <c r="AB983" i="3"/>
  <c r="AB900" i="3"/>
  <c r="Z702" i="3"/>
  <c r="V306" i="3"/>
  <c r="AA999" i="3"/>
  <c r="Y207" i="3"/>
  <c r="AA520" i="3"/>
  <c r="X817" i="3"/>
  <c r="W322" i="3"/>
  <c r="Y124" i="3"/>
  <c r="Z421" i="3"/>
  <c r="AB718" i="3"/>
  <c r="X41" i="3"/>
  <c r="V536" i="3"/>
  <c r="Y635" i="3"/>
  <c r="AA140" i="3"/>
  <c r="Z1031" i="3"/>
  <c r="J1047" i="3"/>
  <c r="V849" i="3"/>
  <c r="W651" i="3"/>
  <c r="X552" i="3"/>
  <c r="Z552" i="3"/>
  <c r="AB750" i="3"/>
  <c r="W667" i="3"/>
  <c r="Z667" i="3"/>
  <c r="V271" i="3"/>
  <c r="X1063" i="3"/>
  <c r="J1063" i="3"/>
  <c r="X881" i="3"/>
  <c r="AA584" i="3"/>
  <c r="Y1079" i="3"/>
  <c r="V1079" i="3"/>
  <c r="J782" i="3"/>
  <c r="AB1079" i="3"/>
  <c r="W501" i="3"/>
  <c r="Y798" i="3"/>
  <c r="V600" i="3"/>
  <c r="J798" i="3"/>
  <c r="AA699" i="3"/>
  <c r="AA22" i="3"/>
  <c r="J913" i="3"/>
  <c r="Z220" i="3"/>
  <c r="X121" i="3"/>
  <c r="W418" i="3"/>
  <c r="AB715" i="3"/>
  <c r="AA137" i="3"/>
  <c r="X731" i="3"/>
  <c r="V1028" i="3"/>
  <c r="W236" i="3"/>
  <c r="Z533" i="3"/>
  <c r="J450" i="3"/>
  <c r="AA1044" i="3"/>
  <c r="V747" i="3"/>
  <c r="W1044" i="3"/>
  <c r="Y450" i="3"/>
  <c r="AB351" i="3"/>
  <c r="X763" i="3"/>
  <c r="Y763" i="3"/>
  <c r="W367" i="3"/>
  <c r="J763" i="3"/>
  <c r="AA862" i="3"/>
  <c r="Y185" i="3"/>
  <c r="AA86" i="3"/>
  <c r="W581" i="3"/>
  <c r="J779" i="3"/>
  <c r="Z977" i="3"/>
  <c r="AB86" i="3"/>
  <c r="W498" i="3"/>
  <c r="AA993" i="3"/>
  <c r="V201" i="3"/>
  <c r="J894" i="3"/>
  <c r="X597" i="3"/>
  <c r="J217" i="3"/>
  <c r="V811" i="3"/>
  <c r="X910" i="3"/>
  <c r="Y316" i="3"/>
  <c r="W1009" i="3"/>
  <c r="AB910" i="3"/>
  <c r="AA530" i="3"/>
  <c r="V827" i="3"/>
  <c r="Z332" i="3"/>
  <c r="Y134" i="3"/>
  <c r="W1025" i="3"/>
  <c r="AA249" i="3"/>
  <c r="V843" i="3"/>
  <c r="X744" i="3"/>
  <c r="Z546" i="3"/>
  <c r="J150" i="3"/>
  <c r="AB546" i="3"/>
  <c r="W463" i="3"/>
  <c r="AA859" i="3"/>
  <c r="X562" i="3"/>
  <c r="Y1057" i="3"/>
  <c r="J958" i="3"/>
  <c r="J380" i="3"/>
  <c r="Z83" i="3"/>
  <c r="V281" i="3"/>
  <c r="W83" i="3"/>
  <c r="X578" i="3"/>
  <c r="AB875" i="3"/>
  <c r="J792" i="3"/>
  <c r="W693" i="3"/>
  <c r="X396" i="3"/>
  <c r="V495" i="3"/>
  <c r="Z891" i="3"/>
  <c r="AA1051" i="3"/>
  <c r="X556" i="3"/>
  <c r="J556" i="3"/>
  <c r="W853" i="3"/>
  <c r="Y61" i="3"/>
  <c r="AB853" i="3"/>
  <c r="Y949" i="3"/>
  <c r="AA652" i="3"/>
  <c r="Z751" i="3"/>
  <c r="J454" i="3"/>
  <c r="V850" i="3"/>
  <c r="X815" i="3"/>
  <c r="J221" i="3"/>
  <c r="W320" i="3"/>
  <c r="AA221" i="3"/>
  <c r="V1013" i="3"/>
  <c r="AB122" i="3"/>
  <c r="AA863" i="3"/>
  <c r="V764" i="3"/>
  <c r="Y71" i="3"/>
  <c r="J71" i="3"/>
  <c r="W170" i="3"/>
  <c r="Y879" i="3"/>
  <c r="J285" i="3"/>
  <c r="V285" i="3"/>
  <c r="AA780" i="3"/>
  <c r="Z186" i="3"/>
  <c r="AB87" i="3"/>
  <c r="W752" i="3"/>
  <c r="Z356" i="3"/>
  <c r="AA570" i="3"/>
  <c r="V966" i="3"/>
  <c r="Z75" i="3"/>
  <c r="X471" i="3"/>
  <c r="W570" i="3"/>
  <c r="AB669" i="3"/>
  <c r="J59" i="3"/>
  <c r="Z59" i="3"/>
  <c r="AB1049" i="3"/>
  <c r="AA669" i="3"/>
  <c r="Y570" i="3"/>
  <c r="Z570" i="3"/>
  <c r="W669" i="3"/>
  <c r="J174" i="3"/>
  <c r="AA91" i="3"/>
  <c r="Z91" i="3"/>
  <c r="J586" i="3"/>
  <c r="V487" i="3"/>
  <c r="X586" i="3"/>
  <c r="AB388" i="3"/>
  <c r="X404" i="3"/>
  <c r="J404" i="3"/>
  <c r="Y305" i="3"/>
  <c r="V701" i="3"/>
  <c r="Z701" i="3"/>
  <c r="V123" i="3"/>
  <c r="Z915" i="3"/>
  <c r="X915" i="3"/>
  <c r="AA519" i="3"/>
  <c r="W24" i="3"/>
  <c r="AB618" i="3"/>
  <c r="Z733" i="3"/>
  <c r="Y1030" i="3"/>
  <c r="V436" i="3"/>
  <c r="J139" i="3"/>
  <c r="X40" i="3"/>
  <c r="Z254" i="3"/>
  <c r="J650" i="3"/>
  <c r="W56" i="3"/>
  <c r="V650" i="3"/>
  <c r="X452" i="3"/>
  <c r="AB947" i="3"/>
  <c r="J270" i="3"/>
  <c r="X72" i="3"/>
  <c r="V963" i="3"/>
  <c r="Z72" i="3"/>
  <c r="W369" i="3"/>
  <c r="V385" i="3"/>
  <c r="Z385" i="3"/>
  <c r="Y979" i="3"/>
  <c r="W781" i="3"/>
  <c r="J880" i="3"/>
  <c r="AB385" i="3"/>
  <c r="Z203" i="3"/>
  <c r="AA104" i="3"/>
  <c r="V599" i="3"/>
  <c r="J896" i="3"/>
  <c r="Y599" i="3"/>
  <c r="X912" i="3"/>
  <c r="V516" i="3"/>
  <c r="Y1011" i="3"/>
  <c r="AA813" i="3"/>
  <c r="J21" i="3"/>
  <c r="AB912" i="3"/>
  <c r="Z730" i="3"/>
  <c r="X235" i="3"/>
  <c r="V730" i="3"/>
  <c r="Y928" i="3"/>
  <c r="W928" i="3"/>
  <c r="AA746" i="3"/>
  <c r="W647" i="3"/>
  <c r="Y53" i="3"/>
  <c r="V251" i="3"/>
  <c r="Z449" i="3"/>
  <c r="AB944" i="3"/>
  <c r="Y1059" i="3"/>
  <c r="W762" i="3"/>
  <c r="V960" i="3"/>
  <c r="X960" i="3"/>
  <c r="J861" i="3"/>
  <c r="J580" i="3"/>
  <c r="X85" i="3"/>
  <c r="V481" i="3"/>
  <c r="Y877" i="3"/>
  <c r="Z85" i="3"/>
  <c r="AB580" i="3"/>
  <c r="Y398" i="3"/>
  <c r="J893" i="3"/>
  <c r="V497" i="3"/>
  <c r="X893" i="3"/>
  <c r="AA398" i="3"/>
  <c r="X909" i="3"/>
  <c r="V216" i="3"/>
  <c r="W18" i="3"/>
  <c r="Z810" i="3"/>
  <c r="AA216" i="3"/>
  <c r="AB909" i="3"/>
  <c r="Y430" i="3"/>
  <c r="X727" i="3"/>
  <c r="V628" i="3"/>
  <c r="J331" i="3"/>
  <c r="W727" i="3"/>
  <c r="Y446" i="3"/>
  <c r="X644" i="3"/>
  <c r="Z941" i="3"/>
  <c r="AA248" i="3"/>
  <c r="J50" i="3"/>
  <c r="AB1040" i="3"/>
  <c r="Z1056" i="3"/>
  <c r="J462" i="3"/>
  <c r="V462" i="3"/>
  <c r="X264" i="3"/>
  <c r="W462" i="3"/>
  <c r="X1072" i="3"/>
  <c r="Y973" i="3"/>
  <c r="J379" i="3"/>
  <c r="V181" i="3"/>
  <c r="W973" i="3"/>
  <c r="AB973" i="3"/>
  <c r="J692" i="3"/>
  <c r="W395" i="3"/>
  <c r="V494" i="3"/>
  <c r="AA1088" i="3"/>
  <c r="Z494" i="3"/>
  <c r="AA213" i="3"/>
  <c r="J15" i="3"/>
  <c r="X213" i="3"/>
  <c r="V114" i="3"/>
  <c r="Y708" i="3"/>
  <c r="AB312" i="3"/>
  <c r="Z922" i="3"/>
  <c r="J823" i="3"/>
  <c r="Y724" i="3"/>
  <c r="W724" i="3"/>
  <c r="AA922" i="3"/>
  <c r="X740" i="3"/>
  <c r="Z839" i="3"/>
  <c r="W641" i="3"/>
  <c r="J542" i="3"/>
  <c r="Y344" i="3"/>
  <c r="AB47" i="3"/>
  <c r="AA855" i="3"/>
  <c r="W162" i="3"/>
  <c r="J63" i="3"/>
  <c r="V261" i="3"/>
  <c r="Z1053" i="3"/>
  <c r="X277" i="3"/>
  <c r="V574" i="3"/>
  <c r="W178" i="3"/>
  <c r="J673" i="3"/>
  <c r="Z178" i="3"/>
  <c r="AB376" i="3"/>
  <c r="J491" i="3"/>
  <c r="Y887" i="3"/>
  <c r="X491" i="3"/>
  <c r="W293" i="3"/>
  <c r="Z491" i="3"/>
  <c r="Z489" i="3"/>
  <c r="V291" i="3"/>
  <c r="Y93" i="3"/>
  <c r="X687" i="3"/>
  <c r="AA291" i="3"/>
  <c r="AB885" i="3"/>
  <c r="J1064" i="3"/>
  <c r="V668" i="3"/>
  <c r="W767" i="3"/>
  <c r="Z767" i="3"/>
  <c r="Y569" i="3"/>
  <c r="AA997" i="3"/>
  <c r="Z700" i="3"/>
  <c r="J898" i="3"/>
  <c r="X7" i="3"/>
  <c r="W502" i="3"/>
  <c r="AB502" i="3"/>
  <c r="AA352" i="3"/>
  <c r="Z649" i="3"/>
  <c r="W451" i="3"/>
  <c r="J946" i="3"/>
  <c r="V550" i="3"/>
  <c r="X1002" i="3"/>
  <c r="V903" i="3"/>
  <c r="AA111" i="3"/>
  <c r="Z408" i="3"/>
  <c r="Y606" i="3"/>
  <c r="AB606" i="3"/>
  <c r="W721" i="3"/>
  <c r="Y1018" i="3"/>
  <c r="Z721" i="3"/>
  <c r="X325" i="3"/>
  <c r="J820" i="3"/>
  <c r="X44" i="3"/>
  <c r="W539" i="3"/>
  <c r="V341" i="3"/>
  <c r="AA1034" i="3"/>
  <c r="Y440" i="3"/>
  <c r="AB539" i="3"/>
  <c r="V159" i="3"/>
  <c r="Y357" i="3"/>
  <c r="AA456" i="3"/>
  <c r="J159" i="3"/>
  <c r="Z159" i="3"/>
  <c r="X967" i="3"/>
  <c r="J670" i="3"/>
  <c r="V571" i="3"/>
  <c r="AA1066" i="3"/>
  <c r="Y571" i="3"/>
  <c r="AB571" i="3"/>
  <c r="AA686" i="3"/>
  <c r="W884" i="3"/>
  <c r="Y785" i="3"/>
  <c r="J488" i="3"/>
  <c r="Z587" i="3"/>
  <c r="AB306" i="3"/>
  <c r="W603" i="3"/>
  <c r="V504" i="3"/>
  <c r="X405" i="3"/>
  <c r="Y9" i="3"/>
  <c r="J405" i="3"/>
  <c r="AA25" i="3"/>
  <c r="W25" i="3"/>
  <c r="J718" i="3"/>
  <c r="Z1015" i="3"/>
  <c r="V520" i="3"/>
  <c r="X437" i="3"/>
  <c r="W338" i="3"/>
  <c r="Y239" i="3"/>
  <c r="J536" i="3"/>
  <c r="Z140" i="3"/>
  <c r="AB41" i="3"/>
  <c r="J651" i="3"/>
  <c r="W849" i="3"/>
  <c r="Y1047" i="3"/>
  <c r="Z1047" i="3"/>
  <c r="AA651" i="3"/>
  <c r="W370" i="3"/>
  <c r="Y469" i="3"/>
  <c r="V1063" i="3"/>
  <c r="AA667" i="3"/>
  <c r="J568" i="3"/>
  <c r="AB370" i="3"/>
  <c r="X980" i="3"/>
  <c r="Y980" i="3"/>
  <c r="Z188" i="3"/>
  <c r="J188" i="3"/>
  <c r="W188" i="3"/>
  <c r="W897" i="3"/>
  <c r="X798" i="3"/>
  <c r="V897" i="3"/>
  <c r="Z600" i="3"/>
  <c r="AA501" i="3"/>
  <c r="AB6" i="3"/>
  <c r="AA616" i="3"/>
  <c r="Z22" i="3"/>
  <c r="Y616" i="3"/>
  <c r="W220" i="3"/>
  <c r="V814" i="3"/>
  <c r="AA929" i="3"/>
  <c r="Y929" i="3"/>
  <c r="V434" i="3"/>
  <c r="J335" i="3"/>
  <c r="Z335" i="3"/>
  <c r="AB1028" i="3"/>
  <c r="J1044" i="3"/>
  <c r="V846" i="3"/>
  <c r="Z846" i="3"/>
  <c r="Y945" i="3"/>
  <c r="X1044" i="3"/>
  <c r="X466" i="3"/>
  <c r="Z961" i="3"/>
  <c r="W466" i="3"/>
  <c r="V1060" i="3"/>
  <c r="AA1060" i="3"/>
  <c r="AB169" i="3"/>
  <c r="Y1076" i="3"/>
  <c r="W482" i="3"/>
  <c r="V581" i="3"/>
  <c r="Z878" i="3"/>
  <c r="X86" i="3"/>
  <c r="W696" i="3"/>
  <c r="Z201" i="3"/>
  <c r="V894" i="3"/>
  <c r="Y399" i="3"/>
  <c r="X795" i="3"/>
  <c r="AB102" i="3"/>
  <c r="J316" i="3"/>
  <c r="X316" i="3"/>
  <c r="AA217" i="3"/>
  <c r="W316" i="3"/>
  <c r="Z712" i="3"/>
  <c r="AA35" i="3"/>
  <c r="X1025" i="3"/>
  <c r="Z728" i="3"/>
  <c r="J629" i="3"/>
  <c r="W530" i="3"/>
  <c r="AB629" i="3"/>
  <c r="AA942" i="3"/>
  <c r="X942" i="3"/>
  <c r="Y348" i="3"/>
  <c r="J249" i="3"/>
  <c r="W348" i="3"/>
  <c r="W166" i="3"/>
  <c r="V166" i="3"/>
  <c r="X859" i="3"/>
  <c r="Z562" i="3"/>
  <c r="J661" i="3"/>
  <c r="AB958" i="3"/>
  <c r="J83" i="3"/>
  <c r="V776" i="3"/>
  <c r="AA380" i="3"/>
  <c r="X974" i="3"/>
  <c r="Y875" i="3"/>
  <c r="J1089" i="3"/>
  <c r="Y495" i="3"/>
  <c r="X792" i="3"/>
  <c r="AA990" i="3"/>
  <c r="Z297" i="3"/>
  <c r="AB693" i="3"/>
  <c r="AA160" i="3"/>
  <c r="J952" i="3"/>
  <c r="Z952" i="3"/>
  <c r="Y655" i="3"/>
  <c r="V556" i="3"/>
  <c r="Y355" i="3"/>
  <c r="X850" i="3"/>
  <c r="Z157" i="3"/>
  <c r="W454" i="3"/>
  <c r="V157" i="3"/>
  <c r="AB553" i="3"/>
  <c r="X617" i="3"/>
  <c r="W914" i="3"/>
  <c r="Z914" i="3"/>
  <c r="V815" i="3"/>
  <c r="Y815" i="3"/>
  <c r="AA764" i="3"/>
  <c r="X71" i="3"/>
  <c r="Y269" i="3"/>
  <c r="Z368" i="3"/>
  <c r="W863" i="3"/>
  <c r="AB962" i="3"/>
  <c r="Y186" i="3"/>
  <c r="V483" i="3"/>
  <c r="X681" i="3"/>
  <c r="Z780" i="3"/>
  <c r="W879" i="3"/>
  <c r="J455" i="3"/>
  <c r="W59" i="3"/>
  <c r="AB257" i="3"/>
  <c r="AA966" i="3"/>
  <c r="Y75" i="3"/>
  <c r="Z471" i="3"/>
  <c r="W768" i="3"/>
  <c r="J570" i="3"/>
  <c r="AB273" i="3"/>
  <c r="Z784" i="3"/>
  <c r="W586" i="3"/>
  <c r="V388" i="3"/>
  <c r="Y388" i="3"/>
  <c r="AB982" i="3"/>
  <c r="X998" i="3"/>
  <c r="J800" i="3"/>
  <c r="Y107" i="3"/>
  <c r="V998" i="3"/>
  <c r="Z8" i="3"/>
  <c r="AB404" i="3"/>
  <c r="Z816" i="3"/>
  <c r="J717" i="3"/>
  <c r="AA717" i="3"/>
  <c r="Y816" i="3"/>
  <c r="AB24" i="3"/>
  <c r="Z337" i="3"/>
  <c r="Y535" i="3"/>
  <c r="V40" i="3"/>
  <c r="J832" i="3"/>
  <c r="X832" i="3"/>
  <c r="AB733" i="3"/>
  <c r="J1046" i="3"/>
  <c r="Y749" i="3"/>
  <c r="V551" i="3"/>
  <c r="AA848" i="3"/>
  <c r="AB848" i="3"/>
  <c r="J864" i="3"/>
  <c r="X171" i="3"/>
  <c r="V567" i="3"/>
  <c r="Z864" i="3"/>
  <c r="W270" i="3"/>
  <c r="AB864" i="3"/>
  <c r="Z88" i="3"/>
  <c r="AA583" i="3"/>
  <c r="W286" i="3"/>
  <c r="X1078" i="3"/>
  <c r="AB187" i="3"/>
  <c r="Z401" i="3"/>
  <c r="AA599" i="3"/>
  <c r="V5" i="3"/>
  <c r="J698" i="3"/>
  <c r="Y401" i="3"/>
  <c r="X401" i="3"/>
  <c r="V120" i="3"/>
  <c r="W714" i="3"/>
  <c r="AA417" i="3"/>
  <c r="Z120" i="3"/>
  <c r="AB813" i="3"/>
  <c r="Z532" i="3"/>
  <c r="X532" i="3"/>
  <c r="V433" i="3"/>
  <c r="Y136" i="3"/>
  <c r="W433" i="3"/>
  <c r="AB928" i="3"/>
  <c r="W944" i="3"/>
  <c r="X449" i="3"/>
  <c r="V53" i="3"/>
  <c r="J350" i="3"/>
  <c r="AB152" i="3"/>
  <c r="Y762" i="3"/>
  <c r="W465" i="3"/>
  <c r="V762" i="3"/>
  <c r="X366" i="3"/>
  <c r="J69" i="3"/>
  <c r="AB861" i="3"/>
  <c r="X778" i="3"/>
  <c r="W1075" i="3"/>
  <c r="Y184" i="3"/>
  <c r="AA976" i="3"/>
  <c r="AB679" i="3"/>
  <c r="Y200" i="3"/>
  <c r="J398" i="3"/>
  <c r="V893" i="3"/>
  <c r="X299" i="3"/>
  <c r="AA299" i="3"/>
  <c r="AB893" i="3"/>
  <c r="V909" i="3"/>
  <c r="J117" i="3"/>
  <c r="Z315" i="3"/>
  <c r="Y414" i="3"/>
  <c r="AB711" i="3"/>
  <c r="Y331" i="3"/>
  <c r="X925" i="3"/>
  <c r="V727" i="3"/>
  <c r="J628" i="3"/>
  <c r="W826" i="3"/>
  <c r="AB232" i="3"/>
  <c r="X50" i="3"/>
  <c r="V842" i="3"/>
  <c r="AA941" i="3"/>
  <c r="W446" i="3"/>
  <c r="AB842" i="3"/>
  <c r="Z165" i="3"/>
  <c r="J858" i="3"/>
  <c r="V363" i="3"/>
  <c r="X462" i="3"/>
  <c r="W1056" i="3"/>
  <c r="AB66" i="3"/>
  <c r="Y577" i="3"/>
  <c r="AA874" i="3"/>
  <c r="V379" i="3"/>
  <c r="Z181" i="3"/>
  <c r="AB1072" i="3"/>
  <c r="J890" i="3"/>
  <c r="W1088" i="3"/>
  <c r="V296" i="3"/>
  <c r="AA197" i="3"/>
  <c r="Z197" i="3"/>
  <c r="AB494" i="3"/>
  <c r="J312" i="3"/>
  <c r="W807" i="3"/>
  <c r="V906" i="3"/>
  <c r="Z510" i="3"/>
  <c r="AB708" i="3"/>
  <c r="Z328" i="3"/>
  <c r="J526" i="3"/>
  <c r="Y922" i="3"/>
  <c r="W31" i="3"/>
  <c r="AA625" i="3"/>
  <c r="AB328" i="3"/>
  <c r="Z641" i="3"/>
  <c r="AA443" i="3"/>
  <c r="J641" i="3"/>
  <c r="V443" i="3"/>
  <c r="AB443" i="3"/>
  <c r="AA1053" i="3"/>
  <c r="W261" i="3"/>
  <c r="J1053" i="3"/>
  <c r="V558" i="3"/>
  <c r="Z855" i="3"/>
  <c r="AB954" i="3"/>
  <c r="V1069" i="3"/>
  <c r="Y1069" i="3"/>
  <c r="J772" i="3"/>
  <c r="AA772" i="3"/>
  <c r="AB970" i="3"/>
  <c r="J887" i="3"/>
  <c r="Y293" i="3"/>
  <c r="X95" i="3"/>
  <c r="W887" i="3"/>
  <c r="Z95" i="3"/>
  <c r="AB194" i="3"/>
  <c r="V489" i="3"/>
  <c r="W687" i="3"/>
  <c r="X786" i="3"/>
  <c r="J390" i="3"/>
  <c r="AB588" i="3"/>
  <c r="J965" i="3"/>
  <c r="V767" i="3"/>
  <c r="W173" i="3"/>
  <c r="Z1064" i="3"/>
  <c r="Y173" i="3"/>
  <c r="AB74" i="3"/>
  <c r="Z898" i="3"/>
  <c r="Y700" i="3"/>
  <c r="X403" i="3"/>
  <c r="V7" i="3"/>
  <c r="AB601" i="3"/>
  <c r="AA154" i="3"/>
  <c r="Z550" i="3"/>
  <c r="W649" i="3"/>
  <c r="J55" i="3"/>
  <c r="V352" i="3"/>
  <c r="AB154" i="3"/>
  <c r="V309" i="3"/>
  <c r="W309" i="3"/>
  <c r="Z804" i="3"/>
  <c r="J606" i="3"/>
  <c r="AB111" i="3"/>
  <c r="W28" i="3"/>
  <c r="Y127" i="3"/>
  <c r="Z325" i="3"/>
  <c r="X523" i="3"/>
  <c r="J325" i="3"/>
  <c r="AB325" i="3"/>
  <c r="W440" i="3"/>
  <c r="Z44" i="3"/>
  <c r="AA242" i="3"/>
  <c r="J242" i="3"/>
  <c r="AB638" i="3"/>
  <c r="V555" i="3"/>
  <c r="Y60" i="3"/>
  <c r="AA753" i="3"/>
  <c r="J753" i="3"/>
  <c r="Z951" i="3"/>
  <c r="AB456" i="3"/>
  <c r="J472" i="3"/>
  <c r="W472" i="3"/>
  <c r="AA274" i="3"/>
  <c r="Z175" i="3"/>
  <c r="AB175" i="3"/>
  <c r="AA785" i="3"/>
  <c r="W686" i="3"/>
  <c r="Y92" i="3"/>
  <c r="J290" i="3"/>
  <c r="Z191" i="3"/>
  <c r="AB1082" i="3"/>
  <c r="W801" i="3"/>
  <c r="Z603" i="3"/>
  <c r="X504" i="3"/>
  <c r="AA801" i="3"/>
  <c r="J108" i="3"/>
  <c r="AA421" i="3"/>
  <c r="W1015" i="3"/>
  <c r="J916" i="3"/>
  <c r="Z817" i="3"/>
  <c r="V25" i="3"/>
  <c r="AB817" i="3"/>
  <c r="W536" i="3"/>
  <c r="V437" i="3"/>
  <c r="J734" i="3"/>
  <c r="AA932" i="3"/>
  <c r="AB635" i="3"/>
  <c r="J156" i="3"/>
  <c r="W948" i="3"/>
  <c r="Y156" i="3"/>
  <c r="Z255" i="3"/>
  <c r="AA354" i="3"/>
  <c r="AB651" i="3"/>
  <c r="Y271" i="3"/>
  <c r="Z271" i="3"/>
  <c r="AA469" i="3"/>
  <c r="X766" i="3"/>
  <c r="AB172" i="3"/>
  <c r="X683" i="3"/>
  <c r="Y287" i="3"/>
  <c r="Z881" i="3"/>
  <c r="J89" i="3"/>
  <c r="W1079" i="3"/>
  <c r="AB188" i="3"/>
  <c r="X105" i="3"/>
  <c r="Y204" i="3"/>
  <c r="Z897" i="3"/>
  <c r="J699" i="3"/>
  <c r="AB798" i="3"/>
  <c r="AA121" i="3"/>
  <c r="Z319" i="3"/>
  <c r="Y418" i="3"/>
  <c r="W913" i="3"/>
  <c r="V616" i="3"/>
  <c r="AB220" i="3"/>
  <c r="Y335" i="3"/>
  <c r="X236" i="3"/>
  <c r="J929" i="3"/>
  <c r="W533" i="3"/>
  <c r="AB929" i="3"/>
  <c r="J351" i="3"/>
  <c r="V450" i="3"/>
  <c r="Z747" i="3"/>
  <c r="Y648" i="3"/>
  <c r="X846" i="3"/>
  <c r="AB747" i="3"/>
  <c r="Z169" i="3"/>
  <c r="Y565" i="3"/>
  <c r="V169" i="3"/>
  <c r="J565" i="3"/>
  <c r="AB1060" i="3"/>
  <c r="Y284" i="3"/>
  <c r="W284" i="3"/>
  <c r="V86" i="3"/>
  <c r="Z680" i="3"/>
  <c r="X977" i="3"/>
  <c r="AB680" i="3"/>
  <c r="Z993" i="3"/>
  <c r="AA201" i="3"/>
  <c r="Y498" i="3"/>
  <c r="J201" i="3"/>
  <c r="AB3" i="3"/>
  <c r="J514" i="3"/>
  <c r="X712" i="3"/>
  <c r="AA316" i="3"/>
  <c r="W19" i="3"/>
  <c r="Z613" i="3"/>
  <c r="AB217" i="3"/>
  <c r="X332" i="3"/>
  <c r="V530" i="3"/>
  <c r="J431" i="3"/>
  <c r="Y629" i="3"/>
  <c r="AB332" i="3"/>
  <c r="AA546" i="3"/>
  <c r="X447" i="3"/>
  <c r="Y942" i="3"/>
  <c r="J447" i="3"/>
  <c r="W942" i="3"/>
  <c r="AB447" i="3"/>
  <c r="V859" i="3"/>
  <c r="AA958" i="3"/>
  <c r="Z859" i="3"/>
  <c r="Y661" i="3"/>
  <c r="AB859" i="3"/>
  <c r="J182" i="3"/>
  <c r="V380" i="3"/>
  <c r="AA83" i="3"/>
  <c r="X182" i="3"/>
  <c r="Y677" i="3"/>
  <c r="AB380" i="3"/>
  <c r="Y99" i="3"/>
  <c r="W891" i="3"/>
  <c r="AA495" i="3"/>
  <c r="V1089" i="3"/>
  <c r="AB990" i="3"/>
  <c r="AA754" i="3"/>
  <c r="J655" i="3"/>
  <c r="Z655" i="3"/>
  <c r="Y952" i="3"/>
  <c r="V853" i="3"/>
  <c r="AB556" i="3"/>
  <c r="X157" i="3"/>
  <c r="AA355" i="3"/>
  <c r="W850" i="3"/>
  <c r="J850" i="3"/>
  <c r="AB949" i="3"/>
  <c r="X1013" i="3"/>
  <c r="W23" i="3"/>
  <c r="Z815" i="3"/>
  <c r="V122" i="3"/>
  <c r="Y320" i="3"/>
  <c r="AB617" i="3"/>
  <c r="X467" i="3"/>
  <c r="V665" i="3"/>
  <c r="Z566" i="3"/>
  <c r="J1061" i="3"/>
  <c r="AB863" i="3"/>
  <c r="Y780" i="3"/>
  <c r="V582" i="3"/>
  <c r="X285" i="3"/>
  <c r="Z384" i="3"/>
  <c r="W285" i="3"/>
  <c r="AB483" i="3"/>
  <c r="W455" i="3"/>
  <c r="Z1049" i="3"/>
  <c r="AA471" i="3"/>
  <c r="V867" i="3"/>
  <c r="Z768" i="3"/>
  <c r="X75" i="3"/>
  <c r="J768" i="3"/>
  <c r="AB570" i="3"/>
  <c r="Z685" i="3"/>
  <c r="W1081" i="3"/>
  <c r="V289" i="3"/>
  <c r="Y586" i="3"/>
  <c r="X487" i="3"/>
  <c r="X305" i="3"/>
  <c r="AA800" i="3"/>
  <c r="Y800" i="3"/>
  <c r="W404" i="3"/>
  <c r="Z998" i="3"/>
  <c r="AB107" i="3"/>
  <c r="Z24" i="3"/>
  <c r="J24" i="3"/>
  <c r="AA222" i="3"/>
  <c r="Y123" i="3"/>
  <c r="W915" i="3"/>
  <c r="Z931" i="3"/>
  <c r="AA1030" i="3"/>
  <c r="V733" i="3"/>
  <c r="W931" i="3"/>
  <c r="X535" i="3"/>
  <c r="AB1030" i="3"/>
  <c r="J452" i="3"/>
  <c r="Y551" i="3"/>
  <c r="V56" i="3"/>
  <c r="AA650" i="3"/>
  <c r="X947" i="3"/>
  <c r="J72" i="3"/>
  <c r="AA666" i="3"/>
  <c r="V369" i="3"/>
  <c r="Y171" i="3"/>
  <c r="W864" i="3"/>
  <c r="AB765" i="3"/>
  <c r="Z484" i="3"/>
  <c r="AA88" i="3"/>
  <c r="W880" i="3"/>
  <c r="X385" i="3"/>
  <c r="J286" i="3"/>
  <c r="Z302" i="3"/>
  <c r="W203" i="3"/>
  <c r="V995" i="3"/>
  <c r="AB599" i="3"/>
  <c r="Y500" i="3"/>
  <c r="X302" i="3"/>
  <c r="V1011" i="3"/>
  <c r="W21" i="3"/>
  <c r="AA219" i="3"/>
  <c r="Z912" i="3"/>
  <c r="J714" i="3"/>
  <c r="Z631" i="3"/>
  <c r="AA136" i="3"/>
  <c r="V1027" i="3"/>
  <c r="J532" i="3"/>
  <c r="W730" i="3"/>
  <c r="AB532" i="3"/>
  <c r="W548" i="3"/>
  <c r="X53" i="3"/>
  <c r="V1043" i="3"/>
  <c r="J845" i="3"/>
  <c r="Z350" i="3"/>
  <c r="Y465" i="3"/>
  <c r="AA267" i="3"/>
  <c r="V168" i="3"/>
  <c r="Z366" i="3"/>
  <c r="J1059" i="3"/>
  <c r="AB465" i="3"/>
  <c r="X382" i="3"/>
  <c r="W877" i="3"/>
  <c r="Y778" i="3"/>
  <c r="AA481" i="3"/>
  <c r="Z679" i="3"/>
  <c r="Y893" i="3"/>
  <c r="Z596" i="3"/>
  <c r="V200" i="3"/>
  <c r="W992" i="3"/>
  <c r="AA794" i="3"/>
  <c r="AB695" i="3"/>
  <c r="V18" i="3"/>
  <c r="J909" i="3"/>
  <c r="Z216" i="3"/>
  <c r="Y513" i="3"/>
  <c r="AA513" i="3"/>
  <c r="Y1024" i="3"/>
  <c r="AA727" i="3"/>
  <c r="V430" i="3"/>
  <c r="Z628" i="3"/>
  <c r="W925" i="3"/>
  <c r="AB1024" i="3"/>
  <c r="X1040" i="3"/>
  <c r="V941" i="3"/>
  <c r="AA347" i="3"/>
  <c r="W842" i="3"/>
  <c r="J941" i="3"/>
  <c r="Z363" i="3"/>
  <c r="Y759" i="3"/>
  <c r="V165" i="3"/>
  <c r="AA561" i="3"/>
  <c r="W264" i="3"/>
  <c r="AB561" i="3"/>
  <c r="Y379" i="3"/>
  <c r="AA478" i="3"/>
  <c r="V478" i="3"/>
  <c r="Z478" i="3"/>
  <c r="W775" i="3"/>
  <c r="J989" i="3"/>
  <c r="Y791" i="3"/>
  <c r="V791" i="3"/>
  <c r="X791" i="3"/>
  <c r="Z593" i="3"/>
  <c r="AB395" i="3"/>
  <c r="J213" i="3"/>
  <c r="W609" i="3"/>
  <c r="V1005" i="3"/>
  <c r="Z15" i="3"/>
  <c r="Y609" i="3"/>
  <c r="Z427" i="3"/>
  <c r="V328" i="3"/>
  <c r="Y229" i="3"/>
  <c r="X31" i="3"/>
  <c r="AA130" i="3"/>
  <c r="AB922" i="3"/>
  <c r="Z443" i="3"/>
  <c r="AA839" i="3"/>
  <c r="J47" i="3"/>
  <c r="V542" i="3"/>
  <c r="Y938" i="3"/>
  <c r="AA558" i="3"/>
  <c r="X1053" i="3"/>
  <c r="J261" i="3"/>
  <c r="Y756" i="3"/>
  <c r="Z162" i="3"/>
  <c r="AB63" i="3"/>
  <c r="V178" i="3"/>
  <c r="Y79" i="3"/>
  <c r="J1069" i="3"/>
  <c r="AA970" i="3"/>
  <c r="Z871" i="3"/>
  <c r="J95" i="3"/>
  <c r="AA887" i="3"/>
  <c r="X293" i="3"/>
  <c r="V887" i="3"/>
  <c r="Z392" i="3"/>
  <c r="AB887" i="3"/>
  <c r="V1083" i="3"/>
  <c r="W588" i="3"/>
  <c r="X588" i="3"/>
  <c r="J588" i="3"/>
  <c r="AA489" i="3"/>
  <c r="J371" i="3"/>
  <c r="AA866" i="3"/>
  <c r="W1064" i="3"/>
  <c r="X371" i="3"/>
  <c r="Y470" i="3"/>
  <c r="AB1064" i="3"/>
  <c r="Z7" i="3"/>
  <c r="Y304" i="3"/>
  <c r="X997" i="3"/>
  <c r="V700" i="3"/>
  <c r="W700" i="3"/>
  <c r="AA946" i="3"/>
  <c r="Y154" i="3"/>
  <c r="W946" i="3"/>
  <c r="X1045" i="3"/>
  <c r="V847" i="3"/>
  <c r="AB352" i="3"/>
  <c r="V705" i="3"/>
  <c r="W12" i="3"/>
  <c r="Z507" i="3"/>
  <c r="J903" i="3"/>
  <c r="Y1002" i="3"/>
  <c r="W424" i="3"/>
  <c r="AA820" i="3"/>
  <c r="Z622" i="3"/>
  <c r="V325" i="3"/>
  <c r="J622" i="3"/>
  <c r="AB226" i="3"/>
  <c r="W935" i="3"/>
  <c r="Z935" i="3"/>
  <c r="AA539" i="3"/>
  <c r="J737" i="3"/>
  <c r="Y341" i="3"/>
  <c r="V258" i="3"/>
  <c r="X654" i="3"/>
  <c r="AA159" i="3"/>
  <c r="W60" i="3"/>
  <c r="Z60" i="3"/>
  <c r="AB258" i="3"/>
  <c r="J175" i="3"/>
  <c r="W670" i="3"/>
  <c r="AA769" i="3"/>
  <c r="Z472" i="3"/>
  <c r="Y967" i="3"/>
  <c r="AA884" i="3"/>
  <c r="V488" i="3"/>
  <c r="Y686" i="3"/>
  <c r="X587" i="3"/>
  <c r="Z1082" i="3"/>
  <c r="AB191" i="3"/>
  <c r="W207" i="3"/>
  <c r="Z306" i="3"/>
  <c r="X207" i="3"/>
  <c r="AA702" i="3"/>
  <c r="Y306" i="3"/>
  <c r="AA1015" i="3"/>
  <c r="X619" i="3"/>
  <c r="J619" i="3"/>
  <c r="Y817" i="3"/>
  <c r="V223" i="3"/>
  <c r="AB619" i="3"/>
  <c r="W932" i="3"/>
  <c r="V338" i="3"/>
  <c r="J437" i="3"/>
  <c r="AA41" i="3"/>
  <c r="Z932" i="3"/>
  <c r="J255" i="3"/>
  <c r="V255" i="3"/>
  <c r="Y651" i="3"/>
  <c r="X750" i="3"/>
  <c r="AA1047" i="3"/>
  <c r="AB948" i="3"/>
  <c r="Y766" i="3"/>
  <c r="Z865" i="3"/>
  <c r="AA568" i="3"/>
  <c r="X568" i="3"/>
  <c r="J73" i="3"/>
  <c r="X485" i="3"/>
  <c r="AA980" i="3"/>
  <c r="Z584" i="3"/>
  <c r="V683" i="3"/>
  <c r="W782" i="3"/>
  <c r="AB980" i="3"/>
  <c r="X402" i="3"/>
  <c r="Y600" i="3"/>
  <c r="Z996" i="3"/>
  <c r="J204" i="3"/>
  <c r="AA105" i="3"/>
  <c r="AA418" i="3"/>
  <c r="J418" i="3"/>
  <c r="Y220" i="3"/>
  <c r="X715" i="3"/>
  <c r="V22" i="3"/>
  <c r="AB418" i="3"/>
  <c r="Y632" i="3"/>
  <c r="X929" i="3"/>
  <c r="J533" i="3"/>
  <c r="W38" i="3"/>
  <c r="Z236" i="3"/>
  <c r="J846" i="3"/>
  <c r="AA648" i="3"/>
  <c r="Z153" i="3"/>
  <c r="W153" i="3"/>
  <c r="X153" i="3"/>
  <c r="AB54" i="3"/>
  <c r="Z367" i="3"/>
  <c r="Y664" i="3"/>
  <c r="V367" i="3"/>
  <c r="J961" i="3"/>
  <c r="AA763" i="3"/>
  <c r="Y86" i="3"/>
  <c r="AA878" i="3"/>
  <c r="V185" i="3"/>
  <c r="J482" i="3"/>
  <c r="X1076" i="3"/>
  <c r="AB383" i="3"/>
  <c r="Z894" i="3"/>
  <c r="AA498" i="3"/>
  <c r="Y993" i="3"/>
  <c r="J399" i="3"/>
  <c r="X102" i="3"/>
  <c r="J415" i="3"/>
  <c r="V415" i="3"/>
  <c r="AA118" i="3"/>
  <c r="Y811" i="3"/>
  <c r="Z514" i="3"/>
  <c r="AB118" i="3"/>
  <c r="X35" i="3"/>
  <c r="V728" i="3"/>
  <c r="J35" i="3"/>
  <c r="Y926" i="3"/>
  <c r="W233" i="3"/>
  <c r="AA744" i="3"/>
  <c r="V51" i="3"/>
  <c r="Y447" i="3"/>
  <c r="Z51" i="3"/>
  <c r="W1041" i="3"/>
  <c r="AB348" i="3"/>
  <c r="V67" i="3"/>
  <c r="AA67" i="3"/>
  <c r="Z958" i="3"/>
  <c r="Y463" i="3"/>
  <c r="J463" i="3"/>
  <c r="J1073" i="3"/>
  <c r="Z875" i="3"/>
  <c r="AA875" i="3"/>
  <c r="W1073" i="3"/>
  <c r="Y776" i="3"/>
  <c r="AB479" i="3"/>
  <c r="Y594" i="3"/>
  <c r="W198" i="3"/>
  <c r="AA792" i="3"/>
  <c r="V99" i="3"/>
  <c r="Z990" i="3"/>
  <c r="AA61" i="3"/>
  <c r="X754" i="3"/>
  <c r="Z61" i="3"/>
  <c r="W754" i="3"/>
  <c r="V259" i="3"/>
  <c r="AB457" i="3"/>
  <c r="X58" i="3"/>
  <c r="AA454" i="3"/>
  <c r="W553" i="3"/>
  <c r="J355" i="3"/>
  <c r="V58" i="3"/>
  <c r="X122" i="3"/>
  <c r="J815" i="3"/>
  <c r="Z419" i="3"/>
  <c r="AA122" i="3"/>
  <c r="Y518" i="3"/>
  <c r="AB716" i="3"/>
  <c r="X863" i="3"/>
  <c r="V962" i="3"/>
  <c r="Z962" i="3"/>
  <c r="J863" i="3"/>
  <c r="W368" i="3"/>
  <c r="Y285" i="3"/>
  <c r="J681" i="3"/>
  <c r="X186" i="3"/>
  <c r="AA582" i="3"/>
  <c r="W186" i="3"/>
  <c r="AB186" i="3"/>
  <c r="W257" i="3"/>
  <c r="AB158" i="3"/>
  <c r="AA372" i="3"/>
  <c r="V174" i="3"/>
  <c r="Z372" i="3"/>
  <c r="X570" i="3"/>
  <c r="J867" i="3"/>
  <c r="AB174" i="3"/>
  <c r="AA388" i="3"/>
  <c r="W784" i="3"/>
  <c r="J1081" i="3"/>
  <c r="Y190" i="3"/>
  <c r="X190" i="3"/>
  <c r="X701" i="3"/>
  <c r="AA8" i="3"/>
  <c r="Y998" i="3"/>
  <c r="W8" i="3"/>
  <c r="V305" i="3"/>
  <c r="AB899" i="3"/>
  <c r="V321" i="3"/>
  <c r="J420" i="3"/>
  <c r="X816" i="3"/>
  <c r="Y222" i="3"/>
  <c r="W717" i="3"/>
  <c r="Z535" i="3"/>
  <c r="AA634" i="3"/>
  <c r="V931" i="3"/>
  <c r="W40" i="3"/>
  <c r="J634" i="3"/>
  <c r="AB436" i="3"/>
  <c r="Z947" i="3"/>
  <c r="Y254" i="3"/>
  <c r="W155" i="3"/>
  <c r="AA749" i="3"/>
  <c r="X254" i="3"/>
  <c r="J369" i="3"/>
  <c r="AA171" i="3"/>
  <c r="V666" i="3"/>
  <c r="Y765" i="3"/>
  <c r="Z270" i="3"/>
  <c r="AB567" i="3"/>
  <c r="V880" i="3"/>
  <c r="AA880" i="3"/>
  <c r="Y1078" i="3"/>
  <c r="X880" i="3"/>
  <c r="J979" i="3"/>
  <c r="Z104" i="3"/>
  <c r="W500" i="3"/>
  <c r="V302" i="3"/>
  <c r="AB896" i="3"/>
  <c r="J5" i="3"/>
  <c r="X599" i="3"/>
  <c r="X21" i="3"/>
  <c r="W813" i="3"/>
  <c r="Y219" i="3"/>
  <c r="Z615" i="3"/>
  <c r="J813" i="3"/>
  <c r="Z433" i="3"/>
  <c r="AA730" i="3"/>
  <c r="V235" i="3"/>
  <c r="J631" i="3"/>
  <c r="Y631" i="3"/>
  <c r="AB829" i="3"/>
  <c r="AA845" i="3"/>
  <c r="X746" i="3"/>
  <c r="Y350" i="3"/>
  <c r="J746" i="3"/>
  <c r="Z647" i="3"/>
  <c r="Y69" i="3"/>
  <c r="AA861" i="3"/>
  <c r="V366" i="3"/>
  <c r="Z564" i="3"/>
  <c r="X1059" i="3"/>
  <c r="AB663" i="3"/>
  <c r="J778" i="3"/>
  <c r="W976" i="3"/>
  <c r="V382" i="3"/>
  <c r="AA382" i="3"/>
  <c r="Z877" i="3"/>
  <c r="Y1091" i="3"/>
  <c r="Z200" i="3"/>
  <c r="V794" i="3"/>
  <c r="W398" i="3"/>
  <c r="X101" i="3"/>
  <c r="AB992" i="3"/>
  <c r="X513" i="3"/>
  <c r="J513" i="3"/>
  <c r="W1008" i="3"/>
  <c r="Y18" i="3"/>
  <c r="AA18" i="3"/>
  <c r="Y529" i="3"/>
  <c r="AA34" i="3"/>
  <c r="V133" i="3"/>
  <c r="Z925" i="3"/>
  <c r="J529" i="3"/>
  <c r="AB628" i="3"/>
  <c r="Y347" i="3"/>
  <c r="V1040" i="3"/>
  <c r="Z248" i="3"/>
  <c r="W545" i="3"/>
  <c r="J1040" i="3"/>
  <c r="Z462" i="3"/>
  <c r="Y1056" i="3"/>
  <c r="V858" i="3"/>
  <c r="AA858" i="3"/>
  <c r="X759" i="3"/>
  <c r="AB462" i="3"/>
  <c r="X478" i="3"/>
  <c r="AA1072" i="3"/>
  <c r="J478" i="3"/>
  <c r="Z874" i="3"/>
  <c r="W478" i="3"/>
  <c r="J395" i="3"/>
  <c r="Y890" i="3"/>
  <c r="V197" i="3"/>
  <c r="X593" i="3"/>
  <c r="AA692" i="3"/>
  <c r="AB197" i="3"/>
  <c r="AA906" i="3"/>
  <c r="W114" i="3"/>
  <c r="X510" i="3"/>
  <c r="Z114" i="3"/>
  <c r="Y411" i="3"/>
  <c r="Z823" i="3"/>
  <c r="V625" i="3"/>
  <c r="Y130" i="3"/>
  <c r="X427" i="3"/>
  <c r="W922" i="3"/>
  <c r="AB427" i="3"/>
  <c r="X245" i="3"/>
  <c r="AA740" i="3"/>
  <c r="W839" i="3"/>
  <c r="V740" i="3"/>
  <c r="Y47" i="3"/>
  <c r="AA162" i="3"/>
  <c r="X459" i="3"/>
  <c r="J855" i="3"/>
  <c r="Y855" i="3"/>
  <c r="V855" i="3"/>
  <c r="AB855" i="3"/>
  <c r="X871" i="3"/>
  <c r="Y970" i="3"/>
  <c r="W277" i="3"/>
  <c r="AA871" i="3"/>
  <c r="Z574" i="3"/>
  <c r="J788" i="3"/>
  <c r="AA392" i="3"/>
  <c r="X590" i="3"/>
  <c r="V590" i="3"/>
  <c r="W194" i="3"/>
  <c r="AB293" i="3"/>
  <c r="Z588" i="3"/>
  <c r="W291" i="3"/>
  <c r="Y786" i="3"/>
  <c r="J291" i="3"/>
  <c r="AA192" i="3"/>
  <c r="J767" i="3"/>
  <c r="AA371" i="3"/>
  <c r="W74" i="3"/>
  <c r="X668" i="3"/>
  <c r="Z173" i="3"/>
  <c r="AB767" i="3"/>
  <c r="AA403" i="3"/>
  <c r="Y106" i="3"/>
  <c r="J304" i="3"/>
  <c r="V799" i="3"/>
  <c r="W601" i="3"/>
  <c r="AA748" i="3"/>
  <c r="Y649" i="3"/>
  <c r="W55" i="3"/>
  <c r="X946" i="3"/>
  <c r="J649" i="3"/>
  <c r="AB946" i="3"/>
  <c r="X210" i="3"/>
  <c r="W408" i="3"/>
  <c r="AA507" i="3"/>
  <c r="J804" i="3"/>
  <c r="Y408" i="3"/>
  <c r="W820" i="3"/>
  <c r="AA622" i="3"/>
  <c r="Z919" i="3"/>
  <c r="V226" i="3"/>
  <c r="X1018" i="3"/>
  <c r="AB919" i="3"/>
  <c r="X737" i="3"/>
  <c r="Z539" i="3"/>
  <c r="V638" i="3"/>
  <c r="J143" i="3"/>
  <c r="Y44" i="3"/>
  <c r="V753" i="3"/>
  <c r="X357" i="3"/>
  <c r="AA1050" i="3"/>
  <c r="W357" i="3"/>
  <c r="J60" i="3"/>
  <c r="AB753" i="3"/>
  <c r="X571" i="3"/>
  <c r="W769" i="3"/>
  <c r="V472" i="3"/>
  <c r="Z769" i="3"/>
  <c r="Y76" i="3"/>
  <c r="AA290" i="3"/>
  <c r="V1082" i="3"/>
  <c r="Y884" i="3"/>
  <c r="X488" i="3"/>
  <c r="J1082" i="3"/>
  <c r="AB785" i="3"/>
  <c r="AB504" i="3"/>
  <c r="Z9" i="3"/>
  <c r="V405" i="3"/>
  <c r="AA108" i="3"/>
  <c r="Y702" i="3"/>
  <c r="AA817" i="3"/>
  <c r="X1015" i="3"/>
  <c r="J25" i="3"/>
  <c r="Y223" i="3"/>
  <c r="Z124" i="3"/>
  <c r="AB520" i="3"/>
  <c r="X833" i="3"/>
  <c r="V1031" i="3"/>
  <c r="Y833" i="3"/>
  <c r="AA536" i="3"/>
  <c r="Z239" i="3"/>
  <c r="J948" i="3"/>
  <c r="V552" i="3"/>
  <c r="Y948" i="3"/>
  <c r="X651" i="3"/>
  <c r="Z651" i="3"/>
  <c r="AB354" i="3"/>
  <c r="W73" i="3"/>
  <c r="Z370" i="3"/>
  <c r="V370" i="3"/>
  <c r="X667" i="3"/>
  <c r="J172" i="3"/>
  <c r="X1079" i="3"/>
  <c r="AA188" i="3"/>
  <c r="Z287" i="3"/>
  <c r="V89" i="3"/>
  <c r="J1079" i="3"/>
  <c r="AB386" i="3"/>
  <c r="W996" i="3"/>
  <c r="Y6" i="3"/>
  <c r="V303" i="3"/>
  <c r="J501" i="3"/>
  <c r="AA6" i="3"/>
  <c r="AA517" i="3"/>
  <c r="J616" i="3"/>
  <c r="Y1012" i="3"/>
  <c r="X1012" i="3"/>
  <c r="W814" i="3"/>
  <c r="AB616" i="3"/>
  <c r="AA830" i="3"/>
  <c r="X434" i="3"/>
  <c r="V533" i="3"/>
  <c r="W731" i="3"/>
  <c r="Z38" i="3"/>
  <c r="J54" i="3"/>
  <c r="AA252" i="3"/>
  <c r="Z648" i="3"/>
  <c r="W846" i="3"/>
  <c r="Y153" i="3"/>
  <c r="AB549" i="3"/>
  <c r="X961" i="3"/>
  <c r="Y466" i="3"/>
  <c r="W565" i="3"/>
  <c r="J268" i="3"/>
  <c r="AA565" i="3"/>
  <c r="Y581" i="3"/>
  <c r="AA284" i="3"/>
  <c r="V383" i="3"/>
  <c r="J86" i="3"/>
  <c r="Z185" i="3"/>
  <c r="AB878" i="3"/>
  <c r="W201" i="3"/>
  <c r="AA597" i="3"/>
  <c r="V300" i="3"/>
  <c r="J696" i="3"/>
  <c r="X300" i="3"/>
  <c r="J19" i="3"/>
  <c r="V613" i="3"/>
  <c r="AA1009" i="3"/>
  <c r="Y217" i="3"/>
  <c r="W415" i="3"/>
  <c r="AB613" i="3"/>
  <c r="AA728" i="3"/>
  <c r="V233" i="3"/>
  <c r="Z35" i="3"/>
  <c r="Y1025" i="3"/>
  <c r="W827" i="3"/>
  <c r="AA447" i="3"/>
  <c r="V546" i="3"/>
  <c r="Y51" i="3"/>
  <c r="Z348" i="3"/>
  <c r="J348" i="3"/>
  <c r="AB744" i="3"/>
  <c r="W661" i="3"/>
  <c r="AA661" i="3"/>
  <c r="X67" i="3"/>
  <c r="Y958" i="3"/>
  <c r="J265" i="3"/>
  <c r="J479" i="3"/>
  <c r="Z776" i="3"/>
  <c r="AA776" i="3"/>
  <c r="W380" i="3"/>
  <c r="X281" i="3"/>
  <c r="AB578" i="3"/>
  <c r="J693" i="3"/>
  <c r="W594" i="3"/>
  <c r="X693" i="3"/>
  <c r="V990" i="3"/>
  <c r="Z396" i="3"/>
  <c r="AA952" i="3"/>
  <c r="X61" i="3"/>
  <c r="Z556" i="3"/>
  <c r="W952" i="3"/>
  <c r="Y1051" i="3"/>
  <c r="AB754" i="3"/>
  <c r="Y553" i="3"/>
  <c r="AA157" i="3"/>
  <c r="Z355" i="3"/>
  <c r="J157" i="3"/>
  <c r="V553" i="3"/>
  <c r="X419" i="3"/>
  <c r="J914" i="3"/>
  <c r="Z221" i="3"/>
  <c r="AA518" i="3"/>
  <c r="V914" i="3"/>
  <c r="AB221" i="3"/>
  <c r="AA368" i="3"/>
  <c r="V467" i="3"/>
  <c r="Y170" i="3"/>
  <c r="J368" i="3"/>
  <c r="W764" i="3"/>
  <c r="Y384" i="3"/>
  <c r="J780" i="3"/>
  <c r="X1077" i="3"/>
  <c r="AA879" i="3"/>
  <c r="Z978" i="3"/>
  <c r="AB384" i="3"/>
  <c r="H700" i="3"/>
  <c r="H534" i="3"/>
  <c r="H946" i="3"/>
  <c r="H978" i="3"/>
  <c r="H994" i="3"/>
  <c r="H614" i="3"/>
  <c r="H52" i="3"/>
  <c r="H266" i="3"/>
  <c r="H397" i="3"/>
  <c r="H512" i="3"/>
  <c r="H940" i="3"/>
  <c r="H461" i="3"/>
  <c r="H493" i="3"/>
  <c r="H311" i="3"/>
  <c r="H442" i="3"/>
  <c r="H656" i="3"/>
  <c r="H672" i="3"/>
  <c r="H902" i="3"/>
  <c r="H126" i="3"/>
  <c r="H653" i="3"/>
  <c r="H570" i="3"/>
  <c r="H1081" i="3"/>
  <c r="H24" i="3"/>
  <c r="H337" i="3"/>
  <c r="H72" i="3"/>
  <c r="H385" i="3"/>
  <c r="H912" i="3"/>
  <c r="H433" i="3"/>
  <c r="H267" i="3"/>
  <c r="H85" i="3"/>
  <c r="H909" i="3"/>
  <c r="H826" i="3"/>
  <c r="H248" i="3"/>
  <c r="H1072" i="3"/>
  <c r="H890" i="3"/>
  <c r="H130" i="3"/>
  <c r="H146" i="3"/>
  <c r="H1053" i="3"/>
  <c r="H986" i="3"/>
  <c r="H606" i="3"/>
  <c r="H143" i="3"/>
  <c r="H60" i="3"/>
  <c r="H389" i="3"/>
  <c r="H801" i="3"/>
  <c r="H635" i="3"/>
  <c r="H255" i="3"/>
  <c r="H188" i="3"/>
  <c r="H798" i="3"/>
  <c r="H517" i="3"/>
  <c r="H846" i="3"/>
  <c r="H466" i="3"/>
  <c r="H993" i="3"/>
  <c r="H910" i="3"/>
  <c r="H134" i="3"/>
  <c r="H942" i="3"/>
  <c r="H875" i="3"/>
  <c r="H396" i="3"/>
  <c r="H230" i="3"/>
  <c r="H147" i="3"/>
  <c r="H872" i="3"/>
  <c r="H294" i="3"/>
  <c r="H29" i="3"/>
  <c r="H342" i="3"/>
  <c r="H275" i="3"/>
  <c r="H786" i="3"/>
  <c r="H604" i="3"/>
  <c r="H42" i="3"/>
  <c r="H355" i="3"/>
  <c r="H387" i="3"/>
  <c r="H799" i="3"/>
  <c r="H1029" i="3"/>
  <c r="H55" i="3"/>
  <c r="H186" i="3"/>
  <c r="H301" i="3"/>
  <c r="H234" i="3"/>
  <c r="H943" i="3"/>
  <c r="H563" i="3"/>
  <c r="H694" i="3"/>
  <c r="H710" i="3"/>
  <c r="H148" i="3"/>
  <c r="H560" i="3"/>
  <c r="H1087" i="3"/>
  <c r="H707" i="3"/>
  <c r="H541" i="3"/>
  <c r="H557" i="3"/>
  <c r="H886" i="3"/>
  <c r="H803" i="3"/>
  <c r="H522" i="3"/>
  <c r="H158" i="3"/>
  <c r="H669" i="3"/>
  <c r="H107" i="3"/>
  <c r="H519" i="3"/>
  <c r="H535" i="3"/>
  <c r="H369" i="3"/>
  <c r="H484" i="3"/>
  <c r="H1011" i="3"/>
  <c r="H631" i="3"/>
  <c r="H168" i="3"/>
  <c r="H976" i="3"/>
  <c r="H216" i="3"/>
  <c r="H1024" i="3"/>
  <c r="H858" i="3"/>
  <c r="H379" i="3"/>
  <c r="H593" i="3"/>
  <c r="H328" i="3"/>
  <c r="H47" i="3"/>
  <c r="H574" i="3"/>
  <c r="H590" i="3"/>
  <c r="H1002" i="3"/>
  <c r="H539" i="3"/>
  <c r="H1050" i="3"/>
  <c r="H191" i="3"/>
  <c r="H702" i="3"/>
  <c r="H1031" i="3"/>
  <c r="H651" i="3"/>
  <c r="H683" i="3"/>
  <c r="H402" i="3"/>
  <c r="H434" i="3"/>
  <c r="H450" i="3"/>
  <c r="H1060" i="3"/>
  <c r="H102" i="3"/>
  <c r="H19" i="3"/>
  <c r="H332" i="3"/>
  <c r="H1057" i="3"/>
  <c r="H1073" i="3"/>
  <c r="H693" i="3"/>
  <c r="H131" i="3"/>
  <c r="H48" i="3"/>
  <c r="H971" i="3"/>
  <c r="H492" i="3"/>
  <c r="H227" i="3"/>
  <c r="H441" i="3"/>
  <c r="H374" i="3"/>
  <c r="H588" i="3"/>
  <c r="H125" i="3"/>
  <c r="H933" i="3"/>
  <c r="H751" i="3"/>
  <c r="H684" i="3"/>
  <c r="H502" i="3"/>
  <c r="H716" i="3"/>
  <c r="H550" i="3"/>
  <c r="H1061" i="3"/>
  <c r="H895" i="3"/>
  <c r="H713" i="3"/>
  <c r="H349" i="3"/>
  <c r="H464" i="3"/>
  <c r="H892" i="3"/>
  <c r="H314" i="3"/>
  <c r="H1039" i="3"/>
  <c r="H164" i="3"/>
  <c r="H675" i="3"/>
  <c r="H1004" i="3"/>
  <c r="H723" i="3"/>
  <c r="H458" i="3"/>
  <c r="H375" i="3"/>
  <c r="H423" i="3"/>
  <c r="H736" i="3"/>
  <c r="H471" i="3"/>
  <c r="H586" i="3"/>
  <c r="H420" i="3"/>
  <c r="H733" i="3"/>
  <c r="H567" i="3"/>
  <c r="H583" i="3"/>
  <c r="H417" i="3"/>
  <c r="H829" i="3"/>
  <c r="H746" i="3"/>
  <c r="H481" i="3"/>
  <c r="H1091" i="3"/>
  <c r="H34" i="3"/>
  <c r="H941" i="3"/>
  <c r="H775" i="3"/>
  <c r="H1088" i="3"/>
  <c r="H807" i="3"/>
  <c r="H938" i="3"/>
  <c r="H360" i="3"/>
  <c r="H95" i="3"/>
  <c r="H507" i="3"/>
  <c r="H836" i="3"/>
  <c r="H159" i="3"/>
  <c r="H92" i="3"/>
  <c r="H900" i="3"/>
  <c r="H817" i="3"/>
  <c r="H57" i="3"/>
  <c r="H73" i="3"/>
  <c r="H204" i="3"/>
  <c r="H715" i="3"/>
  <c r="H648" i="3"/>
  <c r="H763" i="3"/>
  <c r="H300" i="3"/>
  <c r="H1025" i="3"/>
  <c r="H51" i="3"/>
  <c r="H380" i="3"/>
  <c r="H297" i="3"/>
  <c r="H32" i="3"/>
  <c r="H840" i="3"/>
  <c r="H773" i="3"/>
  <c r="H393" i="3"/>
  <c r="H607" i="3"/>
  <c r="H540" i="3"/>
  <c r="H457" i="3"/>
  <c r="H390" i="3"/>
  <c r="H505" i="3"/>
  <c r="H1032" i="3"/>
  <c r="H256" i="3"/>
  <c r="H882" i="3"/>
  <c r="H7" i="3"/>
  <c r="H518" i="3"/>
  <c r="H649" i="3"/>
  <c r="H269" i="3"/>
  <c r="H103" i="3"/>
  <c r="H1010" i="3"/>
  <c r="H828" i="3"/>
  <c r="H1058" i="3"/>
  <c r="H381" i="3"/>
  <c r="H413" i="3"/>
  <c r="H924" i="3"/>
  <c r="H362" i="3"/>
  <c r="H378" i="3"/>
  <c r="H14" i="3"/>
  <c r="H228" i="3"/>
  <c r="H359" i="3"/>
  <c r="H870" i="3"/>
  <c r="H94" i="3"/>
  <c r="H819" i="3"/>
  <c r="H835" i="3"/>
  <c r="H1065" i="3"/>
  <c r="H487" i="3"/>
  <c r="H602" i="3"/>
  <c r="H1030" i="3"/>
  <c r="H254" i="3"/>
  <c r="H88" i="3"/>
  <c r="H797" i="3"/>
  <c r="H334" i="3"/>
  <c r="H1043" i="3"/>
  <c r="H1075" i="3"/>
  <c r="H497" i="3"/>
  <c r="H232" i="3"/>
  <c r="H149" i="3"/>
  <c r="H1056" i="3"/>
  <c r="H692" i="3"/>
  <c r="H609" i="3"/>
  <c r="H1037" i="3"/>
  <c r="H657" i="3"/>
  <c r="H277" i="3"/>
  <c r="H705" i="3"/>
  <c r="H622" i="3"/>
  <c r="H456" i="3"/>
  <c r="H571" i="3"/>
  <c r="H999" i="3"/>
  <c r="H520" i="3"/>
  <c r="H1047" i="3"/>
  <c r="H469" i="3"/>
  <c r="H105" i="3"/>
  <c r="H418" i="3"/>
  <c r="H1028" i="3"/>
  <c r="H862" i="3"/>
  <c r="H1076" i="3"/>
  <c r="H431" i="3"/>
  <c r="H843" i="3"/>
  <c r="H166" i="3"/>
  <c r="H1089" i="3"/>
  <c r="H610" i="3"/>
  <c r="H642" i="3"/>
  <c r="H262" i="3"/>
  <c r="H195" i="3"/>
  <c r="H805" i="3"/>
  <c r="H738" i="3"/>
  <c r="H61" i="3"/>
  <c r="H1083" i="3"/>
  <c r="H10" i="3"/>
  <c r="H521" i="3"/>
  <c r="H850" i="3"/>
  <c r="H569" i="3"/>
  <c r="Z1081" i="3"/>
  <c r="W487" i="3"/>
  <c r="V784" i="3"/>
  <c r="Y685" i="3"/>
  <c r="AB883" i="3"/>
  <c r="X107" i="3"/>
  <c r="AA602" i="3"/>
  <c r="Y503" i="3"/>
  <c r="W305" i="3"/>
  <c r="Z899" i="3"/>
  <c r="AB800" i="3"/>
  <c r="Z618" i="3"/>
  <c r="J618" i="3"/>
  <c r="AA618" i="3"/>
  <c r="Y24" i="3"/>
  <c r="AB915" i="3"/>
  <c r="Z1030" i="3"/>
  <c r="AA832" i="3"/>
  <c r="V1030" i="3"/>
  <c r="W337" i="3"/>
  <c r="X139" i="3"/>
  <c r="AB634" i="3"/>
  <c r="J749" i="3"/>
  <c r="Y452" i="3"/>
  <c r="V452" i="3"/>
  <c r="AA452" i="3"/>
  <c r="AB749" i="3"/>
  <c r="J1062" i="3"/>
  <c r="AA1062" i="3"/>
  <c r="V171" i="3"/>
  <c r="Y864" i="3"/>
  <c r="W72" i="3"/>
  <c r="AB369" i="3"/>
  <c r="Z286" i="3"/>
  <c r="AA484" i="3"/>
  <c r="W484" i="3"/>
  <c r="X583" i="3"/>
  <c r="AB583" i="3"/>
  <c r="Z5" i="3"/>
  <c r="W896" i="3"/>
  <c r="V896" i="3"/>
  <c r="AB401" i="3"/>
  <c r="Y896" i="3"/>
  <c r="X104" i="3"/>
  <c r="V318" i="3"/>
  <c r="W417" i="3"/>
  <c r="AA21" i="3"/>
  <c r="Z219" i="3"/>
  <c r="AB21" i="3"/>
  <c r="Z928" i="3"/>
  <c r="AA235" i="3"/>
  <c r="V334" i="3"/>
  <c r="J334" i="3"/>
  <c r="W829" i="3"/>
  <c r="AB1027" i="3"/>
  <c r="W53" i="3"/>
  <c r="X152" i="3"/>
  <c r="V845" i="3"/>
  <c r="J449" i="3"/>
  <c r="AB647" i="3"/>
  <c r="Y564" i="3"/>
  <c r="AA1059" i="3"/>
  <c r="V1059" i="3"/>
  <c r="Z1059" i="3"/>
  <c r="J267" i="3"/>
  <c r="AB960" i="3"/>
  <c r="X877" i="3"/>
  <c r="W85" i="3"/>
  <c r="Y679" i="3"/>
  <c r="AA1075" i="3"/>
  <c r="AB184" i="3"/>
  <c r="Y101" i="3"/>
  <c r="Z299" i="3"/>
  <c r="V299" i="3"/>
  <c r="W794" i="3"/>
  <c r="AA497" i="3"/>
  <c r="AB1091" i="3"/>
  <c r="V117" i="3"/>
  <c r="J315" i="3"/>
  <c r="Z909" i="3"/>
  <c r="Y810" i="3"/>
  <c r="AB612" i="3"/>
  <c r="Y232" i="3"/>
  <c r="AA925" i="3"/>
  <c r="V232" i="3"/>
  <c r="Z34" i="3"/>
  <c r="W232" i="3"/>
  <c r="AB331" i="3"/>
  <c r="X149" i="3"/>
  <c r="V446" i="3"/>
  <c r="AA743" i="3"/>
  <c r="W941" i="3"/>
  <c r="AB50" i="3"/>
  <c r="Z66" i="3"/>
  <c r="Y660" i="3"/>
  <c r="V264" i="3"/>
  <c r="AA363" i="3"/>
  <c r="W957" i="3"/>
  <c r="AB660" i="3"/>
  <c r="Y478" i="3"/>
  <c r="AA973" i="3"/>
  <c r="V1072" i="3"/>
  <c r="Z82" i="3"/>
  <c r="AB874" i="3"/>
  <c r="J296" i="3"/>
  <c r="Y197" i="3"/>
  <c r="V98" i="3"/>
  <c r="X989" i="3"/>
  <c r="Z989" i="3"/>
  <c r="AB692" i="3"/>
  <c r="J1005" i="3"/>
  <c r="W1005" i="3"/>
  <c r="V411" i="3"/>
  <c r="Z708" i="3"/>
  <c r="AB15" i="3"/>
  <c r="Z1021" i="3"/>
  <c r="V427" i="3"/>
  <c r="Y625" i="3"/>
  <c r="X130" i="3"/>
  <c r="AA724" i="3"/>
  <c r="AB625" i="3"/>
  <c r="Z938" i="3"/>
  <c r="AA344" i="3"/>
  <c r="J1037" i="3"/>
  <c r="V146" i="3"/>
  <c r="AB245" i="3"/>
  <c r="AA459" i="3"/>
  <c r="X162" i="3"/>
  <c r="J459" i="3"/>
  <c r="Y162" i="3"/>
  <c r="Z360" i="3"/>
  <c r="AB1053" i="3"/>
  <c r="V79" i="3"/>
  <c r="Y376" i="3"/>
  <c r="J475" i="3"/>
  <c r="AA376" i="3"/>
  <c r="AB772" i="3"/>
  <c r="J986" i="3"/>
  <c r="AA194" i="3"/>
  <c r="X986" i="3"/>
  <c r="V491" i="3"/>
  <c r="Z590" i="3"/>
  <c r="AB1085" i="3"/>
  <c r="V390" i="3"/>
  <c r="W984" i="3"/>
  <c r="X192" i="3"/>
  <c r="J786" i="3"/>
  <c r="AB489" i="3"/>
  <c r="J668" i="3"/>
  <c r="AA470" i="3"/>
  <c r="W569" i="3"/>
  <c r="X767" i="3"/>
  <c r="Y74" i="3"/>
  <c r="AB470" i="3"/>
  <c r="Z997" i="3"/>
  <c r="Y7" i="3"/>
  <c r="X799" i="3"/>
  <c r="V403" i="3"/>
  <c r="AB799" i="3"/>
  <c r="AA847" i="3"/>
  <c r="Y847" i="3"/>
  <c r="W1045" i="3"/>
  <c r="X748" i="3"/>
  <c r="V451" i="3"/>
  <c r="AB1045" i="3"/>
  <c r="V804" i="3"/>
  <c r="W705" i="3"/>
  <c r="Z210" i="3"/>
  <c r="J111" i="3"/>
  <c r="AB705" i="3"/>
  <c r="W1018" i="3"/>
  <c r="AA325" i="3"/>
  <c r="Z226" i="3"/>
  <c r="V1018" i="3"/>
  <c r="J127" i="3"/>
  <c r="AB721" i="3"/>
  <c r="W341" i="3"/>
  <c r="Z440" i="3"/>
  <c r="AA935" i="3"/>
  <c r="J539" i="3"/>
  <c r="AB143" i="3"/>
  <c r="V951" i="3"/>
  <c r="X159" i="3"/>
  <c r="AA357" i="3"/>
  <c r="W258" i="3"/>
  <c r="Z1050" i="3"/>
  <c r="AB555" i="3"/>
  <c r="J76" i="3"/>
  <c r="W175" i="3"/>
  <c r="AA868" i="3"/>
  <c r="Z274" i="3"/>
  <c r="AB670" i="3"/>
  <c r="AA191" i="3"/>
  <c r="V785" i="3"/>
  <c r="Y587" i="3"/>
  <c r="X389" i="3"/>
  <c r="Z884" i="3"/>
  <c r="AB686" i="3"/>
  <c r="W9" i="3"/>
  <c r="Z801" i="3"/>
  <c r="X900" i="3"/>
  <c r="AA405" i="3"/>
  <c r="J207" i="3"/>
  <c r="AA916" i="3"/>
  <c r="X520" i="3"/>
  <c r="J520" i="3"/>
  <c r="Y619" i="3"/>
  <c r="V817" i="3"/>
  <c r="AB1015" i="3"/>
  <c r="W1031" i="3"/>
  <c r="V635" i="3"/>
  <c r="J338" i="3"/>
  <c r="AA239" i="3"/>
  <c r="AB734" i="3"/>
  <c r="J552" i="3"/>
  <c r="V453" i="3"/>
  <c r="Y552" i="3"/>
  <c r="X57" i="3"/>
  <c r="AA453" i="3"/>
  <c r="AB1047" i="3"/>
  <c r="Y964" i="3"/>
  <c r="Z73" i="3"/>
  <c r="AA1063" i="3"/>
  <c r="X370" i="3"/>
  <c r="AB271" i="3"/>
  <c r="X782" i="3"/>
  <c r="AA386" i="3"/>
  <c r="Z89" i="3"/>
  <c r="V188" i="3"/>
  <c r="W683" i="3"/>
  <c r="AB287" i="3"/>
  <c r="X699" i="3"/>
  <c r="Y996" i="3"/>
  <c r="Z798" i="3"/>
  <c r="J402" i="3"/>
  <c r="AB402" i="3"/>
  <c r="AA913" i="3"/>
  <c r="J121" i="3"/>
  <c r="Y517" i="3"/>
  <c r="X319" i="3"/>
  <c r="V913" i="3"/>
  <c r="AB517" i="3"/>
  <c r="Y533" i="3"/>
  <c r="X830" i="3"/>
  <c r="J434" i="3"/>
  <c r="W335" i="3"/>
  <c r="AB830" i="3"/>
  <c r="J648" i="3"/>
  <c r="AA747" i="3"/>
  <c r="Z945" i="3"/>
  <c r="W648" i="3"/>
  <c r="X549" i="3"/>
  <c r="AB450" i="3"/>
  <c r="Z664" i="3"/>
  <c r="Y961" i="3"/>
  <c r="V862" i="3"/>
  <c r="J862" i="3"/>
  <c r="AB466" i="3"/>
  <c r="Y779" i="3"/>
  <c r="AA680" i="3"/>
  <c r="V482" i="3"/>
  <c r="J1076" i="3"/>
  <c r="X779" i="3"/>
  <c r="AB185" i="3"/>
  <c r="Z597" i="3"/>
  <c r="AA102" i="3"/>
  <c r="Y795" i="3"/>
  <c r="J3" i="3"/>
  <c r="AB795" i="3"/>
  <c r="J1009" i="3"/>
  <c r="V1009" i="3"/>
  <c r="AA19" i="3"/>
  <c r="Y19" i="3"/>
  <c r="Z118" i="3"/>
  <c r="AB316" i="3"/>
  <c r="X926" i="3"/>
  <c r="V134" i="3"/>
  <c r="J530" i="3"/>
  <c r="Y827" i="3"/>
  <c r="AB728" i="3"/>
  <c r="AA1041" i="3"/>
  <c r="V1041" i="3"/>
  <c r="Y546" i="3"/>
  <c r="Z447" i="3"/>
  <c r="W744" i="3"/>
  <c r="AB51" i="3"/>
  <c r="V463" i="3"/>
  <c r="AA463" i="3"/>
  <c r="Z463" i="3"/>
  <c r="Y859" i="3"/>
  <c r="AB661" i="3"/>
  <c r="J677" i="3"/>
  <c r="Z380" i="3"/>
  <c r="AA1073" i="3"/>
  <c r="W974" i="3"/>
  <c r="Y479" i="3"/>
  <c r="AB677" i="3"/>
  <c r="Y891" i="3"/>
  <c r="W396" i="3"/>
  <c r="AA594" i="3"/>
  <c r="V693" i="3"/>
  <c r="AB792" i="3"/>
  <c r="AA853" i="3"/>
  <c r="X160" i="3"/>
  <c r="Z457" i="3"/>
  <c r="W61" i="3"/>
  <c r="V160" i="3"/>
  <c r="AB61" i="3"/>
  <c r="X355" i="3"/>
  <c r="AA949" i="3"/>
  <c r="W58" i="3"/>
  <c r="J58" i="3"/>
  <c r="AB355" i="3"/>
  <c r="X914" i="3"/>
  <c r="J518" i="3"/>
  <c r="Z518" i="3"/>
  <c r="AA815" i="3"/>
  <c r="Y122" i="3"/>
  <c r="AB320" i="3"/>
  <c r="X665" i="3"/>
  <c r="V566" i="3"/>
  <c r="Z170" i="3"/>
  <c r="J269" i="3"/>
  <c r="AB170" i="3"/>
  <c r="Y978" i="3"/>
  <c r="J384" i="3"/>
  <c r="X483" i="3"/>
  <c r="AA384" i="3"/>
  <c r="W780" i="3"/>
  <c r="AB780" i="3"/>
  <c r="H419" i="3"/>
  <c r="H138" i="3"/>
  <c r="H154" i="3"/>
  <c r="H87" i="3"/>
  <c r="H796" i="3"/>
  <c r="H135" i="3"/>
  <c r="H745" i="3"/>
  <c r="H183" i="3"/>
  <c r="H496" i="3"/>
  <c r="H231" i="3"/>
  <c r="H346" i="3"/>
  <c r="H873" i="3"/>
  <c r="H394" i="3"/>
  <c r="H509" i="3"/>
  <c r="H838" i="3"/>
  <c r="H62" i="3"/>
  <c r="H589" i="3"/>
  <c r="H1001" i="3"/>
  <c r="H324" i="3"/>
  <c r="H59" i="3"/>
  <c r="H966" i="3"/>
  <c r="H998" i="3"/>
  <c r="H717" i="3"/>
  <c r="H551" i="3"/>
  <c r="H666" i="3"/>
  <c r="H5" i="3"/>
  <c r="H21" i="3"/>
  <c r="H152" i="3"/>
  <c r="H762" i="3"/>
  <c r="H580" i="3"/>
  <c r="H810" i="3"/>
  <c r="H133" i="3"/>
  <c r="H363" i="3"/>
  <c r="H874" i="3"/>
  <c r="H31" i="3"/>
  <c r="H245" i="3"/>
  <c r="H871" i="3"/>
  <c r="H689" i="3"/>
  <c r="H919" i="3"/>
  <c r="H1034" i="3"/>
  <c r="H670" i="3"/>
  <c r="H983" i="3"/>
  <c r="H25" i="3"/>
  <c r="H239" i="3"/>
  <c r="H948" i="3"/>
  <c r="H287" i="3"/>
  <c r="H600" i="3"/>
  <c r="H137" i="3"/>
  <c r="H153" i="3"/>
  <c r="H482" i="3"/>
  <c r="H696" i="3"/>
  <c r="H415" i="3"/>
  <c r="H530" i="3"/>
  <c r="H859" i="3"/>
  <c r="H479" i="3"/>
  <c r="H1006" i="3"/>
  <c r="H923" i="3"/>
  <c r="H361" i="3"/>
  <c r="H278" i="3"/>
  <c r="H409" i="3"/>
  <c r="H623" i="3"/>
  <c r="H837" i="3"/>
  <c r="H770" i="3"/>
  <c r="H291" i="3"/>
  <c r="H224" i="3"/>
  <c r="H537" i="3"/>
  <c r="H272" i="3"/>
  <c r="H288" i="3"/>
  <c r="H23" i="3"/>
  <c r="H336" i="3"/>
  <c r="H170" i="3"/>
  <c r="H285" i="3"/>
  <c r="H499" i="3"/>
  <c r="H432" i="3"/>
  <c r="H250" i="3"/>
  <c r="H84" i="3"/>
  <c r="H991" i="3"/>
  <c r="H132" i="3"/>
  <c r="H445" i="3"/>
  <c r="H180" i="3"/>
  <c r="H691" i="3"/>
  <c r="H426" i="3"/>
  <c r="H937" i="3"/>
  <c r="H854" i="3"/>
  <c r="H391" i="3"/>
  <c r="H110" i="3"/>
  <c r="H142" i="3"/>
  <c r="H554" i="3"/>
  <c r="H867" i="3"/>
  <c r="H305" i="3"/>
  <c r="H618" i="3"/>
  <c r="H848" i="3"/>
  <c r="H270" i="3"/>
  <c r="H896" i="3"/>
  <c r="H615" i="3"/>
  <c r="H845" i="3"/>
  <c r="H69" i="3"/>
  <c r="H398" i="3"/>
  <c r="H414" i="3"/>
  <c r="H727" i="3"/>
  <c r="H660" i="3"/>
  <c r="H676" i="3"/>
  <c r="H312" i="3"/>
  <c r="H823" i="3"/>
  <c r="H740" i="3"/>
  <c r="H475" i="3"/>
  <c r="H1085" i="3"/>
  <c r="H226" i="3"/>
  <c r="H341" i="3"/>
  <c r="H373" i="3"/>
  <c r="H587" i="3"/>
  <c r="H124" i="3"/>
  <c r="H932" i="3"/>
  <c r="H172" i="3"/>
  <c r="H980" i="3"/>
  <c r="H996" i="3"/>
  <c r="H533" i="3"/>
  <c r="H54" i="3"/>
  <c r="H383" i="3"/>
  <c r="H3" i="3"/>
  <c r="H217" i="3"/>
  <c r="H629" i="3"/>
  <c r="H958" i="3"/>
  <c r="H281" i="3"/>
  <c r="H412" i="3"/>
  <c r="H824" i="3"/>
  <c r="H64" i="3"/>
  <c r="H575" i="3"/>
  <c r="H112" i="3"/>
  <c r="H722" i="3"/>
  <c r="H952" i="3"/>
  <c r="H671" i="3"/>
  <c r="H885" i="3"/>
  <c r="H818" i="3"/>
  <c r="H735" i="3"/>
  <c r="H1064" i="3"/>
  <c r="H585" i="3"/>
  <c r="H304" i="3"/>
  <c r="H435" i="3"/>
  <c r="H847" i="3"/>
  <c r="H780" i="3"/>
  <c r="H598" i="3"/>
  <c r="H927" i="3"/>
  <c r="H844" i="3"/>
  <c r="H579" i="3"/>
  <c r="H1090" i="3"/>
  <c r="H611" i="3"/>
  <c r="H49" i="3"/>
  <c r="H263" i="3"/>
  <c r="H889" i="3"/>
  <c r="H608" i="3"/>
  <c r="H145" i="3"/>
  <c r="H755" i="3"/>
  <c r="H193" i="3"/>
  <c r="H209" i="3"/>
  <c r="H621" i="3"/>
  <c r="H257" i="3"/>
  <c r="H372" i="3"/>
  <c r="H899" i="3"/>
  <c r="H816" i="3"/>
  <c r="H947" i="3"/>
  <c r="H963" i="3"/>
  <c r="H781" i="3"/>
  <c r="H219" i="3"/>
  <c r="H532" i="3"/>
  <c r="H465" i="3"/>
  <c r="H184" i="3"/>
  <c r="H315" i="3"/>
  <c r="H529" i="3"/>
  <c r="H66" i="3"/>
  <c r="H577" i="3"/>
  <c r="H922" i="3"/>
  <c r="H443" i="3"/>
  <c r="H970" i="3"/>
  <c r="H788" i="3"/>
  <c r="H127" i="3"/>
  <c r="H242" i="3"/>
  <c r="H753" i="3"/>
  <c r="H488" i="3"/>
  <c r="H405" i="3"/>
  <c r="H734" i="3"/>
  <c r="H453" i="3"/>
  <c r="H881" i="3"/>
  <c r="H501" i="3"/>
  <c r="H929" i="3"/>
  <c r="H351" i="3"/>
  <c r="H878" i="3"/>
  <c r="H894" i="3"/>
  <c r="H316" i="3"/>
  <c r="H233" i="3"/>
  <c r="H562" i="3"/>
  <c r="H776" i="3"/>
  <c r="H16" i="3"/>
  <c r="H428" i="3"/>
  <c r="H1038" i="3"/>
  <c r="H476" i="3"/>
  <c r="H1086" i="3"/>
  <c r="H326" i="3"/>
  <c r="H1035" i="3"/>
  <c r="H473" i="3"/>
  <c r="H93" i="3"/>
  <c r="H26" i="3"/>
  <c r="H141" i="3"/>
  <c r="H866" i="3"/>
  <c r="H189" i="3"/>
  <c r="H997" i="3"/>
  <c r="H930" i="3"/>
  <c r="H253" i="3"/>
  <c r="H71" i="3"/>
  <c r="H4" i="3"/>
  <c r="H812" i="3"/>
  <c r="H547" i="3"/>
  <c r="H761" i="3"/>
  <c r="H199" i="3"/>
  <c r="H116" i="3"/>
  <c r="H643" i="3"/>
  <c r="H758" i="3"/>
  <c r="H790" i="3"/>
  <c r="H905" i="3"/>
  <c r="H624" i="3"/>
  <c r="H260" i="3"/>
  <c r="H276" i="3"/>
  <c r="H308" i="3"/>
  <c r="H1017" i="3"/>
  <c r="H538" i="3"/>
  <c r="H768" i="3"/>
  <c r="H784" i="3"/>
  <c r="H222" i="3"/>
  <c r="H40" i="3"/>
  <c r="H864" i="3"/>
  <c r="H187" i="3"/>
  <c r="H120" i="3"/>
  <c r="H37" i="3"/>
  <c r="H960" i="3"/>
  <c r="H382" i="3"/>
  <c r="H794" i="3"/>
  <c r="H925" i="3"/>
  <c r="H743" i="3"/>
  <c r="H973" i="3"/>
  <c r="H989" i="3"/>
  <c r="H708" i="3"/>
  <c r="H641" i="3"/>
  <c r="H954" i="3"/>
  <c r="H491" i="3"/>
  <c r="H210" i="3"/>
  <c r="H935" i="3"/>
  <c r="H555" i="3"/>
  <c r="H686" i="3"/>
  <c r="H504" i="3"/>
  <c r="H338" i="3"/>
  <c r="H156" i="3"/>
  <c r="H667" i="3"/>
  <c r="H303" i="3"/>
  <c r="H1012" i="3"/>
  <c r="H747" i="3"/>
  <c r="H169" i="3"/>
  <c r="H795" i="3"/>
  <c r="H35" i="3"/>
  <c r="H645" i="3"/>
  <c r="H974" i="3"/>
  <c r="H891" i="3"/>
  <c r="H1022" i="3"/>
  <c r="H246" i="3"/>
  <c r="H179" i="3"/>
  <c r="H96" i="3"/>
  <c r="H425" i="3"/>
  <c r="H45" i="3"/>
  <c r="H1051" i="3"/>
  <c r="H192" i="3"/>
  <c r="H1000" i="3"/>
  <c r="H834" i="3"/>
  <c r="H157" i="3"/>
  <c r="H90" i="3"/>
  <c r="Z586" i="3"/>
  <c r="J982" i="3"/>
  <c r="V982" i="3"/>
  <c r="Y487" i="3"/>
  <c r="AB1081" i="3"/>
  <c r="X602" i="3"/>
  <c r="J305" i="3"/>
  <c r="Y8" i="3"/>
  <c r="V503" i="3"/>
  <c r="Z404" i="3"/>
  <c r="V717" i="3"/>
  <c r="Z1014" i="3"/>
  <c r="X321" i="3"/>
  <c r="AA816" i="3"/>
  <c r="Y1014" i="3"/>
  <c r="AB519" i="3"/>
  <c r="Z139" i="3"/>
  <c r="Y832" i="3"/>
  <c r="V535" i="3"/>
  <c r="J40" i="3"/>
  <c r="X436" i="3"/>
  <c r="Z56" i="3"/>
  <c r="J848" i="3"/>
  <c r="W848" i="3"/>
  <c r="V848" i="3"/>
  <c r="AA551" i="3"/>
  <c r="AB56" i="3"/>
  <c r="J171" i="3"/>
  <c r="X666" i="3"/>
  <c r="V72" i="3"/>
  <c r="Z963" i="3"/>
  <c r="W963" i="3"/>
  <c r="V979" i="3"/>
  <c r="Z781" i="3"/>
  <c r="Y682" i="3"/>
  <c r="W187" i="3"/>
  <c r="X682" i="3"/>
  <c r="AB682" i="3"/>
  <c r="Z599" i="3"/>
  <c r="AA302" i="3"/>
  <c r="V698" i="3"/>
  <c r="J995" i="3"/>
  <c r="Y302" i="3"/>
  <c r="X813" i="3"/>
  <c r="V912" i="3"/>
  <c r="Y516" i="3"/>
  <c r="AA1011" i="3"/>
  <c r="Z516" i="3"/>
  <c r="AB615" i="3"/>
  <c r="Z37" i="3"/>
  <c r="X136" i="3"/>
  <c r="V532" i="3"/>
  <c r="Y1027" i="3"/>
  <c r="W1027" i="3"/>
  <c r="AA548" i="3"/>
  <c r="W1043" i="3"/>
  <c r="Y548" i="3"/>
  <c r="V944" i="3"/>
  <c r="J647" i="3"/>
  <c r="AB845" i="3"/>
  <c r="Y861" i="3"/>
  <c r="W1059" i="3"/>
  <c r="V564" i="3"/>
  <c r="X267" i="3"/>
  <c r="J663" i="3"/>
  <c r="J481" i="3"/>
  <c r="X976" i="3"/>
  <c r="V976" i="3"/>
  <c r="Y580" i="3"/>
  <c r="AA184" i="3"/>
  <c r="AB1075" i="3"/>
  <c r="Y794" i="3"/>
  <c r="J200" i="3"/>
  <c r="V596" i="3"/>
  <c r="X695" i="3"/>
  <c r="AA1091" i="3"/>
  <c r="X315" i="3"/>
  <c r="V711" i="3"/>
  <c r="W810" i="3"/>
  <c r="Z414" i="3"/>
  <c r="Y1008" i="3"/>
  <c r="AB414" i="3"/>
  <c r="Y133" i="3"/>
  <c r="X331" i="3"/>
  <c r="V34" i="3"/>
  <c r="J133" i="3"/>
  <c r="W34" i="3"/>
  <c r="Y248" i="3"/>
  <c r="X941" i="3"/>
  <c r="Z545" i="3"/>
  <c r="AA446" i="3"/>
  <c r="W1040" i="3"/>
  <c r="AB941" i="3"/>
  <c r="Z759" i="3"/>
  <c r="J561" i="3"/>
  <c r="V561" i="3"/>
  <c r="X165" i="3"/>
  <c r="W660" i="3"/>
  <c r="X973" i="3"/>
  <c r="Y874" i="3"/>
  <c r="J874" i="3"/>
  <c r="V676" i="3"/>
  <c r="Z577" i="3"/>
  <c r="AB379" i="3"/>
  <c r="J593" i="3"/>
  <c r="W692" i="3"/>
  <c r="V890" i="3"/>
  <c r="AA989" i="3"/>
  <c r="Z296" i="3"/>
  <c r="AA411" i="3"/>
  <c r="J609" i="3"/>
  <c r="X312" i="3"/>
  <c r="V312" i="3"/>
  <c r="Z906" i="3"/>
  <c r="AB1005" i="3"/>
  <c r="Z130" i="3"/>
  <c r="J1021" i="3"/>
  <c r="Y427" i="3"/>
  <c r="W229" i="3"/>
  <c r="AA427" i="3"/>
  <c r="X443" i="3"/>
  <c r="Z740" i="3"/>
  <c r="W245" i="3"/>
  <c r="J938" i="3"/>
  <c r="V47" i="3"/>
  <c r="AB740" i="3"/>
  <c r="AA63" i="3"/>
  <c r="W657" i="3"/>
  <c r="J756" i="3"/>
  <c r="V657" i="3"/>
  <c r="Z558" i="3"/>
  <c r="X1069" i="3"/>
  <c r="V673" i="3"/>
  <c r="W376" i="3"/>
  <c r="J376" i="3"/>
  <c r="AA79" i="3"/>
  <c r="AB79" i="3"/>
  <c r="J1085" i="3"/>
  <c r="Y689" i="3"/>
  <c r="X194" i="3"/>
  <c r="W689" i="3"/>
  <c r="Z887" i="3"/>
  <c r="Z885" i="3"/>
  <c r="V984" i="3"/>
  <c r="Y291" i="3"/>
  <c r="X390" i="3"/>
  <c r="J1083" i="3"/>
  <c r="AB291" i="3"/>
  <c r="J74" i="3"/>
  <c r="V74" i="3"/>
  <c r="W272" i="3"/>
  <c r="Z668" i="3"/>
  <c r="Y1064" i="3"/>
  <c r="AA106" i="3"/>
  <c r="Z106" i="3"/>
  <c r="J601" i="3"/>
  <c r="X106" i="3"/>
  <c r="V106" i="3"/>
  <c r="AB106" i="3"/>
  <c r="AA253" i="3"/>
  <c r="Z946" i="3"/>
  <c r="W154" i="3"/>
  <c r="J847" i="3"/>
  <c r="V649" i="3"/>
  <c r="X111" i="3"/>
  <c r="V408" i="3"/>
  <c r="AA408" i="3"/>
  <c r="Z1002" i="3"/>
  <c r="J12" i="3"/>
  <c r="AB309" i="3"/>
  <c r="W523" i="3"/>
  <c r="Y325" i="3"/>
  <c r="Z28" i="3"/>
  <c r="X28" i="3"/>
  <c r="J919" i="3"/>
  <c r="X539" i="3"/>
  <c r="W1034" i="3"/>
  <c r="V836" i="3"/>
  <c r="AA44" i="3"/>
  <c r="J44" i="3"/>
  <c r="AB836" i="3"/>
  <c r="V60" i="3"/>
  <c r="Y654" i="3"/>
  <c r="AA258" i="3"/>
  <c r="J951" i="3"/>
  <c r="Z555" i="3"/>
  <c r="X868" i="3"/>
  <c r="J274" i="3"/>
  <c r="V868" i="3"/>
  <c r="AA967" i="3"/>
  <c r="Z373" i="3"/>
  <c r="AB868" i="3"/>
  <c r="AA587" i="3"/>
  <c r="W92" i="3"/>
  <c r="Y983" i="3"/>
  <c r="J686" i="3"/>
  <c r="Z389" i="3"/>
  <c r="AB108" i="3"/>
  <c r="W999" i="3"/>
  <c r="V801" i="3"/>
  <c r="X999" i="3"/>
  <c r="AA504" i="3"/>
  <c r="J306" i="3"/>
  <c r="AA223" i="3"/>
  <c r="W223" i="3"/>
  <c r="J817" i="3"/>
  <c r="Z916" i="3"/>
  <c r="V1015" i="3"/>
  <c r="X536" i="3"/>
  <c r="W635" i="3"/>
  <c r="Y41" i="3"/>
  <c r="J635" i="3"/>
  <c r="AA734" i="3"/>
  <c r="AB932" i="3"/>
  <c r="J849" i="3"/>
  <c r="W57" i="3"/>
  <c r="Y453" i="3"/>
  <c r="Z354" i="3"/>
  <c r="AA948" i="3"/>
  <c r="W766" i="3"/>
  <c r="Y172" i="3"/>
  <c r="V667" i="3"/>
  <c r="AA865" i="3"/>
  <c r="X271" i="3"/>
  <c r="AB73" i="3"/>
  <c r="X584" i="3"/>
  <c r="Y89" i="3"/>
  <c r="Z782" i="3"/>
  <c r="J287" i="3"/>
  <c r="W881" i="3"/>
  <c r="W105" i="3"/>
  <c r="X6" i="3"/>
  <c r="V105" i="3"/>
  <c r="Z303" i="3"/>
  <c r="J303" i="3"/>
  <c r="AB996" i="3"/>
  <c r="AA1012" i="3"/>
  <c r="Z814" i="3"/>
  <c r="Y913" i="3"/>
  <c r="W22" i="3"/>
  <c r="V319" i="3"/>
  <c r="AA731" i="3"/>
  <c r="Y830" i="3"/>
  <c r="V731" i="3"/>
  <c r="J137" i="3"/>
  <c r="W632" i="3"/>
  <c r="AB38" i="3"/>
  <c r="J945" i="3"/>
  <c r="V945" i="3"/>
  <c r="Z351" i="3"/>
  <c r="Y351" i="3"/>
  <c r="X54" i="3"/>
  <c r="X565" i="3"/>
  <c r="Z565" i="3"/>
  <c r="W961" i="3"/>
  <c r="V268" i="3"/>
  <c r="J664" i="3"/>
  <c r="AB70" i="3"/>
  <c r="Y680" i="3"/>
  <c r="W977" i="3"/>
  <c r="V680" i="3"/>
  <c r="Z383" i="3"/>
  <c r="X383" i="3"/>
  <c r="W102" i="3"/>
  <c r="Z102" i="3"/>
  <c r="V993" i="3"/>
  <c r="Y597" i="3"/>
  <c r="J300" i="3"/>
  <c r="AB597" i="3"/>
  <c r="J811" i="3"/>
  <c r="X1009" i="3"/>
  <c r="AA712" i="3"/>
  <c r="W613" i="3"/>
  <c r="Z316" i="3"/>
  <c r="AA332" i="3"/>
  <c r="X530" i="3"/>
  <c r="Z431" i="3"/>
  <c r="J233" i="3"/>
  <c r="Y530" i="3"/>
  <c r="AB35" i="3"/>
  <c r="AA843" i="3"/>
  <c r="X150" i="3"/>
  <c r="Y150" i="3"/>
  <c r="J645" i="3"/>
  <c r="W546" i="3"/>
  <c r="W67" i="3"/>
  <c r="V661" i="3"/>
  <c r="X760" i="3"/>
  <c r="Z265" i="3"/>
  <c r="Y67" i="3"/>
  <c r="AB463" i="3"/>
  <c r="J875" i="3"/>
  <c r="V974" i="3"/>
  <c r="AA281" i="3"/>
  <c r="X776" i="3"/>
  <c r="Y83" i="3"/>
  <c r="J297" i="3"/>
  <c r="Y198" i="3"/>
  <c r="X198" i="3"/>
  <c r="AA297" i="3"/>
  <c r="V198" i="3"/>
  <c r="AB297" i="3"/>
  <c r="AA457" i="3"/>
  <c r="J853" i="3"/>
  <c r="Z754" i="3"/>
  <c r="Y556" i="3"/>
  <c r="V61" i="3"/>
  <c r="Y256" i="3"/>
  <c r="X1048" i="3"/>
  <c r="Z256" i="3"/>
  <c r="W652" i="3"/>
  <c r="J751" i="3"/>
  <c r="AB652" i="3"/>
  <c r="X716" i="3"/>
  <c r="W1013" i="3"/>
  <c r="Z23" i="3"/>
  <c r="V23" i="3"/>
  <c r="Y914" i="3"/>
  <c r="AA1061" i="3"/>
  <c r="X368" i="3"/>
  <c r="Y467" i="3"/>
  <c r="Z665" i="3"/>
  <c r="J566" i="3"/>
  <c r="AB665" i="3"/>
  <c r="Y483" i="3"/>
  <c r="V87" i="3"/>
  <c r="X879" i="3"/>
  <c r="Z879" i="3"/>
  <c r="W384" i="3"/>
  <c r="H320" i="3"/>
  <c r="H732" i="3"/>
  <c r="H764" i="3"/>
  <c r="H1077" i="3"/>
  <c r="H317" i="3"/>
  <c r="H729" i="3"/>
  <c r="H167" i="3"/>
  <c r="H480" i="3"/>
  <c r="H215" i="3"/>
  <c r="H1023" i="3"/>
  <c r="H247" i="3"/>
  <c r="H774" i="3"/>
  <c r="H592" i="3"/>
  <c r="H921" i="3"/>
  <c r="H343" i="3"/>
  <c r="H771" i="3"/>
  <c r="H787" i="3"/>
  <c r="H605" i="3"/>
  <c r="H637" i="3"/>
  <c r="H950" i="3"/>
  <c r="H190" i="3"/>
  <c r="H503" i="3"/>
  <c r="H436" i="3"/>
  <c r="H650" i="3"/>
  <c r="H1078" i="3"/>
  <c r="H995" i="3"/>
  <c r="H714" i="3"/>
  <c r="H53" i="3"/>
  <c r="H663" i="3"/>
  <c r="H596" i="3"/>
  <c r="H513" i="3"/>
  <c r="H644" i="3"/>
  <c r="H165" i="3"/>
  <c r="H98" i="3"/>
  <c r="H906" i="3"/>
  <c r="H724" i="3"/>
  <c r="H261" i="3"/>
  <c r="H178" i="3"/>
  <c r="H903" i="3"/>
  <c r="H721" i="3"/>
  <c r="H357" i="3"/>
  <c r="H769" i="3"/>
  <c r="H785" i="3"/>
  <c r="H421" i="3"/>
  <c r="H437" i="3"/>
  <c r="H964" i="3"/>
  <c r="H386" i="3"/>
  <c r="H220" i="3"/>
  <c r="H335" i="3"/>
  <c r="H961" i="3"/>
  <c r="H284" i="3"/>
  <c r="H811" i="3"/>
  <c r="H348" i="3"/>
  <c r="H364" i="3"/>
  <c r="H990" i="3"/>
  <c r="H709" i="3"/>
  <c r="H543" i="3"/>
  <c r="H757" i="3"/>
  <c r="H80" i="3"/>
  <c r="H706" i="3"/>
  <c r="H524" i="3"/>
  <c r="H655" i="3"/>
  <c r="H176" i="3"/>
  <c r="H802" i="3"/>
  <c r="H719" i="3"/>
  <c r="H454" i="3"/>
  <c r="H173" i="3"/>
  <c r="H106" i="3"/>
  <c r="H914" i="3"/>
  <c r="H237" i="3"/>
  <c r="H368" i="3"/>
  <c r="H483" i="3"/>
  <c r="H218" i="3"/>
  <c r="H630" i="3"/>
  <c r="H860" i="3"/>
  <c r="H282" i="3"/>
  <c r="H1007" i="3"/>
  <c r="H627" i="3"/>
  <c r="H65" i="3"/>
  <c r="H972" i="3"/>
  <c r="H988" i="3"/>
  <c r="H327" i="3"/>
  <c r="H1036" i="3"/>
  <c r="H969" i="3"/>
  <c r="H688" i="3"/>
  <c r="H704" i="3"/>
  <c r="H43" i="3"/>
  <c r="H851" i="3"/>
  <c r="H388" i="3"/>
  <c r="H800" i="3"/>
  <c r="H634" i="3"/>
  <c r="H353" i="3"/>
  <c r="H880" i="3"/>
  <c r="H698" i="3"/>
  <c r="H136" i="3"/>
  <c r="H350" i="3"/>
  <c r="H861" i="3"/>
  <c r="H992" i="3"/>
  <c r="H711" i="3"/>
  <c r="H545" i="3"/>
  <c r="H759" i="3"/>
  <c r="H791" i="3"/>
  <c r="H411" i="3"/>
  <c r="H427" i="3"/>
  <c r="H756" i="3"/>
  <c r="H1069" i="3"/>
  <c r="H12" i="3"/>
  <c r="H424" i="3"/>
  <c r="H951" i="3"/>
  <c r="H472" i="3"/>
  <c r="H9" i="3"/>
  <c r="H223" i="3"/>
  <c r="H140" i="3"/>
  <c r="H865" i="3"/>
  <c r="H584" i="3"/>
  <c r="H814" i="3"/>
  <c r="H38" i="3"/>
  <c r="H367" i="3"/>
  <c r="H977" i="3"/>
  <c r="H712" i="3"/>
  <c r="H447" i="3"/>
  <c r="H67" i="3"/>
  <c r="H198" i="3"/>
  <c r="H115" i="3"/>
  <c r="H345" i="3"/>
  <c r="H955" i="3"/>
  <c r="H888" i="3"/>
  <c r="H310" i="3"/>
  <c r="H821" i="3"/>
  <c r="H754" i="3"/>
  <c r="H1067" i="3"/>
  <c r="H901" i="3"/>
  <c r="H422" i="3"/>
  <c r="H58" i="3"/>
  <c r="H371" i="3"/>
  <c r="H815" i="3"/>
  <c r="H39" i="3"/>
  <c r="H863" i="3"/>
  <c r="H384" i="3"/>
  <c r="H416" i="3"/>
  <c r="H333" i="3"/>
  <c r="H646" i="3"/>
  <c r="H777" i="3"/>
  <c r="H100" i="3"/>
  <c r="H33" i="3"/>
  <c r="H742" i="3"/>
  <c r="H477" i="3"/>
  <c r="H97" i="3"/>
  <c r="H822" i="3"/>
  <c r="H640" i="3"/>
  <c r="H78" i="3"/>
  <c r="H985" i="3"/>
  <c r="H407" i="3"/>
  <c r="H1033" i="3"/>
  <c r="H455" i="3"/>
  <c r="H883" i="3"/>
  <c r="H206" i="3"/>
  <c r="H915" i="3"/>
  <c r="H1046" i="3"/>
  <c r="H765" i="3"/>
  <c r="H401" i="3"/>
  <c r="H813" i="3"/>
  <c r="H251" i="3"/>
  <c r="H564" i="3"/>
  <c r="H893" i="3"/>
  <c r="H117" i="3"/>
  <c r="H50" i="3"/>
  <c r="H462" i="3"/>
  <c r="H82" i="3"/>
  <c r="H15" i="3"/>
  <c r="H229" i="3"/>
  <c r="H63" i="3"/>
  <c r="H79" i="3"/>
  <c r="H293" i="3"/>
  <c r="H28" i="3"/>
  <c r="H44" i="3"/>
  <c r="H868" i="3"/>
  <c r="H290" i="3"/>
  <c r="H322" i="3"/>
  <c r="H536" i="3"/>
  <c r="H370" i="3"/>
  <c r="H485" i="3"/>
  <c r="H319" i="3"/>
  <c r="H632" i="3"/>
  <c r="H945" i="3"/>
  <c r="H680" i="3"/>
  <c r="H498" i="3"/>
  <c r="H1009" i="3"/>
  <c r="H1041" i="3"/>
  <c r="H463" i="3"/>
  <c r="H677" i="3"/>
  <c r="H313" i="3"/>
  <c r="H626" i="3"/>
  <c r="H856" i="3"/>
  <c r="H377" i="3"/>
  <c r="H211" i="3"/>
  <c r="H128" i="3"/>
  <c r="H259" i="3"/>
  <c r="H968" i="3"/>
  <c r="H406" i="3"/>
  <c r="H323" i="3"/>
  <c r="H636" i="3"/>
  <c r="H74" i="3"/>
  <c r="H783" i="3"/>
  <c r="H601" i="3"/>
  <c r="H831" i="3"/>
  <c r="H748" i="3"/>
  <c r="H681" i="3"/>
  <c r="H697" i="3"/>
  <c r="H1026" i="3"/>
  <c r="H1042" i="3"/>
  <c r="H975" i="3"/>
  <c r="H595" i="3"/>
  <c r="H330" i="3"/>
  <c r="H544" i="3"/>
  <c r="H1055" i="3"/>
  <c r="H196" i="3"/>
  <c r="H410" i="3"/>
  <c r="H739" i="3"/>
  <c r="H161" i="3"/>
  <c r="H1084" i="3"/>
  <c r="H11" i="3"/>
  <c r="H720" i="3"/>
  <c r="H1049" i="3"/>
  <c r="H174" i="3"/>
  <c r="H8" i="3"/>
  <c r="H123" i="3"/>
  <c r="H56" i="3"/>
  <c r="H1062" i="3"/>
  <c r="H302" i="3"/>
  <c r="H318" i="3"/>
  <c r="H730" i="3"/>
  <c r="H366" i="3"/>
  <c r="H877" i="3"/>
  <c r="H18" i="3"/>
  <c r="H628" i="3"/>
  <c r="H264" i="3"/>
  <c r="H181" i="3"/>
  <c r="H1021" i="3"/>
  <c r="H542" i="3"/>
  <c r="H772" i="3"/>
  <c r="H194" i="3"/>
  <c r="H325" i="3"/>
  <c r="H737" i="3"/>
  <c r="H76" i="3"/>
  <c r="H884" i="3"/>
  <c r="H603" i="3"/>
  <c r="H41" i="3"/>
  <c r="H849" i="3"/>
  <c r="H89" i="3"/>
  <c r="H699" i="3"/>
  <c r="H731" i="3"/>
  <c r="H549" i="3"/>
  <c r="H185" i="3"/>
  <c r="H201" i="3"/>
  <c r="H118" i="3"/>
  <c r="H728" i="3"/>
  <c r="H760" i="3"/>
  <c r="H83" i="3"/>
  <c r="H214" i="3"/>
  <c r="H725" i="3"/>
  <c r="H1054" i="3"/>
  <c r="H674" i="3"/>
  <c r="H591" i="3"/>
  <c r="H1019" i="3"/>
  <c r="H639" i="3"/>
  <c r="H77" i="3"/>
  <c r="H687" i="3"/>
  <c r="H1016" i="3"/>
  <c r="H240" i="3"/>
  <c r="H668" i="3"/>
  <c r="H1080" i="3"/>
  <c r="Z982" i="3"/>
  <c r="J487" i="3"/>
  <c r="V883" i="3"/>
  <c r="X784" i="3"/>
  <c r="AB487" i="3"/>
  <c r="AA107" i="3"/>
  <c r="J602" i="3"/>
  <c r="W602" i="3"/>
  <c r="V602" i="3"/>
  <c r="AB998" i="3"/>
  <c r="V420" i="3"/>
  <c r="Z717" i="3"/>
  <c r="X618" i="3"/>
  <c r="AA123" i="3"/>
  <c r="W420" i="3"/>
  <c r="AB222" i="3"/>
  <c r="AA931" i="3"/>
  <c r="Y139" i="3"/>
  <c r="W238" i="3"/>
  <c r="J1030" i="3"/>
  <c r="AB139" i="3"/>
  <c r="Z1046" i="3"/>
  <c r="J353" i="3"/>
  <c r="W452" i="3"/>
  <c r="V1046" i="3"/>
  <c r="X551" i="3"/>
  <c r="AB1046" i="3"/>
  <c r="AA567" i="3"/>
  <c r="X963" i="3"/>
  <c r="Y468" i="3"/>
  <c r="Z666" i="3"/>
  <c r="AB1062" i="3"/>
  <c r="V187" i="3"/>
  <c r="Z682" i="3"/>
  <c r="Y385" i="3"/>
  <c r="W583" i="3"/>
  <c r="J88" i="3"/>
  <c r="AB880" i="3"/>
  <c r="W797" i="3"/>
  <c r="AA797" i="3"/>
  <c r="AB104" i="3"/>
  <c r="J203" i="3"/>
  <c r="X995" i="3"/>
  <c r="X1011" i="3"/>
  <c r="V714" i="3"/>
  <c r="Y120" i="3"/>
  <c r="AA912" i="3"/>
  <c r="J120" i="3"/>
  <c r="AB120" i="3"/>
  <c r="AA928" i="3"/>
  <c r="X928" i="3"/>
  <c r="J136" i="3"/>
  <c r="Y37" i="3"/>
  <c r="AB730" i="3"/>
  <c r="AA152" i="3"/>
  <c r="W449" i="3"/>
  <c r="Y1043" i="3"/>
  <c r="V350" i="3"/>
  <c r="Z944" i="3"/>
  <c r="AB449" i="3"/>
  <c r="AA960" i="3"/>
  <c r="W663" i="3"/>
  <c r="Z168" i="3"/>
  <c r="X762" i="3"/>
  <c r="AB168" i="3"/>
  <c r="J382" i="3"/>
  <c r="X679" i="3"/>
  <c r="V85" i="3"/>
  <c r="Y481" i="3"/>
  <c r="Z481" i="3"/>
  <c r="AB85" i="3"/>
  <c r="Z893" i="3"/>
  <c r="J1091" i="3"/>
  <c r="W299" i="3"/>
  <c r="X794" i="3"/>
  <c r="AB596" i="3"/>
  <c r="X414" i="3"/>
  <c r="V315" i="3"/>
  <c r="W414" i="3"/>
  <c r="Z1008" i="3"/>
  <c r="AA315" i="3"/>
  <c r="AB216" i="3"/>
  <c r="AA232" i="3"/>
  <c r="X34" i="3"/>
  <c r="Z331" i="3"/>
  <c r="J34" i="3"/>
  <c r="AB34" i="3"/>
  <c r="Y941" i="3"/>
  <c r="X446" i="3"/>
  <c r="Z842" i="3"/>
  <c r="AA149" i="3"/>
  <c r="J347" i="3"/>
  <c r="AB644" i="3"/>
  <c r="Y363" i="3"/>
  <c r="J1056" i="3"/>
  <c r="AA66" i="3"/>
  <c r="X858" i="3"/>
  <c r="AB363" i="3"/>
  <c r="X676" i="3"/>
  <c r="Y676" i="3"/>
  <c r="J181" i="3"/>
  <c r="V82" i="3"/>
  <c r="W874" i="3"/>
  <c r="AB775" i="3"/>
  <c r="Y98" i="3"/>
  <c r="W593" i="3"/>
  <c r="X98" i="3"/>
  <c r="AA98" i="3"/>
  <c r="AB791" i="3"/>
  <c r="AA312" i="3"/>
  <c r="J708" i="3"/>
  <c r="X708" i="3"/>
  <c r="V510" i="3"/>
  <c r="Y906" i="3"/>
  <c r="AB213" i="3"/>
  <c r="V526" i="3"/>
  <c r="J427" i="3"/>
  <c r="X526" i="3"/>
  <c r="W625" i="3"/>
  <c r="AB526" i="3"/>
  <c r="X1037" i="3"/>
  <c r="Z344" i="3"/>
  <c r="W344" i="3"/>
  <c r="J740" i="3"/>
  <c r="Y740" i="3"/>
  <c r="AB1037" i="3"/>
  <c r="X855" i="3"/>
  <c r="W558" i="3"/>
  <c r="Y360" i="3"/>
  <c r="V162" i="3"/>
  <c r="AB558" i="3"/>
  <c r="X673" i="3"/>
  <c r="V871" i="3"/>
  <c r="W574" i="3"/>
  <c r="J178" i="3"/>
  <c r="Z772" i="3"/>
  <c r="AB871" i="3"/>
  <c r="AA689" i="3"/>
  <c r="Y392" i="3"/>
  <c r="V95" i="3"/>
  <c r="W491" i="3"/>
  <c r="AB986" i="3"/>
  <c r="Z291" i="3"/>
  <c r="V93" i="3"/>
  <c r="Y984" i="3"/>
  <c r="X291" i="3"/>
  <c r="AA984" i="3"/>
  <c r="AB1083" i="3"/>
  <c r="AA965" i="3"/>
  <c r="V272" i="3"/>
  <c r="X173" i="3"/>
  <c r="Z866" i="3"/>
  <c r="AB569" i="3"/>
  <c r="AA700" i="3"/>
  <c r="Z799" i="3"/>
  <c r="J106" i="3"/>
  <c r="X601" i="3"/>
  <c r="W7" i="3"/>
  <c r="AB403" i="3"/>
  <c r="Y55" i="3"/>
  <c r="Z253" i="3"/>
  <c r="X352" i="3"/>
  <c r="J1045" i="3"/>
  <c r="AB550" i="3"/>
  <c r="X507" i="3"/>
  <c r="V606" i="3"/>
  <c r="AA1002" i="3"/>
  <c r="Z705" i="3"/>
  <c r="Y804" i="3"/>
  <c r="AB804" i="3"/>
  <c r="AA721" i="3"/>
  <c r="Y622" i="3"/>
  <c r="V721" i="3"/>
  <c r="X721" i="3"/>
  <c r="AB820" i="3"/>
  <c r="X440" i="3"/>
  <c r="W242" i="3"/>
  <c r="V143" i="3"/>
  <c r="AA143" i="3"/>
  <c r="Y143" i="3"/>
  <c r="AB935" i="3"/>
  <c r="X753" i="3"/>
  <c r="Y258" i="3"/>
  <c r="W456" i="3"/>
  <c r="J852" i="3"/>
  <c r="AB1050" i="3"/>
  <c r="X76" i="3"/>
  <c r="J1066" i="3"/>
  <c r="V274" i="3"/>
  <c r="AA76" i="3"/>
  <c r="Y175" i="3"/>
  <c r="AB373" i="3"/>
  <c r="V884" i="3"/>
  <c r="W488" i="3"/>
  <c r="X290" i="3"/>
  <c r="J884" i="3"/>
  <c r="AB92" i="3"/>
  <c r="AB603" i="3"/>
  <c r="W504" i="3"/>
  <c r="V207" i="3"/>
  <c r="X801" i="3"/>
  <c r="Y108" i="3"/>
  <c r="J702" i="3"/>
  <c r="X223" i="3"/>
  <c r="W718" i="3"/>
  <c r="Y718" i="3"/>
  <c r="Z520" i="3"/>
  <c r="AB25" i="3"/>
  <c r="X338" i="3"/>
  <c r="W140" i="3"/>
  <c r="Y338" i="3"/>
  <c r="J41" i="3"/>
  <c r="Z635" i="3"/>
  <c r="AB437" i="3"/>
  <c r="V1047" i="3"/>
  <c r="W255" i="3"/>
  <c r="X156" i="3"/>
  <c r="Z57" i="3"/>
  <c r="AB156" i="3"/>
  <c r="W469" i="3"/>
  <c r="Y568" i="3"/>
  <c r="V172" i="3"/>
  <c r="AA172" i="3"/>
  <c r="J370" i="3"/>
  <c r="AB568" i="3"/>
  <c r="AA683" i="3"/>
  <c r="Y683" i="3"/>
  <c r="V881" i="3"/>
  <c r="J881" i="3"/>
  <c r="AB89" i="3"/>
  <c r="W303" i="3"/>
  <c r="X996" i="3"/>
  <c r="V996" i="3"/>
  <c r="Z105" i="3"/>
  <c r="AA303" i="3"/>
  <c r="AB204" i="3"/>
  <c r="J1012" i="3"/>
  <c r="Z913" i="3"/>
  <c r="X22" i="3"/>
  <c r="W1012" i="3"/>
  <c r="AB1012" i="3"/>
  <c r="AA434" i="3"/>
  <c r="Y38" i="3"/>
  <c r="V632" i="3"/>
  <c r="J731" i="3"/>
  <c r="Z632" i="3"/>
  <c r="AB434" i="3"/>
  <c r="AA54" i="3"/>
  <c r="V648" i="3"/>
  <c r="W945" i="3"/>
  <c r="Y54" i="3"/>
  <c r="AB945" i="3"/>
  <c r="X862" i="3"/>
  <c r="Z862" i="3"/>
  <c r="W268" i="3"/>
  <c r="V70" i="3"/>
  <c r="AA268" i="3"/>
  <c r="AB862" i="3"/>
  <c r="AA977" i="3"/>
  <c r="W1076" i="3"/>
  <c r="J383" i="3"/>
  <c r="Z86" i="3"/>
  <c r="AB977" i="3"/>
  <c r="W399" i="3"/>
  <c r="Z399" i="3"/>
  <c r="V795" i="3"/>
  <c r="Y3" i="3"/>
  <c r="X399" i="3"/>
  <c r="AB300" i="3"/>
  <c r="V712" i="3"/>
  <c r="X415" i="3"/>
  <c r="Y910" i="3"/>
  <c r="W910" i="3"/>
  <c r="AB514" i="3"/>
  <c r="AA1025" i="3"/>
  <c r="X134" i="3"/>
  <c r="Z827" i="3"/>
  <c r="J827" i="3"/>
  <c r="W728" i="3"/>
  <c r="AB431" i="3"/>
  <c r="V942" i="3"/>
  <c r="X249" i="3"/>
  <c r="Z249" i="3"/>
  <c r="J546" i="3"/>
  <c r="AB843" i="3"/>
  <c r="W958" i="3"/>
  <c r="V958" i="3"/>
  <c r="X364" i="3"/>
  <c r="Z67" i="3"/>
  <c r="J1057" i="3"/>
  <c r="AB562" i="3"/>
  <c r="Z578" i="3"/>
  <c r="V875" i="3"/>
  <c r="W182" i="3"/>
  <c r="X83" i="3"/>
  <c r="AB974" i="3"/>
  <c r="J198" i="3"/>
  <c r="Y792" i="3"/>
  <c r="X891" i="3"/>
  <c r="AA693" i="3"/>
  <c r="Z1089" i="3"/>
  <c r="AB891" i="3"/>
  <c r="X1051" i="3"/>
  <c r="J61" i="3"/>
  <c r="W655" i="3"/>
  <c r="Y259" i="3"/>
  <c r="AB358" i="3"/>
  <c r="Y157" i="3"/>
  <c r="X553" i="3"/>
  <c r="Z454" i="3"/>
  <c r="W355" i="3"/>
  <c r="V1048" i="3"/>
  <c r="AB1048" i="3"/>
  <c r="J716" i="3"/>
  <c r="W716" i="3"/>
  <c r="AA914" i="3"/>
  <c r="V320" i="3"/>
  <c r="AB1013" i="3"/>
  <c r="AA962" i="3"/>
  <c r="X962" i="3"/>
  <c r="Y368" i="3"/>
  <c r="Z863" i="3"/>
  <c r="W665" i="3"/>
  <c r="AB368" i="3"/>
  <c r="J483" i="3"/>
  <c r="V879" i="3"/>
  <c r="AA186" i="3"/>
  <c r="Z1077" i="3"/>
  <c r="AB879" i="3"/>
  <c r="H205" i="3"/>
  <c r="H617" i="3"/>
  <c r="H1045" i="3"/>
  <c r="H467" i="3"/>
  <c r="H400" i="3"/>
  <c r="H119" i="3"/>
  <c r="H151" i="3"/>
  <c r="H68" i="3"/>
  <c r="H678" i="3"/>
  <c r="H17" i="3"/>
  <c r="H825" i="3"/>
  <c r="H857" i="3"/>
  <c r="H279" i="3"/>
  <c r="H806" i="3"/>
  <c r="H129" i="3"/>
  <c r="H1052" i="3"/>
  <c r="H177" i="3"/>
  <c r="H27" i="3"/>
  <c r="H340" i="3"/>
  <c r="H75" i="3"/>
  <c r="H685" i="3"/>
  <c r="H321" i="3"/>
  <c r="H832" i="3"/>
  <c r="H452" i="3"/>
  <c r="H286" i="3"/>
  <c r="H203" i="3"/>
  <c r="H1027" i="3"/>
  <c r="H548" i="3"/>
  <c r="H283" i="3"/>
  <c r="H200" i="3"/>
  <c r="H331" i="3"/>
  <c r="H842" i="3"/>
  <c r="H280" i="3"/>
  <c r="H296" i="3"/>
  <c r="H213" i="3"/>
  <c r="H344" i="3"/>
  <c r="H558" i="3"/>
  <c r="H392" i="3"/>
  <c r="H408" i="3"/>
  <c r="H820" i="3"/>
  <c r="H258" i="3"/>
  <c r="H1066" i="3"/>
  <c r="H207" i="3"/>
  <c r="H718" i="3"/>
  <c r="H354" i="3"/>
  <c r="H1063" i="3"/>
  <c r="H6" i="3"/>
  <c r="H913" i="3"/>
  <c r="H1044" i="3"/>
  <c r="H268" i="3"/>
  <c r="H86" i="3"/>
  <c r="H926" i="3"/>
  <c r="H546" i="3"/>
  <c r="H182" i="3"/>
  <c r="H99" i="3"/>
  <c r="H511" i="3"/>
  <c r="H444" i="3"/>
  <c r="H163" i="3"/>
  <c r="H987" i="3"/>
  <c r="H904" i="3"/>
  <c r="H144" i="3"/>
  <c r="H556" i="3"/>
  <c r="H489" i="3"/>
  <c r="H307" i="3"/>
  <c r="H339" i="3"/>
  <c r="H949" i="3"/>
  <c r="H470" i="3"/>
  <c r="H403" i="3"/>
  <c r="H1013" i="3"/>
  <c r="H352" i="3"/>
  <c r="H962" i="3"/>
  <c r="H202" i="3"/>
  <c r="H515" i="3"/>
  <c r="H448" i="3"/>
  <c r="H365" i="3"/>
  <c r="H793" i="3"/>
  <c r="H809" i="3"/>
  <c r="H726" i="3"/>
  <c r="H659" i="3"/>
  <c r="H576" i="3"/>
  <c r="H113" i="3"/>
  <c r="H525" i="3"/>
  <c r="H953" i="3"/>
  <c r="H474" i="3"/>
  <c r="H918" i="3"/>
  <c r="H241" i="3"/>
  <c r="H273" i="3"/>
  <c r="H91" i="3"/>
  <c r="H1014" i="3"/>
  <c r="H139" i="3"/>
  <c r="H468" i="3"/>
  <c r="H979" i="3"/>
  <c r="H500" i="3"/>
  <c r="H235" i="3"/>
  <c r="H647" i="3"/>
  <c r="H679" i="3"/>
  <c r="H695" i="3"/>
  <c r="H430" i="3"/>
  <c r="H446" i="3"/>
  <c r="H478" i="3"/>
  <c r="H197" i="3"/>
  <c r="H510" i="3"/>
  <c r="H839" i="3"/>
  <c r="H162" i="3"/>
  <c r="H887" i="3"/>
  <c r="H804" i="3"/>
  <c r="H440" i="3"/>
  <c r="H852" i="3"/>
  <c r="H274" i="3"/>
  <c r="H108" i="3"/>
  <c r="H619" i="3"/>
  <c r="H750" i="3"/>
  <c r="H766" i="3"/>
  <c r="H897" i="3"/>
  <c r="H616" i="3"/>
  <c r="H252" i="3"/>
  <c r="H664" i="3"/>
  <c r="H399" i="3"/>
  <c r="H827" i="3"/>
  <c r="H249" i="3"/>
  <c r="H578" i="3"/>
  <c r="H792" i="3"/>
  <c r="H329" i="3"/>
  <c r="H939" i="3"/>
  <c r="H658" i="3"/>
  <c r="H789" i="3"/>
  <c r="H1003" i="3"/>
  <c r="H936" i="3"/>
  <c r="H160" i="3"/>
  <c r="H984" i="3"/>
  <c r="H703" i="3"/>
  <c r="H438" i="3"/>
  <c r="H1048" i="3"/>
  <c r="H486" i="3"/>
  <c r="H898" i="3"/>
  <c r="H122" i="3"/>
  <c r="H451" i="3"/>
  <c r="H566" i="3"/>
  <c r="H879" i="3"/>
  <c r="H911" i="3"/>
  <c r="H531" i="3"/>
  <c r="H959" i="3"/>
  <c r="H876" i="3"/>
  <c r="H908" i="3"/>
  <c r="H528" i="3"/>
  <c r="H956" i="3"/>
  <c r="H81" i="3"/>
  <c r="H212" i="3"/>
  <c r="H30" i="3"/>
  <c r="H244" i="3"/>
  <c r="H573" i="3"/>
  <c r="H490" i="3"/>
  <c r="H225" i="3"/>
  <c r="H934" i="3"/>
  <c r="H356" i="3"/>
  <c r="H982" i="3"/>
  <c r="H701" i="3"/>
  <c r="H931" i="3"/>
  <c r="H749" i="3"/>
  <c r="H682" i="3"/>
  <c r="H599" i="3"/>
  <c r="H928" i="3"/>
  <c r="H944" i="3"/>
  <c r="H778" i="3"/>
  <c r="H299" i="3"/>
  <c r="H612" i="3"/>
  <c r="H347" i="3"/>
  <c r="H957" i="3"/>
  <c r="H395" i="3"/>
  <c r="H1005" i="3"/>
  <c r="H526" i="3"/>
  <c r="H855" i="3"/>
  <c r="H673" i="3"/>
  <c r="H111" i="3"/>
  <c r="H523" i="3"/>
  <c r="H654" i="3"/>
  <c r="H175" i="3"/>
  <c r="H306" i="3"/>
  <c r="H1015" i="3"/>
  <c r="H552" i="3"/>
  <c r="H568" i="3"/>
  <c r="H1079" i="3"/>
  <c r="H121" i="3"/>
  <c r="H830" i="3"/>
  <c r="H565" i="3"/>
  <c r="H779" i="3"/>
  <c r="H613" i="3"/>
  <c r="H744" i="3"/>
  <c r="H265" i="3"/>
  <c r="H495" i="3"/>
  <c r="H808" i="3"/>
  <c r="H741" i="3"/>
  <c r="H559" i="3"/>
  <c r="H690" i="3"/>
  <c r="H13" i="3"/>
  <c r="H243" i="3"/>
  <c r="H358" i="3"/>
  <c r="H572" i="3"/>
  <c r="H109" i="3"/>
  <c r="H620" i="3"/>
  <c r="H553" i="3"/>
  <c r="H965" i="3"/>
  <c r="H221" i="3"/>
  <c r="H633" i="3"/>
  <c r="H665" i="3"/>
  <c r="H582" i="3"/>
  <c r="H20" i="3"/>
  <c r="H36" i="3"/>
  <c r="H662" i="3"/>
  <c r="H1074" i="3"/>
  <c r="H298" i="3"/>
  <c r="H429" i="3"/>
  <c r="H841" i="3"/>
  <c r="H1071" i="3"/>
  <c r="H295" i="3"/>
  <c r="H1020" i="3"/>
  <c r="H46" i="3"/>
  <c r="H1068" i="3"/>
  <c r="H292" i="3"/>
  <c r="H506" i="3"/>
  <c r="H439" i="3"/>
  <c r="H752" i="3"/>
  <c r="H289" i="3"/>
  <c r="H404" i="3"/>
  <c r="H238" i="3"/>
  <c r="H155" i="3"/>
  <c r="H171" i="3"/>
  <c r="H104" i="3"/>
  <c r="H516" i="3"/>
  <c r="H449" i="3"/>
  <c r="H1059" i="3"/>
  <c r="H101" i="3"/>
  <c r="H1008" i="3"/>
  <c r="H1040" i="3"/>
  <c r="H561" i="3"/>
  <c r="H494" i="3"/>
  <c r="H114" i="3"/>
  <c r="H625" i="3"/>
  <c r="H459" i="3"/>
  <c r="H376" i="3"/>
  <c r="H309" i="3"/>
  <c r="H1018" i="3"/>
  <c r="H638" i="3"/>
  <c r="H967" i="3"/>
  <c r="H1082" i="3"/>
  <c r="H916" i="3"/>
  <c r="H833" i="3"/>
  <c r="H271" i="3"/>
  <c r="H782" i="3"/>
  <c r="H22" i="3"/>
  <c r="H236" i="3"/>
  <c r="H70" i="3"/>
  <c r="H581" i="3"/>
  <c r="H597" i="3"/>
  <c r="H514" i="3"/>
  <c r="H150" i="3"/>
  <c r="H661" i="3"/>
  <c r="H594" i="3"/>
  <c r="H907" i="3"/>
  <c r="H527" i="3"/>
  <c r="H460" i="3"/>
  <c r="H1070" i="3"/>
  <c r="H508" i="3"/>
  <c r="H920" i="3"/>
  <c r="H853" i="3"/>
  <c r="H869" i="3"/>
  <c r="H208" i="3"/>
  <c r="H917" i="3"/>
  <c r="H652" i="3"/>
  <c r="H767" i="3"/>
  <c r="H981" i="3"/>
  <c r="W115" i="3"/>
  <c r="W808" i="3"/>
  <c r="Z48" i="3"/>
  <c r="Z741" i="3"/>
  <c r="AA971" i="3"/>
  <c r="AA80" i="3"/>
  <c r="J13" i="3"/>
  <c r="J310" i="3"/>
  <c r="W45" i="3"/>
  <c r="W243" i="3"/>
  <c r="W10" i="3"/>
  <c r="W604" i="3"/>
  <c r="Z240" i="3"/>
  <c r="Z933" i="3"/>
  <c r="AA534" i="3"/>
  <c r="AA336" i="3"/>
  <c r="W812" i="3"/>
  <c r="W416" i="3"/>
  <c r="V1042" i="3"/>
  <c r="V349" i="3"/>
  <c r="X777" i="3"/>
  <c r="X183" i="3"/>
  <c r="V710" i="3"/>
  <c r="V413" i="3"/>
  <c r="V1039" i="3"/>
  <c r="V445" i="3"/>
  <c r="W477" i="3"/>
  <c r="W576" i="3"/>
  <c r="Z311" i="3"/>
  <c r="Z509" i="3"/>
  <c r="V640" i="3"/>
  <c r="V343" i="3"/>
  <c r="W672" i="3"/>
  <c r="W276" i="3"/>
  <c r="Z605" i="3"/>
  <c r="Z803" i="3"/>
  <c r="J835" i="3"/>
  <c r="J439" i="3"/>
  <c r="X709" i="3"/>
  <c r="X214" i="3"/>
  <c r="V642" i="3"/>
  <c r="V840" i="3"/>
  <c r="X773" i="3"/>
  <c r="X971" i="3"/>
  <c r="AA1003" i="3"/>
  <c r="AA112" i="3"/>
  <c r="Z441" i="3"/>
  <c r="Z342" i="3"/>
  <c r="Z604" i="3"/>
  <c r="Z109" i="3"/>
  <c r="W438" i="3"/>
  <c r="W1032" i="3"/>
  <c r="J732" i="3"/>
  <c r="J435" i="3"/>
  <c r="AA911" i="3"/>
  <c r="AA1010" i="3"/>
  <c r="X745" i="3"/>
  <c r="X1042" i="3"/>
  <c r="V84" i="3"/>
  <c r="V1074" i="3"/>
  <c r="Y1007" i="3"/>
  <c r="Y512" i="3"/>
  <c r="Z247" i="3"/>
  <c r="Z445" i="3"/>
  <c r="AA81" i="3"/>
  <c r="AA873" i="3"/>
  <c r="V311" i="3"/>
  <c r="V608" i="3"/>
  <c r="AA244" i="3"/>
  <c r="AA145" i="3"/>
  <c r="Y375" i="3"/>
  <c r="Y177" i="3"/>
  <c r="V407" i="3"/>
  <c r="V110" i="3"/>
  <c r="W241" i="3"/>
  <c r="W1033" i="3"/>
  <c r="AA313" i="3"/>
  <c r="AA709" i="3"/>
  <c r="AA907" i="3"/>
  <c r="AA412" i="3"/>
  <c r="AA808" i="3"/>
  <c r="AA543" i="3"/>
  <c r="AA246" i="3"/>
  <c r="AA939" i="3"/>
  <c r="AA147" i="3"/>
  <c r="AA48" i="3"/>
  <c r="J575" i="3"/>
  <c r="J674" i="3"/>
  <c r="J179" i="3"/>
  <c r="J377" i="3"/>
  <c r="J476" i="3"/>
  <c r="Z310" i="3"/>
  <c r="Z409" i="3"/>
  <c r="Z508" i="3"/>
  <c r="Z112" i="3"/>
  <c r="Z211" i="3"/>
  <c r="X540" i="3"/>
  <c r="X243" i="3"/>
  <c r="X837" i="3"/>
  <c r="X1035" i="3"/>
  <c r="X639" i="3"/>
  <c r="X1000" i="3"/>
  <c r="X604" i="3"/>
  <c r="X109" i="3"/>
  <c r="X802" i="3"/>
  <c r="X10" i="3"/>
  <c r="AA636" i="3"/>
  <c r="AA735" i="3"/>
  <c r="AA339" i="3"/>
  <c r="AA438" i="3"/>
  <c r="AA933" i="3"/>
  <c r="Z930" i="3"/>
  <c r="Z336" i="3"/>
  <c r="Z1029" i="3"/>
  <c r="Z138" i="3"/>
  <c r="Z633" i="3"/>
  <c r="Y713" i="3"/>
  <c r="Y1010" i="3"/>
  <c r="Y515" i="3"/>
  <c r="Y317" i="3"/>
  <c r="Y119" i="3"/>
  <c r="J250" i="3"/>
  <c r="J1042" i="3"/>
  <c r="J151" i="3"/>
  <c r="J844" i="3"/>
  <c r="J349" i="3"/>
  <c r="W480" i="3"/>
  <c r="W183" i="3"/>
  <c r="W678" i="3"/>
  <c r="W579" i="3"/>
  <c r="W282" i="3"/>
  <c r="X1007" i="3"/>
  <c r="X809" i="3"/>
  <c r="X512" i="3"/>
  <c r="X611" i="3"/>
  <c r="X710" i="3"/>
  <c r="AA148" i="3"/>
  <c r="AA247" i="3"/>
  <c r="AA940" i="3"/>
  <c r="AA445" i="3"/>
  <c r="AA742" i="3"/>
  <c r="X972" i="3"/>
  <c r="X873" i="3"/>
  <c r="X576" i="3"/>
  <c r="X1071" i="3"/>
  <c r="X675" i="3"/>
  <c r="Y1004" i="3"/>
  <c r="Y905" i="3"/>
  <c r="Y212" i="3"/>
  <c r="Y509" i="3"/>
  <c r="Y707" i="3"/>
  <c r="J343" i="3"/>
  <c r="J937" i="3"/>
  <c r="J640" i="3"/>
  <c r="J838" i="3"/>
  <c r="J145" i="3"/>
  <c r="AA870" i="3"/>
  <c r="AA474" i="3"/>
  <c r="AA78" i="3"/>
  <c r="AA672" i="3"/>
  <c r="AA771" i="3"/>
  <c r="Y605" i="3"/>
  <c r="Y209" i="3"/>
  <c r="Y11" i="3"/>
  <c r="Y506" i="3"/>
  <c r="Y407" i="3"/>
  <c r="V538" i="3"/>
  <c r="V637" i="3"/>
  <c r="V1033" i="3"/>
  <c r="V439" i="3"/>
  <c r="V934" i="3"/>
  <c r="Y329" i="3"/>
  <c r="Y626" i="3"/>
  <c r="Y32" i="3"/>
  <c r="AA856" i="3"/>
  <c r="AA658" i="3"/>
  <c r="AA163" i="3"/>
  <c r="V492" i="3"/>
  <c r="V888" i="3"/>
  <c r="V690" i="3"/>
  <c r="J920" i="3"/>
  <c r="J326" i="3"/>
  <c r="J722" i="3"/>
  <c r="AA572" i="3"/>
  <c r="AA275" i="3"/>
  <c r="AA1067" i="3"/>
  <c r="V1016" i="3"/>
  <c r="V620" i="3"/>
  <c r="V521" i="3"/>
  <c r="AA882" i="3"/>
  <c r="AA288" i="3"/>
  <c r="AA783" i="3"/>
  <c r="Z895" i="3"/>
  <c r="Z499" i="3"/>
  <c r="Z4" i="3"/>
  <c r="W333" i="3"/>
  <c r="W729" i="3"/>
  <c r="W630" i="3"/>
  <c r="X563" i="3"/>
  <c r="X464" i="3"/>
  <c r="X365" i="3"/>
  <c r="V100" i="3"/>
  <c r="V397" i="3"/>
  <c r="V199" i="3"/>
  <c r="W726" i="3"/>
  <c r="W231" i="3"/>
  <c r="W429" i="3"/>
  <c r="Z659" i="3"/>
  <c r="Z263" i="3"/>
  <c r="Z461" i="3"/>
  <c r="Y394" i="3"/>
  <c r="Y592" i="3"/>
  <c r="Y196" i="3"/>
  <c r="Y129" i="3"/>
  <c r="Y426" i="3"/>
  <c r="Y822" i="3"/>
  <c r="W755" i="3"/>
  <c r="W359" i="3"/>
  <c r="W953" i="3"/>
  <c r="AA589" i="3"/>
  <c r="AA886" i="3"/>
  <c r="AA391" i="3"/>
  <c r="X423" i="3"/>
  <c r="X522" i="3"/>
  <c r="X126" i="3"/>
  <c r="X653" i="3"/>
  <c r="X1049" i="3"/>
  <c r="X59" i="3"/>
  <c r="J626" i="3"/>
  <c r="J527" i="3"/>
  <c r="J428" i="3"/>
  <c r="J230" i="3"/>
  <c r="J131" i="3"/>
  <c r="J329" i="3"/>
  <c r="Z460" i="3"/>
  <c r="Z955" i="3"/>
  <c r="Z64" i="3"/>
  <c r="Z163" i="3"/>
  <c r="Z559" i="3"/>
  <c r="Z361" i="3"/>
  <c r="W690" i="3"/>
  <c r="W789" i="3"/>
  <c r="W1086" i="3"/>
  <c r="W294" i="3"/>
  <c r="W591" i="3"/>
  <c r="W195" i="3"/>
  <c r="V821" i="3"/>
  <c r="V920" i="3"/>
  <c r="V128" i="3"/>
  <c r="V524" i="3"/>
  <c r="V1019" i="3"/>
  <c r="V227" i="3"/>
  <c r="X176" i="3"/>
  <c r="X275" i="3"/>
  <c r="X1067" i="3"/>
  <c r="X869" i="3"/>
  <c r="X671" i="3"/>
  <c r="X770" i="3"/>
  <c r="W1016" i="3"/>
  <c r="W26" i="3"/>
  <c r="W620" i="3"/>
  <c r="W917" i="3"/>
  <c r="W224" i="3"/>
  <c r="W125" i="3"/>
  <c r="Z585" i="3"/>
  <c r="Z387" i="3"/>
  <c r="Z981" i="3"/>
  <c r="Z1080" i="3"/>
  <c r="Z783" i="3"/>
  <c r="Z486" i="3"/>
  <c r="X4" i="3"/>
  <c r="X400" i="3"/>
  <c r="X301" i="3"/>
  <c r="X103" i="3"/>
  <c r="X796" i="3"/>
  <c r="X598" i="3"/>
  <c r="Y630" i="3"/>
  <c r="Y135" i="3"/>
  <c r="Y531" i="3"/>
  <c r="Y36" i="3"/>
  <c r="Y432" i="3"/>
  <c r="Y333" i="3"/>
  <c r="Y860" i="3"/>
  <c r="Y662" i="3"/>
  <c r="Y1058" i="3"/>
  <c r="Y959" i="3"/>
  <c r="Y167" i="3"/>
  <c r="Y68" i="3"/>
  <c r="AA892" i="3"/>
  <c r="AA694" i="3"/>
  <c r="AA793" i="3"/>
  <c r="AA496" i="3"/>
  <c r="AA100" i="3"/>
  <c r="AA595" i="3"/>
  <c r="Y627" i="3"/>
  <c r="Y924" i="3"/>
  <c r="Y726" i="3"/>
  <c r="Y528" i="3"/>
  <c r="Y33" i="3"/>
  <c r="Y1023" i="3"/>
  <c r="X362" i="3"/>
  <c r="X461" i="3"/>
  <c r="X164" i="3"/>
  <c r="X263" i="3"/>
  <c r="X65" i="3"/>
  <c r="X857" i="3"/>
  <c r="Z988" i="3"/>
  <c r="Z790" i="3"/>
  <c r="Z691" i="3"/>
  <c r="Z97" i="3"/>
  <c r="Z196" i="3"/>
  <c r="Z1087" i="3"/>
  <c r="J426" i="3"/>
  <c r="J327" i="3"/>
  <c r="J624" i="3"/>
  <c r="J921" i="3"/>
  <c r="J30" i="3"/>
  <c r="J228" i="3"/>
  <c r="J260" i="3"/>
  <c r="J458" i="3"/>
  <c r="J953" i="3"/>
  <c r="J62" i="3"/>
  <c r="J656" i="3"/>
  <c r="J1052" i="3"/>
  <c r="V589" i="3"/>
  <c r="V94" i="3"/>
  <c r="V292" i="3"/>
  <c r="V985" i="3"/>
  <c r="V391" i="3"/>
  <c r="V886" i="3"/>
  <c r="W819" i="3"/>
  <c r="W324" i="3"/>
  <c r="W621" i="3"/>
  <c r="W126" i="3"/>
  <c r="W423" i="3"/>
  <c r="W27" i="3"/>
  <c r="Y950" i="3"/>
  <c r="Y554" i="3"/>
  <c r="Y653" i="3"/>
  <c r="Y257" i="3"/>
  <c r="Y851" i="3"/>
  <c r="AA1022" i="3"/>
  <c r="AA725" i="3"/>
  <c r="AA527" i="3"/>
  <c r="AA329" i="3"/>
  <c r="AA131" i="3"/>
  <c r="AA428" i="3"/>
  <c r="AA230" i="3"/>
  <c r="V955" i="3"/>
  <c r="V1054" i="3"/>
  <c r="V658" i="3"/>
  <c r="V163" i="3"/>
  <c r="V262" i="3"/>
  <c r="V757" i="3"/>
  <c r="V460" i="3"/>
  <c r="J96" i="3"/>
  <c r="J987" i="3"/>
  <c r="J690" i="3"/>
  <c r="J492" i="3"/>
  <c r="J393" i="3"/>
  <c r="J1086" i="3"/>
  <c r="J591" i="3"/>
  <c r="X524" i="3"/>
  <c r="X821" i="3"/>
  <c r="X1019" i="3"/>
  <c r="X722" i="3"/>
  <c r="X128" i="3"/>
  <c r="X227" i="3"/>
  <c r="X326" i="3"/>
  <c r="W275" i="3"/>
  <c r="W1067" i="3"/>
  <c r="W770" i="3"/>
  <c r="W374" i="3"/>
  <c r="W968" i="3"/>
  <c r="W869" i="3"/>
  <c r="W572" i="3"/>
  <c r="X719" i="3"/>
  <c r="X620" i="3"/>
  <c r="X917" i="3"/>
  <c r="X1016" i="3"/>
  <c r="X125" i="3"/>
  <c r="X521" i="3"/>
  <c r="X224" i="3"/>
  <c r="Y1080" i="3"/>
  <c r="Y585" i="3"/>
  <c r="Y189" i="3"/>
  <c r="Y288" i="3"/>
  <c r="Y90" i="3"/>
  <c r="Y882" i="3"/>
  <c r="Y387" i="3"/>
  <c r="Y400" i="3"/>
  <c r="Y598" i="3"/>
  <c r="Y4" i="3"/>
  <c r="Y994" i="3"/>
  <c r="Y202" i="3"/>
  <c r="Y697" i="3"/>
  <c r="Y895" i="3"/>
  <c r="J333" i="3"/>
  <c r="J234" i="3"/>
  <c r="J36" i="3"/>
  <c r="J828" i="3"/>
  <c r="J927" i="3"/>
  <c r="J135" i="3"/>
  <c r="J432" i="3"/>
  <c r="V860" i="3"/>
  <c r="V266" i="3"/>
  <c r="V167" i="3"/>
  <c r="V1058" i="3"/>
  <c r="V959" i="3"/>
  <c r="V761" i="3"/>
  <c r="V68" i="3"/>
  <c r="J892" i="3"/>
  <c r="J991" i="3"/>
  <c r="J397" i="3"/>
  <c r="J199" i="3"/>
  <c r="J793" i="3"/>
  <c r="J595" i="3"/>
  <c r="J100" i="3"/>
  <c r="V330" i="3"/>
  <c r="V132" i="3"/>
  <c r="V924" i="3"/>
  <c r="V528" i="3"/>
  <c r="V429" i="3"/>
  <c r="V627" i="3"/>
  <c r="V825" i="3"/>
  <c r="Y362" i="3"/>
  <c r="Y1055" i="3"/>
  <c r="Y164" i="3"/>
  <c r="Y758" i="3"/>
  <c r="Y857" i="3"/>
  <c r="Y560" i="3"/>
  <c r="Y659" i="3"/>
  <c r="V988" i="3"/>
  <c r="V1087" i="3"/>
  <c r="V493" i="3"/>
  <c r="V394" i="3"/>
  <c r="V691" i="3"/>
  <c r="V196" i="3"/>
  <c r="V592" i="3"/>
  <c r="AA525" i="3"/>
  <c r="AA723" i="3"/>
  <c r="AA228" i="3"/>
  <c r="AA822" i="3"/>
  <c r="AA426" i="3"/>
  <c r="AA624" i="3"/>
  <c r="AA30" i="3"/>
  <c r="V458" i="3"/>
  <c r="V359" i="3"/>
  <c r="V953" i="3"/>
  <c r="V656" i="3"/>
  <c r="V260" i="3"/>
  <c r="V62" i="3"/>
  <c r="V161" i="3"/>
  <c r="Z886" i="3"/>
  <c r="Z985" i="3"/>
  <c r="Z193" i="3"/>
  <c r="Z292" i="3"/>
  <c r="Z688" i="3"/>
  <c r="Z787" i="3"/>
  <c r="Z391" i="3"/>
  <c r="J225" i="3"/>
  <c r="J27" i="3"/>
  <c r="J522" i="3"/>
  <c r="J918" i="3"/>
  <c r="J621" i="3"/>
  <c r="J423" i="3"/>
  <c r="J126" i="3"/>
  <c r="V455" i="3"/>
  <c r="V59" i="3"/>
  <c r="V257" i="3"/>
  <c r="V950" i="3"/>
  <c r="V158" i="3"/>
  <c r="V653" i="3"/>
  <c r="V554" i="3"/>
  <c r="W1022" i="3"/>
  <c r="W725" i="3"/>
  <c r="W131" i="3"/>
  <c r="W824" i="3"/>
  <c r="W527" i="3"/>
  <c r="W1054" i="3"/>
  <c r="W856" i="3"/>
  <c r="W658" i="3"/>
  <c r="W757" i="3"/>
  <c r="W64" i="3"/>
  <c r="X591" i="3"/>
  <c r="X195" i="3"/>
  <c r="X393" i="3"/>
  <c r="X294" i="3"/>
  <c r="X987" i="3"/>
  <c r="Z128" i="3"/>
  <c r="Z29" i="3"/>
  <c r="Z821" i="3"/>
  <c r="Z920" i="3"/>
  <c r="Z227" i="3"/>
  <c r="V572" i="3"/>
  <c r="V1067" i="3"/>
  <c r="V374" i="3"/>
  <c r="V176" i="3"/>
  <c r="V473" i="3"/>
  <c r="J521" i="3"/>
  <c r="J125" i="3"/>
  <c r="J620" i="3"/>
  <c r="J1016" i="3"/>
  <c r="J224" i="3"/>
  <c r="V90" i="3"/>
  <c r="V288" i="3"/>
  <c r="V783" i="3"/>
  <c r="V189" i="3"/>
  <c r="V486" i="3"/>
  <c r="V796" i="3"/>
  <c r="V499" i="3"/>
  <c r="V301" i="3"/>
  <c r="V994" i="3"/>
  <c r="V4" i="3"/>
  <c r="X1026" i="3"/>
  <c r="X333" i="3"/>
  <c r="X36" i="3"/>
  <c r="X531" i="3"/>
  <c r="X927" i="3"/>
  <c r="Z662" i="3"/>
  <c r="Z365" i="3"/>
  <c r="Z464" i="3"/>
  <c r="Z68" i="3"/>
  <c r="Z167" i="3"/>
  <c r="W892" i="3"/>
  <c r="W496" i="3"/>
  <c r="W100" i="3"/>
  <c r="W298" i="3"/>
  <c r="W1090" i="3"/>
  <c r="J231" i="3"/>
  <c r="J1023" i="3"/>
  <c r="J528" i="3"/>
  <c r="J132" i="3"/>
  <c r="J330" i="3"/>
  <c r="W560" i="3"/>
  <c r="W461" i="3"/>
  <c r="W263" i="3"/>
  <c r="W362" i="3"/>
  <c r="W758" i="3"/>
  <c r="J790" i="3"/>
  <c r="J1087" i="3"/>
  <c r="J196" i="3"/>
  <c r="J97" i="3"/>
  <c r="J889" i="3"/>
  <c r="X228" i="3"/>
  <c r="X624" i="3"/>
  <c r="X525" i="3"/>
  <c r="X327" i="3"/>
  <c r="X822" i="3"/>
  <c r="Y755" i="3"/>
  <c r="Y260" i="3"/>
  <c r="Y62" i="3"/>
  <c r="Y656" i="3"/>
  <c r="Y161" i="3"/>
  <c r="X787" i="3"/>
  <c r="X1084" i="3"/>
  <c r="X490" i="3"/>
  <c r="X886" i="3"/>
  <c r="X589" i="3"/>
  <c r="Y522" i="3"/>
  <c r="Y621" i="3"/>
  <c r="Y126" i="3"/>
  <c r="Y324" i="3"/>
  <c r="Y918" i="3"/>
  <c r="AA257" i="3"/>
  <c r="AA1049" i="3"/>
  <c r="AA554" i="3"/>
  <c r="AA455" i="3"/>
  <c r="AA59" i="3"/>
  <c r="Z923" i="3"/>
  <c r="Z725" i="3"/>
  <c r="Z230" i="3"/>
  <c r="Z527" i="3"/>
  <c r="Z32" i="3"/>
  <c r="Z626" i="3"/>
  <c r="Z131" i="3"/>
  <c r="Z824" i="3"/>
  <c r="J163" i="3"/>
  <c r="J856" i="3"/>
  <c r="J559" i="3"/>
  <c r="J658" i="3"/>
  <c r="J64" i="3"/>
  <c r="J460" i="3"/>
  <c r="J757" i="3"/>
  <c r="J955" i="3"/>
  <c r="AA690" i="3"/>
  <c r="AA987" i="3"/>
  <c r="AA888" i="3"/>
  <c r="AA789" i="3"/>
  <c r="AA195" i="3"/>
  <c r="AA591" i="3"/>
  <c r="AA294" i="3"/>
  <c r="AA1086" i="3"/>
  <c r="Y821" i="3"/>
  <c r="Y524" i="3"/>
  <c r="Y128" i="3"/>
  <c r="Y227" i="3"/>
  <c r="Y425" i="3"/>
  <c r="Y29" i="3"/>
  <c r="Y623" i="3"/>
  <c r="Y1019" i="3"/>
  <c r="Z671" i="3"/>
  <c r="Z968" i="3"/>
  <c r="Z176" i="3"/>
  <c r="Z473" i="3"/>
  <c r="Z275" i="3"/>
  <c r="Z77" i="3"/>
  <c r="Z770" i="3"/>
  <c r="Z869" i="3"/>
  <c r="Z224" i="3"/>
  <c r="Z521" i="3"/>
  <c r="Z917" i="3"/>
  <c r="Z26" i="3"/>
  <c r="Z719" i="3"/>
  <c r="Z818" i="3"/>
  <c r="Z1016" i="3"/>
  <c r="Z422" i="3"/>
  <c r="J90" i="3"/>
  <c r="J882" i="3"/>
  <c r="J1080" i="3"/>
  <c r="J783" i="3"/>
  <c r="J486" i="3"/>
  <c r="J585" i="3"/>
  <c r="J189" i="3"/>
  <c r="J981" i="3"/>
  <c r="AA301" i="3"/>
  <c r="AA202" i="3"/>
  <c r="AA4" i="3"/>
  <c r="AA400" i="3"/>
  <c r="AA598" i="3"/>
  <c r="AA697" i="3"/>
  <c r="AA796" i="3"/>
  <c r="AA499" i="3"/>
  <c r="V333" i="3"/>
  <c r="V531" i="3"/>
  <c r="V630" i="3"/>
  <c r="V36" i="3"/>
  <c r="V234" i="3"/>
  <c r="V1026" i="3"/>
  <c r="V135" i="3"/>
  <c r="V432" i="3"/>
  <c r="J167" i="3"/>
  <c r="J68" i="3"/>
  <c r="J365" i="3"/>
  <c r="J563" i="3"/>
  <c r="J761" i="3"/>
  <c r="J860" i="3"/>
  <c r="J662" i="3"/>
  <c r="J959" i="3"/>
  <c r="Y199" i="3"/>
  <c r="Y496" i="3"/>
  <c r="Y1090" i="3"/>
  <c r="Y892" i="3"/>
  <c r="Y298" i="3"/>
  <c r="Y793" i="3"/>
  <c r="Y100" i="3"/>
  <c r="Y397" i="3"/>
  <c r="X429" i="3"/>
  <c r="X726" i="3"/>
  <c r="X528" i="3"/>
  <c r="X330" i="3"/>
  <c r="X33" i="3"/>
  <c r="X924" i="3"/>
  <c r="X627" i="3"/>
  <c r="X1023" i="3"/>
  <c r="J461" i="3"/>
  <c r="J857" i="3"/>
  <c r="J1055" i="3"/>
  <c r="J758" i="3"/>
  <c r="J263" i="3"/>
  <c r="J956" i="3"/>
  <c r="J560" i="3"/>
  <c r="J164" i="3"/>
  <c r="AA1087" i="3"/>
  <c r="AA493" i="3"/>
  <c r="AA196" i="3"/>
  <c r="AA988" i="3"/>
  <c r="AA295" i="3"/>
  <c r="AA790" i="3"/>
  <c r="AA691" i="3"/>
  <c r="AA592" i="3"/>
  <c r="V624" i="3"/>
  <c r="V228" i="3"/>
  <c r="V426" i="3"/>
  <c r="V327" i="3"/>
  <c r="V129" i="3"/>
  <c r="V723" i="3"/>
  <c r="V921" i="3"/>
  <c r="V822" i="3"/>
  <c r="Z755" i="3"/>
  <c r="Z161" i="3"/>
  <c r="Z854" i="3"/>
  <c r="Z458" i="3"/>
  <c r="Z359" i="3"/>
  <c r="Z260" i="3"/>
  <c r="Z656" i="3"/>
  <c r="Z953" i="3"/>
  <c r="W1084" i="3"/>
  <c r="W292" i="3"/>
  <c r="W94" i="3"/>
  <c r="W193" i="3"/>
  <c r="W490" i="3"/>
  <c r="W985" i="3"/>
  <c r="W787" i="3"/>
  <c r="W688" i="3"/>
  <c r="V720" i="3"/>
  <c r="V522" i="3"/>
  <c r="V324" i="3"/>
  <c r="V423" i="3"/>
  <c r="V126" i="3"/>
  <c r="V918" i="3"/>
  <c r="V225" i="3"/>
  <c r="V1017" i="3"/>
  <c r="AB923" i="3"/>
  <c r="AB626" i="3"/>
  <c r="AB527" i="3"/>
  <c r="AB1022" i="3"/>
  <c r="AB329" i="3"/>
  <c r="AB824" i="3"/>
  <c r="AB725" i="3"/>
  <c r="AB955" i="3"/>
  <c r="AB262" i="3"/>
  <c r="AB361" i="3"/>
  <c r="AB856" i="3"/>
  <c r="AB1054" i="3"/>
  <c r="AB460" i="3"/>
  <c r="AB163" i="3"/>
  <c r="AB888" i="3"/>
  <c r="AB294" i="3"/>
  <c r="AB195" i="3"/>
  <c r="AB591" i="3"/>
  <c r="AB987" i="3"/>
  <c r="AB789" i="3"/>
  <c r="AB1086" i="3"/>
  <c r="AB524" i="3"/>
  <c r="AB29" i="3"/>
  <c r="AB920" i="3"/>
  <c r="AB821" i="3"/>
  <c r="AB326" i="3"/>
  <c r="AB128" i="3"/>
  <c r="AB722" i="3"/>
  <c r="AB473" i="3"/>
  <c r="AB374" i="3"/>
  <c r="AB572" i="3"/>
  <c r="AB770" i="3"/>
  <c r="AB275" i="3"/>
  <c r="AB671" i="3"/>
  <c r="AB77" i="3"/>
  <c r="AB125" i="3"/>
  <c r="AB224" i="3"/>
  <c r="AB917" i="3"/>
  <c r="AB818" i="3"/>
  <c r="AB422" i="3"/>
  <c r="AB26" i="3"/>
  <c r="AB719" i="3"/>
  <c r="AB90" i="3"/>
  <c r="AB1080" i="3"/>
  <c r="AB882" i="3"/>
  <c r="AB387" i="3"/>
  <c r="AB585" i="3"/>
  <c r="AB486" i="3"/>
  <c r="AB783" i="3"/>
  <c r="AB202" i="3"/>
  <c r="AB4" i="3"/>
  <c r="AB301" i="3"/>
  <c r="AB499" i="3"/>
  <c r="AB796" i="3"/>
  <c r="AB598" i="3"/>
  <c r="AB994" i="3"/>
  <c r="AB927" i="3"/>
  <c r="AB828" i="3"/>
  <c r="AB135" i="3"/>
  <c r="AB1026" i="3"/>
  <c r="AB234" i="3"/>
  <c r="AB630" i="3"/>
  <c r="AB531" i="3"/>
  <c r="AB563" i="3"/>
  <c r="AB761" i="3"/>
  <c r="AB167" i="3"/>
  <c r="AB266" i="3"/>
  <c r="AB464" i="3"/>
  <c r="AB959" i="3"/>
  <c r="AB365" i="3"/>
  <c r="AB100" i="3"/>
  <c r="AB892" i="3"/>
  <c r="AB199" i="3"/>
  <c r="AB1090" i="3"/>
  <c r="AB793" i="3"/>
  <c r="AB991" i="3"/>
  <c r="AB496" i="3"/>
  <c r="AB726" i="3"/>
  <c r="AB330" i="3"/>
  <c r="AB627" i="3"/>
  <c r="AB231" i="3"/>
  <c r="AB33" i="3"/>
  <c r="AB825" i="3"/>
  <c r="AB429" i="3"/>
  <c r="AB164" i="3"/>
  <c r="AB857" i="3"/>
  <c r="AB659" i="3"/>
  <c r="AB758" i="3"/>
  <c r="AB362" i="3"/>
  <c r="AB461" i="3"/>
  <c r="AB263" i="3"/>
  <c r="AB889" i="3"/>
  <c r="AB97" i="3"/>
  <c r="AB493" i="3"/>
  <c r="AB790" i="3"/>
  <c r="AB196" i="3"/>
  <c r="AB295" i="3"/>
  <c r="AB691" i="3"/>
  <c r="AB822" i="3"/>
  <c r="AB426" i="3"/>
  <c r="AB723" i="3"/>
  <c r="AB921" i="3"/>
  <c r="AB1020" i="3"/>
  <c r="AB525" i="3"/>
  <c r="AB228" i="3"/>
  <c r="AB458" i="3"/>
  <c r="AB557" i="3"/>
  <c r="AB1052" i="3"/>
  <c r="AB656" i="3"/>
  <c r="AB260" i="3"/>
  <c r="AB62" i="3"/>
  <c r="AB359" i="3"/>
  <c r="AB193" i="3"/>
  <c r="AB589" i="3"/>
  <c r="AB985" i="3"/>
  <c r="AB490" i="3"/>
  <c r="AB886" i="3"/>
  <c r="AB94" i="3"/>
  <c r="AB292" i="3"/>
  <c r="AB621" i="3"/>
  <c r="AB720" i="3"/>
  <c r="AB27" i="3"/>
  <c r="AB522" i="3"/>
  <c r="AB423" i="3"/>
  <c r="AB819" i="3"/>
  <c r="AB1017" i="3"/>
  <c r="X527" i="3"/>
  <c r="X32" i="3"/>
  <c r="X131" i="3"/>
  <c r="X428" i="3"/>
  <c r="X230" i="3"/>
  <c r="X329" i="3"/>
  <c r="X1022" i="3"/>
  <c r="X658" i="3"/>
  <c r="X955" i="3"/>
  <c r="X559" i="3"/>
  <c r="X460" i="3"/>
  <c r="X163" i="3"/>
  <c r="X757" i="3"/>
  <c r="X1054" i="3"/>
  <c r="Y492" i="3"/>
  <c r="Y690" i="3"/>
  <c r="Y591" i="3"/>
  <c r="Y96" i="3"/>
  <c r="Y294" i="3"/>
  <c r="Y987" i="3"/>
  <c r="Y1086" i="3"/>
  <c r="AA524" i="3"/>
  <c r="AA722" i="3"/>
  <c r="AA920" i="3"/>
  <c r="AA821" i="3"/>
  <c r="AA227" i="3"/>
  <c r="AA425" i="3"/>
  <c r="AA128" i="3"/>
  <c r="Y1067" i="3"/>
  <c r="Y176" i="3"/>
  <c r="Y473" i="3"/>
  <c r="Y572" i="3"/>
  <c r="Y869" i="3"/>
  <c r="Y671" i="3"/>
  <c r="Y968" i="3"/>
  <c r="AA521" i="3"/>
  <c r="AA422" i="3"/>
  <c r="AA719" i="3"/>
  <c r="AA125" i="3"/>
  <c r="AA26" i="3"/>
  <c r="AA224" i="3"/>
  <c r="AA818" i="3"/>
  <c r="W981" i="3"/>
  <c r="W486" i="3"/>
  <c r="W189" i="3"/>
  <c r="W684" i="3"/>
  <c r="W882" i="3"/>
  <c r="W783" i="3"/>
  <c r="W90" i="3"/>
  <c r="W103" i="3"/>
  <c r="W697" i="3"/>
  <c r="W202" i="3"/>
  <c r="W895" i="3"/>
  <c r="W4" i="3"/>
  <c r="W301" i="3"/>
  <c r="W499" i="3"/>
  <c r="AA630" i="3"/>
  <c r="AA135" i="3"/>
  <c r="AA333" i="3"/>
  <c r="AA828" i="3"/>
  <c r="AA531" i="3"/>
  <c r="AA729" i="3"/>
  <c r="AA1026" i="3"/>
  <c r="W959" i="3"/>
  <c r="W761" i="3"/>
  <c r="W464" i="3"/>
  <c r="W365" i="3"/>
  <c r="W68" i="3"/>
  <c r="W167" i="3"/>
  <c r="W860" i="3"/>
  <c r="X1090" i="3"/>
  <c r="X793" i="3"/>
  <c r="X595" i="3"/>
  <c r="X991" i="3"/>
  <c r="X496" i="3"/>
  <c r="X397" i="3"/>
  <c r="X298" i="3"/>
  <c r="AA231" i="3"/>
  <c r="AA528" i="3"/>
  <c r="AA1023" i="3"/>
  <c r="AA627" i="3"/>
  <c r="AA429" i="3"/>
  <c r="AA825" i="3"/>
  <c r="AA330" i="3"/>
  <c r="V164" i="3"/>
  <c r="V758" i="3"/>
  <c r="V956" i="3"/>
  <c r="V65" i="3"/>
  <c r="V659" i="3"/>
  <c r="V362" i="3"/>
  <c r="V857" i="3"/>
  <c r="W889" i="3"/>
  <c r="W493" i="3"/>
  <c r="W97" i="3"/>
  <c r="W196" i="3"/>
  <c r="W1087" i="3"/>
  <c r="W295" i="3"/>
  <c r="W394" i="3"/>
  <c r="W30" i="3"/>
  <c r="W129" i="3"/>
  <c r="W426" i="3"/>
  <c r="W921" i="3"/>
  <c r="W1020" i="3"/>
  <c r="W822" i="3"/>
  <c r="W228" i="3"/>
  <c r="AA854" i="3"/>
  <c r="AA458" i="3"/>
  <c r="AA953" i="3"/>
  <c r="AA161" i="3"/>
  <c r="AA359" i="3"/>
  <c r="AA260" i="3"/>
  <c r="AA557" i="3"/>
  <c r="Y787" i="3"/>
  <c r="Y688" i="3"/>
  <c r="Y292" i="3"/>
  <c r="Y985" i="3"/>
  <c r="Y94" i="3"/>
  <c r="Y886" i="3"/>
  <c r="Y391" i="3"/>
  <c r="Z1017" i="3"/>
  <c r="Z126" i="3"/>
  <c r="Z324" i="3"/>
  <c r="Z918" i="3"/>
  <c r="Z819" i="3"/>
  <c r="Z423" i="3"/>
  <c r="Z621" i="3"/>
  <c r="J257" i="3"/>
  <c r="V626" i="3"/>
  <c r="V824" i="3"/>
  <c r="V230" i="3"/>
  <c r="V329" i="3"/>
  <c r="V725" i="3"/>
  <c r="V32" i="3"/>
  <c r="V1022" i="3"/>
  <c r="V428" i="3"/>
  <c r="V923" i="3"/>
  <c r="V527" i="3"/>
  <c r="Y262" i="3"/>
  <c r="Y559" i="3"/>
  <c r="Y1054" i="3"/>
  <c r="Y163" i="3"/>
  <c r="Y64" i="3"/>
  <c r="Y856" i="3"/>
  <c r="Y658" i="3"/>
  <c r="Y361" i="3"/>
  <c r="Y955" i="3"/>
  <c r="Y460" i="3"/>
  <c r="Z690" i="3"/>
  <c r="Z294" i="3"/>
  <c r="Z888" i="3"/>
  <c r="Z987" i="3"/>
  <c r="Z96" i="3"/>
  <c r="Z195" i="3"/>
  <c r="Z393" i="3"/>
  <c r="Z591" i="3"/>
  <c r="Z1086" i="3"/>
  <c r="Z789" i="3"/>
  <c r="W722" i="3"/>
  <c r="W128" i="3"/>
  <c r="W623" i="3"/>
  <c r="W425" i="3"/>
  <c r="W920" i="3"/>
  <c r="W821" i="3"/>
  <c r="W524" i="3"/>
  <c r="W29" i="3"/>
  <c r="W227" i="3"/>
  <c r="W326" i="3"/>
  <c r="J572" i="3"/>
  <c r="J176" i="3"/>
  <c r="J275" i="3"/>
  <c r="J968" i="3"/>
  <c r="J770" i="3"/>
  <c r="J77" i="3"/>
  <c r="J1067" i="3"/>
  <c r="J869" i="3"/>
  <c r="J374" i="3"/>
  <c r="J473" i="3"/>
  <c r="Y818" i="3"/>
  <c r="Y521" i="3"/>
  <c r="Y422" i="3"/>
  <c r="Y125" i="3"/>
  <c r="Y323" i="3"/>
  <c r="Y917" i="3"/>
  <c r="Y224" i="3"/>
  <c r="Y719" i="3"/>
  <c r="Y26" i="3"/>
  <c r="Y1016" i="3"/>
  <c r="X684" i="3"/>
  <c r="X486" i="3"/>
  <c r="X189" i="3"/>
  <c r="X288" i="3"/>
  <c r="X1080" i="3"/>
  <c r="X387" i="3"/>
  <c r="X981" i="3"/>
  <c r="X882" i="3"/>
  <c r="X585" i="3"/>
  <c r="X783" i="3"/>
  <c r="J598" i="3"/>
  <c r="J4" i="3"/>
  <c r="J103" i="3"/>
  <c r="J697" i="3"/>
  <c r="J994" i="3"/>
  <c r="J499" i="3"/>
  <c r="J796" i="3"/>
  <c r="J895" i="3"/>
  <c r="J400" i="3"/>
  <c r="J301" i="3"/>
  <c r="Z36" i="3"/>
  <c r="Z828" i="3"/>
  <c r="Z1026" i="3"/>
  <c r="Z234" i="3"/>
  <c r="Z927" i="3"/>
  <c r="Z135" i="3"/>
  <c r="Z432" i="3"/>
  <c r="Z531" i="3"/>
  <c r="Z630" i="3"/>
  <c r="Z729" i="3"/>
  <c r="AA167" i="3"/>
  <c r="AA662" i="3"/>
  <c r="AA761" i="3"/>
  <c r="AA563" i="3"/>
  <c r="AA68" i="3"/>
  <c r="AA365" i="3"/>
  <c r="AA266" i="3"/>
  <c r="AA1058" i="3"/>
  <c r="AA860" i="3"/>
  <c r="AA959" i="3"/>
  <c r="Z991" i="3"/>
  <c r="Z298" i="3"/>
  <c r="Z694" i="3"/>
  <c r="Z595" i="3"/>
  <c r="Z199" i="3"/>
  <c r="Z397" i="3"/>
  <c r="Z793" i="3"/>
  <c r="Z892" i="3"/>
  <c r="Z100" i="3"/>
  <c r="Z496" i="3"/>
  <c r="Z726" i="3"/>
  <c r="Z33" i="3"/>
  <c r="Z627" i="3"/>
  <c r="Z528" i="3"/>
  <c r="Z132" i="3"/>
  <c r="Z924" i="3"/>
  <c r="Z231" i="3"/>
  <c r="Z825" i="3"/>
  <c r="Z330" i="3"/>
  <c r="Z1023" i="3"/>
  <c r="AA164" i="3"/>
  <c r="AA461" i="3"/>
  <c r="AA560" i="3"/>
  <c r="AA65" i="3"/>
  <c r="AA857" i="3"/>
  <c r="AA758" i="3"/>
  <c r="AA956" i="3"/>
  <c r="AA362" i="3"/>
  <c r="AA263" i="3"/>
  <c r="AA1055" i="3"/>
  <c r="X790" i="3"/>
  <c r="X493" i="3"/>
  <c r="X394" i="3"/>
  <c r="X196" i="3"/>
  <c r="X1087" i="3"/>
  <c r="X889" i="3"/>
  <c r="X691" i="3"/>
  <c r="X295" i="3"/>
  <c r="X592" i="3"/>
  <c r="X988" i="3"/>
  <c r="Z327" i="3"/>
  <c r="Z921" i="3"/>
  <c r="Z525" i="3"/>
  <c r="Z30" i="3"/>
  <c r="Z426" i="3"/>
  <c r="Z624" i="3"/>
  <c r="Z723" i="3"/>
  <c r="Z228" i="3"/>
  <c r="Z129" i="3"/>
  <c r="Z822" i="3"/>
  <c r="X161" i="3"/>
  <c r="X557" i="3"/>
  <c r="X755" i="3"/>
  <c r="X260" i="3"/>
  <c r="X359" i="3"/>
  <c r="X854" i="3"/>
  <c r="X1052" i="3"/>
  <c r="X953" i="3"/>
  <c r="X62" i="3"/>
  <c r="X656" i="3"/>
  <c r="J94" i="3"/>
  <c r="J985" i="3"/>
  <c r="J490" i="3"/>
  <c r="J589" i="3"/>
  <c r="J787" i="3"/>
  <c r="J193" i="3"/>
  <c r="J1084" i="3"/>
  <c r="J688" i="3"/>
  <c r="J886" i="3"/>
  <c r="J391" i="3"/>
  <c r="AA225" i="3"/>
  <c r="AA522" i="3"/>
  <c r="AA918" i="3"/>
  <c r="AA126" i="3"/>
  <c r="AA1017" i="3"/>
  <c r="AA423" i="3"/>
  <c r="AA720" i="3"/>
  <c r="AA324" i="3"/>
  <c r="AA27" i="3"/>
  <c r="AA621" i="3"/>
  <c r="J907" i="3"/>
  <c r="J511" i="3"/>
  <c r="J1006" i="3"/>
  <c r="J709" i="3"/>
  <c r="J808" i="3"/>
  <c r="J610" i="3"/>
  <c r="J16" i="3"/>
  <c r="J115" i="3"/>
  <c r="J412" i="3"/>
  <c r="J741" i="3"/>
  <c r="J939" i="3"/>
  <c r="J246" i="3"/>
  <c r="J1038" i="3"/>
  <c r="J543" i="3"/>
  <c r="J444" i="3"/>
  <c r="J147" i="3"/>
  <c r="J642" i="3"/>
  <c r="J345" i="3"/>
  <c r="Y872" i="3"/>
  <c r="Y674" i="3"/>
  <c r="Y575" i="3"/>
  <c r="Y377" i="3"/>
  <c r="Y179" i="3"/>
  <c r="Y476" i="3"/>
  <c r="Y773" i="3"/>
  <c r="Y971" i="3"/>
  <c r="Y278" i="3"/>
  <c r="W508" i="3"/>
  <c r="W211" i="3"/>
  <c r="W904" i="3"/>
  <c r="W1003" i="3"/>
  <c r="W409" i="3"/>
  <c r="W13" i="3"/>
  <c r="W112" i="3"/>
  <c r="W607" i="3"/>
  <c r="W310" i="3"/>
  <c r="Y45" i="3"/>
  <c r="Y243" i="3"/>
  <c r="Y540" i="3"/>
  <c r="Y1035" i="3"/>
  <c r="Y342" i="3"/>
  <c r="Y936" i="3"/>
  <c r="Y639" i="3"/>
  <c r="Y441" i="3"/>
  <c r="Y837" i="3"/>
  <c r="AA703" i="3"/>
  <c r="AA802" i="3"/>
  <c r="AA505" i="3"/>
  <c r="AA109" i="3"/>
  <c r="AA10" i="3"/>
  <c r="AA307" i="3"/>
  <c r="AA604" i="3"/>
  <c r="AA208" i="3"/>
  <c r="AA1000" i="3"/>
  <c r="X1032" i="3"/>
  <c r="X240" i="3"/>
  <c r="X537" i="3"/>
  <c r="X636" i="3"/>
  <c r="X438" i="3"/>
  <c r="X933" i="3"/>
  <c r="X42" i="3"/>
  <c r="X339" i="3"/>
  <c r="X735" i="3"/>
  <c r="V633" i="3"/>
  <c r="V534" i="3"/>
  <c r="V138" i="3"/>
  <c r="V39" i="3"/>
  <c r="V930" i="3"/>
  <c r="V831" i="3"/>
  <c r="V336" i="3"/>
  <c r="V1029" i="3"/>
  <c r="V732" i="3"/>
  <c r="J416" i="3"/>
  <c r="J119" i="3"/>
  <c r="J614" i="3"/>
  <c r="J911" i="3"/>
  <c r="J812" i="3"/>
  <c r="J218" i="3"/>
  <c r="J713" i="3"/>
  <c r="J515" i="3"/>
  <c r="J20" i="3"/>
  <c r="AA151" i="3"/>
  <c r="AA349" i="3"/>
  <c r="AA844" i="3"/>
  <c r="AA547" i="3"/>
  <c r="AA52" i="3"/>
  <c r="AA448" i="3"/>
  <c r="AA1042" i="3"/>
  <c r="AA646" i="3"/>
  <c r="AA745" i="3"/>
  <c r="AA381" i="3"/>
  <c r="AA579" i="3"/>
  <c r="AA480" i="3"/>
  <c r="AA282" i="3"/>
  <c r="AA183" i="3"/>
  <c r="AA84" i="3"/>
  <c r="AA1074" i="3"/>
  <c r="AA777" i="3"/>
  <c r="AA975" i="3"/>
  <c r="AA809" i="3"/>
  <c r="AA116" i="3"/>
  <c r="AA1007" i="3"/>
  <c r="AA611" i="3"/>
  <c r="AA17" i="3"/>
  <c r="AA215" i="3"/>
  <c r="AA908" i="3"/>
  <c r="AA413" i="3"/>
  <c r="AA512" i="3"/>
  <c r="Y742" i="3"/>
  <c r="Y841" i="3"/>
  <c r="Y1039" i="3"/>
  <c r="Y49" i="3"/>
  <c r="Y940" i="3"/>
  <c r="Y544" i="3"/>
  <c r="Y445" i="3"/>
  <c r="Y148" i="3"/>
  <c r="Y643" i="3"/>
  <c r="V972" i="3"/>
  <c r="V1071" i="3"/>
  <c r="V378" i="3"/>
  <c r="V774" i="3"/>
  <c r="V279" i="3"/>
  <c r="V81" i="3"/>
  <c r="V873" i="3"/>
  <c r="V576" i="3"/>
  <c r="V180" i="3"/>
  <c r="X806" i="3"/>
  <c r="X14" i="3"/>
  <c r="X509" i="3"/>
  <c r="X905" i="3"/>
  <c r="X707" i="3"/>
  <c r="X212" i="3"/>
  <c r="X608" i="3"/>
  <c r="X113" i="3"/>
  <c r="X311" i="3"/>
  <c r="Z739" i="3"/>
  <c r="Z640" i="3"/>
  <c r="Z244" i="3"/>
  <c r="Z1036" i="3"/>
  <c r="Z46" i="3"/>
  <c r="Z442" i="3"/>
  <c r="Z541" i="3"/>
  <c r="Z343" i="3"/>
  <c r="Z838" i="3"/>
  <c r="X771" i="3"/>
  <c r="X177" i="3"/>
  <c r="X78" i="3"/>
  <c r="X870" i="3"/>
  <c r="X276" i="3"/>
  <c r="X1068" i="3"/>
  <c r="X375" i="3"/>
  <c r="X573" i="3"/>
  <c r="X672" i="3"/>
  <c r="X110" i="3"/>
  <c r="X704" i="3"/>
  <c r="X11" i="3"/>
  <c r="X209" i="3"/>
  <c r="X308" i="3"/>
  <c r="X407" i="3"/>
  <c r="X803" i="3"/>
  <c r="X506" i="3"/>
  <c r="X605" i="3"/>
  <c r="Y43" i="3"/>
  <c r="Y1033" i="3"/>
  <c r="Y142" i="3"/>
  <c r="Y934" i="3"/>
  <c r="Y637" i="3"/>
  <c r="Y736" i="3"/>
  <c r="Y538" i="3"/>
  <c r="Y241" i="3"/>
  <c r="Y835" i="3"/>
  <c r="Y412" i="3"/>
  <c r="Y313" i="3"/>
  <c r="Y1006" i="3"/>
  <c r="Y907" i="3"/>
  <c r="Y214" i="3"/>
  <c r="Y808" i="3"/>
  <c r="Y511" i="3"/>
  <c r="Y610" i="3"/>
  <c r="Y709" i="3"/>
  <c r="Y115" i="3"/>
  <c r="Y543" i="3"/>
  <c r="Y444" i="3"/>
  <c r="Y48" i="3"/>
  <c r="Y147" i="3"/>
  <c r="Y345" i="3"/>
  <c r="Y1038" i="3"/>
  <c r="Y642" i="3"/>
  <c r="Y741" i="3"/>
  <c r="Y840" i="3"/>
  <c r="Y246" i="3"/>
  <c r="Z80" i="3"/>
  <c r="Z377" i="3"/>
  <c r="Z575" i="3"/>
  <c r="Z971" i="3"/>
  <c r="Z476" i="3"/>
  <c r="Z773" i="3"/>
  <c r="Z278" i="3"/>
  <c r="Z872" i="3"/>
  <c r="Z179" i="3"/>
  <c r="Z1070" i="3"/>
  <c r="X508" i="3"/>
  <c r="X13" i="3"/>
  <c r="X904" i="3"/>
  <c r="X805" i="3"/>
  <c r="X706" i="3"/>
  <c r="X409" i="3"/>
  <c r="X1003" i="3"/>
  <c r="X112" i="3"/>
  <c r="X211" i="3"/>
  <c r="X310" i="3"/>
  <c r="AA441" i="3"/>
  <c r="AA243" i="3"/>
  <c r="AA45" i="3"/>
  <c r="AA639" i="3"/>
  <c r="AA936" i="3"/>
  <c r="AA342" i="3"/>
  <c r="AA837" i="3"/>
  <c r="AA1035" i="3"/>
  <c r="AA540" i="3"/>
  <c r="AA144" i="3"/>
  <c r="V307" i="3"/>
  <c r="V208" i="3"/>
  <c r="V1000" i="3"/>
  <c r="V505" i="3"/>
  <c r="V901" i="3"/>
  <c r="V604" i="3"/>
  <c r="V109" i="3"/>
  <c r="V802" i="3"/>
  <c r="V703" i="3"/>
  <c r="V10" i="3"/>
  <c r="V834" i="3"/>
  <c r="V339" i="3"/>
  <c r="V537" i="3"/>
  <c r="V141" i="3"/>
  <c r="V636" i="3"/>
  <c r="V438" i="3"/>
  <c r="V735" i="3"/>
  <c r="V933" i="3"/>
  <c r="V42" i="3"/>
  <c r="V240" i="3"/>
  <c r="Y39" i="3"/>
  <c r="Y633" i="3"/>
  <c r="Y138" i="3"/>
  <c r="Y534" i="3"/>
  <c r="Y930" i="3"/>
  <c r="Y237" i="3"/>
  <c r="Y336" i="3"/>
  <c r="Y1029" i="3"/>
  <c r="Y435" i="3"/>
  <c r="Y831" i="3"/>
  <c r="X713" i="3"/>
  <c r="X515" i="3"/>
  <c r="X416" i="3"/>
  <c r="X218" i="3"/>
  <c r="X614" i="3"/>
  <c r="X911" i="3"/>
  <c r="X20" i="3"/>
  <c r="X317" i="3"/>
  <c r="X812" i="3"/>
  <c r="X119" i="3"/>
  <c r="Z646" i="3"/>
  <c r="Z151" i="3"/>
  <c r="Z250" i="3"/>
  <c r="Z1042" i="3"/>
  <c r="Z349" i="3"/>
  <c r="Z943" i="3"/>
  <c r="Z745" i="3"/>
  <c r="Z844" i="3"/>
  <c r="Z547" i="3"/>
  <c r="Z52" i="3"/>
  <c r="Z1074" i="3"/>
  <c r="Z975" i="3"/>
  <c r="Z84" i="3"/>
  <c r="Z876" i="3"/>
  <c r="Z183" i="3"/>
  <c r="Z480" i="3"/>
  <c r="Z678" i="3"/>
  <c r="Z282" i="3"/>
  <c r="Z579" i="3"/>
  <c r="Z381" i="3"/>
  <c r="W116" i="3"/>
  <c r="W215" i="3"/>
  <c r="W908" i="3"/>
  <c r="W710" i="3"/>
  <c r="W809" i="3"/>
  <c r="W17" i="3"/>
  <c r="W314" i="3"/>
  <c r="W1007" i="3"/>
  <c r="W512" i="3"/>
  <c r="W611" i="3"/>
  <c r="J346" i="3"/>
  <c r="J841" i="3"/>
  <c r="J940" i="3"/>
  <c r="J742" i="3"/>
  <c r="J148" i="3"/>
  <c r="J445" i="3"/>
  <c r="J247" i="3"/>
  <c r="J643" i="3"/>
  <c r="J1039" i="3"/>
  <c r="J544" i="3"/>
  <c r="Z378" i="3"/>
  <c r="Z675" i="3"/>
  <c r="Z774" i="3"/>
  <c r="Z576" i="3"/>
  <c r="Z477" i="3"/>
  <c r="Z1071" i="3"/>
  <c r="Z180" i="3"/>
  <c r="Z873" i="3"/>
  <c r="Z81" i="3"/>
  <c r="Z972" i="3"/>
  <c r="J707" i="3"/>
  <c r="J113" i="3"/>
  <c r="J1004" i="3"/>
  <c r="J905" i="3"/>
  <c r="J212" i="3"/>
  <c r="J14" i="3"/>
  <c r="J311" i="3"/>
  <c r="J509" i="3"/>
  <c r="J608" i="3"/>
  <c r="J410" i="3"/>
  <c r="Y739" i="3"/>
  <c r="Y442" i="3"/>
  <c r="Y838" i="3"/>
  <c r="Y46" i="3"/>
  <c r="Y640" i="3"/>
  <c r="Y541" i="3"/>
  <c r="Y1036" i="3"/>
  <c r="Y343" i="3"/>
  <c r="Y244" i="3"/>
  <c r="Y145" i="3"/>
  <c r="J177" i="3"/>
  <c r="J276" i="3"/>
  <c r="J969" i="3"/>
  <c r="J672" i="3"/>
  <c r="J870" i="3"/>
  <c r="J474" i="3"/>
  <c r="J375" i="3"/>
  <c r="J1068" i="3"/>
  <c r="J771" i="3"/>
  <c r="J573" i="3"/>
  <c r="AA506" i="3"/>
  <c r="AA704" i="3"/>
  <c r="AA308" i="3"/>
  <c r="AA1001" i="3"/>
  <c r="AA209" i="3"/>
  <c r="AA902" i="3"/>
  <c r="AA407" i="3"/>
  <c r="AA11" i="3"/>
  <c r="AA803" i="3"/>
  <c r="AA110" i="3"/>
  <c r="Z340" i="3"/>
  <c r="Z439" i="3"/>
  <c r="Z835" i="3"/>
  <c r="Z43" i="3"/>
  <c r="Z736" i="3"/>
  <c r="Z142" i="3"/>
  <c r="Z1033" i="3"/>
  <c r="Z637" i="3"/>
  <c r="Z241" i="3"/>
  <c r="Z934" i="3"/>
  <c r="Y1" i="3" l="1"/>
  <c r="H1" i="3"/>
  <c r="J1" i="3"/>
  <c r="AB1" i="3"/>
  <c r="X1" i="3"/>
  <c r="AA1" i="3"/>
  <c r="V1" i="3"/>
  <c r="W1" i="3"/>
  <c r="Z1" i="3"/>
  <c r="S25" i="2"/>
  <c r="S63" i="2"/>
  <c r="S78" i="2"/>
  <c r="S14" i="2"/>
  <c r="S49" i="2"/>
  <c r="S61" i="2"/>
  <c r="S31" i="2"/>
  <c r="S66" i="2"/>
  <c r="S101" i="2"/>
  <c r="S8" i="2"/>
  <c r="S20" i="2"/>
  <c r="S48" i="2"/>
  <c r="S16" i="2"/>
  <c r="S71" i="2"/>
  <c r="S58" i="2"/>
  <c r="S3" i="2"/>
  <c r="S70" i="2"/>
  <c r="S6" i="2"/>
  <c r="S44" i="2"/>
  <c r="S12" i="2"/>
  <c r="S93" i="2"/>
  <c r="S53" i="2"/>
  <c r="S94" i="2"/>
  <c r="S4" i="2"/>
  <c r="S77" i="2"/>
  <c r="S35" i="2"/>
  <c r="S38" i="2"/>
  <c r="S41" i="2"/>
  <c r="S79" i="2"/>
  <c r="S47" i="2"/>
  <c r="S59" i="2"/>
  <c r="S9" i="2"/>
  <c r="S67" i="2"/>
  <c r="S73" i="2"/>
  <c r="S50" i="2"/>
  <c r="S21" i="2"/>
  <c r="S88" i="2"/>
  <c r="S65" i="2"/>
  <c r="S68" i="2"/>
  <c r="S90" i="2"/>
  <c r="S64" i="2"/>
  <c r="S76" i="2"/>
  <c r="S15" i="2"/>
  <c r="S56" i="2"/>
  <c r="S97" i="2"/>
  <c r="S33" i="2"/>
  <c r="S26" i="2"/>
  <c r="S99" i="2"/>
  <c r="S85" i="2"/>
  <c r="S27" i="2"/>
  <c r="S100" i="2"/>
  <c r="S36" i="2"/>
  <c r="S96" i="2"/>
  <c r="S7" i="2"/>
  <c r="S82" i="2"/>
  <c r="S91" i="2"/>
  <c r="S62" i="2"/>
  <c r="S30" i="2"/>
  <c r="S32" i="2"/>
  <c r="S18" i="2"/>
  <c r="S24" i="2"/>
  <c r="S29" i="2"/>
  <c r="S51" i="2"/>
  <c r="S89" i="2"/>
  <c r="S92" i="2"/>
  <c r="S60" i="2"/>
  <c r="S55" i="2"/>
  <c r="S34" i="2"/>
  <c r="S5" i="2"/>
  <c r="S40" i="2"/>
  <c r="S46" i="2"/>
  <c r="S52" i="2"/>
  <c r="S80" i="2"/>
  <c r="S86" i="2"/>
  <c r="S37" i="2"/>
  <c r="S39" i="2"/>
  <c r="S28" i="2"/>
  <c r="S69" i="2"/>
  <c r="S75" i="2"/>
  <c r="S43" i="2"/>
  <c r="S13" i="2"/>
  <c r="S87" i="2"/>
  <c r="S23" i="2"/>
  <c r="S22" i="2"/>
  <c r="S42" i="2"/>
  <c r="S45" i="2"/>
  <c r="S83" i="2"/>
  <c r="S19" i="2"/>
  <c r="S54" i="2"/>
  <c r="S57" i="2"/>
  <c r="S74" i="2"/>
  <c r="S95" i="2"/>
  <c r="S98" i="2"/>
  <c r="S72" i="2"/>
  <c r="S11" i="2"/>
  <c r="S81" i="2"/>
  <c r="S17" i="2"/>
  <c r="S84" i="2"/>
  <c r="S10" i="2"/>
  <c r="L113" i="3"/>
  <c r="L806" i="3"/>
  <c r="L311" i="3"/>
  <c r="L509" i="3"/>
  <c r="L608" i="3"/>
  <c r="L410" i="3"/>
  <c r="L905" i="3"/>
  <c r="L707" i="3"/>
  <c r="L1004" i="3"/>
  <c r="L212" i="3"/>
  <c r="L14" i="3"/>
  <c r="L957" i="3"/>
  <c r="L1056" i="3"/>
  <c r="L561" i="3"/>
  <c r="L858" i="3"/>
  <c r="L264" i="3"/>
  <c r="L660" i="3"/>
  <c r="L759" i="3"/>
  <c r="L462" i="3"/>
  <c r="L363" i="3"/>
  <c r="L165" i="3"/>
  <c r="L66" i="3"/>
  <c r="L444" i="3"/>
  <c r="L741" i="3"/>
  <c r="L147" i="3"/>
  <c r="L543" i="3"/>
  <c r="L48" i="3"/>
  <c r="L246" i="3"/>
  <c r="L939" i="3"/>
  <c r="L1038" i="3"/>
  <c r="L642" i="3"/>
  <c r="L345" i="3"/>
  <c r="L840" i="3"/>
  <c r="L498" i="3"/>
  <c r="L102" i="3"/>
  <c r="L597" i="3"/>
  <c r="L3" i="3"/>
  <c r="L894" i="3"/>
  <c r="L795" i="3"/>
  <c r="L201" i="3"/>
  <c r="L300" i="3"/>
  <c r="L993" i="3"/>
  <c r="L696" i="3"/>
  <c r="L399" i="3"/>
  <c r="L210" i="3"/>
  <c r="L111" i="3"/>
  <c r="L903" i="3"/>
  <c r="L804" i="3"/>
  <c r="L408" i="3"/>
  <c r="L309" i="3"/>
  <c r="L705" i="3"/>
  <c r="L1002" i="3"/>
  <c r="L507" i="3"/>
  <c r="L12" i="3"/>
  <c r="L606" i="3"/>
  <c r="L697" i="3"/>
  <c r="L499" i="3"/>
  <c r="L301" i="3"/>
  <c r="L103" i="3"/>
  <c r="L400" i="3"/>
  <c r="L598" i="3"/>
  <c r="L4" i="3"/>
  <c r="L895" i="3"/>
  <c r="L994" i="3"/>
  <c r="L202" i="3"/>
  <c r="L796" i="3"/>
  <c r="L833" i="3"/>
  <c r="L140" i="3"/>
  <c r="L338" i="3"/>
  <c r="L41" i="3"/>
  <c r="L437" i="3"/>
  <c r="L1031" i="3"/>
  <c r="L239" i="3"/>
  <c r="L536" i="3"/>
  <c r="L734" i="3"/>
  <c r="L932" i="3"/>
  <c r="L635" i="3"/>
  <c r="L405" i="3"/>
  <c r="L108" i="3"/>
  <c r="L900" i="3"/>
  <c r="L801" i="3"/>
  <c r="L207" i="3"/>
  <c r="L999" i="3"/>
  <c r="L702" i="3"/>
  <c r="L603" i="3"/>
  <c r="L504" i="3"/>
  <c r="L306" i="3"/>
  <c r="L9" i="3"/>
  <c r="L417" i="3"/>
  <c r="L219" i="3"/>
  <c r="L318" i="3"/>
  <c r="L21" i="3"/>
  <c r="L615" i="3"/>
  <c r="L516" i="3"/>
  <c r="L714" i="3"/>
  <c r="L912" i="3"/>
  <c r="L120" i="3"/>
  <c r="L1011" i="3"/>
  <c r="L813" i="3"/>
  <c r="L684" i="3"/>
  <c r="L90" i="3"/>
  <c r="L783" i="3"/>
  <c r="L486" i="3"/>
  <c r="L387" i="3"/>
  <c r="L1080" i="3"/>
  <c r="L585" i="3"/>
  <c r="L288" i="3"/>
  <c r="L189" i="3"/>
  <c r="L882" i="3"/>
  <c r="L981" i="3"/>
  <c r="L551" i="3"/>
  <c r="L452" i="3"/>
  <c r="L947" i="3"/>
  <c r="L56" i="3"/>
  <c r="L650" i="3"/>
  <c r="L749" i="3"/>
  <c r="L848" i="3"/>
  <c r="L353" i="3"/>
  <c r="L155" i="3"/>
  <c r="L1046" i="3"/>
  <c r="L254" i="3"/>
  <c r="L495" i="3"/>
  <c r="L891" i="3"/>
  <c r="L297" i="3"/>
  <c r="L396" i="3"/>
  <c r="L1089" i="3"/>
  <c r="L198" i="3"/>
  <c r="L792" i="3"/>
  <c r="L693" i="3"/>
  <c r="L594" i="3"/>
  <c r="L99" i="3"/>
  <c r="L990" i="3"/>
  <c r="L630" i="3"/>
  <c r="L234" i="3"/>
  <c r="L432" i="3"/>
  <c r="L828" i="3"/>
  <c r="L333" i="3"/>
  <c r="L531" i="3"/>
  <c r="L729" i="3"/>
  <c r="L927" i="3"/>
  <c r="L36" i="3"/>
  <c r="L135" i="3"/>
  <c r="L1026" i="3"/>
  <c r="L91" i="3"/>
  <c r="L487" i="3"/>
  <c r="L586" i="3"/>
  <c r="L388" i="3"/>
  <c r="L1081" i="3"/>
  <c r="L784" i="3"/>
  <c r="L685" i="3"/>
  <c r="L982" i="3"/>
  <c r="L190" i="3"/>
  <c r="L289" i="3"/>
  <c r="L883" i="3"/>
  <c r="L909" i="3"/>
  <c r="L810" i="3"/>
  <c r="L711" i="3"/>
  <c r="L612" i="3"/>
  <c r="L513" i="3"/>
  <c r="L414" i="3"/>
  <c r="L1008" i="3"/>
  <c r="L18" i="3"/>
  <c r="L315" i="3"/>
  <c r="L216" i="3"/>
  <c r="L117" i="3"/>
  <c r="L287" i="3"/>
  <c r="L485" i="3"/>
  <c r="L683" i="3"/>
  <c r="L1079" i="3"/>
  <c r="L782" i="3"/>
  <c r="L89" i="3"/>
  <c r="L584" i="3"/>
  <c r="L188" i="3"/>
  <c r="L881" i="3"/>
  <c r="L980" i="3"/>
  <c r="L386" i="3"/>
  <c r="L430" i="3"/>
  <c r="L727" i="3"/>
  <c r="L628" i="3"/>
  <c r="L331" i="3"/>
  <c r="L34" i="3"/>
  <c r="L1024" i="3"/>
  <c r="L529" i="3"/>
  <c r="L133" i="3"/>
  <c r="L925" i="3"/>
  <c r="L232" i="3"/>
  <c r="L826" i="3"/>
  <c r="L448" i="3"/>
  <c r="L151" i="3"/>
  <c r="L52" i="3"/>
  <c r="L745" i="3"/>
  <c r="L1042" i="3"/>
  <c r="L250" i="3"/>
  <c r="L844" i="3"/>
  <c r="L646" i="3"/>
  <c r="L349" i="3"/>
  <c r="L547" i="3"/>
  <c r="L943" i="3"/>
  <c r="L138" i="3"/>
  <c r="L633" i="3"/>
  <c r="L534" i="3"/>
  <c r="L831" i="3"/>
  <c r="L336" i="3"/>
  <c r="L237" i="3"/>
  <c r="L1029" i="3"/>
  <c r="L435" i="3"/>
  <c r="L39" i="3"/>
  <c r="L930" i="3"/>
  <c r="L732" i="3"/>
  <c r="L736" i="3"/>
  <c r="L538" i="3"/>
  <c r="L439" i="3"/>
  <c r="L241" i="3"/>
  <c r="L142" i="3"/>
  <c r="L637" i="3"/>
  <c r="L43" i="3"/>
  <c r="L934" i="3"/>
  <c r="L340" i="3"/>
  <c r="L1033" i="3"/>
  <c r="L835" i="3"/>
  <c r="L1012" i="3"/>
  <c r="L319" i="3"/>
  <c r="L22" i="3"/>
  <c r="L715" i="3"/>
  <c r="L418" i="3"/>
  <c r="L814" i="3"/>
  <c r="L616" i="3"/>
  <c r="L517" i="3"/>
  <c r="L913" i="3"/>
  <c r="L220" i="3"/>
  <c r="L121" i="3"/>
  <c r="L712" i="3"/>
  <c r="L1009" i="3"/>
  <c r="L316" i="3"/>
  <c r="L514" i="3"/>
  <c r="L118" i="3"/>
  <c r="L910" i="3"/>
  <c r="L613" i="3"/>
  <c r="L217" i="3"/>
  <c r="L19" i="3"/>
  <c r="L415" i="3"/>
  <c r="L811" i="3"/>
  <c r="L293" i="3"/>
  <c r="L1085" i="3"/>
  <c r="L689" i="3"/>
  <c r="L194" i="3"/>
  <c r="L392" i="3"/>
  <c r="L95" i="3"/>
  <c r="L491" i="3"/>
  <c r="L788" i="3"/>
  <c r="L590" i="3"/>
  <c r="L887" i="3"/>
  <c r="L986" i="3"/>
  <c r="L279" i="3"/>
  <c r="L180" i="3"/>
  <c r="L477" i="3"/>
  <c r="L972" i="3"/>
  <c r="L1071" i="3"/>
  <c r="L675" i="3"/>
  <c r="L873" i="3"/>
  <c r="L81" i="3"/>
  <c r="L774" i="3"/>
  <c r="L576" i="3"/>
  <c r="L378" i="3"/>
  <c r="L421" i="3"/>
  <c r="L25" i="3"/>
  <c r="L619" i="3"/>
  <c r="L124" i="3"/>
  <c r="L817" i="3"/>
  <c r="L520" i="3"/>
  <c r="L718" i="3"/>
  <c r="L916" i="3"/>
  <c r="L223" i="3"/>
  <c r="L322" i="3"/>
  <c r="L1015" i="3"/>
  <c r="L445" i="3"/>
  <c r="L1039" i="3"/>
  <c r="L346" i="3"/>
  <c r="L742" i="3"/>
  <c r="L148" i="3"/>
  <c r="L49" i="3"/>
  <c r="L841" i="3"/>
  <c r="L643" i="3"/>
  <c r="L247" i="3"/>
  <c r="L940" i="3"/>
  <c r="L544" i="3"/>
  <c r="L398" i="3"/>
  <c r="L299" i="3"/>
  <c r="L695" i="3"/>
  <c r="L1091" i="3"/>
  <c r="L497" i="3"/>
  <c r="L200" i="3"/>
  <c r="L794" i="3"/>
  <c r="L596" i="3"/>
  <c r="L992" i="3"/>
  <c r="L101" i="3"/>
  <c r="L893" i="3"/>
  <c r="L16" i="3"/>
  <c r="L709" i="3"/>
  <c r="L808" i="3"/>
  <c r="L412" i="3"/>
  <c r="L1006" i="3"/>
  <c r="L511" i="3"/>
  <c r="L313" i="3"/>
  <c r="L115" i="3"/>
  <c r="L214" i="3"/>
  <c r="L907" i="3"/>
  <c r="L610" i="3"/>
  <c r="L169" i="3"/>
  <c r="L268" i="3"/>
  <c r="L70" i="3"/>
  <c r="L466" i="3"/>
  <c r="L1060" i="3"/>
  <c r="L763" i="3"/>
  <c r="L367" i="3"/>
  <c r="L664" i="3"/>
  <c r="L862" i="3"/>
  <c r="L565" i="3"/>
  <c r="L961" i="3"/>
  <c r="L786" i="3"/>
  <c r="L984" i="3"/>
  <c r="L687" i="3"/>
  <c r="L192" i="3"/>
  <c r="L588" i="3"/>
  <c r="L885" i="3"/>
  <c r="L489" i="3"/>
  <c r="L93" i="3"/>
  <c r="L1083" i="3"/>
  <c r="L291" i="3"/>
  <c r="L390" i="3"/>
  <c r="L770" i="3"/>
  <c r="L176" i="3"/>
  <c r="L1067" i="3"/>
  <c r="L968" i="3"/>
  <c r="L275" i="3"/>
  <c r="L473" i="3"/>
  <c r="L869" i="3"/>
  <c r="L374" i="3"/>
  <c r="L77" i="3"/>
  <c r="L671" i="3"/>
  <c r="L572" i="3"/>
  <c r="L1069" i="3"/>
  <c r="L376" i="3"/>
  <c r="L871" i="3"/>
  <c r="L277" i="3"/>
  <c r="L772" i="3"/>
  <c r="L574" i="3"/>
  <c r="L79" i="3"/>
  <c r="L475" i="3"/>
  <c r="L178" i="3"/>
  <c r="L970" i="3"/>
  <c r="L673" i="3"/>
  <c r="L562" i="3"/>
  <c r="L265" i="3"/>
  <c r="L364" i="3"/>
  <c r="L661" i="3"/>
  <c r="L67" i="3"/>
  <c r="L166" i="3"/>
  <c r="L1057" i="3"/>
  <c r="L859" i="3"/>
  <c r="L463" i="3"/>
  <c r="L760" i="3"/>
  <c r="L958" i="3"/>
  <c r="L88" i="3"/>
  <c r="L484" i="3"/>
  <c r="L682" i="3"/>
  <c r="L880" i="3"/>
  <c r="L583" i="3"/>
  <c r="L385" i="3"/>
  <c r="L781" i="3"/>
  <c r="L187" i="3"/>
  <c r="L1078" i="3"/>
  <c r="L979" i="3"/>
  <c r="L286" i="3"/>
  <c r="L955" i="3"/>
  <c r="L559" i="3"/>
  <c r="L1054" i="3"/>
  <c r="L757" i="3"/>
  <c r="L163" i="3"/>
  <c r="L856" i="3"/>
  <c r="L460" i="3"/>
  <c r="L262" i="3"/>
  <c r="L658" i="3"/>
  <c r="L64" i="3"/>
  <c r="L361" i="3"/>
  <c r="L295" i="3"/>
  <c r="L592" i="3"/>
  <c r="L691" i="3"/>
  <c r="L889" i="3"/>
  <c r="L493" i="3"/>
  <c r="L790" i="3"/>
  <c r="L97" i="3"/>
  <c r="L196" i="3"/>
  <c r="L1087" i="3"/>
  <c r="L394" i="3"/>
  <c r="L988" i="3"/>
  <c r="L1075" i="3"/>
  <c r="L778" i="3"/>
  <c r="L283" i="3"/>
  <c r="L580" i="3"/>
  <c r="L382" i="3"/>
  <c r="L85" i="3"/>
  <c r="L976" i="3"/>
  <c r="L184" i="3"/>
  <c r="L877" i="3"/>
  <c r="L481" i="3"/>
  <c r="L679" i="3"/>
  <c r="L591" i="3"/>
  <c r="L195" i="3"/>
  <c r="L96" i="3"/>
  <c r="L393" i="3"/>
  <c r="L987" i="3"/>
  <c r="L1086" i="3"/>
  <c r="L690" i="3"/>
  <c r="L789" i="3"/>
  <c r="L492" i="3"/>
  <c r="L888" i="3"/>
  <c r="L294" i="3"/>
  <c r="L557" i="3"/>
  <c r="L359" i="3"/>
  <c r="L458" i="3"/>
  <c r="L62" i="3"/>
  <c r="L1052" i="3"/>
  <c r="L755" i="3"/>
  <c r="L161" i="3"/>
  <c r="L656" i="3"/>
  <c r="L854" i="3"/>
  <c r="L260" i="3"/>
  <c r="L953" i="3"/>
  <c r="L618" i="3"/>
  <c r="L420" i="3"/>
  <c r="L519" i="3"/>
  <c r="L915" i="3"/>
  <c r="L24" i="3"/>
  <c r="L123" i="3"/>
  <c r="L717" i="3"/>
  <c r="L816" i="3"/>
  <c r="L321" i="3"/>
  <c r="L222" i="3"/>
  <c r="L1014" i="3"/>
  <c r="L191" i="3"/>
  <c r="L290" i="3"/>
  <c r="L785" i="3"/>
  <c r="L884" i="3"/>
  <c r="L389" i="3"/>
  <c r="L1082" i="3"/>
  <c r="L983" i="3"/>
  <c r="L587" i="3"/>
  <c r="L92" i="3"/>
  <c r="L686" i="3"/>
  <c r="L488" i="3"/>
  <c r="L698" i="3"/>
  <c r="L104" i="3"/>
  <c r="L203" i="3"/>
  <c r="L995" i="3"/>
  <c r="L401" i="3"/>
  <c r="L896" i="3"/>
  <c r="L797" i="3"/>
  <c r="L5" i="3"/>
  <c r="L500" i="3"/>
  <c r="L302" i="3"/>
  <c r="L599" i="3"/>
  <c r="L971" i="3"/>
  <c r="L476" i="3"/>
  <c r="L278" i="3"/>
  <c r="L773" i="3"/>
  <c r="L80" i="3"/>
  <c r="L377" i="3"/>
  <c r="L872" i="3"/>
  <c r="L179" i="3"/>
  <c r="L674" i="3"/>
  <c r="L575" i="3"/>
  <c r="L1070" i="3"/>
  <c r="L325" i="3"/>
  <c r="L721" i="3"/>
  <c r="L226" i="3"/>
  <c r="L919" i="3"/>
  <c r="L820" i="3"/>
  <c r="L622" i="3"/>
  <c r="L424" i="3"/>
  <c r="L127" i="3"/>
  <c r="L28" i="3"/>
  <c r="L1018" i="3"/>
  <c r="L523" i="3"/>
  <c r="L805" i="3"/>
  <c r="L310" i="3"/>
  <c r="L211" i="3"/>
  <c r="L904" i="3"/>
  <c r="L607" i="3"/>
  <c r="L706" i="3"/>
  <c r="L1003" i="3"/>
  <c r="L112" i="3"/>
  <c r="L13" i="3"/>
  <c r="L409" i="3"/>
  <c r="L508" i="3"/>
  <c r="L834" i="3"/>
  <c r="L339" i="3"/>
  <c r="L537" i="3"/>
  <c r="L1032" i="3"/>
  <c r="L141" i="3"/>
  <c r="L636" i="3"/>
  <c r="L438" i="3"/>
  <c r="L42" i="3"/>
  <c r="L735" i="3"/>
  <c r="L933" i="3"/>
  <c r="L240" i="3"/>
  <c r="L1044" i="3"/>
  <c r="L945" i="3"/>
  <c r="L549" i="3"/>
  <c r="L54" i="3"/>
  <c r="L252" i="3"/>
  <c r="L351" i="3"/>
  <c r="L648" i="3"/>
  <c r="L747" i="3"/>
  <c r="L450" i="3"/>
  <c r="L846" i="3"/>
  <c r="L153" i="3"/>
  <c r="L1088" i="3"/>
  <c r="L593" i="3"/>
  <c r="L197" i="3"/>
  <c r="L98" i="3"/>
  <c r="L692" i="3"/>
  <c r="L890" i="3"/>
  <c r="L296" i="3"/>
  <c r="L989" i="3"/>
  <c r="L791" i="3"/>
  <c r="L395" i="3"/>
  <c r="L494" i="3"/>
  <c r="L116" i="3"/>
  <c r="L512" i="3"/>
  <c r="L1007" i="3"/>
  <c r="L413" i="3"/>
  <c r="L809" i="3"/>
  <c r="L908" i="3"/>
  <c r="L710" i="3"/>
  <c r="L314" i="3"/>
  <c r="L17" i="3"/>
  <c r="L215" i="3"/>
  <c r="L611" i="3"/>
  <c r="L261" i="3"/>
  <c r="L360" i="3"/>
  <c r="L657" i="3"/>
  <c r="L1053" i="3"/>
  <c r="L63" i="3"/>
  <c r="L558" i="3"/>
  <c r="L855" i="3"/>
  <c r="L162" i="3"/>
  <c r="L459" i="3"/>
  <c r="L756" i="3"/>
  <c r="L954" i="3"/>
  <c r="L457" i="3"/>
  <c r="L160" i="3"/>
  <c r="L853" i="3"/>
  <c r="L259" i="3"/>
  <c r="L358" i="3"/>
  <c r="L655" i="3"/>
  <c r="L754" i="3"/>
  <c r="L61" i="3"/>
  <c r="L952" i="3"/>
  <c r="L1051" i="3"/>
  <c r="L556" i="3"/>
  <c r="L701" i="3"/>
  <c r="L602" i="3"/>
  <c r="L107" i="3"/>
  <c r="L305" i="3"/>
  <c r="L404" i="3"/>
  <c r="L899" i="3"/>
  <c r="L206" i="3"/>
  <c r="L503" i="3"/>
  <c r="L8" i="3"/>
  <c r="L800" i="3"/>
  <c r="L998" i="3"/>
  <c r="L170" i="3"/>
  <c r="L665" i="3"/>
  <c r="L764" i="3"/>
  <c r="L962" i="3"/>
  <c r="L863" i="3"/>
  <c r="L1061" i="3"/>
  <c r="L269" i="3"/>
  <c r="L368" i="3"/>
  <c r="L71" i="3"/>
  <c r="L566" i="3"/>
  <c r="L467" i="3"/>
  <c r="L6" i="3"/>
  <c r="L501" i="3"/>
  <c r="L204" i="3"/>
  <c r="L897" i="3"/>
  <c r="L303" i="3"/>
  <c r="L798" i="3"/>
  <c r="L699" i="3"/>
  <c r="L105" i="3"/>
  <c r="L600" i="3"/>
  <c r="L996" i="3"/>
  <c r="L402" i="3"/>
  <c r="L647" i="3"/>
  <c r="L1043" i="3"/>
  <c r="L746" i="3"/>
  <c r="L251" i="3"/>
  <c r="L548" i="3"/>
  <c r="L350" i="3"/>
  <c r="L53" i="3"/>
  <c r="L152" i="3"/>
  <c r="L449" i="3"/>
  <c r="L845" i="3"/>
  <c r="L944" i="3"/>
  <c r="L530" i="3"/>
  <c r="L629" i="3"/>
  <c r="L827" i="3"/>
  <c r="L431" i="3"/>
  <c r="L35" i="3"/>
  <c r="L926" i="3"/>
  <c r="L332" i="3"/>
  <c r="L134" i="3"/>
  <c r="L1025" i="3"/>
  <c r="L233" i="3"/>
  <c r="L728" i="3"/>
  <c r="L344" i="3"/>
  <c r="L1037" i="3"/>
  <c r="L245" i="3"/>
  <c r="L146" i="3"/>
  <c r="L443" i="3"/>
  <c r="L839" i="3"/>
  <c r="L641" i="3"/>
  <c r="L938" i="3"/>
  <c r="L542" i="3"/>
  <c r="L47" i="3"/>
  <c r="L740" i="3"/>
  <c r="L172" i="3"/>
  <c r="L865" i="3"/>
  <c r="L766" i="3"/>
  <c r="L370" i="3"/>
  <c r="L469" i="3"/>
  <c r="L964" i="3"/>
  <c r="L73" i="3"/>
  <c r="L271" i="3"/>
  <c r="L667" i="3"/>
  <c r="L568" i="3"/>
  <c r="L1063" i="3"/>
  <c r="L1055" i="3"/>
  <c r="L956" i="3"/>
  <c r="L758" i="3"/>
  <c r="L362" i="3"/>
  <c r="L857" i="3"/>
  <c r="L164" i="3"/>
  <c r="L65" i="3"/>
  <c r="L263" i="3"/>
  <c r="L560" i="3"/>
  <c r="L659" i="3"/>
  <c r="L461" i="3"/>
  <c r="L1066" i="3"/>
  <c r="L373" i="3"/>
  <c r="L472" i="3"/>
  <c r="L670" i="3"/>
  <c r="L274" i="3"/>
  <c r="L868" i="3"/>
  <c r="L769" i="3"/>
  <c r="L967" i="3"/>
  <c r="L175" i="3"/>
  <c r="L76" i="3"/>
  <c r="L571" i="3"/>
  <c r="L924" i="3"/>
  <c r="L528" i="3"/>
  <c r="L330" i="3"/>
  <c r="L132" i="3"/>
  <c r="L33" i="3"/>
  <c r="L825" i="3"/>
  <c r="L726" i="3"/>
  <c r="L1023" i="3"/>
  <c r="L231" i="3"/>
  <c r="L627" i="3"/>
  <c r="L429" i="3"/>
  <c r="L918" i="3"/>
  <c r="L423" i="3"/>
  <c r="L324" i="3"/>
  <c r="L27" i="3"/>
  <c r="L522" i="3"/>
  <c r="L225" i="3"/>
  <c r="L126" i="3"/>
  <c r="L621" i="3"/>
  <c r="L1017" i="3"/>
  <c r="L819" i="3"/>
  <c r="L720" i="3"/>
  <c r="L799" i="3"/>
  <c r="L700" i="3"/>
  <c r="L106" i="3"/>
  <c r="L403" i="3"/>
  <c r="L502" i="3"/>
  <c r="L304" i="3"/>
  <c r="L7" i="3"/>
  <c r="L205" i="3"/>
  <c r="L997" i="3"/>
  <c r="L898" i="3"/>
  <c r="L601" i="3"/>
  <c r="L822" i="3"/>
  <c r="L129" i="3"/>
  <c r="L921" i="3"/>
  <c r="L30" i="3"/>
  <c r="L1020" i="3"/>
  <c r="L723" i="3"/>
  <c r="L228" i="3"/>
  <c r="L624" i="3"/>
  <c r="L426" i="3"/>
  <c r="L525" i="3"/>
  <c r="L327" i="3"/>
  <c r="L326" i="3"/>
  <c r="L1019" i="3"/>
  <c r="L425" i="3"/>
  <c r="L623" i="3"/>
  <c r="L722" i="3"/>
  <c r="L128" i="3"/>
  <c r="L821" i="3"/>
  <c r="L920" i="3"/>
  <c r="L29" i="3"/>
  <c r="L227" i="3"/>
  <c r="L524" i="3"/>
  <c r="L258" i="3"/>
  <c r="L852" i="3"/>
  <c r="L753" i="3"/>
  <c r="L951" i="3"/>
  <c r="L159" i="3"/>
  <c r="L555" i="3"/>
  <c r="L60" i="3"/>
  <c r="L357" i="3"/>
  <c r="L456" i="3"/>
  <c r="L1050" i="3"/>
  <c r="L654" i="3"/>
  <c r="L139" i="3"/>
  <c r="L634" i="3"/>
  <c r="L436" i="3"/>
  <c r="L535" i="3"/>
  <c r="L238" i="3"/>
  <c r="L832" i="3"/>
  <c r="L337" i="3"/>
  <c r="L931" i="3"/>
  <c r="L40" i="3"/>
  <c r="L733" i="3"/>
  <c r="L1030" i="3"/>
  <c r="L680" i="3"/>
  <c r="L1076" i="3"/>
  <c r="L581" i="3"/>
  <c r="L284" i="3"/>
  <c r="L482" i="3"/>
  <c r="L878" i="3"/>
  <c r="L977" i="3"/>
  <c r="L779" i="3"/>
  <c r="L86" i="3"/>
  <c r="L383" i="3"/>
  <c r="L185" i="3"/>
  <c r="L1059" i="3"/>
  <c r="L861" i="3"/>
  <c r="L69" i="3"/>
  <c r="L366" i="3"/>
  <c r="L960" i="3"/>
  <c r="L564" i="3"/>
  <c r="L267" i="3"/>
  <c r="L465" i="3"/>
  <c r="L168" i="3"/>
  <c r="L663" i="3"/>
  <c r="L762" i="3"/>
  <c r="L87" i="3"/>
  <c r="L780" i="3"/>
  <c r="L186" i="3"/>
  <c r="L1077" i="3"/>
  <c r="L879" i="3"/>
  <c r="L285" i="3"/>
  <c r="L483" i="3"/>
  <c r="L384" i="3"/>
  <c r="L582" i="3"/>
  <c r="L978" i="3"/>
  <c r="L681" i="3"/>
  <c r="L936" i="3"/>
  <c r="L441" i="3"/>
  <c r="L639" i="3"/>
  <c r="L144" i="3"/>
  <c r="L243" i="3"/>
  <c r="L738" i="3"/>
  <c r="L837" i="3"/>
  <c r="L1035" i="3"/>
  <c r="L540" i="3"/>
  <c r="L342" i="3"/>
  <c r="L45" i="3"/>
  <c r="L1047" i="3"/>
  <c r="L849" i="3"/>
  <c r="L651" i="3"/>
  <c r="L948" i="3"/>
  <c r="L156" i="3"/>
  <c r="L750" i="3"/>
  <c r="L255" i="3"/>
  <c r="L453" i="3"/>
  <c r="L354" i="3"/>
  <c r="L57" i="3"/>
  <c r="L552" i="3"/>
  <c r="L567" i="3"/>
  <c r="L1062" i="3"/>
  <c r="L270" i="3"/>
  <c r="L171" i="3"/>
  <c r="L864" i="3"/>
  <c r="L468" i="3"/>
  <c r="L963" i="3"/>
  <c r="L369" i="3"/>
  <c r="L72" i="3"/>
  <c r="L666" i="3"/>
  <c r="L765" i="3"/>
  <c r="L876" i="3"/>
  <c r="L84" i="3"/>
  <c r="L579" i="3"/>
  <c r="L282" i="3"/>
  <c r="L480" i="3"/>
  <c r="L381" i="3"/>
  <c r="L183" i="3"/>
  <c r="L777" i="3"/>
  <c r="L678" i="3"/>
  <c r="L975" i="3"/>
  <c r="L1074" i="3"/>
  <c r="L474" i="3"/>
  <c r="L78" i="3"/>
  <c r="L672" i="3"/>
  <c r="L771" i="3"/>
  <c r="L573" i="3"/>
  <c r="L177" i="3"/>
  <c r="L276" i="3"/>
  <c r="L870" i="3"/>
  <c r="L969" i="3"/>
  <c r="L1068" i="3"/>
  <c r="L375" i="3"/>
  <c r="L229" i="3"/>
  <c r="L724" i="3"/>
  <c r="L823" i="3"/>
  <c r="L922" i="3"/>
  <c r="L625" i="3"/>
  <c r="L328" i="3"/>
  <c r="L1021" i="3"/>
  <c r="L526" i="3"/>
  <c r="L130" i="3"/>
  <c r="L31" i="3"/>
  <c r="L427" i="3"/>
  <c r="L911" i="3"/>
  <c r="L20" i="3"/>
  <c r="L713" i="3"/>
  <c r="L317" i="3"/>
  <c r="L515" i="3"/>
  <c r="L119" i="3"/>
  <c r="L416" i="3"/>
  <c r="L812" i="3"/>
  <c r="L218" i="3"/>
  <c r="L1010" i="3"/>
  <c r="L614" i="3"/>
  <c r="L850" i="3"/>
  <c r="L355" i="3"/>
  <c r="L454" i="3"/>
  <c r="L652" i="3"/>
  <c r="L157" i="3"/>
  <c r="L949" i="3"/>
  <c r="L58" i="3"/>
  <c r="L553" i="3"/>
  <c r="L256" i="3"/>
  <c r="L751" i="3"/>
  <c r="L1048" i="3"/>
  <c r="L44" i="3"/>
  <c r="L836" i="3"/>
  <c r="L341" i="3"/>
  <c r="L935" i="3"/>
  <c r="L143" i="3"/>
  <c r="L638" i="3"/>
  <c r="L737" i="3"/>
  <c r="L539" i="3"/>
  <c r="L440" i="3"/>
  <c r="L242" i="3"/>
  <c r="L1034" i="3"/>
  <c r="L490" i="3"/>
  <c r="L391" i="3"/>
  <c r="L985" i="3"/>
  <c r="L589" i="3"/>
  <c r="L886" i="3"/>
  <c r="L94" i="3"/>
  <c r="L292" i="3"/>
  <c r="L193" i="3"/>
  <c r="L787" i="3"/>
  <c r="L688" i="3"/>
  <c r="L1084" i="3"/>
  <c r="L335" i="3"/>
  <c r="L236" i="3"/>
  <c r="L1028" i="3"/>
  <c r="L632" i="3"/>
  <c r="L137" i="3"/>
  <c r="L830" i="3"/>
  <c r="L533" i="3"/>
  <c r="L929" i="3"/>
  <c r="L434" i="3"/>
  <c r="L731" i="3"/>
  <c r="L38" i="3"/>
  <c r="L950" i="3"/>
  <c r="L356" i="3"/>
  <c r="L554" i="3"/>
  <c r="L158" i="3"/>
  <c r="L455" i="3"/>
  <c r="L1049" i="3"/>
  <c r="L851" i="3"/>
  <c r="L59" i="3"/>
  <c r="L752" i="3"/>
  <c r="L653" i="3"/>
  <c r="L257" i="3"/>
  <c r="L545" i="3"/>
  <c r="L347" i="3"/>
  <c r="L149" i="3"/>
  <c r="L50" i="3"/>
  <c r="L1040" i="3"/>
  <c r="L446" i="3"/>
  <c r="L842" i="3"/>
  <c r="L248" i="3"/>
  <c r="L941" i="3"/>
  <c r="L743" i="3"/>
  <c r="L644" i="3"/>
  <c r="L266" i="3"/>
  <c r="L1058" i="3"/>
  <c r="L662" i="3"/>
  <c r="L563" i="3"/>
  <c r="L68" i="3"/>
  <c r="L959" i="3"/>
  <c r="L167" i="3"/>
  <c r="L761" i="3"/>
  <c r="L860" i="3"/>
  <c r="L365" i="3"/>
  <c r="L464" i="3"/>
  <c r="L15" i="3"/>
  <c r="L312" i="3"/>
  <c r="L411" i="3"/>
  <c r="L708" i="3"/>
  <c r="L213" i="3"/>
  <c r="L609" i="3"/>
  <c r="L510" i="3"/>
  <c r="L1005" i="3"/>
  <c r="L114" i="3"/>
  <c r="L906" i="3"/>
  <c r="L807" i="3"/>
  <c r="L917" i="3"/>
  <c r="L521" i="3"/>
  <c r="L422" i="3"/>
  <c r="L818" i="3"/>
  <c r="L224" i="3"/>
  <c r="L323" i="3"/>
  <c r="L125" i="3"/>
  <c r="L1016" i="3"/>
  <c r="L719" i="3"/>
  <c r="L26" i="3"/>
  <c r="L620" i="3"/>
  <c r="L298" i="3"/>
  <c r="L1090" i="3"/>
  <c r="L991" i="3"/>
  <c r="L694" i="3"/>
  <c r="L100" i="3"/>
  <c r="L496" i="3"/>
  <c r="L397" i="3"/>
  <c r="L793" i="3"/>
  <c r="L595" i="3"/>
  <c r="L199" i="3"/>
  <c r="L892" i="3"/>
  <c r="L478" i="3"/>
  <c r="L775" i="3"/>
  <c r="L280" i="3"/>
  <c r="L973" i="3"/>
  <c r="L577" i="3"/>
  <c r="L82" i="3"/>
  <c r="L181" i="3"/>
  <c r="L1072" i="3"/>
  <c r="L874" i="3"/>
  <c r="L676" i="3"/>
  <c r="L379" i="3"/>
  <c r="L329" i="3"/>
  <c r="L626" i="3"/>
  <c r="L428" i="3"/>
  <c r="L923" i="3"/>
  <c r="L1022" i="3"/>
  <c r="L230" i="3"/>
  <c r="L527" i="3"/>
  <c r="L131" i="3"/>
  <c r="L32" i="3"/>
  <c r="L824" i="3"/>
  <c r="L725" i="3"/>
  <c r="L348" i="3"/>
  <c r="L1041" i="3"/>
  <c r="L942" i="3"/>
  <c r="L51" i="3"/>
  <c r="L249" i="3"/>
  <c r="L447" i="3"/>
  <c r="L546" i="3"/>
  <c r="L744" i="3"/>
  <c r="L645" i="3"/>
  <c r="L150" i="3"/>
  <c r="L843" i="3"/>
  <c r="L946" i="3"/>
  <c r="L451" i="3"/>
  <c r="L1045" i="3"/>
  <c r="L550" i="3"/>
  <c r="L649" i="3"/>
  <c r="L847" i="3"/>
  <c r="L748" i="3"/>
  <c r="L55" i="3"/>
  <c r="L352" i="3"/>
  <c r="L253" i="3"/>
  <c r="L154" i="3"/>
  <c r="L46" i="3"/>
  <c r="L838" i="3"/>
  <c r="L343" i="3"/>
  <c r="L937" i="3"/>
  <c r="L145" i="3"/>
  <c r="L442" i="3"/>
  <c r="L541" i="3"/>
  <c r="L244" i="3"/>
  <c r="L739" i="3"/>
  <c r="L640" i="3"/>
  <c r="L1036" i="3"/>
  <c r="L136" i="3"/>
  <c r="L928" i="3"/>
  <c r="L829" i="3"/>
  <c r="L433" i="3"/>
  <c r="L631" i="3"/>
  <c r="L37" i="3"/>
  <c r="L1027" i="3"/>
  <c r="L532" i="3"/>
  <c r="L334" i="3"/>
  <c r="L730" i="3"/>
  <c r="L235" i="3"/>
  <c r="L471" i="3"/>
  <c r="L768" i="3"/>
  <c r="L669" i="3"/>
  <c r="L75" i="3"/>
  <c r="L1065" i="3"/>
  <c r="L966" i="3"/>
  <c r="L174" i="3"/>
  <c r="L570" i="3"/>
  <c r="L372" i="3"/>
  <c r="L867" i="3"/>
  <c r="L273" i="3"/>
  <c r="L320" i="3"/>
  <c r="L419" i="3"/>
  <c r="L122" i="3"/>
  <c r="L815" i="3"/>
  <c r="L617" i="3"/>
  <c r="L1013" i="3"/>
  <c r="L716" i="3"/>
  <c r="L518" i="3"/>
  <c r="L914" i="3"/>
  <c r="L221" i="3"/>
  <c r="L23" i="3"/>
  <c r="L281" i="3"/>
  <c r="L875" i="3"/>
  <c r="L479" i="3"/>
  <c r="L380" i="3"/>
  <c r="L1073" i="3"/>
  <c r="L578" i="3"/>
  <c r="L182" i="3"/>
  <c r="L83" i="3"/>
  <c r="L677" i="3"/>
  <c r="L776" i="3"/>
  <c r="L974" i="3"/>
  <c r="L569" i="3"/>
  <c r="L1064" i="3"/>
  <c r="L173" i="3"/>
  <c r="L767" i="3"/>
  <c r="L74" i="3"/>
  <c r="L272" i="3"/>
  <c r="L965" i="3"/>
  <c r="L371" i="3"/>
  <c r="L668" i="3"/>
  <c r="L866" i="3"/>
  <c r="L470" i="3"/>
  <c r="L110" i="3"/>
  <c r="L407" i="3"/>
  <c r="L704" i="3"/>
  <c r="L209" i="3"/>
  <c r="L803" i="3"/>
  <c r="L308" i="3"/>
  <c r="L11" i="3"/>
  <c r="L605" i="3"/>
  <c r="L506" i="3"/>
  <c r="L1001" i="3"/>
  <c r="L902" i="3"/>
  <c r="L901" i="3"/>
  <c r="L1000" i="3"/>
  <c r="L109" i="3"/>
  <c r="L10" i="3"/>
  <c r="L307" i="3"/>
  <c r="L208" i="3"/>
  <c r="L703" i="3"/>
  <c r="L802" i="3"/>
  <c r="L406" i="3"/>
  <c r="L604" i="3"/>
  <c r="L505" i="3"/>
  <c r="L1" i="3" l="1"/>
</calcChain>
</file>

<file path=xl/sharedStrings.xml><?xml version="1.0" encoding="utf-8"?>
<sst xmlns="http://schemas.openxmlformats.org/spreadsheetml/2006/main" count="1270" uniqueCount="108">
  <si>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</si>
  <si>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</si>
  <si>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</si>
  <si>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</si>
  <si>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</si>
  <si>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水系</t>
    <phoneticPr fontId="1" type="noConversion"/>
  </si>
  <si>
    <t>火系</t>
    <phoneticPr fontId="1" type="noConversion"/>
  </si>
  <si>
    <t>光系</t>
    <phoneticPr fontId="1" type="noConversion"/>
  </si>
  <si>
    <t>暗系</t>
    <phoneticPr fontId="1" type="noConversion"/>
  </si>
  <si>
    <t>雷系</t>
    <phoneticPr fontId="1" type="noConversion"/>
  </si>
  <si>
    <r>
      <rPr>
        <sz val="10"/>
        <color theme="1"/>
        <rFont val="宋体"/>
        <family val="3"/>
        <charset val="134"/>
      </rPr>
      <t>冷却</t>
    </r>
    <phoneticPr fontId="1" type="noConversion"/>
  </si>
  <si>
    <r>
      <rPr>
        <sz val="10"/>
        <color theme="1"/>
        <rFont val="宋体"/>
        <family val="3"/>
        <charset val="134"/>
      </rPr>
      <t>龙系</t>
    </r>
    <phoneticPr fontId="1" type="noConversion"/>
  </si>
  <si>
    <r>
      <rPr>
        <sz val="10"/>
        <color theme="1"/>
        <rFont val="宋体"/>
        <family val="3"/>
        <charset val="134"/>
      </rPr>
      <t>火炎</t>
    </r>
    <phoneticPr fontId="1" type="noConversion"/>
  </si>
  <si>
    <r>
      <rPr>
        <sz val="10"/>
        <color theme="1"/>
        <rFont val="宋体"/>
        <family val="3"/>
        <charset val="134"/>
      </rPr>
      <t>黑暗</t>
    </r>
    <phoneticPr fontId="1" type="noConversion"/>
  </si>
  <si>
    <r>
      <rPr>
        <sz val="10"/>
        <color theme="1"/>
        <rFont val="宋体"/>
        <family val="3"/>
        <charset val="134"/>
      </rPr>
      <t>地脉</t>
    </r>
    <phoneticPr fontId="1" type="noConversion"/>
  </si>
  <si>
    <r>
      <rPr>
        <sz val="10"/>
        <color theme="1"/>
        <rFont val="宋体"/>
        <family val="3"/>
        <charset val="134"/>
      </rPr>
      <t>金属系</t>
    </r>
    <phoneticPr fontId="1" type="noConversion"/>
  </si>
  <si>
    <r>
      <rPr>
        <sz val="10"/>
        <color theme="1"/>
        <rFont val="宋体"/>
        <family val="3"/>
        <charset val="134"/>
      </rPr>
      <t>暗系</t>
    </r>
    <phoneticPr fontId="1" type="noConversion"/>
  </si>
  <si>
    <r>
      <rPr>
        <sz val="10"/>
        <color theme="1"/>
        <rFont val="宋体"/>
        <family val="3"/>
        <charset val="134"/>
      </rPr>
      <t>电击</t>
    </r>
    <phoneticPr fontId="1" type="noConversion"/>
  </si>
  <si>
    <r>
      <rPr>
        <sz val="10"/>
        <color theme="1"/>
        <rFont val="宋体"/>
        <family val="3"/>
        <charset val="134"/>
      </rPr>
      <t>物理</t>
    </r>
    <phoneticPr fontId="1" type="noConversion"/>
  </si>
  <si>
    <r>
      <rPr>
        <sz val="10"/>
        <color theme="1"/>
        <rFont val="宋体"/>
        <family val="3"/>
        <charset val="134"/>
      </rPr>
      <t>水系</t>
    </r>
    <phoneticPr fontId="1" type="noConversion"/>
  </si>
  <si>
    <r>
      <rPr>
        <sz val="10"/>
        <color theme="1"/>
        <rFont val="宋体"/>
        <family val="3"/>
        <charset val="134"/>
      </rPr>
      <t>土系</t>
    </r>
    <phoneticPr fontId="1" type="noConversion"/>
  </si>
  <si>
    <r>
      <rPr>
        <sz val="10"/>
        <color theme="1"/>
        <rFont val="宋体"/>
        <family val="3"/>
        <charset val="134"/>
      </rPr>
      <t>火系</t>
    </r>
    <phoneticPr fontId="1" type="noConversion"/>
  </si>
  <si>
    <r>
      <rPr>
        <sz val="10"/>
        <color theme="1"/>
        <rFont val="宋体"/>
        <family val="3"/>
        <charset val="134"/>
      </rPr>
      <t>飞行系</t>
    </r>
    <phoneticPr fontId="1" type="noConversion"/>
  </si>
  <si>
    <r>
      <rPr>
        <sz val="10"/>
        <color theme="1"/>
        <rFont val="宋体"/>
        <family val="3"/>
        <charset val="134"/>
      </rPr>
      <t>火炎</t>
    </r>
    <phoneticPr fontId="1" type="noConversion"/>
  </si>
  <si>
    <r>
      <rPr>
        <sz val="10"/>
        <color theme="1"/>
        <rFont val="宋体"/>
        <family val="3"/>
        <charset val="134"/>
      </rPr>
      <t>僵尸系</t>
    </r>
    <phoneticPr fontId="1" type="noConversion"/>
  </si>
  <si>
    <r>
      <rPr>
        <sz val="10"/>
        <color theme="1"/>
        <rFont val="宋体"/>
        <family val="3"/>
        <charset val="134"/>
      </rPr>
      <t>光系</t>
    </r>
    <phoneticPr fontId="1" type="noConversion"/>
  </si>
  <si>
    <r>
      <rPr>
        <sz val="10"/>
        <color theme="1"/>
        <rFont val="宋体"/>
        <family val="3"/>
        <charset val="134"/>
      </rPr>
      <t>神圣</t>
    </r>
    <phoneticPr fontId="1" type="noConversion"/>
  </si>
  <si>
    <r>
      <rPr>
        <sz val="10"/>
        <color theme="1"/>
        <rFont val="宋体"/>
        <family val="3"/>
        <charset val="134"/>
      </rPr>
      <t>黑暗</t>
    </r>
    <phoneticPr fontId="1" type="noConversion"/>
  </si>
  <si>
    <r>
      <rPr>
        <sz val="10"/>
        <color theme="1"/>
        <rFont val="宋体"/>
        <family val="3"/>
        <charset val="134"/>
      </rPr>
      <t>雷系</t>
    </r>
    <phoneticPr fontId="1" type="noConversion"/>
  </si>
  <si>
    <r>
      <rPr>
        <sz val="10"/>
        <color theme="1"/>
        <rFont val="宋体"/>
        <family val="3"/>
        <charset val="134"/>
      </rPr>
      <t>风系</t>
    </r>
    <phoneticPr fontId="1" type="noConversion"/>
  </si>
  <si>
    <t>hp</t>
    <phoneticPr fontId="1" type="noConversion"/>
  </si>
  <si>
    <t>命中</t>
    <phoneticPr fontId="1" type="noConversion"/>
  </si>
  <si>
    <t>sp</t>
    <phoneticPr fontId="1" type="noConversion"/>
  </si>
  <si>
    <t>火炎攻击</t>
    <phoneticPr fontId="1" type="noConversion"/>
  </si>
  <si>
    <t>闪避，暴击率</t>
    <phoneticPr fontId="1" type="noConversion"/>
  </si>
  <si>
    <t>物攻，暴击伤害</t>
    <phoneticPr fontId="1" type="noConversion"/>
  </si>
  <si>
    <t>物防，hp</t>
    <phoneticPr fontId="1" type="noConversion"/>
  </si>
  <si>
    <t>命中，魔攻</t>
    <phoneticPr fontId="1" type="noConversion"/>
  </si>
  <si>
    <r>
      <rPr>
        <sz val="10"/>
        <color theme="1"/>
        <rFont val="宋体"/>
        <family val="3"/>
        <charset val="134"/>
      </rPr>
      <t>抗性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，魔防</t>
    </r>
    <phoneticPr fontId="1" type="noConversion"/>
  </si>
  <si>
    <t>冷却攻击</t>
    <phoneticPr fontId="1" type="noConversion"/>
  </si>
  <si>
    <t>神圣攻击</t>
    <phoneticPr fontId="1" type="noConversion"/>
  </si>
  <si>
    <t>黑暗攻击</t>
    <phoneticPr fontId="1" type="noConversion"/>
  </si>
  <si>
    <t>电击攻击</t>
    <phoneticPr fontId="1" type="noConversion"/>
  </si>
  <si>
    <t>地脉攻击</t>
    <phoneticPr fontId="1" type="noConversion"/>
  </si>
  <si>
    <t>特点</t>
    <phoneticPr fontId="1" type="noConversion"/>
  </si>
  <si>
    <t>类型</t>
    <phoneticPr fontId="1" type="noConversion"/>
  </si>
  <si>
    <r>
      <rPr>
        <b/>
        <i/>
        <sz val="10"/>
        <color theme="0"/>
        <rFont val="宋体"/>
        <family val="3"/>
        <charset val="134"/>
      </rPr>
      <t>魔法属性</t>
    </r>
    <phoneticPr fontId="1" type="noConversion"/>
  </si>
  <si>
    <t>怪物等级</t>
    <phoneticPr fontId="1" type="noConversion"/>
  </si>
  <si>
    <t>风系</t>
    <phoneticPr fontId="1" type="noConversion"/>
  </si>
  <si>
    <t>职业等级</t>
    <phoneticPr fontId="1" type="noConversion"/>
  </si>
  <si>
    <t>monsterLevel</t>
    <phoneticPr fontId="1" type="noConversion"/>
  </si>
  <si>
    <t>baseMonster</t>
    <phoneticPr fontId="1" type="noConversion"/>
  </si>
  <si>
    <t>npcPRound</t>
    <phoneticPr fontId="1" type="noConversion"/>
  </si>
  <si>
    <t>npcMRound</t>
    <phoneticPr fontId="1" type="noConversion"/>
  </si>
  <si>
    <t>monsterMRound</t>
    <phoneticPr fontId="1" type="noConversion"/>
  </si>
  <si>
    <t>monsterPRound</t>
    <phoneticPr fontId="1" type="noConversion"/>
  </si>
  <si>
    <t>hurt</t>
    <phoneticPr fontId="1" type="noConversion"/>
  </si>
  <si>
    <t>tenacity</t>
    <phoneticPr fontId="1" type="noConversion"/>
  </si>
  <si>
    <t>hp</t>
    <phoneticPr fontId="1" type="noConversion"/>
  </si>
  <si>
    <t>sp</t>
    <phoneticPr fontId="1" type="noConversion"/>
  </si>
  <si>
    <t>patk</t>
    <phoneticPr fontId="1" type="noConversion"/>
  </si>
  <si>
    <t>pdef</t>
    <phoneticPr fontId="1" type="noConversion"/>
  </si>
  <si>
    <t>matk</t>
    <phoneticPr fontId="1" type="noConversion"/>
  </si>
  <si>
    <t>mdef</t>
    <phoneticPr fontId="1" type="noConversion"/>
  </si>
  <si>
    <t>物理攻击</t>
    <phoneticPr fontId="0" type="Hiragana"/>
  </si>
  <si>
    <t>地脉攻击</t>
    <phoneticPr fontId="0" type="Hiragana"/>
  </si>
  <si>
    <t>冷却攻击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</si>
  <si>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</si>
  <si>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</si>
  <si>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</si>
  <si>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</si>
  <si>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</si>
  <si>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</si>
  <si>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</si>
  <si>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</si>
  <si>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</si>
  <si>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闪避</t>
    <phoneticPr fontId="1" type="noConversion"/>
  </si>
  <si>
    <t>速度</t>
    <phoneticPr fontId="1" type="noConversion"/>
  </si>
  <si>
    <t>npcDefLess</t>
    <phoneticPr fontId="1" type="noConversion"/>
  </si>
  <si>
    <t>defDamageLess</t>
    <phoneticPr fontId="1" type="noConversion"/>
  </si>
  <si>
    <t>抗性减伤</t>
    <phoneticPr fontId="1" type="noConversion"/>
  </si>
  <si>
    <t>总减伤</t>
    <phoneticPr fontId="1" type="noConversion"/>
  </si>
  <si>
    <t>id</t>
    <phoneticPr fontId="1" type="noConversion"/>
  </si>
  <si>
    <t>npcProLevel</t>
    <phoneticPr fontId="1" type="noConversion"/>
  </si>
  <si>
    <t>npcHitPer</t>
    <phoneticPr fontId="1" type="noConversion"/>
  </si>
  <si>
    <t>npcHitValue</t>
    <phoneticPr fontId="1" type="noConversion"/>
  </si>
  <si>
    <t>npcOhterDamage</t>
    <phoneticPr fontId="1" type="noConversion"/>
  </si>
  <si>
    <t>痛打率</t>
    <phoneticPr fontId="1" type="noConversion"/>
  </si>
  <si>
    <t>痛打伤害</t>
    <phoneticPr fontId="1" type="noConversion"/>
  </si>
  <si>
    <t>怪物属性</t>
    <phoneticPr fontId="1" type="noConversion"/>
  </si>
  <si>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</si>
  <si>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</si>
  <si>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</si>
  <si>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</si>
  <si>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</si>
  <si>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水系</t>
    <phoneticPr fontId="1" type="noConversion"/>
  </si>
  <si>
    <t>火系</t>
    <phoneticPr fontId="1" type="noConversion"/>
  </si>
  <si>
    <t>光系</t>
    <phoneticPr fontId="1" type="noConversion"/>
  </si>
  <si>
    <t>暗系</t>
    <phoneticPr fontId="1" type="noConversion"/>
  </si>
  <si>
    <t>雷系</t>
    <phoneticPr fontId="1" type="noConversion"/>
  </si>
  <si>
    <t>风系</t>
    <phoneticPr fontId="1" type="noConversion"/>
  </si>
  <si>
    <t>电击攻击</t>
    <phoneticPr fontId="1" type="noConversion"/>
  </si>
  <si>
    <t>电击抗性</t>
    <phoneticPr fontId="0" type="Hiragana"/>
  </si>
  <si>
    <t>怪物id</t>
    <phoneticPr fontId="1" type="noConversion"/>
  </si>
  <si>
    <t>怪物类型</t>
    <phoneticPr fontId="1" type="noConversion"/>
  </si>
  <si>
    <t>类别id</t>
    <phoneticPr fontId="1" type="noConversion"/>
  </si>
  <si>
    <t>怪物图片</t>
    <phoneticPr fontId="1" type="noConversion"/>
  </si>
  <si>
    <t>电击攻击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</si>
</sst>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%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b/>
      <i/>
      <sz val="10"/>
      <color theme="0"/>
      <name val="宋体"/>
      <family val="3"/>
      <charset val="134"/>
    </font>
    <font>
      <b/>
      <i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2" borderId="1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upan\&#26032;&#24314;&#25991;&#20214;&#22841;%20(2)\&#23041;&#23572;&#26032;&#25968;&#20540;1.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公式"/>
      <sheetName val="伤害减免"/>
      <sheetName val="职业闪避"/>
      <sheetName val="平衡"/>
      <sheetName val="职业基础"/>
      <sheetName val="职业"/>
      <sheetName val="装备"/>
      <sheetName val="装备名称"/>
      <sheetName val="装备明细"/>
      <sheetName val="Sheet2"/>
    </sheetNames>
    <definedNames>
      <definedName name="circlePer" refersTo="='装备'!$B$49:$F$85"/>
      <definedName name="circleValue" refersTo="='装备'!$H$49:$L$85"/>
      <definedName name="monsterDamage" refersTo="='装备'!$T$49:$X$85"/>
      <definedName name="otherDamage" refersTo="='装备'!$N$49:$R$85"/>
      <definedName name="powerDistribution" refersTo="='平衡'!$B$19:$D$125"/>
    </definedNames>
    <sheetDataSet>
      <sheetData sheetId="0" refreshError="1"/>
      <sheetData sheetId="1">
        <row r="3">
          <cell r="D3">
            <v>0.7</v>
          </cell>
        </row>
        <row r="4">
          <cell r="D4">
            <v>0.70199999999999996</v>
          </cell>
        </row>
        <row r="5">
          <cell r="D5">
            <v>0.70399999999999996</v>
          </cell>
        </row>
        <row r="6">
          <cell r="D6">
            <v>0.70599999999999996</v>
          </cell>
        </row>
        <row r="7">
          <cell r="D7">
            <v>0.70799999999999996</v>
          </cell>
        </row>
        <row r="8">
          <cell r="D8">
            <v>0.71</v>
          </cell>
        </row>
        <row r="9">
          <cell r="D9">
            <v>0.71199999999999997</v>
          </cell>
        </row>
        <row r="10">
          <cell r="D10">
            <v>0.71399999999999997</v>
          </cell>
        </row>
        <row r="11">
          <cell r="D11">
            <v>0.71599999999999997</v>
          </cell>
        </row>
        <row r="12">
          <cell r="D12">
            <v>0.71799999999999997</v>
          </cell>
        </row>
        <row r="13">
          <cell r="D13">
            <v>0.72</v>
          </cell>
        </row>
        <row r="14">
          <cell r="D14">
            <v>0.72199999999999998</v>
          </cell>
        </row>
        <row r="15">
          <cell r="D15">
            <v>0.72399999999999998</v>
          </cell>
        </row>
        <row r="16">
          <cell r="D16">
            <v>0.72599999999999998</v>
          </cell>
        </row>
        <row r="17">
          <cell r="D17">
            <v>0.72799999999999998</v>
          </cell>
        </row>
        <row r="18">
          <cell r="D18">
            <v>0.73</v>
          </cell>
        </row>
        <row r="19">
          <cell r="D19">
            <v>0.73199999999999998</v>
          </cell>
        </row>
        <row r="20">
          <cell r="D20">
            <v>0.73399999999999999</v>
          </cell>
        </row>
        <row r="21">
          <cell r="D21">
            <v>0.73599999999999999</v>
          </cell>
        </row>
        <row r="22">
          <cell r="D22">
            <v>0.73799999999999999</v>
          </cell>
        </row>
        <row r="23">
          <cell r="D23">
            <v>0.74</v>
          </cell>
        </row>
        <row r="24">
          <cell r="D24">
            <v>0.74199999999999999</v>
          </cell>
        </row>
        <row r="25">
          <cell r="D25">
            <v>0.74399999999999999</v>
          </cell>
        </row>
        <row r="26">
          <cell r="D26">
            <v>0.746</v>
          </cell>
        </row>
        <row r="27">
          <cell r="D27">
            <v>0.748</v>
          </cell>
        </row>
        <row r="28">
          <cell r="D28">
            <v>0.75</v>
          </cell>
        </row>
        <row r="29">
          <cell r="D29">
            <v>0.752</v>
          </cell>
        </row>
        <row r="30">
          <cell r="D30">
            <v>0.754</v>
          </cell>
        </row>
        <row r="31">
          <cell r="D31">
            <v>0.75600000000000001</v>
          </cell>
        </row>
        <row r="32">
          <cell r="D32">
            <v>0.75800000000000001</v>
          </cell>
        </row>
        <row r="33">
          <cell r="D33">
            <v>0.76</v>
          </cell>
        </row>
        <row r="34">
          <cell r="D34">
            <v>0.76200000000000001</v>
          </cell>
        </row>
        <row r="35">
          <cell r="D35">
            <v>0.76400000000000001</v>
          </cell>
        </row>
        <row r="36">
          <cell r="D36">
            <v>0.76600000000000001</v>
          </cell>
        </row>
        <row r="37">
          <cell r="D37">
            <v>0.76800000000000002</v>
          </cell>
        </row>
        <row r="38">
          <cell r="D38">
            <v>0.77</v>
          </cell>
        </row>
        <row r="39">
          <cell r="D39">
            <v>0.77200000000000002</v>
          </cell>
        </row>
        <row r="40">
          <cell r="D40">
            <v>0.77400000000000002</v>
          </cell>
        </row>
        <row r="41">
          <cell r="D41">
            <v>0.77600000000000002</v>
          </cell>
        </row>
        <row r="42">
          <cell r="D42">
            <v>0.77800000000000002</v>
          </cell>
        </row>
        <row r="43">
          <cell r="D43">
            <v>0.78</v>
          </cell>
        </row>
        <row r="44">
          <cell r="D44">
            <v>0.78200000000000003</v>
          </cell>
        </row>
        <row r="45">
          <cell r="D45">
            <v>0.78400000000000003</v>
          </cell>
        </row>
        <row r="46">
          <cell r="D46">
            <v>0.78600000000000003</v>
          </cell>
        </row>
        <row r="47">
          <cell r="D47">
            <v>0.78800000000000003</v>
          </cell>
        </row>
        <row r="48">
          <cell r="D48">
            <v>0.79</v>
          </cell>
        </row>
        <row r="49">
          <cell r="D49">
            <v>0.79200000000000004</v>
          </cell>
        </row>
        <row r="50">
          <cell r="D50">
            <v>0.79400000000000004</v>
          </cell>
        </row>
        <row r="51">
          <cell r="D51">
            <v>0.79600000000000004</v>
          </cell>
        </row>
        <row r="52">
          <cell r="D52">
            <v>0.79800000000000004</v>
          </cell>
        </row>
        <row r="53">
          <cell r="D53">
            <v>0.8</v>
          </cell>
        </row>
        <row r="54">
          <cell r="D54">
            <v>0.80200000000000005</v>
          </cell>
        </row>
        <row r="55">
          <cell r="D55">
            <v>0.80400000000000005</v>
          </cell>
        </row>
        <row r="56">
          <cell r="D56">
            <v>0.80600000000000005</v>
          </cell>
        </row>
        <row r="57">
          <cell r="D57">
            <v>0.80800000000000005</v>
          </cell>
        </row>
        <row r="58">
          <cell r="D58">
            <v>0.81</v>
          </cell>
        </row>
        <row r="59">
          <cell r="D59">
            <v>0.81200000000000006</v>
          </cell>
        </row>
        <row r="60">
          <cell r="D60">
            <v>0.81400000000000006</v>
          </cell>
        </row>
        <row r="61">
          <cell r="D61">
            <v>0.81600000000000006</v>
          </cell>
        </row>
        <row r="62">
          <cell r="D62">
            <v>0.81800000000000006</v>
          </cell>
        </row>
        <row r="63">
          <cell r="D63">
            <v>0.82000000000000006</v>
          </cell>
        </row>
        <row r="64">
          <cell r="D64">
            <v>0.82200000000000006</v>
          </cell>
        </row>
        <row r="65">
          <cell r="D65">
            <v>0.82400000000000007</v>
          </cell>
        </row>
        <row r="66">
          <cell r="D66">
            <v>0.82600000000000007</v>
          </cell>
        </row>
        <row r="67">
          <cell r="D67">
            <v>0.82800000000000007</v>
          </cell>
        </row>
        <row r="68">
          <cell r="D68">
            <v>0.83000000000000007</v>
          </cell>
        </row>
        <row r="69">
          <cell r="D69">
            <v>0.83200000000000007</v>
          </cell>
        </row>
        <row r="70">
          <cell r="D70">
            <v>0.83400000000000007</v>
          </cell>
        </row>
        <row r="71">
          <cell r="D71">
            <v>0.83600000000000008</v>
          </cell>
        </row>
        <row r="72">
          <cell r="D72">
            <v>0.83800000000000008</v>
          </cell>
        </row>
        <row r="73">
          <cell r="D73">
            <v>0.84000000000000008</v>
          </cell>
        </row>
        <row r="74">
          <cell r="D74">
            <v>0.84200000000000008</v>
          </cell>
        </row>
        <row r="75">
          <cell r="D75">
            <v>0.84400000000000008</v>
          </cell>
        </row>
        <row r="76">
          <cell r="D76">
            <v>0.84600000000000009</v>
          </cell>
        </row>
        <row r="77">
          <cell r="D77">
            <v>0.84800000000000009</v>
          </cell>
        </row>
        <row r="78">
          <cell r="D78">
            <v>0.85000000000000009</v>
          </cell>
        </row>
        <row r="79">
          <cell r="D79">
            <v>0.85200000000000009</v>
          </cell>
        </row>
        <row r="80">
          <cell r="D80">
            <v>0.85400000000000009</v>
          </cell>
        </row>
        <row r="81">
          <cell r="D81">
            <v>0.85600000000000009</v>
          </cell>
        </row>
        <row r="82">
          <cell r="D82">
            <v>0.8580000000000001</v>
          </cell>
        </row>
        <row r="83">
          <cell r="D83">
            <v>0.8600000000000001</v>
          </cell>
        </row>
        <row r="84">
          <cell r="D84">
            <v>0.8620000000000001</v>
          </cell>
        </row>
        <row r="85">
          <cell r="D85">
            <v>0.8640000000000001</v>
          </cell>
        </row>
        <row r="86">
          <cell r="D86">
            <v>0.8660000000000001</v>
          </cell>
        </row>
        <row r="87">
          <cell r="D87">
            <v>0.8680000000000001</v>
          </cell>
        </row>
        <row r="88">
          <cell r="D88">
            <v>0.87000000000000011</v>
          </cell>
        </row>
        <row r="89">
          <cell r="D89">
            <v>0.87200000000000011</v>
          </cell>
        </row>
        <row r="90">
          <cell r="D90">
            <v>0.87400000000000011</v>
          </cell>
        </row>
        <row r="91">
          <cell r="D91">
            <v>0.87600000000000011</v>
          </cell>
        </row>
        <row r="92">
          <cell r="D92">
            <v>0.87800000000000011</v>
          </cell>
        </row>
        <row r="93">
          <cell r="D93">
            <v>0.88000000000000012</v>
          </cell>
        </row>
        <row r="94">
          <cell r="D94">
            <v>0.88200000000000012</v>
          </cell>
        </row>
        <row r="95">
          <cell r="D95">
            <v>0.88400000000000012</v>
          </cell>
        </row>
        <row r="96">
          <cell r="D96">
            <v>0.88600000000000012</v>
          </cell>
        </row>
        <row r="97">
          <cell r="D97">
            <v>0.88800000000000012</v>
          </cell>
        </row>
        <row r="98">
          <cell r="D98">
            <v>0.89000000000000012</v>
          </cell>
        </row>
        <row r="99">
          <cell r="D99">
            <v>0.89200000000000013</v>
          </cell>
        </row>
        <row r="100">
          <cell r="D100">
            <v>0.89400000000000013</v>
          </cell>
        </row>
        <row r="101">
          <cell r="D101">
            <v>0.89600000000000013</v>
          </cell>
        </row>
      </sheetData>
      <sheetData sheetId="2" refreshError="1"/>
      <sheetData sheetId="3">
        <row r="19">
          <cell r="B19" t="str">
            <v>等级</v>
          </cell>
          <cell r="C19" t="str">
            <v>npc</v>
          </cell>
          <cell r="D19" t="str">
            <v>equipment</v>
          </cell>
        </row>
        <row r="20">
          <cell r="B20">
            <v>0</v>
          </cell>
          <cell r="C20">
            <v>0.5</v>
          </cell>
          <cell r="D20">
            <v>1</v>
          </cell>
        </row>
        <row r="21">
          <cell r="B21">
            <v>1</v>
          </cell>
          <cell r="C21">
            <v>0.5</v>
          </cell>
          <cell r="D21">
            <v>1</v>
          </cell>
        </row>
        <row r="22">
          <cell r="B22">
            <v>2</v>
          </cell>
          <cell r="C22">
            <v>0.5</v>
          </cell>
          <cell r="D22">
            <v>1.01</v>
          </cell>
        </row>
        <row r="23">
          <cell r="B23">
            <v>3</v>
          </cell>
          <cell r="C23">
            <v>0.5</v>
          </cell>
          <cell r="D23">
            <v>1.02</v>
          </cell>
        </row>
        <row r="24">
          <cell r="B24">
            <v>4</v>
          </cell>
          <cell r="C24">
            <v>0.5</v>
          </cell>
          <cell r="D24">
            <v>1.03</v>
          </cell>
        </row>
        <row r="25">
          <cell r="B25">
            <v>5</v>
          </cell>
          <cell r="C25">
            <v>0.5</v>
          </cell>
          <cell r="D25">
            <v>1.04</v>
          </cell>
        </row>
        <row r="26">
          <cell r="B26">
            <v>6</v>
          </cell>
          <cell r="C26">
            <v>0.5</v>
          </cell>
          <cell r="D26">
            <v>1.05</v>
          </cell>
        </row>
        <row r="27">
          <cell r="B27">
            <v>7</v>
          </cell>
          <cell r="C27">
            <v>0.5</v>
          </cell>
          <cell r="D27">
            <v>1.06</v>
          </cell>
        </row>
        <row r="28">
          <cell r="B28">
            <v>8</v>
          </cell>
          <cell r="C28">
            <v>0.5</v>
          </cell>
          <cell r="D28">
            <v>1.07</v>
          </cell>
        </row>
        <row r="29">
          <cell r="B29">
            <v>9</v>
          </cell>
          <cell r="C29">
            <v>0.5</v>
          </cell>
          <cell r="D29">
            <v>1.08</v>
          </cell>
        </row>
        <row r="30">
          <cell r="B30">
            <v>10</v>
          </cell>
          <cell r="C30">
            <v>0.5</v>
          </cell>
          <cell r="D30">
            <v>1.0900000000000001</v>
          </cell>
        </row>
        <row r="31">
          <cell r="B31">
            <v>11</v>
          </cell>
          <cell r="C31">
            <v>0.5</v>
          </cell>
          <cell r="D31">
            <v>1.1000000000000001</v>
          </cell>
        </row>
        <row r="32">
          <cell r="B32">
            <v>12</v>
          </cell>
          <cell r="C32">
            <v>0.5</v>
          </cell>
          <cell r="D32">
            <v>1.1100000000000001</v>
          </cell>
        </row>
        <row r="33">
          <cell r="B33">
            <v>13</v>
          </cell>
          <cell r="C33">
            <v>0.5</v>
          </cell>
          <cell r="D33">
            <v>1.1200000000000001</v>
          </cell>
        </row>
        <row r="34">
          <cell r="B34">
            <v>14</v>
          </cell>
          <cell r="C34">
            <v>0.5</v>
          </cell>
          <cell r="D34">
            <v>1.1300000000000001</v>
          </cell>
        </row>
        <row r="35">
          <cell r="B35">
            <v>15</v>
          </cell>
          <cell r="C35">
            <v>0.5</v>
          </cell>
          <cell r="D35">
            <v>1.1400000000000001</v>
          </cell>
        </row>
        <row r="36">
          <cell r="B36">
            <v>16</v>
          </cell>
          <cell r="C36">
            <v>0.5</v>
          </cell>
          <cell r="D36">
            <v>1.1500000000000001</v>
          </cell>
        </row>
        <row r="37">
          <cell r="B37">
            <v>17</v>
          </cell>
          <cell r="C37">
            <v>0.5</v>
          </cell>
          <cell r="D37">
            <v>1.1600000000000001</v>
          </cell>
        </row>
        <row r="38">
          <cell r="B38">
            <v>18</v>
          </cell>
          <cell r="C38">
            <v>0.5</v>
          </cell>
          <cell r="D38">
            <v>1.1700000000000002</v>
          </cell>
        </row>
        <row r="39">
          <cell r="B39">
            <v>19</v>
          </cell>
          <cell r="C39">
            <v>0.5</v>
          </cell>
          <cell r="D39">
            <v>1.1800000000000002</v>
          </cell>
        </row>
        <row r="40">
          <cell r="B40">
            <v>20</v>
          </cell>
          <cell r="C40">
            <v>0.5</v>
          </cell>
          <cell r="D40">
            <v>1.1900000000000002</v>
          </cell>
        </row>
        <row r="41">
          <cell r="B41">
            <v>21</v>
          </cell>
          <cell r="C41">
            <v>0.5</v>
          </cell>
          <cell r="D41">
            <v>1.2000000000000002</v>
          </cell>
        </row>
        <row r="42">
          <cell r="B42">
            <v>22</v>
          </cell>
          <cell r="C42">
            <v>0.5</v>
          </cell>
          <cell r="D42">
            <v>1.2100000000000002</v>
          </cell>
        </row>
        <row r="43">
          <cell r="B43">
            <v>23</v>
          </cell>
          <cell r="C43">
            <v>0.5</v>
          </cell>
          <cell r="D43">
            <v>1.2200000000000002</v>
          </cell>
        </row>
        <row r="44">
          <cell r="B44">
            <v>24</v>
          </cell>
          <cell r="C44">
            <v>0.5</v>
          </cell>
          <cell r="D44">
            <v>1.2300000000000002</v>
          </cell>
        </row>
        <row r="45">
          <cell r="B45">
            <v>25</v>
          </cell>
          <cell r="C45">
            <v>0.5</v>
          </cell>
          <cell r="D45">
            <v>1.2400000000000002</v>
          </cell>
        </row>
        <row r="46">
          <cell r="B46">
            <v>26</v>
          </cell>
          <cell r="C46">
            <v>0.5</v>
          </cell>
          <cell r="D46">
            <v>1.2500000000000002</v>
          </cell>
        </row>
        <row r="47">
          <cell r="B47">
            <v>27</v>
          </cell>
          <cell r="C47">
            <v>0.5</v>
          </cell>
          <cell r="D47">
            <v>1.2600000000000002</v>
          </cell>
        </row>
        <row r="48">
          <cell r="B48">
            <v>28</v>
          </cell>
          <cell r="C48">
            <v>0.5</v>
          </cell>
          <cell r="D48">
            <v>1.2700000000000002</v>
          </cell>
        </row>
        <row r="49">
          <cell r="B49">
            <v>29</v>
          </cell>
          <cell r="C49">
            <v>0.5</v>
          </cell>
          <cell r="D49">
            <v>1.2800000000000002</v>
          </cell>
        </row>
        <row r="50">
          <cell r="B50">
            <v>30</v>
          </cell>
          <cell r="C50">
            <v>0.5</v>
          </cell>
          <cell r="D50">
            <v>1.2900000000000003</v>
          </cell>
        </row>
        <row r="51">
          <cell r="B51">
            <v>31</v>
          </cell>
          <cell r="C51">
            <v>0.5</v>
          </cell>
          <cell r="D51">
            <v>1.3000000000000003</v>
          </cell>
        </row>
        <row r="52">
          <cell r="B52">
            <v>32</v>
          </cell>
          <cell r="C52">
            <v>0.5</v>
          </cell>
          <cell r="D52">
            <v>1.3100000000000003</v>
          </cell>
        </row>
        <row r="53">
          <cell r="B53">
            <v>33</v>
          </cell>
          <cell r="C53">
            <v>0.5</v>
          </cell>
          <cell r="D53">
            <v>1.3200000000000003</v>
          </cell>
        </row>
        <row r="54">
          <cell r="B54">
            <v>34</v>
          </cell>
          <cell r="C54">
            <v>0.5</v>
          </cell>
          <cell r="D54">
            <v>1.3300000000000003</v>
          </cell>
        </row>
        <row r="55">
          <cell r="B55">
            <v>35</v>
          </cell>
          <cell r="C55">
            <v>0.5</v>
          </cell>
          <cell r="D55">
            <v>1.3400000000000003</v>
          </cell>
        </row>
        <row r="56">
          <cell r="B56">
            <v>36</v>
          </cell>
          <cell r="C56">
            <v>0.5</v>
          </cell>
          <cell r="D56">
            <v>1.3500000000000003</v>
          </cell>
        </row>
        <row r="57">
          <cell r="B57">
            <v>37</v>
          </cell>
          <cell r="C57">
            <v>0.5</v>
          </cell>
          <cell r="D57">
            <v>1.3600000000000003</v>
          </cell>
        </row>
        <row r="58">
          <cell r="B58">
            <v>38</v>
          </cell>
          <cell r="C58">
            <v>0.5</v>
          </cell>
          <cell r="D58">
            <v>1.3700000000000003</v>
          </cell>
        </row>
        <row r="59">
          <cell r="B59">
            <v>39</v>
          </cell>
          <cell r="C59">
            <v>0.5</v>
          </cell>
          <cell r="D59">
            <v>1.3800000000000003</v>
          </cell>
        </row>
        <row r="60">
          <cell r="B60">
            <v>40</v>
          </cell>
          <cell r="C60">
            <v>0.5</v>
          </cell>
          <cell r="D60">
            <v>1.3900000000000003</v>
          </cell>
        </row>
        <row r="61">
          <cell r="B61">
            <v>41</v>
          </cell>
          <cell r="C61">
            <v>0.5</v>
          </cell>
          <cell r="D61">
            <v>1.4000000000000004</v>
          </cell>
        </row>
        <row r="62">
          <cell r="B62">
            <v>42</v>
          </cell>
          <cell r="C62">
            <v>0.5</v>
          </cell>
          <cell r="D62">
            <v>1.4100000000000004</v>
          </cell>
        </row>
        <row r="63">
          <cell r="B63">
            <v>43</v>
          </cell>
          <cell r="C63">
            <v>0.5</v>
          </cell>
          <cell r="D63">
            <v>1.4200000000000004</v>
          </cell>
        </row>
        <row r="64">
          <cell r="B64">
            <v>44</v>
          </cell>
          <cell r="C64">
            <v>0.5</v>
          </cell>
          <cell r="D64">
            <v>1.4300000000000004</v>
          </cell>
        </row>
        <row r="65">
          <cell r="B65">
            <v>45</v>
          </cell>
          <cell r="C65">
            <v>0.5</v>
          </cell>
          <cell r="D65">
            <v>1.4400000000000004</v>
          </cell>
        </row>
        <row r="66">
          <cell r="B66">
            <v>46</v>
          </cell>
          <cell r="C66">
            <v>0.5</v>
          </cell>
          <cell r="D66">
            <v>1.4500000000000004</v>
          </cell>
        </row>
        <row r="67">
          <cell r="B67">
            <v>47</v>
          </cell>
          <cell r="C67">
            <v>0.5</v>
          </cell>
          <cell r="D67">
            <v>1.4600000000000004</v>
          </cell>
        </row>
        <row r="68">
          <cell r="B68">
            <v>48</v>
          </cell>
          <cell r="C68">
            <v>0.5</v>
          </cell>
          <cell r="D68">
            <v>1.4700000000000004</v>
          </cell>
        </row>
        <row r="69">
          <cell r="B69">
            <v>49</v>
          </cell>
          <cell r="C69">
            <v>0.5</v>
          </cell>
          <cell r="D69">
            <v>1.4800000000000004</v>
          </cell>
        </row>
        <row r="70">
          <cell r="B70">
            <v>50</v>
          </cell>
          <cell r="C70">
            <v>0.5</v>
          </cell>
          <cell r="D70">
            <v>1.4900000000000004</v>
          </cell>
        </row>
        <row r="71">
          <cell r="B71">
            <v>51</v>
          </cell>
          <cell r="C71">
            <v>0.5</v>
          </cell>
          <cell r="D71">
            <v>1.5000000000000004</v>
          </cell>
        </row>
        <row r="72">
          <cell r="B72">
            <v>52</v>
          </cell>
          <cell r="C72">
            <v>0.5</v>
          </cell>
          <cell r="D72">
            <v>1.5100000000000005</v>
          </cell>
        </row>
        <row r="73">
          <cell r="B73">
            <v>53</v>
          </cell>
          <cell r="C73">
            <v>0.5</v>
          </cell>
          <cell r="D73">
            <v>1.5200000000000005</v>
          </cell>
        </row>
        <row r="74">
          <cell r="B74">
            <v>54</v>
          </cell>
          <cell r="C74">
            <v>0.5</v>
          </cell>
          <cell r="D74">
            <v>1.5300000000000005</v>
          </cell>
        </row>
        <row r="75">
          <cell r="B75">
            <v>55</v>
          </cell>
          <cell r="C75">
            <v>0.5</v>
          </cell>
          <cell r="D75">
            <v>1.5400000000000005</v>
          </cell>
        </row>
        <row r="76">
          <cell r="B76">
            <v>56</v>
          </cell>
          <cell r="C76">
            <v>0.5</v>
          </cell>
          <cell r="D76">
            <v>1.5500000000000005</v>
          </cell>
        </row>
        <row r="77">
          <cell r="B77">
            <v>57</v>
          </cell>
          <cell r="C77">
            <v>0.5</v>
          </cell>
          <cell r="D77">
            <v>1.5600000000000005</v>
          </cell>
        </row>
        <row r="78">
          <cell r="B78">
            <v>58</v>
          </cell>
          <cell r="C78">
            <v>0.5</v>
          </cell>
          <cell r="D78">
            <v>1.5700000000000005</v>
          </cell>
        </row>
        <row r="79">
          <cell r="B79">
            <v>59</v>
          </cell>
          <cell r="C79">
            <v>0.5</v>
          </cell>
          <cell r="D79">
            <v>1.5800000000000005</v>
          </cell>
        </row>
        <row r="80">
          <cell r="B80">
            <v>60</v>
          </cell>
          <cell r="C80">
            <v>0.5</v>
          </cell>
          <cell r="D80">
            <v>1.5900000000000005</v>
          </cell>
        </row>
        <row r="81">
          <cell r="B81">
            <v>61</v>
          </cell>
          <cell r="C81">
            <v>0.5</v>
          </cell>
          <cell r="D81">
            <v>1.6000000000000005</v>
          </cell>
        </row>
        <row r="82">
          <cell r="B82">
            <v>62</v>
          </cell>
          <cell r="C82">
            <v>0.5</v>
          </cell>
          <cell r="D82">
            <v>1.6100000000000005</v>
          </cell>
        </row>
        <row r="83">
          <cell r="B83">
            <v>63</v>
          </cell>
          <cell r="C83">
            <v>0.5</v>
          </cell>
          <cell r="D83">
            <v>1.6200000000000006</v>
          </cell>
        </row>
        <row r="84">
          <cell r="B84">
            <v>64</v>
          </cell>
          <cell r="C84">
            <v>0.5</v>
          </cell>
          <cell r="D84">
            <v>1.6300000000000006</v>
          </cell>
        </row>
        <row r="85">
          <cell r="B85">
            <v>65</v>
          </cell>
          <cell r="C85">
            <v>0.5</v>
          </cell>
          <cell r="D85">
            <v>1.6400000000000006</v>
          </cell>
        </row>
        <row r="86">
          <cell r="B86">
            <v>66</v>
          </cell>
          <cell r="C86">
            <v>0.5</v>
          </cell>
          <cell r="D86">
            <v>1.6500000000000006</v>
          </cell>
        </row>
        <row r="87">
          <cell r="B87">
            <v>67</v>
          </cell>
          <cell r="C87">
            <v>0.5</v>
          </cell>
          <cell r="D87">
            <v>1.6600000000000006</v>
          </cell>
        </row>
        <row r="88">
          <cell r="B88">
            <v>68</v>
          </cell>
          <cell r="C88">
            <v>0.5</v>
          </cell>
          <cell r="D88">
            <v>1.6700000000000006</v>
          </cell>
        </row>
        <row r="89">
          <cell r="B89">
            <v>69</v>
          </cell>
          <cell r="C89">
            <v>0.5</v>
          </cell>
          <cell r="D89">
            <v>1.6800000000000006</v>
          </cell>
        </row>
        <row r="90">
          <cell r="B90">
            <v>70</v>
          </cell>
          <cell r="C90">
            <v>0.5</v>
          </cell>
          <cell r="D90">
            <v>1.6900000000000006</v>
          </cell>
        </row>
        <row r="91">
          <cell r="B91">
            <v>71</v>
          </cell>
          <cell r="C91">
            <v>0.5</v>
          </cell>
          <cell r="D91">
            <v>1.7000000000000006</v>
          </cell>
        </row>
        <row r="92">
          <cell r="B92">
            <v>72</v>
          </cell>
          <cell r="C92">
            <v>0.5</v>
          </cell>
          <cell r="D92">
            <v>1.7100000000000006</v>
          </cell>
        </row>
        <row r="93">
          <cell r="B93">
            <v>73</v>
          </cell>
          <cell r="C93">
            <v>0.5</v>
          </cell>
          <cell r="D93">
            <v>1.7200000000000006</v>
          </cell>
        </row>
        <row r="94">
          <cell r="B94">
            <v>74</v>
          </cell>
          <cell r="C94">
            <v>0.5</v>
          </cell>
          <cell r="D94">
            <v>1.7300000000000006</v>
          </cell>
        </row>
        <row r="95">
          <cell r="B95">
            <v>75</v>
          </cell>
          <cell r="C95">
            <v>0.5</v>
          </cell>
          <cell r="D95">
            <v>1.7400000000000007</v>
          </cell>
        </row>
        <row r="96">
          <cell r="B96">
            <v>76</v>
          </cell>
          <cell r="C96">
            <v>0.5</v>
          </cell>
          <cell r="D96">
            <v>1.7500000000000007</v>
          </cell>
        </row>
        <row r="97">
          <cell r="B97">
            <v>77</v>
          </cell>
          <cell r="C97">
            <v>0.5</v>
          </cell>
          <cell r="D97">
            <v>1.7600000000000007</v>
          </cell>
        </row>
        <row r="98">
          <cell r="B98">
            <v>78</v>
          </cell>
          <cell r="C98">
            <v>0.5</v>
          </cell>
          <cell r="D98">
            <v>1.7700000000000007</v>
          </cell>
        </row>
        <row r="99">
          <cell r="B99">
            <v>79</v>
          </cell>
          <cell r="C99">
            <v>0.5</v>
          </cell>
          <cell r="D99">
            <v>1.7800000000000007</v>
          </cell>
        </row>
        <row r="100">
          <cell r="B100">
            <v>80</v>
          </cell>
          <cell r="C100">
            <v>0.5</v>
          </cell>
          <cell r="D100">
            <v>1.7900000000000007</v>
          </cell>
        </row>
        <row r="101">
          <cell r="B101">
            <v>81</v>
          </cell>
          <cell r="C101">
            <v>0.5</v>
          </cell>
          <cell r="D101">
            <v>1.8000000000000007</v>
          </cell>
        </row>
        <row r="102">
          <cell r="B102">
            <v>82</v>
          </cell>
          <cell r="C102">
            <v>0.5</v>
          </cell>
          <cell r="D102">
            <v>1.8100000000000007</v>
          </cell>
        </row>
        <row r="103">
          <cell r="B103">
            <v>83</v>
          </cell>
          <cell r="C103">
            <v>0.5</v>
          </cell>
          <cell r="D103">
            <v>1.8200000000000007</v>
          </cell>
        </row>
        <row r="104">
          <cell r="B104">
            <v>84</v>
          </cell>
          <cell r="C104">
            <v>0.5</v>
          </cell>
          <cell r="D104">
            <v>1.8300000000000007</v>
          </cell>
        </row>
        <row r="105">
          <cell r="B105">
            <v>85</v>
          </cell>
          <cell r="C105">
            <v>0.5</v>
          </cell>
          <cell r="D105">
            <v>1.8400000000000007</v>
          </cell>
        </row>
        <row r="106">
          <cell r="B106">
            <v>86</v>
          </cell>
          <cell r="C106">
            <v>0.5</v>
          </cell>
          <cell r="D106">
            <v>1.8500000000000008</v>
          </cell>
        </row>
        <row r="107">
          <cell r="B107">
            <v>87</v>
          </cell>
          <cell r="C107">
            <v>0.5</v>
          </cell>
          <cell r="D107">
            <v>1.8600000000000008</v>
          </cell>
        </row>
        <row r="108">
          <cell r="B108">
            <v>88</v>
          </cell>
          <cell r="C108">
            <v>0.5</v>
          </cell>
          <cell r="D108">
            <v>1.8700000000000008</v>
          </cell>
        </row>
        <row r="109">
          <cell r="B109">
            <v>89</v>
          </cell>
          <cell r="C109">
            <v>0.5</v>
          </cell>
          <cell r="D109">
            <v>1.8800000000000008</v>
          </cell>
        </row>
        <row r="110">
          <cell r="B110">
            <v>90</v>
          </cell>
          <cell r="C110">
            <v>0.5</v>
          </cell>
          <cell r="D110">
            <v>1.8900000000000008</v>
          </cell>
        </row>
        <row r="111">
          <cell r="B111">
            <v>91</v>
          </cell>
          <cell r="C111">
            <v>0.5</v>
          </cell>
          <cell r="D111">
            <v>1.9000000000000008</v>
          </cell>
        </row>
        <row r="112">
          <cell r="B112">
            <v>92</v>
          </cell>
          <cell r="C112">
            <v>0.5</v>
          </cell>
          <cell r="D112">
            <v>1.9100000000000008</v>
          </cell>
        </row>
        <row r="113">
          <cell r="B113">
            <v>93</v>
          </cell>
          <cell r="C113">
            <v>0.5</v>
          </cell>
          <cell r="D113">
            <v>1.9200000000000008</v>
          </cell>
        </row>
        <row r="114">
          <cell r="B114">
            <v>94</v>
          </cell>
          <cell r="C114">
            <v>0.5</v>
          </cell>
          <cell r="D114">
            <v>1.9300000000000008</v>
          </cell>
        </row>
        <row r="115">
          <cell r="B115">
            <v>95</v>
          </cell>
          <cell r="C115">
            <v>0.5</v>
          </cell>
          <cell r="D115">
            <v>1.9400000000000008</v>
          </cell>
        </row>
        <row r="116">
          <cell r="B116">
            <v>96</v>
          </cell>
          <cell r="C116">
            <v>0.5</v>
          </cell>
          <cell r="D116">
            <v>1.9500000000000008</v>
          </cell>
        </row>
        <row r="117">
          <cell r="B117">
            <v>97</v>
          </cell>
          <cell r="C117">
            <v>0.5</v>
          </cell>
          <cell r="D117">
            <v>1.9600000000000009</v>
          </cell>
        </row>
        <row r="118">
          <cell r="B118">
            <v>98</v>
          </cell>
          <cell r="C118">
            <v>0.5</v>
          </cell>
          <cell r="D118">
            <v>1.9700000000000009</v>
          </cell>
        </row>
        <row r="119">
          <cell r="B119">
            <v>99</v>
          </cell>
          <cell r="C119">
            <v>0.5</v>
          </cell>
          <cell r="D119">
            <v>1.9800000000000009</v>
          </cell>
        </row>
        <row r="120">
          <cell r="B120">
            <v>100</v>
          </cell>
          <cell r="C120">
            <v>0.5</v>
          </cell>
          <cell r="D120">
            <v>1.9900000000000009</v>
          </cell>
        </row>
        <row r="121">
          <cell r="B121">
            <v>101</v>
          </cell>
          <cell r="C121">
            <v>0.5</v>
          </cell>
          <cell r="D121">
            <v>2.0000000000000009</v>
          </cell>
        </row>
        <row r="122">
          <cell r="B122">
            <v>102</v>
          </cell>
          <cell r="C122">
            <v>0.5</v>
          </cell>
          <cell r="D122">
            <v>2.0100000000000007</v>
          </cell>
        </row>
        <row r="123">
          <cell r="B123">
            <v>103</v>
          </cell>
          <cell r="C123">
            <v>0.5</v>
          </cell>
          <cell r="D123">
            <v>2.0200000000000005</v>
          </cell>
        </row>
        <row r="124">
          <cell r="B124">
            <v>104</v>
          </cell>
          <cell r="C124">
            <v>0.5</v>
          </cell>
          <cell r="D124">
            <v>2.0300000000000002</v>
          </cell>
        </row>
        <row r="125">
          <cell r="B125">
            <v>105</v>
          </cell>
          <cell r="C125">
            <v>0.5</v>
          </cell>
          <cell r="D125">
            <v>2.04</v>
          </cell>
        </row>
      </sheetData>
      <sheetData sheetId="4" refreshError="1"/>
      <sheetData sheetId="5" refreshError="1"/>
      <sheetData sheetId="6">
        <row r="10">
          <cell r="E10">
            <v>13</v>
          </cell>
          <cell r="F10">
            <v>7.8577775121975106</v>
          </cell>
        </row>
        <row r="19">
          <cell r="B19">
            <v>5</v>
          </cell>
          <cell r="C19" t="str">
            <v>镰刀</v>
          </cell>
          <cell r="D19" t="str">
            <v>黑暗</v>
          </cell>
        </row>
        <row r="20">
          <cell r="B20">
            <v>6</v>
          </cell>
          <cell r="C20" t="str">
            <v>法杖</v>
          </cell>
          <cell r="D20" t="str">
            <v>电击</v>
          </cell>
        </row>
        <row r="21">
          <cell r="B21">
            <v>7</v>
          </cell>
          <cell r="C21" t="str">
            <v>弓</v>
          </cell>
          <cell r="D21" t="str">
            <v>地脉</v>
          </cell>
        </row>
        <row r="22">
          <cell r="B22">
            <v>8</v>
          </cell>
          <cell r="C22" t="str">
            <v>烟斗</v>
          </cell>
          <cell r="D22" t="str">
            <v>物理</v>
          </cell>
        </row>
        <row r="23">
          <cell r="B23">
            <v>9</v>
          </cell>
          <cell r="C23" t="str">
            <v>扇子</v>
          </cell>
          <cell r="D23" t="str">
            <v>火炎</v>
          </cell>
        </row>
        <row r="24">
          <cell r="B24">
            <v>10</v>
          </cell>
          <cell r="C24" t="str">
            <v>牙齿</v>
          </cell>
          <cell r="D24" t="str">
            <v>黑暗</v>
          </cell>
        </row>
        <row r="25">
          <cell r="B25">
            <v>11</v>
          </cell>
          <cell r="C25" t="str">
            <v>球</v>
          </cell>
          <cell r="D25" t="str">
            <v>电击</v>
          </cell>
        </row>
        <row r="26">
          <cell r="B26">
            <v>12</v>
          </cell>
          <cell r="C26" t="str">
            <v>爪</v>
          </cell>
          <cell r="D26" t="str">
            <v>冷却</v>
          </cell>
        </row>
        <row r="27">
          <cell r="B27">
            <v>13</v>
          </cell>
          <cell r="C27" t="str">
            <v>剑</v>
          </cell>
          <cell r="D27" t="str">
            <v>地脉</v>
          </cell>
        </row>
        <row r="31">
          <cell r="B31" t="str">
            <v>id</v>
          </cell>
          <cell r="C31" t="str">
            <v>武器类型</v>
          </cell>
          <cell r="D31" t="str">
            <v>主属性</v>
          </cell>
        </row>
        <row r="32">
          <cell r="B32">
            <v>0</v>
          </cell>
          <cell r="C32" t="str">
            <v>all</v>
          </cell>
          <cell r="D32" t="str">
            <v>all</v>
          </cell>
        </row>
        <row r="33">
          <cell r="B33">
            <v>1</v>
          </cell>
          <cell r="C33" t="str">
            <v>锤子</v>
          </cell>
          <cell r="D33" t="str">
            <v>神圣</v>
          </cell>
        </row>
        <row r="34">
          <cell r="B34">
            <v>2</v>
          </cell>
          <cell r="C34" t="str">
            <v>刀</v>
          </cell>
          <cell r="D34" t="str">
            <v>地脉</v>
          </cell>
        </row>
        <row r="35">
          <cell r="B35">
            <v>3</v>
          </cell>
          <cell r="C35" t="str">
            <v>拳套</v>
          </cell>
          <cell r="D35" t="str">
            <v>神圣</v>
          </cell>
        </row>
        <row r="36">
          <cell r="B36">
            <v>4</v>
          </cell>
          <cell r="C36" t="str">
            <v>枪</v>
          </cell>
          <cell r="D36" t="str">
            <v>电击</v>
          </cell>
        </row>
        <row r="37">
          <cell r="B37">
            <v>5</v>
          </cell>
          <cell r="C37" t="str">
            <v>镰刀</v>
          </cell>
          <cell r="D37" t="str">
            <v>黑暗</v>
          </cell>
        </row>
        <row r="38">
          <cell r="B38">
            <v>6</v>
          </cell>
          <cell r="C38" t="str">
            <v>法杖</v>
          </cell>
          <cell r="D38" t="str">
            <v>电击</v>
          </cell>
        </row>
        <row r="39">
          <cell r="B39">
            <v>7</v>
          </cell>
          <cell r="C39" t="str">
            <v>弓</v>
          </cell>
          <cell r="D39" t="str">
            <v>地脉</v>
          </cell>
        </row>
        <row r="40">
          <cell r="B40">
            <v>8</v>
          </cell>
          <cell r="C40" t="str">
            <v>烟斗</v>
          </cell>
          <cell r="D40" t="str">
            <v>物理</v>
          </cell>
        </row>
        <row r="41">
          <cell r="B41">
            <v>9</v>
          </cell>
          <cell r="C41" t="str">
            <v>扇子</v>
          </cell>
          <cell r="D41" t="str">
            <v>火炎</v>
          </cell>
        </row>
        <row r="42">
          <cell r="B42">
            <v>10</v>
          </cell>
          <cell r="C42" t="str">
            <v>牙齿</v>
          </cell>
          <cell r="D42" t="str">
            <v>黑暗</v>
          </cell>
        </row>
        <row r="43">
          <cell r="B43">
            <v>11</v>
          </cell>
          <cell r="C43" t="str">
            <v>球</v>
          </cell>
          <cell r="D43" t="str">
            <v>电击</v>
          </cell>
        </row>
        <row r="44">
          <cell r="B44">
            <v>12</v>
          </cell>
          <cell r="C44" t="str">
            <v>爪</v>
          </cell>
          <cell r="D44" t="str">
            <v>冷却</v>
          </cell>
        </row>
        <row r="45">
          <cell r="B45">
            <v>13</v>
          </cell>
          <cell r="C45" t="str">
            <v>剑</v>
          </cell>
          <cell r="D45" t="str">
            <v>地脉</v>
          </cell>
        </row>
        <row r="49">
          <cell r="B49" t="str">
            <v>痛打率</v>
          </cell>
          <cell r="C49" t="str">
            <v>等级</v>
          </cell>
          <cell r="D49" t="str">
            <v>品质</v>
          </cell>
          <cell r="E49" t="str">
            <v>min</v>
          </cell>
          <cell r="F49" t="str">
            <v>max</v>
          </cell>
          <cell r="H49" t="str">
            <v>痛打伤害</v>
          </cell>
          <cell r="I49" t="str">
            <v>等级</v>
          </cell>
          <cell r="J49" t="str">
            <v>品质</v>
          </cell>
          <cell r="K49" t="str">
            <v>min</v>
          </cell>
          <cell r="L49" t="str">
            <v>max</v>
          </cell>
          <cell r="N49" t="str">
            <v>额外伤害</v>
          </cell>
          <cell r="O49" t="str">
            <v>等级</v>
          </cell>
          <cell r="P49" t="str">
            <v>品质</v>
          </cell>
          <cell r="Q49" t="str">
            <v>min</v>
          </cell>
          <cell r="R49" t="str">
            <v>max</v>
          </cell>
          <cell r="T49" t="str">
            <v>怪物伤害</v>
          </cell>
          <cell r="U49" t="str">
            <v>等级</v>
          </cell>
          <cell r="V49" t="str">
            <v>品质</v>
          </cell>
          <cell r="W49" t="str">
            <v>min</v>
          </cell>
          <cell r="X49" t="str">
            <v>max</v>
          </cell>
        </row>
        <row r="50">
          <cell r="B50" t="str">
            <v>11</v>
          </cell>
          <cell r="C50">
            <v>1</v>
          </cell>
          <cell r="D50">
            <v>1</v>
          </cell>
          <cell r="E50">
            <v>0.05</v>
          </cell>
          <cell r="F50">
            <v>0.08</v>
          </cell>
          <cell r="H50" t="str">
            <v>11</v>
          </cell>
          <cell r="I50">
            <v>1</v>
          </cell>
          <cell r="J50">
            <v>1</v>
          </cell>
          <cell r="K50">
            <v>0.2</v>
          </cell>
          <cell r="L50">
            <v>0.7</v>
          </cell>
          <cell r="N50" t="str">
            <v>11</v>
          </cell>
          <cell r="O50">
            <v>1</v>
          </cell>
          <cell r="P50">
            <v>1</v>
          </cell>
          <cell r="Q50">
            <v>0.05</v>
          </cell>
          <cell r="R50">
            <v>0.08</v>
          </cell>
          <cell r="T50" t="str">
            <v>11</v>
          </cell>
          <cell r="U50">
            <v>1</v>
          </cell>
          <cell r="V50">
            <v>1</v>
          </cell>
          <cell r="W50">
            <v>0.05</v>
          </cell>
          <cell r="X50">
            <v>0.08</v>
          </cell>
        </row>
        <row r="51">
          <cell r="B51" t="str">
            <v>21</v>
          </cell>
          <cell r="C51">
            <v>2</v>
          </cell>
          <cell r="D51">
            <v>1</v>
          </cell>
          <cell r="E51">
            <v>6.0000000000000005E-2</v>
          </cell>
          <cell r="F51">
            <v>0.09</v>
          </cell>
          <cell r="H51" t="str">
            <v>21</v>
          </cell>
          <cell r="I51">
            <v>2</v>
          </cell>
          <cell r="J51">
            <v>1</v>
          </cell>
          <cell r="K51">
            <v>0.30000000000000004</v>
          </cell>
          <cell r="L51">
            <v>0.79999999999999993</v>
          </cell>
          <cell r="N51" t="str">
            <v>21</v>
          </cell>
          <cell r="O51">
            <v>2</v>
          </cell>
          <cell r="P51">
            <v>1</v>
          </cell>
          <cell r="Q51">
            <v>6.0000000000000005E-2</v>
          </cell>
          <cell r="R51">
            <v>0.09</v>
          </cell>
          <cell r="T51" t="str">
            <v>21</v>
          </cell>
          <cell r="U51">
            <v>2</v>
          </cell>
          <cell r="V51">
            <v>1</v>
          </cell>
          <cell r="W51">
            <v>6.0000000000000005E-2</v>
          </cell>
          <cell r="X51">
            <v>0.1</v>
          </cell>
        </row>
        <row r="52">
          <cell r="B52" t="str">
            <v>31</v>
          </cell>
          <cell r="C52">
            <v>3</v>
          </cell>
          <cell r="D52">
            <v>1</v>
          </cell>
          <cell r="E52">
            <v>7.0000000000000007E-2</v>
          </cell>
          <cell r="F52">
            <v>9.9999999999999992E-2</v>
          </cell>
          <cell r="H52" t="str">
            <v>31</v>
          </cell>
          <cell r="I52">
            <v>3</v>
          </cell>
          <cell r="J52">
            <v>1</v>
          </cell>
          <cell r="K52">
            <v>0.4</v>
          </cell>
          <cell r="L52">
            <v>0.89999999999999991</v>
          </cell>
          <cell r="N52" t="str">
            <v>31</v>
          </cell>
          <cell r="O52">
            <v>3</v>
          </cell>
          <cell r="P52">
            <v>1</v>
          </cell>
          <cell r="Q52">
            <v>7.0000000000000007E-2</v>
          </cell>
          <cell r="R52">
            <v>9.9999999999999992E-2</v>
          </cell>
          <cell r="T52" t="str">
            <v>31</v>
          </cell>
          <cell r="U52">
            <v>3</v>
          </cell>
          <cell r="V52">
            <v>1</v>
          </cell>
          <cell r="W52">
            <v>7.0000000000000007E-2</v>
          </cell>
          <cell r="X52">
            <v>0.12000000000000001</v>
          </cell>
        </row>
        <row r="53">
          <cell r="B53" t="str">
            <v>41</v>
          </cell>
          <cell r="C53">
            <v>4</v>
          </cell>
          <cell r="D53">
            <v>1</v>
          </cell>
          <cell r="E53">
            <v>0.08</v>
          </cell>
          <cell r="F53">
            <v>0.10999999999999999</v>
          </cell>
          <cell r="H53" t="str">
            <v>41</v>
          </cell>
          <cell r="I53">
            <v>4</v>
          </cell>
          <cell r="J53">
            <v>1</v>
          </cell>
          <cell r="K53">
            <v>0.5</v>
          </cell>
          <cell r="L53">
            <v>0.99999999999999989</v>
          </cell>
          <cell r="N53" t="str">
            <v>41</v>
          </cell>
          <cell r="O53">
            <v>4</v>
          </cell>
          <cell r="P53">
            <v>1</v>
          </cell>
          <cell r="Q53">
            <v>0.08</v>
          </cell>
          <cell r="R53">
            <v>0.10999999999999999</v>
          </cell>
          <cell r="T53" t="str">
            <v>41</v>
          </cell>
          <cell r="U53">
            <v>4</v>
          </cell>
          <cell r="V53">
            <v>1</v>
          </cell>
          <cell r="W53">
            <v>0.08</v>
          </cell>
          <cell r="X53">
            <v>0.14000000000000001</v>
          </cell>
        </row>
        <row r="54">
          <cell r="B54" t="str">
            <v>51</v>
          </cell>
          <cell r="C54">
            <v>5</v>
          </cell>
          <cell r="D54">
            <v>1</v>
          </cell>
          <cell r="E54">
            <v>0.09</v>
          </cell>
          <cell r="F54">
            <v>0.11999999999999998</v>
          </cell>
          <cell r="H54" t="str">
            <v>51</v>
          </cell>
          <cell r="I54">
            <v>5</v>
          </cell>
          <cell r="J54">
            <v>1</v>
          </cell>
          <cell r="K54">
            <v>0.6</v>
          </cell>
          <cell r="L54">
            <v>1.0999999999999999</v>
          </cell>
          <cell r="N54" t="str">
            <v>51</v>
          </cell>
          <cell r="O54">
            <v>5</v>
          </cell>
          <cell r="P54">
            <v>1</v>
          </cell>
          <cell r="Q54">
            <v>0.09</v>
          </cell>
          <cell r="R54">
            <v>0.11999999999999998</v>
          </cell>
          <cell r="T54" t="str">
            <v>51</v>
          </cell>
          <cell r="U54">
            <v>5</v>
          </cell>
          <cell r="V54">
            <v>1</v>
          </cell>
          <cell r="W54">
            <v>0.09</v>
          </cell>
          <cell r="X54">
            <v>0.16</v>
          </cell>
        </row>
        <row r="55">
          <cell r="B55" t="str">
            <v>61</v>
          </cell>
          <cell r="C55">
            <v>6</v>
          </cell>
          <cell r="D55">
            <v>1</v>
          </cell>
          <cell r="E55">
            <v>9.9999999999999992E-2</v>
          </cell>
          <cell r="F55">
            <v>0.12999999999999998</v>
          </cell>
          <cell r="H55" t="str">
            <v>61</v>
          </cell>
          <cell r="I55">
            <v>6</v>
          </cell>
          <cell r="J55">
            <v>1</v>
          </cell>
          <cell r="K55">
            <v>0.7</v>
          </cell>
          <cell r="L55">
            <v>1.2</v>
          </cell>
          <cell r="N55" t="str">
            <v>61</v>
          </cell>
          <cell r="O55">
            <v>6</v>
          </cell>
          <cell r="P55">
            <v>1</v>
          </cell>
          <cell r="Q55">
            <v>9.9999999999999992E-2</v>
          </cell>
          <cell r="R55">
            <v>0.12999999999999998</v>
          </cell>
          <cell r="T55" t="str">
            <v>61</v>
          </cell>
          <cell r="U55">
            <v>6</v>
          </cell>
          <cell r="V55">
            <v>1</v>
          </cell>
          <cell r="W55">
            <v>9.9999999999999992E-2</v>
          </cell>
          <cell r="X55">
            <v>0.18</v>
          </cell>
        </row>
        <row r="56">
          <cell r="B56" t="str">
            <v>71</v>
          </cell>
          <cell r="C56">
            <v>7</v>
          </cell>
          <cell r="D56">
            <v>1</v>
          </cell>
          <cell r="E56">
            <v>0.10999999999999999</v>
          </cell>
          <cell r="F56">
            <v>0.13999999999999999</v>
          </cell>
          <cell r="H56" t="str">
            <v>71</v>
          </cell>
          <cell r="I56">
            <v>7</v>
          </cell>
          <cell r="J56">
            <v>1</v>
          </cell>
          <cell r="K56">
            <v>0.79999999999999993</v>
          </cell>
          <cell r="L56">
            <v>1.3</v>
          </cell>
          <cell r="N56" t="str">
            <v>71</v>
          </cell>
          <cell r="O56">
            <v>7</v>
          </cell>
          <cell r="P56">
            <v>1</v>
          </cell>
          <cell r="Q56">
            <v>0.10999999999999999</v>
          </cell>
          <cell r="R56">
            <v>0.13999999999999999</v>
          </cell>
          <cell r="T56" t="str">
            <v>71</v>
          </cell>
          <cell r="U56">
            <v>7</v>
          </cell>
          <cell r="V56">
            <v>1</v>
          </cell>
          <cell r="W56">
            <v>0.10999999999999999</v>
          </cell>
          <cell r="X56">
            <v>0.19999999999999998</v>
          </cell>
        </row>
        <row r="57">
          <cell r="B57" t="str">
            <v>81</v>
          </cell>
          <cell r="C57">
            <v>8</v>
          </cell>
          <cell r="D57">
            <v>1</v>
          </cell>
          <cell r="E57">
            <v>0.11999999999999998</v>
          </cell>
          <cell r="F57">
            <v>0.15</v>
          </cell>
          <cell r="H57" t="str">
            <v>81</v>
          </cell>
          <cell r="I57">
            <v>8</v>
          </cell>
          <cell r="J57">
            <v>1</v>
          </cell>
          <cell r="K57">
            <v>0.89999999999999991</v>
          </cell>
          <cell r="L57">
            <v>1.4000000000000001</v>
          </cell>
          <cell r="N57" t="str">
            <v>81</v>
          </cell>
          <cell r="O57">
            <v>8</v>
          </cell>
          <cell r="P57">
            <v>1</v>
          </cell>
          <cell r="Q57">
            <v>0.11999999999999998</v>
          </cell>
          <cell r="R57">
            <v>0.15</v>
          </cell>
          <cell r="T57" t="str">
            <v>81</v>
          </cell>
          <cell r="U57">
            <v>8</v>
          </cell>
          <cell r="V57">
            <v>1</v>
          </cell>
          <cell r="W57">
            <v>0.11999999999999998</v>
          </cell>
          <cell r="X57">
            <v>0.21999999999999997</v>
          </cell>
        </row>
        <row r="58">
          <cell r="B58" t="str">
            <v>91</v>
          </cell>
          <cell r="C58">
            <v>9</v>
          </cell>
          <cell r="D58">
            <v>1</v>
          </cell>
          <cell r="E58">
            <v>0.12999999999999998</v>
          </cell>
          <cell r="F58">
            <v>0.16</v>
          </cell>
          <cell r="H58" t="str">
            <v>91</v>
          </cell>
          <cell r="I58">
            <v>9</v>
          </cell>
          <cell r="J58">
            <v>1</v>
          </cell>
          <cell r="K58">
            <v>0.99999999999999989</v>
          </cell>
          <cell r="L58">
            <v>1.5000000000000002</v>
          </cell>
          <cell r="N58" t="str">
            <v>91</v>
          </cell>
          <cell r="O58">
            <v>9</v>
          </cell>
          <cell r="P58">
            <v>1</v>
          </cell>
          <cell r="Q58">
            <v>0.12999999999999998</v>
          </cell>
          <cell r="R58">
            <v>0.16</v>
          </cell>
          <cell r="T58" t="str">
            <v>91</v>
          </cell>
          <cell r="U58">
            <v>9</v>
          </cell>
          <cell r="V58">
            <v>1</v>
          </cell>
          <cell r="W58">
            <v>0.12999999999999998</v>
          </cell>
          <cell r="X58">
            <v>0.23999999999999996</v>
          </cell>
        </row>
        <row r="59">
          <cell r="B59" t="str">
            <v>12</v>
          </cell>
          <cell r="C59">
            <v>1</v>
          </cell>
          <cell r="D59">
            <v>2</v>
          </cell>
          <cell r="E59">
            <v>6.0000000000000005E-2</v>
          </cell>
          <cell r="F59">
            <v>0.09</v>
          </cell>
          <cell r="H59" t="str">
            <v>12</v>
          </cell>
          <cell r="I59">
            <v>1</v>
          </cell>
          <cell r="J59">
            <v>2</v>
          </cell>
          <cell r="K59">
            <v>0.4</v>
          </cell>
          <cell r="L59">
            <v>0.79999999999999993</v>
          </cell>
          <cell r="N59" t="str">
            <v>12</v>
          </cell>
          <cell r="O59">
            <v>1</v>
          </cell>
          <cell r="P59">
            <v>2</v>
          </cell>
          <cell r="Q59">
            <v>6.0000000000000005E-2</v>
          </cell>
          <cell r="R59">
            <v>0.09</v>
          </cell>
          <cell r="T59" t="str">
            <v>12</v>
          </cell>
          <cell r="U59">
            <v>1</v>
          </cell>
          <cell r="V59">
            <v>2</v>
          </cell>
          <cell r="W59">
            <v>6.0000000000000005E-2</v>
          </cell>
          <cell r="X59">
            <v>0.12000000000000001</v>
          </cell>
        </row>
        <row r="60">
          <cell r="B60" t="str">
            <v>22</v>
          </cell>
          <cell r="C60">
            <v>2</v>
          </cell>
          <cell r="D60">
            <v>2</v>
          </cell>
          <cell r="E60">
            <v>7.0000000000000007E-2</v>
          </cell>
          <cell r="F60">
            <v>9.9999999999999992E-2</v>
          </cell>
          <cell r="H60" t="str">
            <v>22</v>
          </cell>
          <cell r="I60">
            <v>2</v>
          </cell>
          <cell r="J60">
            <v>2</v>
          </cell>
          <cell r="K60">
            <v>0.5</v>
          </cell>
          <cell r="L60">
            <v>0.89999999999999991</v>
          </cell>
          <cell r="N60" t="str">
            <v>22</v>
          </cell>
          <cell r="O60">
            <v>2</v>
          </cell>
          <cell r="P60">
            <v>2</v>
          </cell>
          <cell r="Q60">
            <v>7.0000000000000007E-2</v>
          </cell>
          <cell r="R60">
            <v>9.9999999999999992E-2</v>
          </cell>
          <cell r="T60" t="str">
            <v>22</v>
          </cell>
          <cell r="U60">
            <v>2</v>
          </cell>
          <cell r="V60">
            <v>2</v>
          </cell>
          <cell r="W60">
            <v>7.0000000000000007E-2</v>
          </cell>
          <cell r="X60">
            <v>0.14000000000000001</v>
          </cell>
        </row>
        <row r="61">
          <cell r="B61" t="str">
            <v>32</v>
          </cell>
          <cell r="C61">
            <v>3</v>
          </cell>
          <cell r="D61">
            <v>2</v>
          </cell>
          <cell r="E61">
            <v>0.08</v>
          </cell>
          <cell r="F61">
            <v>0.10999999999999999</v>
          </cell>
          <cell r="H61" t="str">
            <v>32</v>
          </cell>
          <cell r="I61">
            <v>3</v>
          </cell>
          <cell r="J61">
            <v>2</v>
          </cell>
          <cell r="K61">
            <v>0.6</v>
          </cell>
          <cell r="L61">
            <v>0.99999999999999989</v>
          </cell>
          <cell r="N61" t="str">
            <v>32</v>
          </cell>
          <cell r="O61">
            <v>3</v>
          </cell>
          <cell r="P61">
            <v>2</v>
          </cell>
          <cell r="Q61">
            <v>0.08</v>
          </cell>
          <cell r="R61">
            <v>0.10999999999999999</v>
          </cell>
          <cell r="T61" t="str">
            <v>32</v>
          </cell>
          <cell r="U61">
            <v>3</v>
          </cell>
          <cell r="V61">
            <v>2</v>
          </cell>
          <cell r="W61">
            <v>0.08</v>
          </cell>
          <cell r="X61">
            <v>0.16</v>
          </cell>
        </row>
        <row r="62">
          <cell r="B62" t="str">
            <v>42</v>
          </cell>
          <cell r="C62">
            <v>4</v>
          </cell>
          <cell r="D62">
            <v>2</v>
          </cell>
          <cell r="E62">
            <v>0.09</v>
          </cell>
          <cell r="F62">
            <v>0.11999999999999998</v>
          </cell>
          <cell r="H62" t="str">
            <v>42</v>
          </cell>
          <cell r="I62">
            <v>4</v>
          </cell>
          <cell r="J62">
            <v>2</v>
          </cell>
          <cell r="K62">
            <v>0.7</v>
          </cell>
          <cell r="L62">
            <v>1.0999999999999999</v>
          </cell>
          <cell r="N62" t="str">
            <v>42</v>
          </cell>
          <cell r="O62">
            <v>4</v>
          </cell>
          <cell r="P62">
            <v>2</v>
          </cell>
          <cell r="Q62">
            <v>0.09</v>
          </cell>
          <cell r="R62">
            <v>0.11999999999999998</v>
          </cell>
          <cell r="T62" t="str">
            <v>42</v>
          </cell>
          <cell r="U62">
            <v>4</v>
          </cell>
          <cell r="V62">
            <v>2</v>
          </cell>
          <cell r="W62">
            <v>0.09</v>
          </cell>
          <cell r="X62">
            <v>0.18</v>
          </cell>
        </row>
        <row r="63">
          <cell r="B63" t="str">
            <v>52</v>
          </cell>
          <cell r="C63">
            <v>5</v>
          </cell>
          <cell r="D63">
            <v>2</v>
          </cell>
          <cell r="E63">
            <v>9.9999999999999992E-2</v>
          </cell>
          <cell r="F63">
            <v>0.12999999999999998</v>
          </cell>
          <cell r="H63" t="str">
            <v>52</v>
          </cell>
          <cell r="I63">
            <v>5</v>
          </cell>
          <cell r="J63">
            <v>2</v>
          </cell>
          <cell r="K63">
            <v>0.79999999999999993</v>
          </cell>
          <cell r="L63">
            <v>1.2</v>
          </cell>
          <cell r="N63" t="str">
            <v>52</v>
          </cell>
          <cell r="O63">
            <v>5</v>
          </cell>
          <cell r="P63">
            <v>2</v>
          </cell>
          <cell r="Q63">
            <v>9.9999999999999992E-2</v>
          </cell>
          <cell r="R63">
            <v>0.12999999999999998</v>
          </cell>
          <cell r="T63" t="str">
            <v>52</v>
          </cell>
          <cell r="U63">
            <v>5</v>
          </cell>
          <cell r="V63">
            <v>2</v>
          </cell>
          <cell r="W63">
            <v>9.9999999999999992E-2</v>
          </cell>
          <cell r="X63">
            <v>0.19999999999999998</v>
          </cell>
        </row>
        <row r="64">
          <cell r="B64" t="str">
            <v>62</v>
          </cell>
          <cell r="C64">
            <v>6</v>
          </cell>
          <cell r="D64">
            <v>2</v>
          </cell>
          <cell r="E64">
            <v>0.10999999999999999</v>
          </cell>
          <cell r="F64">
            <v>0.13999999999999999</v>
          </cell>
          <cell r="H64" t="str">
            <v>62</v>
          </cell>
          <cell r="I64">
            <v>6</v>
          </cell>
          <cell r="J64">
            <v>2</v>
          </cell>
          <cell r="K64">
            <v>0.89999999999999991</v>
          </cell>
          <cell r="L64">
            <v>1.3</v>
          </cell>
          <cell r="N64" t="str">
            <v>62</v>
          </cell>
          <cell r="O64">
            <v>6</v>
          </cell>
          <cell r="P64">
            <v>2</v>
          </cell>
          <cell r="Q64">
            <v>0.10999999999999999</v>
          </cell>
          <cell r="R64">
            <v>0.13999999999999999</v>
          </cell>
          <cell r="T64" t="str">
            <v>62</v>
          </cell>
          <cell r="U64">
            <v>6</v>
          </cell>
          <cell r="V64">
            <v>2</v>
          </cell>
          <cell r="W64">
            <v>0.10999999999999999</v>
          </cell>
          <cell r="X64">
            <v>0.21999999999999997</v>
          </cell>
        </row>
        <row r="65">
          <cell r="B65" t="str">
            <v>72</v>
          </cell>
          <cell r="C65">
            <v>7</v>
          </cell>
          <cell r="D65">
            <v>2</v>
          </cell>
          <cell r="E65">
            <v>0.11999999999999998</v>
          </cell>
          <cell r="F65">
            <v>0.15</v>
          </cell>
          <cell r="H65" t="str">
            <v>72</v>
          </cell>
          <cell r="I65">
            <v>7</v>
          </cell>
          <cell r="J65">
            <v>2</v>
          </cell>
          <cell r="K65">
            <v>0.99999999999999989</v>
          </cell>
          <cell r="L65">
            <v>1.4000000000000001</v>
          </cell>
          <cell r="N65" t="str">
            <v>72</v>
          </cell>
          <cell r="O65">
            <v>7</v>
          </cell>
          <cell r="P65">
            <v>2</v>
          </cell>
          <cell r="Q65">
            <v>0.11999999999999998</v>
          </cell>
          <cell r="R65">
            <v>0.15</v>
          </cell>
          <cell r="T65" t="str">
            <v>72</v>
          </cell>
          <cell r="U65">
            <v>7</v>
          </cell>
          <cell r="V65">
            <v>2</v>
          </cell>
          <cell r="W65">
            <v>0.11999999999999998</v>
          </cell>
          <cell r="X65">
            <v>0.23999999999999996</v>
          </cell>
        </row>
        <row r="66">
          <cell r="B66" t="str">
            <v>82</v>
          </cell>
          <cell r="C66">
            <v>8</v>
          </cell>
          <cell r="D66">
            <v>2</v>
          </cell>
          <cell r="E66">
            <v>0.12999999999999998</v>
          </cell>
          <cell r="F66">
            <v>0.16</v>
          </cell>
          <cell r="H66" t="str">
            <v>82</v>
          </cell>
          <cell r="I66">
            <v>8</v>
          </cell>
          <cell r="J66">
            <v>2</v>
          </cell>
          <cell r="K66">
            <v>1.0999999999999999</v>
          </cell>
          <cell r="L66">
            <v>1.5000000000000002</v>
          </cell>
          <cell r="N66" t="str">
            <v>82</v>
          </cell>
          <cell r="O66">
            <v>8</v>
          </cell>
          <cell r="P66">
            <v>2</v>
          </cell>
          <cell r="Q66">
            <v>0.12999999999999998</v>
          </cell>
          <cell r="R66">
            <v>0.16</v>
          </cell>
          <cell r="T66" t="str">
            <v>82</v>
          </cell>
          <cell r="U66">
            <v>8</v>
          </cell>
          <cell r="V66">
            <v>2</v>
          </cell>
          <cell r="W66">
            <v>0.12999999999999998</v>
          </cell>
          <cell r="X66">
            <v>0.25999999999999995</v>
          </cell>
        </row>
        <row r="67">
          <cell r="B67" t="str">
            <v>92</v>
          </cell>
          <cell r="C67">
            <v>9</v>
          </cell>
          <cell r="D67">
            <v>2</v>
          </cell>
          <cell r="E67">
            <v>0.13999999999999999</v>
          </cell>
          <cell r="F67">
            <v>0.17</v>
          </cell>
          <cell r="H67" t="str">
            <v>92</v>
          </cell>
          <cell r="I67">
            <v>9</v>
          </cell>
          <cell r="J67">
            <v>2</v>
          </cell>
          <cell r="K67">
            <v>1.2</v>
          </cell>
          <cell r="L67">
            <v>1.6000000000000003</v>
          </cell>
          <cell r="N67" t="str">
            <v>92</v>
          </cell>
          <cell r="O67">
            <v>9</v>
          </cell>
          <cell r="P67">
            <v>2</v>
          </cell>
          <cell r="Q67">
            <v>0.13999999999999999</v>
          </cell>
          <cell r="R67">
            <v>0.17</v>
          </cell>
          <cell r="T67" t="str">
            <v>92</v>
          </cell>
          <cell r="U67">
            <v>9</v>
          </cell>
          <cell r="V67">
            <v>2</v>
          </cell>
          <cell r="W67">
            <v>0.13999999999999999</v>
          </cell>
          <cell r="X67">
            <v>0.27999999999999997</v>
          </cell>
        </row>
        <row r="68">
          <cell r="B68" t="str">
            <v>13</v>
          </cell>
          <cell r="C68">
            <v>1</v>
          </cell>
          <cell r="D68">
            <v>3</v>
          </cell>
          <cell r="E68">
            <v>7.0000000000000007E-2</v>
          </cell>
          <cell r="F68">
            <v>9.9999999999999992E-2</v>
          </cell>
          <cell r="H68" t="str">
            <v>13</v>
          </cell>
          <cell r="I68">
            <v>1</v>
          </cell>
          <cell r="J68">
            <v>3</v>
          </cell>
          <cell r="K68">
            <v>0.6</v>
          </cell>
          <cell r="L68">
            <v>0.89999999999999991</v>
          </cell>
          <cell r="N68" t="str">
            <v>13</v>
          </cell>
          <cell r="O68">
            <v>1</v>
          </cell>
          <cell r="P68">
            <v>3</v>
          </cell>
          <cell r="Q68">
            <v>7.0000000000000007E-2</v>
          </cell>
          <cell r="R68">
            <v>9.9999999999999992E-2</v>
          </cell>
          <cell r="T68" t="str">
            <v>13</v>
          </cell>
          <cell r="U68">
            <v>1</v>
          </cell>
          <cell r="V68">
            <v>3</v>
          </cell>
          <cell r="W68">
            <v>7.0000000000000007E-2</v>
          </cell>
          <cell r="X68">
            <v>0.14000000000000001</v>
          </cell>
        </row>
        <row r="69">
          <cell r="B69" t="str">
            <v>23</v>
          </cell>
          <cell r="C69">
            <v>2</v>
          </cell>
          <cell r="D69">
            <v>3</v>
          </cell>
          <cell r="E69">
            <v>0.08</v>
          </cell>
          <cell r="F69">
            <v>0.10999999999999999</v>
          </cell>
          <cell r="H69" t="str">
            <v>23</v>
          </cell>
          <cell r="I69">
            <v>2</v>
          </cell>
          <cell r="J69">
            <v>3</v>
          </cell>
          <cell r="K69">
            <v>0.7</v>
          </cell>
          <cell r="L69">
            <v>0.99999999999999989</v>
          </cell>
          <cell r="N69" t="str">
            <v>23</v>
          </cell>
          <cell r="O69">
            <v>2</v>
          </cell>
          <cell r="P69">
            <v>3</v>
          </cell>
          <cell r="Q69">
            <v>0.08</v>
          </cell>
          <cell r="R69">
            <v>0.10999999999999999</v>
          </cell>
          <cell r="T69" t="str">
            <v>23</v>
          </cell>
          <cell r="U69">
            <v>2</v>
          </cell>
          <cell r="V69">
            <v>3</v>
          </cell>
          <cell r="W69">
            <v>0.08</v>
          </cell>
          <cell r="X69">
            <v>0.16</v>
          </cell>
        </row>
        <row r="70">
          <cell r="B70" t="str">
            <v>33</v>
          </cell>
          <cell r="C70">
            <v>3</v>
          </cell>
          <cell r="D70">
            <v>3</v>
          </cell>
          <cell r="E70">
            <v>0.09</v>
          </cell>
          <cell r="F70">
            <v>0.11999999999999998</v>
          </cell>
          <cell r="H70" t="str">
            <v>33</v>
          </cell>
          <cell r="I70">
            <v>3</v>
          </cell>
          <cell r="J70">
            <v>3</v>
          </cell>
          <cell r="K70">
            <v>0.79999999999999993</v>
          </cell>
          <cell r="L70">
            <v>1.0999999999999999</v>
          </cell>
          <cell r="N70" t="str">
            <v>33</v>
          </cell>
          <cell r="O70">
            <v>3</v>
          </cell>
          <cell r="P70">
            <v>3</v>
          </cell>
          <cell r="Q70">
            <v>0.09</v>
          </cell>
          <cell r="R70">
            <v>0.11999999999999998</v>
          </cell>
          <cell r="T70" t="str">
            <v>33</v>
          </cell>
          <cell r="U70">
            <v>3</v>
          </cell>
          <cell r="V70">
            <v>3</v>
          </cell>
          <cell r="W70">
            <v>0.09</v>
          </cell>
          <cell r="X70">
            <v>0.18</v>
          </cell>
        </row>
        <row r="71">
          <cell r="B71" t="str">
            <v>43</v>
          </cell>
          <cell r="C71">
            <v>4</v>
          </cell>
          <cell r="D71">
            <v>3</v>
          </cell>
          <cell r="E71">
            <v>9.9999999999999992E-2</v>
          </cell>
          <cell r="F71">
            <v>0.12999999999999998</v>
          </cell>
          <cell r="H71" t="str">
            <v>43</v>
          </cell>
          <cell r="I71">
            <v>4</v>
          </cell>
          <cell r="J71">
            <v>3</v>
          </cell>
          <cell r="K71">
            <v>0.89999999999999991</v>
          </cell>
          <cell r="L71">
            <v>1.2</v>
          </cell>
          <cell r="N71" t="str">
            <v>43</v>
          </cell>
          <cell r="O71">
            <v>4</v>
          </cell>
          <cell r="P71">
            <v>3</v>
          </cell>
          <cell r="Q71">
            <v>9.9999999999999992E-2</v>
          </cell>
          <cell r="R71">
            <v>0.12999999999999998</v>
          </cell>
          <cell r="T71" t="str">
            <v>43</v>
          </cell>
          <cell r="U71">
            <v>4</v>
          </cell>
          <cell r="V71">
            <v>3</v>
          </cell>
          <cell r="W71">
            <v>9.9999999999999992E-2</v>
          </cell>
          <cell r="X71">
            <v>0.19999999999999998</v>
          </cell>
        </row>
        <row r="72">
          <cell r="B72" t="str">
            <v>53</v>
          </cell>
          <cell r="C72">
            <v>5</v>
          </cell>
          <cell r="D72">
            <v>3</v>
          </cell>
          <cell r="E72">
            <v>0.10999999999999999</v>
          </cell>
          <cell r="F72">
            <v>0.13999999999999999</v>
          </cell>
          <cell r="H72" t="str">
            <v>53</v>
          </cell>
          <cell r="I72">
            <v>5</v>
          </cell>
          <cell r="J72">
            <v>3</v>
          </cell>
          <cell r="K72">
            <v>0.99999999999999989</v>
          </cell>
          <cell r="L72">
            <v>1.3</v>
          </cell>
          <cell r="N72" t="str">
            <v>53</v>
          </cell>
          <cell r="O72">
            <v>5</v>
          </cell>
          <cell r="P72">
            <v>3</v>
          </cell>
          <cell r="Q72">
            <v>0.10999999999999999</v>
          </cell>
          <cell r="R72">
            <v>0.13999999999999999</v>
          </cell>
          <cell r="T72" t="str">
            <v>53</v>
          </cell>
          <cell r="U72">
            <v>5</v>
          </cell>
          <cell r="V72">
            <v>3</v>
          </cell>
          <cell r="W72">
            <v>0.10999999999999999</v>
          </cell>
          <cell r="X72">
            <v>0.21999999999999997</v>
          </cell>
        </row>
        <row r="73">
          <cell r="B73" t="str">
            <v>63</v>
          </cell>
          <cell r="C73">
            <v>6</v>
          </cell>
          <cell r="D73">
            <v>3</v>
          </cell>
          <cell r="E73">
            <v>0.11999999999999998</v>
          </cell>
          <cell r="F73">
            <v>0.15</v>
          </cell>
          <cell r="H73" t="str">
            <v>63</v>
          </cell>
          <cell r="I73">
            <v>6</v>
          </cell>
          <cell r="J73">
            <v>3</v>
          </cell>
          <cell r="K73">
            <v>1.0999999999999999</v>
          </cell>
          <cell r="L73">
            <v>1.4000000000000001</v>
          </cell>
          <cell r="N73" t="str">
            <v>63</v>
          </cell>
          <cell r="O73">
            <v>6</v>
          </cell>
          <cell r="P73">
            <v>3</v>
          </cell>
          <cell r="Q73">
            <v>0.11999999999999998</v>
          </cell>
          <cell r="R73">
            <v>0.15</v>
          </cell>
          <cell r="T73" t="str">
            <v>63</v>
          </cell>
          <cell r="U73">
            <v>6</v>
          </cell>
          <cell r="V73">
            <v>3</v>
          </cell>
          <cell r="W73">
            <v>0.11999999999999998</v>
          </cell>
          <cell r="X73">
            <v>0.23999999999999996</v>
          </cell>
        </row>
        <row r="74">
          <cell r="B74" t="str">
            <v>73</v>
          </cell>
          <cell r="C74">
            <v>7</v>
          </cell>
          <cell r="D74">
            <v>3</v>
          </cell>
          <cell r="E74">
            <v>0.12999999999999998</v>
          </cell>
          <cell r="F74">
            <v>0.16</v>
          </cell>
          <cell r="H74" t="str">
            <v>73</v>
          </cell>
          <cell r="I74">
            <v>7</v>
          </cell>
          <cell r="J74">
            <v>3</v>
          </cell>
          <cell r="K74">
            <v>1.2</v>
          </cell>
          <cell r="L74">
            <v>1.5000000000000002</v>
          </cell>
          <cell r="N74" t="str">
            <v>73</v>
          </cell>
          <cell r="O74">
            <v>7</v>
          </cell>
          <cell r="P74">
            <v>3</v>
          </cell>
          <cell r="Q74">
            <v>0.12999999999999998</v>
          </cell>
          <cell r="R74">
            <v>0.16</v>
          </cell>
          <cell r="T74" t="str">
            <v>73</v>
          </cell>
          <cell r="U74">
            <v>7</v>
          </cell>
          <cell r="V74">
            <v>3</v>
          </cell>
          <cell r="W74">
            <v>0.12999999999999998</v>
          </cell>
          <cell r="X74">
            <v>0.25999999999999995</v>
          </cell>
        </row>
        <row r="75">
          <cell r="B75" t="str">
            <v>83</v>
          </cell>
          <cell r="C75">
            <v>8</v>
          </cell>
          <cell r="D75">
            <v>3</v>
          </cell>
          <cell r="E75">
            <v>0.13999999999999999</v>
          </cell>
          <cell r="F75">
            <v>0.17</v>
          </cell>
          <cell r="H75" t="str">
            <v>83</v>
          </cell>
          <cell r="I75">
            <v>8</v>
          </cell>
          <cell r="J75">
            <v>3</v>
          </cell>
          <cell r="K75">
            <v>1.3</v>
          </cell>
          <cell r="L75">
            <v>1.6000000000000003</v>
          </cell>
          <cell r="N75" t="str">
            <v>83</v>
          </cell>
          <cell r="O75">
            <v>8</v>
          </cell>
          <cell r="P75">
            <v>3</v>
          </cell>
          <cell r="Q75">
            <v>0.13999999999999999</v>
          </cell>
          <cell r="R75">
            <v>0.17</v>
          </cell>
          <cell r="T75" t="str">
            <v>83</v>
          </cell>
          <cell r="U75">
            <v>8</v>
          </cell>
          <cell r="V75">
            <v>3</v>
          </cell>
          <cell r="W75">
            <v>0.13999999999999999</v>
          </cell>
          <cell r="X75">
            <v>0.27999999999999997</v>
          </cell>
        </row>
        <row r="76">
          <cell r="B76" t="str">
            <v>93</v>
          </cell>
          <cell r="C76">
            <v>9</v>
          </cell>
          <cell r="D76">
            <v>3</v>
          </cell>
          <cell r="E76">
            <v>0.15</v>
          </cell>
          <cell r="F76">
            <v>0.18000000000000002</v>
          </cell>
          <cell r="H76" t="str">
            <v>93</v>
          </cell>
          <cell r="I76">
            <v>9</v>
          </cell>
          <cell r="J76">
            <v>3</v>
          </cell>
          <cell r="K76">
            <v>1.4000000000000001</v>
          </cell>
          <cell r="L76">
            <v>1.7000000000000004</v>
          </cell>
          <cell r="N76" t="str">
            <v>93</v>
          </cell>
          <cell r="O76">
            <v>9</v>
          </cell>
          <cell r="P76">
            <v>3</v>
          </cell>
          <cell r="Q76">
            <v>0.15</v>
          </cell>
          <cell r="R76">
            <v>0.18000000000000002</v>
          </cell>
          <cell r="T76" t="str">
            <v>93</v>
          </cell>
          <cell r="U76">
            <v>9</v>
          </cell>
          <cell r="V76">
            <v>3</v>
          </cell>
          <cell r="W76">
            <v>0.15</v>
          </cell>
          <cell r="X76">
            <v>0.3</v>
          </cell>
        </row>
        <row r="77">
          <cell r="B77" t="str">
            <v>14</v>
          </cell>
          <cell r="C77">
            <v>1</v>
          </cell>
          <cell r="D77">
            <v>4</v>
          </cell>
          <cell r="E77">
            <v>0.08</v>
          </cell>
          <cell r="F77">
            <v>0.10999999999999999</v>
          </cell>
          <cell r="H77" t="str">
            <v>14</v>
          </cell>
          <cell r="I77">
            <v>1</v>
          </cell>
          <cell r="J77">
            <v>4</v>
          </cell>
          <cell r="K77">
            <v>0.6</v>
          </cell>
          <cell r="L77">
            <v>0.99999999999999989</v>
          </cell>
          <cell r="N77" t="str">
            <v>14</v>
          </cell>
          <cell r="O77">
            <v>1</v>
          </cell>
          <cell r="P77">
            <v>4</v>
          </cell>
          <cell r="Q77">
            <v>0.08</v>
          </cell>
          <cell r="R77">
            <v>0.10999999999999999</v>
          </cell>
          <cell r="T77" t="str">
            <v>14</v>
          </cell>
          <cell r="U77">
            <v>1</v>
          </cell>
          <cell r="V77">
            <v>4</v>
          </cell>
          <cell r="W77">
            <v>7.0000000000000007E-2</v>
          </cell>
          <cell r="X77">
            <v>0.14000000000000001</v>
          </cell>
        </row>
        <row r="78">
          <cell r="B78" t="str">
            <v>24</v>
          </cell>
          <cell r="C78">
            <v>2</v>
          </cell>
          <cell r="D78">
            <v>4</v>
          </cell>
          <cell r="E78">
            <v>0.09</v>
          </cell>
          <cell r="F78">
            <v>0.11999999999999998</v>
          </cell>
          <cell r="H78" t="str">
            <v>24</v>
          </cell>
          <cell r="I78">
            <v>2</v>
          </cell>
          <cell r="J78">
            <v>4</v>
          </cell>
          <cell r="K78">
            <v>0.7</v>
          </cell>
          <cell r="L78">
            <v>1.0999999999999999</v>
          </cell>
          <cell r="N78" t="str">
            <v>24</v>
          </cell>
          <cell r="O78">
            <v>2</v>
          </cell>
          <cell r="P78">
            <v>4</v>
          </cell>
          <cell r="Q78">
            <v>0.09</v>
          </cell>
          <cell r="R78">
            <v>0.11999999999999998</v>
          </cell>
          <cell r="T78" t="str">
            <v>24</v>
          </cell>
          <cell r="U78">
            <v>2</v>
          </cell>
          <cell r="V78">
            <v>4</v>
          </cell>
          <cell r="W78">
            <v>0.08</v>
          </cell>
          <cell r="X78">
            <v>0.16</v>
          </cell>
        </row>
        <row r="79">
          <cell r="B79" t="str">
            <v>34</v>
          </cell>
          <cell r="C79">
            <v>3</v>
          </cell>
          <cell r="D79">
            <v>4</v>
          </cell>
          <cell r="E79">
            <v>9.9999999999999992E-2</v>
          </cell>
          <cell r="F79">
            <v>0.12999999999999998</v>
          </cell>
          <cell r="H79" t="str">
            <v>34</v>
          </cell>
          <cell r="I79">
            <v>3</v>
          </cell>
          <cell r="J79">
            <v>4</v>
          </cell>
          <cell r="K79">
            <v>0.79999999999999993</v>
          </cell>
          <cell r="L79">
            <v>1.2</v>
          </cell>
          <cell r="N79" t="str">
            <v>34</v>
          </cell>
          <cell r="O79">
            <v>3</v>
          </cell>
          <cell r="P79">
            <v>4</v>
          </cell>
          <cell r="Q79">
            <v>9.9999999999999992E-2</v>
          </cell>
          <cell r="R79">
            <v>0.12999999999999998</v>
          </cell>
          <cell r="T79" t="str">
            <v>34</v>
          </cell>
          <cell r="U79">
            <v>3</v>
          </cell>
          <cell r="V79">
            <v>4</v>
          </cell>
          <cell r="W79">
            <v>0.09</v>
          </cell>
          <cell r="X79">
            <v>0.18</v>
          </cell>
        </row>
        <row r="80">
          <cell r="B80" t="str">
            <v>44</v>
          </cell>
          <cell r="C80">
            <v>4</v>
          </cell>
          <cell r="D80">
            <v>4</v>
          </cell>
          <cell r="E80">
            <v>0.10999999999999999</v>
          </cell>
          <cell r="F80">
            <v>0.13999999999999999</v>
          </cell>
          <cell r="H80" t="str">
            <v>44</v>
          </cell>
          <cell r="I80">
            <v>4</v>
          </cell>
          <cell r="J80">
            <v>4</v>
          </cell>
          <cell r="K80">
            <v>0.89999999999999991</v>
          </cell>
          <cell r="L80">
            <v>1.3</v>
          </cell>
          <cell r="N80" t="str">
            <v>44</v>
          </cell>
          <cell r="O80">
            <v>4</v>
          </cell>
          <cell r="P80">
            <v>4</v>
          </cell>
          <cell r="Q80">
            <v>0.10999999999999999</v>
          </cell>
          <cell r="R80">
            <v>0.13999999999999999</v>
          </cell>
          <cell r="T80" t="str">
            <v>44</v>
          </cell>
          <cell r="U80">
            <v>4</v>
          </cell>
          <cell r="V80">
            <v>4</v>
          </cell>
          <cell r="W80">
            <v>9.9999999999999992E-2</v>
          </cell>
          <cell r="X80">
            <v>0.19999999999999998</v>
          </cell>
        </row>
        <row r="81">
          <cell r="B81" t="str">
            <v>54</v>
          </cell>
          <cell r="C81">
            <v>5</v>
          </cell>
          <cell r="D81">
            <v>4</v>
          </cell>
          <cell r="E81">
            <v>0.11999999999999998</v>
          </cell>
          <cell r="F81">
            <v>0.15</v>
          </cell>
          <cell r="H81" t="str">
            <v>54</v>
          </cell>
          <cell r="I81">
            <v>5</v>
          </cell>
          <cell r="J81">
            <v>4</v>
          </cell>
          <cell r="K81">
            <v>0.99999999999999989</v>
          </cell>
          <cell r="L81">
            <v>1.4000000000000001</v>
          </cell>
          <cell r="N81" t="str">
            <v>54</v>
          </cell>
          <cell r="O81">
            <v>5</v>
          </cell>
          <cell r="P81">
            <v>4</v>
          </cell>
          <cell r="Q81">
            <v>0.11999999999999998</v>
          </cell>
          <cell r="R81">
            <v>0.15</v>
          </cell>
          <cell r="T81" t="str">
            <v>54</v>
          </cell>
          <cell r="U81">
            <v>5</v>
          </cell>
          <cell r="V81">
            <v>4</v>
          </cell>
          <cell r="W81">
            <v>0.10999999999999999</v>
          </cell>
          <cell r="X81">
            <v>0.21999999999999997</v>
          </cell>
        </row>
        <row r="82">
          <cell r="B82" t="str">
            <v>64</v>
          </cell>
          <cell r="C82">
            <v>6</v>
          </cell>
          <cell r="D82">
            <v>4</v>
          </cell>
          <cell r="E82">
            <v>0.12999999999999998</v>
          </cell>
          <cell r="F82">
            <v>0.16</v>
          </cell>
          <cell r="H82" t="str">
            <v>64</v>
          </cell>
          <cell r="I82">
            <v>6</v>
          </cell>
          <cell r="J82">
            <v>4</v>
          </cell>
          <cell r="K82">
            <v>1.0999999999999999</v>
          </cell>
          <cell r="L82">
            <v>1.5000000000000002</v>
          </cell>
          <cell r="N82" t="str">
            <v>64</v>
          </cell>
          <cell r="O82">
            <v>6</v>
          </cell>
          <cell r="P82">
            <v>4</v>
          </cell>
          <cell r="Q82">
            <v>0.12999999999999998</v>
          </cell>
          <cell r="R82">
            <v>0.16</v>
          </cell>
          <cell r="T82" t="str">
            <v>64</v>
          </cell>
          <cell r="U82">
            <v>6</v>
          </cell>
          <cell r="V82">
            <v>4</v>
          </cell>
          <cell r="W82">
            <v>0.11999999999999998</v>
          </cell>
          <cell r="X82">
            <v>0.23999999999999996</v>
          </cell>
        </row>
        <row r="83">
          <cell r="B83" t="str">
            <v>74</v>
          </cell>
          <cell r="C83">
            <v>7</v>
          </cell>
          <cell r="D83">
            <v>4</v>
          </cell>
          <cell r="E83">
            <v>0.13999999999999999</v>
          </cell>
          <cell r="F83">
            <v>0.17</v>
          </cell>
          <cell r="H83" t="str">
            <v>74</v>
          </cell>
          <cell r="I83">
            <v>7</v>
          </cell>
          <cell r="J83">
            <v>4</v>
          </cell>
          <cell r="K83">
            <v>1.2</v>
          </cell>
          <cell r="L83">
            <v>1.6000000000000003</v>
          </cell>
          <cell r="N83" t="str">
            <v>74</v>
          </cell>
          <cell r="O83">
            <v>7</v>
          </cell>
          <cell r="P83">
            <v>4</v>
          </cell>
          <cell r="Q83">
            <v>0.13999999999999999</v>
          </cell>
          <cell r="R83">
            <v>0.17</v>
          </cell>
          <cell r="T83" t="str">
            <v>74</v>
          </cell>
          <cell r="U83">
            <v>7</v>
          </cell>
          <cell r="V83">
            <v>4</v>
          </cell>
          <cell r="W83">
            <v>0.12999999999999998</v>
          </cell>
          <cell r="X83">
            <v>0.25999999999999995</v>
          </cell>
        </row>
        <row r="84">
          <cell r="B84" t="str">
            <v>84</v>
          </cell>
          <cell r="C84">
            <v>8</v>
          </cell>
          <cell r="D84">
            <v>4</v>
          </cell>
          <cell r="E84">
            <v>0.15</v>
          </cell>
          <cell r="F84">
            <v>0.18000000000000002</v>
          </cell>
          <cell r="H84" t="str">
            <v>84</v>
          </cell>
          <cell r="I84">
            <v>8</v>
          </cell>
          <cell r="J84">
            <v>4</v>
          </cell>
          <cell r="K84">
            <v>1.3</v>
          </cell>
          <cell r="L84">
            <v>1.7000000000000004</v>
          </cell>
          <cell r="N84" t="str">
            <v>84</v>
          </cell>
          <cell r="O84">
            <v>8</v>
          </cell>
          <cell r="P84">
            <v>4</v>
          </cell>
          <cell r="Q84">
            <v>0.15</v>
          </cell>
          <cell r="R84">
            <v>0.18000000000000002</v>
          </cell>
          <cell r="T84" t="str">
            <v>84</v>
          </cell>
          <cell r="U84">
            <v>8</v>
          </cell>
          <cell r="V84">
            <v>4</v>
          </cell>
          <cell r="W84">
            <v>0.13999999999999999</v>
          </cell>
          <cell r="X84">
            <v>0.27999999999999997</v>
          </cell>
        </row>
        <row r="85">
          <cell r="B85" t="str">
            <v>94</v>
          </cell>
          <cell r="C85">
            <v>9</v>
          </cell>
          <cell r="D85">
            <v>4</v>
          </cell>
          <cell r="E85">
            <v>0.16</v>
          </cell>
          <cell r="F85">
            <v>0.19000000000000003</v>
          </cell>
          <cell r="H85" t="str">
            <v>94</v>
          </cell>
          <cell r="I85">
            <v>9</v>
          </cell>
          <cell r="J85">
            <v>4</v>
          </cell>
          <cell r="K85">
            <v>1.4000000000000001</v>
          </cell>
          <cell r="L85">
            <v>1.8000000000000005</v>
          </cell>
          <cell r="N85" t="str">
            <v>94</v>
          </cell>
          <cell r="O85">
            <v>9</v>
          </cell>
          <cell r="P85">
            <v>4</v>
          </cell>
          <cell r="Q85">
            <v>0.16</v>
          </cell>
          <cell r="R85">
            <v>0.19000000000000003</v>
          </cell>
          <cell r="T85" t="str">
            <v>94</v>
          </cell>
          <cell r="U85">
            <v>9</v>
          </cell>
          <cell r="V85">
            <v>4</v>
          </cell>
          <cell r="W85">
            <v>0.15</v>
          </cell>
          <cell r="X85">
            <v>0.3</v>
          </cell>
        </row>
      </sheetData>
      <sheetData sheetId="7" refreshError="1"/>
      <sheetData sheetId="8">
        <row r="3">
          <cell r="C3" t="str">
            <v>破旧的锤</v>
          </cell>
        </row>
        <row r="19">
          <cell r="C19" t="str">
            <v>异灵刀</v>
          </cell>
        </row>
        <row r="20">
          <cell r="C20" t="str">
            <v>流星刀</v>
          </cell>
        </row>
        <row r="21">
          <cell r="C21" t="str">
            <v>破旧的拳套</v>
          </cell>
        </row>
        <row r="22">
          <cell r="C22" t="str">
            <v>普通的拳套</v>
          </cell>
        </row>
        <row r="23">
          <cell r="C23" t="str">
            <v>初级的拳套</v>
          </cell>
        </row>
        <row r="24">
          <cell r="C24" t="str">
            <v>水晶拳套</v>
          </cell>
        </row>
        <row r="25">
          <cell r="C25" t="str">
            <v>青铜拳套</v>
          </cell>
        </row>
        <row r="26">
          <cell r="C26" t="str">
            <v>玄铁拳套</v>
          </cell>
        </row>
        <row r="27">
          <cell r="C27" t="str">
            <v>白银拳套</v>
          </cell>
        </row>
        <row r="28">
          <cell r="C28" t="str">
            <v>异灵拳套</v>
          </cell>
        </row>
        <row r="29">
          <cell r="C29" t="str">
            <v>流星拳套</v>
          </cell>
        </row>
        <row r="30">
          <cell r="C30" t="str">
            <v>破旧的枪</v>
          </cell>
        </row>
        <row r="31">
          <cell r="C31" t="str">
            <v>普通的枪</v>
          </cell>
        </row>
        <row r="32">
          <cell r="C32" t="str">
            <v>初级的枪</v>
          </cell>
        </row>
        <row r="33">
          <cell r="C33" t="str">
            <v>水晶枪</v>
          </cell>
        </row>
        <row r="34">
          <cell r="C34" t="str">
            <v>青铜枪</v>
          </cell>
        </row>
        <row r="35">
          <cell r="C35" t="str">
            <v>玄铁枪</v>
          </cell>
        </row>
        <row r="36">
          <cell r="C36" t="str">
            <v>白银枪</v>
          </cell>
        </row>
        <row r="37">
          <cell r="C37" t="str">
            <v>异灵枪</v>
          </cell>
        </row>
        <row r="38">
          <cell r="C38" t="str">
            <v>流星枪</v>
          </cell>
        </row>
        <row r="39">
          <cell r="C39" t="str">
            <v>破旧的镰刀</v>
          </cell>
        </row>
        <row r="40">
          <cell r="C40" t="str">
            <v>普通的镰刀</v>
          </cell>
        </row>
        <row r="41">
          <cell r="C41" t="str">
            <v>初级的镰刀</v>
          </cell>
        </row>
        <row r="42">
          <cell r="C42" t="str">
            <v>水晶镰刀</v>
          </cell>
        </row>
        <row r="43">
          <cell r="C43" t="str">
            <v>青铜镰刀</v>
          </cell>
        </row>
        <row r="44">
          <cell r="C44" t="str">
            <v>玄铁镰刀</v>
          </cell>
        </row>
        <row r="45">
          <cell r="C45" t="str">
            <v>白银镰刀</v>
          </cell>
        </row>
        <row r="46">
          <cell r="C46" t="str">
            <v>异灵镰刀</v>
          </cell>
        </row>
        <row r="47">
          <cell r="C47" t="str">
            <v>流星镰刀</v>
          </cell>
        </row>
        <row r="48">
          <cell r="C48" t="str">
            <v>破旧的法杖</v>
          </cell>
        </row>
        <row r="49">
          <cell r="C49" t="str">
            <v>普通的法杖</v>
          </cell>
          <cell r="E49">
            <v>1</v>
          </cell>
          <cell r="F49">
            <v>1</v>
          </cell>
          <cell r="L49">
            <v>2</v>
          </cell>
          <cell r="O49">
            <v>200047</v>
          </cell>
        </row>
        <row r="50">
          <cell r="C50" t="str">
            <v>初级的法杖</v>
          </cell>
          <cell r="E50">
            <v>1</v>
          </cell>
          <cell r="F50">
            <v>1</v>
          </cell>
          <cell r="L50">
            <v>3</v>
          </cell>
          <cell r="O50">
            <v>200048</v>
          </cell>
        </row>
        <row r="51">
          <cell r="C51" t="str">
            <v>水晶法杖</v>
          </cell>
          <cell r="E51">
            <v>1</v>
          </cell>
          <cell r="F51">
            <v>1</v>
          </cell>
          <cell r="L51">
            <v>4</v>
          </cell>
          <cell r="O51">
            <v>200049</v>
          </cell>
        </row>
        <row r="52">
          <cell r="C52" t="str">
            <v>青铜法杖</v>
          </cell>
          <cell r="E52">
            <v>1</v>
          </cell>
          <cell r="F52">
            <v>1</v>
          </cell>
          <cell r="L52">
            <v>5</v>
          </cell>
          <cell r="O52">
            <v>200050</v>
          </cell>
        </row>
        <row r="53">
          <cell r="C53" t="str">
            <v>玄铁法杖</v>
          </cell>
          <cell r="E53">
            <v>1</v>
          </cell>
          <cell r="F53">
            <v>1</v>
          </cell>
          <cell r="L53">
            <v>6</v>
          </cell>
          <cell r="O53">
            <v>200051</v>
          </cell>
        </row>
        <row r="54">
          <cell r="C54" t="str">
            <v>白银法杖</v>
          </cell>
          <cell r="E54">
            <v>1</v>
          </cell>
          <cell r="F54">
            <v>1</v>
          </cell>
          <cell r="L54">
            <v>7</v>
          </cell>
          <cell r="O54">
            <v>200052</v>
          </cell>
        </row>
        <row r="55">
          <cell r="C55" t="str">
            <v>异灵法杖</v>
          </cell>
          <cell r="E55">
            <v>1</v>
          </cell>
          <cell r="F55">
            <v>1</v>
          </cell>
          <cell r="L55">
            <v>8</v>
          </cell>
          <cell r="O55">
            <v>200053</v>
          </cell>
        </row>
        <row r="56">
          <cell r="C56" t="str">
            <v>流星法杖</v>
          </cell>
          <cell r="E56">
            <v>1</v>
          </cell>
          <cell r="F56">
            <v>1</v>
          </cell>
          <cell r="L56">
            <v>9</v>
          </cell>
          <cell r="O56">
            <v>200054</v>
          </cell>
        </row>
        <row r="57">
          <cell r="C57" t="str">
            <v>破旧的弓</v>
          </cell>
          <cell r="E57">
            <v>1</v>
          </cell>
          <cell r="F57">
            <v>1</v>
          </cell>
          <cell r="L57">
            <v>1</v>
          </cell>
          <cell r="O57">
            <v>200055</v>
          </cell>
        </row>
        <row r="58">
          <cell r="C58" t="str">
            <v>普通的弓</v>
          </cell>
          <cell r="E58">
            <v>1</v>
          </cell>
          <cell r="F58">
            <v>1</v>
          </cell>
          <cell r="L58">
            <v>2</v>
          </cell>
          <cell r="O58">
            <v>200056</v>
          </cell>
        </row>
        <row r="59">
          <cell r="C59" t="str">
            <v>初级的弓</v>
          </cell>
          <cell r="E59">
            <v>1</v>
          </cell>
          <cell r="F59">
            <v>1</v>
          </cell>
          <cell r="L59">
            <v>3</v>
          </cell>
          <cell r="O59">
            <v>200057</v>
          </cell>
        </row>
        <row r="60">
          <cell r="C60" t="str">
            <v>水晶弓</v>
          </cell>
          <cell r="E60">
            <v>1</v>
          </cell>
          <cell r="F60">
            <v>1</v>
          </cell>
          <cell r="L60">
            <v>4</v>
          </cell>
          <cell r="O60">
            <v>200058</v>
          </cell>
        </row>
        <row r="61">
          <cell r="C61" t="str">
            <v>青铜弓</v>
          </cell>
          <cell r="E61">
            <v>1</v>
          </cell>
          <cell r="F61">
            <v>1</v>
          </cell>
          <cell r="L61">
            <v>5</v>
          </cell>
          <cell r="O61">
            <v>200059</v>
          </cell>
        </row>
        <row r="62">
          <cell r="C62" t="str">
            <v>玄铁弓</v>
          </cell>
          <cell r="E62">
            <v>1</v>
          </cell>
          <cell r="F62">
            <v>1</v>
          </cell>
          <cell r="L62">
            <v>6</v>
          </cell>
          <cell r="O62">
            <v>200060</v>
          </cell>
        </row>
        <row r="63">
          <cell r="C63" t="str">
            <v>白银弓</v>
          </cell>
          <cell r="E63">
            <v>1</v>
          </cell>
          <cell r="F63">
            <v>1</v>
          </cell>
          <cell r="L63">
            <v>7</v>
          </cell>
          <cell r="O63">
            <v>200061</v>
          </cell>
        </row>
        <row r="64">
          <cell r="C64" t="str">
            <v>异灵弓</v>
          </cell>
          <cell r="E64">
            <v>1</v>
          </cell>
          <cell r="F64">
            <v>1</v>
          </cell>
          <cell r="L64">
            <v>8</v>
          </cell>
          <cell r="O64">
            <v>200062</v>
          </cell>
        </row>
        <row r="65">
          <cell r="C65" t="str">
            <v>流星弓</v>
          </cell>
          <cell r="E65">
            <v>1</v>
          </cell>
          <cell r="F65">
            <v>1</v>
          </cell>
          <cell r="L65">
            <v>9</v>
          </cell>
          <cell r="O65">
            <v>200063</v>
          </cell>
        </row>
        <row r="66">
          <cell r="C66" t="str">
            <v>破旧的烟斗</v>
          </cell>
          <cell r="E66">
            <v>1</v>
          </cell>
          <cell r="F66">
            <v>1</v>
          </cell>
          <cell r="L66">
            <v>1</v>
          </cell>
          <cell r="O66">
            <v>200064</v>
          </cell>
        </row>
        <row r="67">
          <cell r="C67" t="str">
            <v>普通的烟斗</v>
          </cell>
          <cell r="E67">
            <v>1</v>
          </cell>
          <cell r="F67">
            <v>1</v>
          </cell>
          <cell r="L67">
            <v>2</v>
          </cell>
          <cell r="O67">
            <v>200065</v>
          </cell>
        </row>
        <row r="68">
          <cell r="C68" t="str">
            <v>初级的烟斗</v>
          </cell>
          <cell r="E68">
            <v>1</v>
          </cell>
          <cell r="F68">
            <v>1</v>
          </cell>
          <cell r="L68">
            <v>3</v>
          </cell>
          <cell r="O68">
            <v>200066</v>
          </cell>
        </row>
        <row r="69">
          <cell r="C69" t="str">
            <v>水晶烟斗</v>
          </cell>
          <cell r="E69">
            <v>1</v>
          </cell>
          <cell r="F69">
            <v>1</v>
          </cell>
          <cell r="L69">
            <v>4</v>
          </cell>
          <cell r="O69">
            <v>200067</v>
          </cell>
        </row>
        <row r="70">
          <cell r="C70" t="str">
            <v>青铜烟斗</v>
          </cell>
          <cell r="E70">
            <v>1</v>
          </cell>
          <cell r="F70">
            <v>1</v>
          </cell>
          <cell r="L70">
            <v>5</v>
          </cell>
          <cell r="O70">
            <v>200068</v>
          </cell>
        </row>
        <row r="71">
          <cell r="C71" t="str">
            <v>玄铁烟斗</v>
          </cell>
          <cell r="E71">
            <v>1</v>
          </cell>
          <cell r="F71">
            <v>1</v>
          </cell>
          <cell r="L71">
            <v>6</v>
          </cell>
          <cell r="O71">
            <v>200069</v>
          </cell>
        </row>
        <row r="72">
          <cell r="C72" t="str">
            <v>白银烟斗</v>
          </cell>
          <cell r="E72">
            <v>1</v>
          </cell>
          <cell r="F72">
            <v>1</v>
          </cell>
          <cell r="L72">
            <v>7</v>
          </cell>
          <cell r="O72">
            <v>200070</v>
          </cell>
        </row>
        <row r="73">
          <cell r="C73" t="str">
            <v>异灵烟斗</v>
          </cell>
          <cell r="E73">
            <v>1</v>
          </cell>
          <cell r="F73">
            <v>1</v>
          </cell>
          <cell r="L73">
            <v>8</v>
          </cell>
          <cell r="O73">
            <v>200071</v>
          </cell>
        </row>
        <row r="74">
          <cell r="C74" t="str">
            <v>流星烟斗</v>
          </cell>
          <cell r="E74">
            <v>1</v>
          </cell>
          <cell r="F74">
            <v>1</v>
          </cell>
          <cell r="L74">
            <v>9</v>
          </cell>
          <cell r="O74">
            <v>200072</v>
          </cell>
        </row>
        <row r="75">
          <cell r="C75" t="str">
            <v>破旧的扇子</v>
          </cell>
          <cell r="E75">
            <v>1</v>
          </cell>
          <cell r="F75">
            <v>1</v>
          </cell>
          <cell r="L75">
            <v>1</v>
          </cell>
          <cell r="O75">
            <v>200073</v>
          </cell>
        </row>
        <row r="76">
          <cell r="C76" t="str">
            <v>普通的扇子</v>
          </cell>
          <cell r="E76">
            <v>1</v>
          </cell>
          <cell r="F76">
            <v>1</v>
          </cell>
          <cell r="L76">
            <v>2</v>
          </cell>
          <cell r="O76">
            <v>200074</v>
          </cell>
        </row>
        <row r="77">
          <cell r="C77" t="str">
            <v>初级的扇子</v>
          </cell>
          <cell r="E77">
            <v>1</v>
          </cell>
          <cell r="F77">
            <v>1</v>
          </cell>
          <cell r="L77">
            <v>3</v>
          </cell>
          <cell r="O77">
            <v>200075</v>
          </cell>
        </row>
        <row r="78">
          <cell r="C78" t="str">
            <v>水晶扇子</v>
          </cell>
          <cell r="E78">
            <v>1</v>
          </cell>
          <cell r="F78">
            <v>1</v>
          </cell>
          <cell r="L78">
            <v>4</v>
          </cell>
          <cell r="O78">
            <v>200076</v>
          </cell>
        </row>
        <row r="79">
          <cell r="C79" t="str">
            <v>青铜扇子</v>
          </cell>
          <cell r="E79">
            <v>1</v>
          </cell>
          <cell r="F79">
            <v>1</v>
          </cell>
          <cell r="L79">
            <v>5</v>
          </cell>
          <cell r="O79">
            <v>200077</v>
          </cell>
        </row>
        <row r="80">
          <cell r="C80" t="str">
            <v>玄铁扇子</v>
          </cell>
          <cell r="E80">
            <v>1</v>
          </cell>
          <cell r="F80">
            <v>1</v>
          </cell>
          <cell r="L80">
            <v>6</v>
          </cell>
          <cell r="O80">
            <v>200078</v>
          </cell>
        </row>
        <row r="81">
          <cell r="C81" t="str">
            <v>白银扇子</v>
          </cell>
          <cell r="E81">
            <v>1</v>
          </cell>
          <cell r="F81">
            <v>1</v>
          </cell>
          <cell r="L81">
            <v>7</v>
          </cell>
          <cell r="O81">
            <v>200079</v>
          </cell>
        </row>
        <row r="82">
          <cell r="C82" t="str">
            <v>异灵扇子</v>
          </cell>
          <cell r="E82">
            <v>1</v>
          </cell>
          <cell r="F82">
            <v>1</v>
          </cell>
          <cell r="L82">
            <v>8</v>
          </cell>
          <cell r="O82">
            <v>200080</v>
          </cell>
        </row>
        <row r="83">
          <cell r="C83" t="str">
            <v>流星扇子</v>
          </cell>
          <cell r="E83">
            <v>1</v>
          </cell>
          <cell r="F83">
            <v>1</v>
          </cell>
          <cell r="L83">
            <v>9</v>
          </cell>
          <cell r="O83">
            <v>200081</v>
          </cell>
        </row>
        <row r="84">
          <cell r="C84" t="str">
            <v>破旧的牙齿</v>
          </cell>
          <cell r="E84">
            <v>1</v>
          </cell>
          <cell r="F84">
            <v>1</v>
          </cell>
          <cell r="L84">
            <v>1</v>
          </cell>
          <cell r="O84">
            <v>200082</v>
          </cell>
        </row>
        <row r="85">
          <cell r="C85" t="str">
            <v>普通的牙齿</v>
          </cell>
          <cell r="E85">
            <v>1</v>
          </cell>
          <cell r="F85">
            <v>1</v>
          </cell>
          <cell r="L85">
            <v>2</v>
          </cell>
          <cell r="O85">
            <v>200083</v>
          </cell>
        </row>
        <row r="86">
          <cell r="C86" t="str">
            <v>初级的牙齿</v>
          </cell>
        </row>
        <row r="87">
          <cell r="C87" t="str">
            <v>水晶牙齿</v>
          </cell>
        </row>
        <row r="88">
          <cell r="C88" t="str">
            <v>青铜牙齿</v>
          </cell>
        </row>
        <row r="89">
          <cell r="C89" t="str">
            <v>玄铁牙齿</v>
          </cell>
        </row>
        <row r="90">
          <cell r="C90" t="str">
            <v>白银牙齿</v>
          </cell>
        </row>
        <row r="91">
          <cell r="C91" t="str">
            <v>异灵牙齿</v>
          </cell>
        </row>
        <row r="92">
          <cell r="C92" t="str">
            <v>流星牙齿</v>
          </cell>
        </row>
        <row r="93">
          <cell r="C93" t="str">
            <v>破旧的球</v>
          </cell>
        </row>
        <row r="94">
          <cell r="C94" t="str">
            <v>普通的球</v>
          </cell>
        </row>
        <row r="95">
          <cell r="C95" t="str">
            <v>初级的球</v>
          </cell>
        </row>
        <row r="96">
          <cell r="C96" t="str">
            <v>水晶球</v>
          </cell>
        </row>
        <row r="97">
          <cell r="C97" t="str">
            <v>青铜球</v>
          </cell>
        </row>
        <row r="98">
          <cell r="C98" t="str">
            <v>玄铁球</v>
          </cell>
        </row>
        <row r="99">
          <cell r="C99" t="str">
            <v>白银球</v>
          </cell>
        </row>
        <row r="100">
          <cell r="C100" t="str">
            <v>异灵球</v>
          </cell>
        </row>
        <row r="101">
          <cell r="C101" t="str">
            <v>流星球</v>
          </cell>
        </row>
        <row r="102">
          <cell r="C102" t="str">
            <v>破旧的爪</v>
          </cell>
        </row>
        <row r="103">
          <cell r="C103" t="str">
            <v>普通的爪</v>
          </cell>
        </row>
        <row r="104">
          <cell r="C104" t="str">
            <v>初级的爪</v>
          </cell>
        </row>
        <row r="105">
          <cell r="C105" t="str">
            <v>水晶爪</v>
          </cell>
        </row>
        <row r="106">
          <cell r="C106" t="str">
            <v>青铜爪</v>
          </cell>
        </row>
        <row r="107">
          <cell r="C107" t="str">
            <v>玄铁爪</v>
          </cell>
        </row>
        <row r="108">
          <cell r="C108" t="str">
            <v>白银爪</v>
          </cell>
        </row>
        <row r="109">
          <cell r="C109" t="str">
            <v>异灵爪</v>
          </cell>
        </row>
        <row r="110">
          <cell r="C110" t="str">
            <v>流星爪</v>
          </cell>
        </row>
        <row r="111">
          <cell r="C111" t="str">
            <v>破旧的剑</v>
          </cell>
        </row>
        <row r="112">
          <cell r="C112" t="str">
            <v>普通的剑</v>
          </cell>
        </row>
        <row r="113">
          <cell r="C113" t="str">
            <v>初级的剑</v>
          </cell>
        </row>
        <row r="114">
          <cell r="C114" t="str">
            <v>水晶剑</v>
          </cell>
        </row>
        <row r="115">
          <cell r="C115" t="str">
            <v>青铜剑</v>
          </cell>
        </row>
        <row r="116">
          <cell r="C116" t="str">
            <v>玄铁剑</v>
          </cell>
        </row>
        <row r="117">
          <cell r="C117" t="str">
            <v>白银剑</v>
          </cell>
        </row>
        <row r="118">
          <cell r="C118" t="str">
            <v>异灵剑</v>
          </cell>
        </row>
        <row r="119">
          <cell r="C119" t="str">
            <v>流星剑</v>
          </cell>
        </row>
        <row r="120">
          <cell r="C120" t="str">
            <v>破旧的戒指</v>
          </cell>
        </row>
        <row r="121">
          <cell r="C121" t="str">
            <v>普通的戒指</v>
          </cell>
        </row>
        <row r="122">
          <cell r="C122" t="str">
            <v>初级的戒指</v>
          </cell>
        </row>
        <row r="123">
          <cell r="C123" t="str">
            <v>水晶戒指</v>
          </cell>
        </row>
        <row r="124">
          <cell r="C124" t="str">
            <v>青铜戒指</v>
          </cell>
        </row>
        <row r="125">
          <cell r="C125" t="str">
            <v>玄铁戒指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G116"/>
  <sheetViews>
    <sheetView workbookViewId="0">
      <pane xSplit="5" topLeftCell="S1" activePane="topRight" state="frozen"/>
      <selection pane="topRight" activeCell="D33" sqref="D33"/>
    </sheetView>
  </sheetViews>
  <sheetFormatPr defaultRowHeight="12.75" x14ac:dyDescent="0.15"/>
  <cols>
    <col min="1" max="2" width="9" style="1"/>
    <col min="3" max="3" width="16.25" style="1" customWidth="1"/>
    <col min="4" max="4" width="15" style="1" customWidth="1"/>
    <col min="5" max="16384" width="9" style="1"/>
  </cols>
  <sheetData>
    <row r="2" spans="2:33" x14ac:dyDescent="0.15">
      <c r="F2" s="10" t="s">
        <v>58</v>
      </c>
      <c r="G2" s="10" t="s">
        <v>59</v>
      </c>
      <c r="H2" s="10" t="s">
        <v>60</v>
      </c>
      <c r="I2" s="10" t="s">
        <v>61</v>
      </c>
      <c r="J2" s="10" t="s">
        <v>62</v>
      </c>
      <c r="K2" s="10" t="s">
        <v>63</v>
      </c>
      <c r="L2" s="10" t="s">
        <v>79</v>
      </c>
      <c r="M2" s="7" t="s">
        <v>80</v>
      </c>
      <c r="N2" s="7" t="s">
        <v>81</v>
      </c>
      <c r="O2" s="7" t="s">
        <v>87</v>
      </c>
      <c r="P2" s="7" t="s">
        <v>88</v>
      </c>
      <c r="Q2" s="7" t="s">
        <v>76</v>
      </c>
      <c r="R2" s="7" t="s">
        <v>31</v>
      </c>
      <c r="S2" s="7" t="s">
        <v>77</v>
      </c>
      <c r="T2" s="7" t="s">
        <v>64</v>
      </c>
      <c r="U2" s="7" t="s">
        <v>65</v>
      </c>
      <c r="V2" s="7" t="s">
        <v>66</v>
      </c>
      <c r="W2" s="7" t="s">
        <v>67</v>
      </c>
      <c r="X2" s="7" t="s">
        <v>68</v>
      </c>
      <c r="Y2" s="7" t="s">
        <v>69</v>
      </c>
      <c r="Z2" s="7" t="s">
        <v>101</v>
      </c>
      <c r="AA2" s="7" t="s">
        <v>70</v>
      </c>
      <c r="AB2" s="7" t="s">
        <v>71</v>
      </c>
      <c r="AC2" s="7" t="s">
        <v>72</v>
      </c>
      <c r="AD2" s="7" t="s">
        <v>73</v>
      </c>
      <c r="AE2" s="7" t="s">
        <v>74</v>
      </c>
      <c r="AF2" s="7" t="s">
        <v>75</v>
      </c>
      <c r="AG2" s="7" t="s">
        <v>102</v>
      </c>
    </row>
    <row r="3" spans="2:33" x14ac:dyDescent="0.2">
      <c r="B3" s="4" t="s">
        <v>82</v>
      </c>
      <c r="C3" s="4" t="s">
        <v>45</v>
      </c>
      <c r="D3" s="4" t="s">
        <v>44</v>
      </c>
      <c r="E3" s="5" t="s">
        <v>46</v>
      </c>
      <c r="F3" s="4" t="s">
        <v>30</v>
      </c>
      <c r="G3" s="4" t="s">
        <v>32</v>
      </c>
      <c r="H3" s="10" t="s">
        <v>60</v>
      </c>
      <c r="I3" s="10" t="s">
        <v>61</v>
      </c>
      <c r="J3" s="10" t="s">
        <v>62</v>
      </c>
      <c r="K3" s="10" t="s">
        <v>63</v>
      </c>
      <c r="L3" s="10" t="s">
        <v>79</v>
      </c>
      <c r="M3" s="7" t="s">
        <v>80</v>
      </c>
      <c r="N3" s="7" t="s">
        <v>81</v>
      </c>
      <c r="O3" s="7" t="s">
        <v>87</v>
      </c>
      <c r="P3" s="7" t="s">
        <v>88</v>
      </c>
      <c r="Q3" s="7" t="s">
        <v>76</v>
      </c>
      <c r="R3" s="7" t="s">
        <v>31</v>
      </c>
      <c r="S3" s="7" t="s">
        <v>77</v>
      </c>
      <c r="T3" s="7" t="s">
        <v>64</v>
      </c>
      <c r="U3" s="7" t="s">
        <v>65</v>
      </c>
      <c r="V3" s="7" t="s">
        <v>66</v>
      </c>
      <c r="W3" s="7" t="s">
        <v>67</v>
      </c>
      <c r="X3" s="7" t="s">
        <v>68</v>
      </c>
      <c r="Y3" s="7" t="s">
        <v>69</v>
      </c>
      <c r="Z3" s="7" t="s">
        <v>101</v>
      </c>
      <c r="AA3" s="7" t="s">
        <v>70</v>
      </c>
      <c r="AB3" s="7" t="s">
        <v>71</v>
      </c>
      <c r="AC3" s="7" t="s">
        <v>72</v>
      </c>
      <c r="AD3" s="7" t="s">
        <v>73</v>
      </c>
      <c r="AE3" s="7" t="s">
        <v>74</v>
      </c>
      <c r="AF3" s="7" t="s">
        <v>75</v>
      </c>
      <c r="AG3" s="7" t="s">
        <v>102</v>
      </c>
    </row>
    <row r="4" spans="2:33" x14ac:dyDescent="0.2">
      <c r="B4" s="6">
        <v>1</v>
      </c>
      <c r="C4" s="3" t="s">
        <v>22</v>
      </c>
      <c r="D4" s="2" t="s">
        <v>34</v>
      </c>
      <c r="E4" s="3" t="s">
        <v>10</v>
      </c>
      <c r="F4" s="6">
        <v>-0.2</v>
      </c>
      <c r="G4" s="6">
        <v>0</v>
      </c>
      <c r="H4" s="6">
        <v>0.2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0.2</v>
      </c>
      <c r="P4" s="6">
        <v>0.1</v>
      </c>
      <c r="Q4" s="6">
        <v>0.5</v>
      </c>
      <c r="R4" s="6">
        <v>0</v>
      </c>
      <c r="S4" s="6">
        <v>0.3</v>
      </c>
      <c r="T4" s="15">
        <v>-1</v>
      </c>
      <c r="U4" s="15">
        <v>-1</v>
      </c>
      <c r="V4" s="15">
        <v>0</v>
      </c>
      <c r="W4" s="15">
        <v>-1</v>
      </c>
      <c r="X4" s="15">
        <v>-1</v>
      </c>
      <c r="Y4" s="15">
        <v>-1</v>
      </c>
      <c r="Z4" s="15">
        <v>-1</v>
      </c>
      <c r="AA4" s="6">
        <v>0</v>
      </c>
      <c r="AB4" s="6">
        <v>0</v>
      </c>
      <c r="AC4" s="6">
        <v>0.3</v>
      </c>
      <c r="AD4" s="6">
        <v>0</v>
      </c>
      <c r="AE4" s="6">
        <v>0</v>
      </c>
      <c r="AF4" s="6">
        <v>0</v>
      </c>
      <c r="AG4" s="6">
        <v>0</v>
      </c>
    </row>
    <row r="5" spans="2:33" x14ac:dyDescent="0.2">
      <c r="B5" s="6">
        <v>2</v>
      </c>
      <c r="C5" s="3" t="s">
        <v>11</v>
      </c>
      <c r="D5" s="2" t="s">
        <v>35</v>
      </c>
      <c r="E5" s="3" t="s">
        <v>23</v>
      </c>
      <c r="F5" s="6">
        <v>0</v>
      </c>
      <c r="G5" s="6">
        <v>0</v>
      </c>
      <c r="H5" s="6">
        <v>0.5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0.5</v>
      </c>
      <c r="Q5" s="6">
        <v>0</v>
      </c>
      <c r="R5" s="6">
        <v>0</v>
      </c>
      <c r="S5" s="6">
        <v>0</v>
      </c>
      <c r="T5" s="15">
        <v>-1</v>
      </c>
      <c r="U5" s="15">
        <v>-1</v>
      </c>
      <c r="V5" s="15">
        <v>-1</v>
      </c>
      <c r="W5" s="15">
        <v>0</v>
      </c>
      <c r="X5" s="15">
        <v>-1</v>
      </c>
      <c r="Y5" s="15">
        <v>-1</v>
      </c>
      <c r="Z5" s="15">
        <v>-1</v>
      </c>
      <c r="AA5" s="6">
        <v>0</v>
      </c>
      <c r="AB5" s="6">
        <v>0</v>
      </c>
      <c r="AC5" s="6">
        <v>0</v>
      </c>
      <c r="AD5" s="6">
        <v>0.3</v>
      </c>
      <c r="AE5" s="6">
        <v>0</v>
      </c>
      <c r="AF5" s="6">
        <v>0</v>
      </c>
      <c r="AG5" s="6">
        <v>0</v>
      </c>
    </row>
    <row r="6" spans="2:33" x14ac:dyDescent="0.2">
      <c r="B6" s="6">
        <v>3</v>
      </c>
      <c r="C6" s="3" t="s">
        <v>24</v>
      </c>
      <c r="D6" s="2" t="s">
        <v>37</v>
      </c>
      <c r="E6" s="3" t="s">
        <v>13</v>
      </c>
      <c r="F6" s="6">
        <v>-0.1</v>
      </c>
      <c r="G6" s="6">
        <v>0</v>
      </c>
      <c r="H6" s="6">
        <v>0.1</v>
      </c>
      <c r="I6" s="6">
        <v>0</v>
      </c>
      <c r="J6" s="6">
        <v>0.5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0.1</v>
      </c>
      <c r="Q6" s="6">
        <v>0</v>
      </c>
      <c r="R6" s="6">
        <v>0.3</v>
      </c>
      <c r="S6" s="6">
        <v>0.3</v>
      </c>
      <c r="T6" s="15">
        <v>-1</v>
      </c>
      <c r="U6" s="15">
        <v>-1</v>
      </c>
      <c r="V6" s="15">
        <v>-1</v>
      </c>
      <c r="W6" s="15">
        <v>-1</v>
      </c>
      <c r="X6" s="15">
        <v>-1</v>
      </c>
      <c r="Y6" s="15">
        <v>0</v>
      </c>
      <c r="Z6" s="15">
        <v>-1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0.3</v>
      </c>
      <c r="AG6" s="6">
        <v>0</v>
      </c>
    </row>
    <row r="7" spans="2:33" x14ac:dyDescent="0.2">
      <c r="B7" s="6">
        <v>4</v>
      </c>
      <c r="C7" s="3" t="s">
        <v>20</v>
      </c>
      <c r="D7" s="3" t="s">
        <v>38</v>
      </c>
      <c r="E7" s="3" t="s">
        <v>14</v>
      </c>
      <c r="F7" s="6">
        <v>0.2</v>
      </c>
      <c r="G7" s="6">
        <v>0</v>
      </c>
      <c r="H7" s="6">
        <v>-0.2</v>
      </c>
      <c r="I7" s="6">
        <v>0</v>
      </c>
      <c r="J7" s="6">
        <v>0</v>
      </c>
      <c r="K7" s="6">
        <v>0.5</v>
      </c>
      <c r="L7" s="6">
        <v>0</v>
      </c>
      <c r="M7" s="6">
        <v>0</v>
      </c>
      <c r="N7" s="6">
        <v>0</v>
      </c>
      <c r="O7" s="6">
        <v>0</v>
      </c>
      <c r="P7" s="6">
        <v>0.15</v>
      </c>
      <c r="Q7" s="6">
        <v>0</v>
      </c>
      <c r="R7" s="6">
        <v>0</v>
      </c>
      <c r="S7" s="6">
        <v>0</v>
      </c>
      <c r="T7" s="15">
        <v>-1</v>
      </c>
      <c r="U7" s="15">
        <v>0</v>
      </c>
      <c r="V7" s="15">
        <v>-1</v>
      </c>
      <c r="W7" s="15">
        <v>-1</v>
      </c>
      <c r="X7" s="15">
        <v>-1</v>
      </c>
      <c r="Y7" s="15">
        <v>-1</v>
      </c>
      <c r="Z7" s="15">
        <v>-1</v>
      </c>
      <c r="AA7" s="6">
        <v>0</v>
      </c>
      <c r="AB7" s="6">
        <v>0.3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</row>
    <row r="8" spans="2:33" x14ac:dyDescent="0.2">
      <c r="B8" s="6">
        <v>5</v>
      </c>
      <c r="C8" s="3" t="s">
        <v>15</v>
      </c>
      <c r="D8" s="2" t="s">
        <v>36</v>
      </c>
      <c r="E8" s="3" t="s">
        <v>18</v>
      </c>
      <c r="F8" s="6">
        <v>0.5</v>
      </c>
      <c r="G8" s="6">
        <v>0</v>
      </c>
      <c r="H8" s="6">
        <v>0</v>
      </c>
      <c r="I8" s="6">
        <v>0.5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0.2</v>
      </c>
      <c r="Q8" s="6">
        <v>0</v>
      </c>
      <c r="R8" s="6">
        <v>0</v>
      </c>
      <c r="S8" s="6">
        <v>0</v>
      </c>
      <c r="T8" s="15">
        <v>0</v>
      </c>
      <c r="U8" s="15">
        <v>-1</v>
      </c>
      <c r="V8" s="15">
        <v>-1</v>
      </c>
      <c r="W8" s="15">
        <v>-1</v>
      </c>
      <c r="X8" s="15">
        <v>-1</v>
      </c>
      <c r="Y8" s="15">
        <v>-1</v>
      </c>
      <c r="Z8" s="15">
        <v>-1</v>
      </c>
      <c r="AA8" s="6">
        <v>0.5</v>
      </c>
      <c r="AB8" s="6">
        <v>0.5</v>
      </c>
      <c r="AC8" s="6">
        <v>0.5</v>
      </c>
      <c r="AD8" s="6">
        <v>0.5</v>
      </c>
      <c r="AE8" s="6">
        <v>0.5</v>
      </c>
      <c r="AF8" s="6">
        <v>0.5</v>
      </c>
      <c r="AG8" s="6">
        <v>0.5</v>
      </c>
    </row>
    <row r="9" spans="2:33" x14ac:dyDescent="0.2">
      <c r="B9" s="6">
        <v>6</v>
      </c>
      <c r="C9" s="3" t="s">
        <v>19</v>
      </c>
      <c r="D9" s="2" t="s">
        <v>39</v>
      </c>
      <c r="E9" s="3" t="s">
        <v>10</v>
      </c>
      <c r="F9" s="6">
        <v>0</v>
      </c>
      <c r="G9" s="6">
        <v>0.5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16">
        <f t="shared" ref="T9:T14" si="0">IF($E9=MID(T$3,1,2),0.5,-1)</f>
        <v>-1</v>
      </c>
      <c r="U9" s="16">
        <f t="shared" ref="U9:Z14" si="1">IF($E9=MID(U$3,1,2),0.5,-1)</f>
        <v>-1</v>
      </c>
      <c r="V9" s="16">
        <f t="shared" si="1"/>
        <v>0.5</v>
      </c>
      <c r="W9" s="16">
        <f t="shared" si="1"/>
        <v>-1</v>
      </c>
      <c r="X9" s="16">
        <f t="shared" si="1"/>
        <v>-1</v>
      </c>
      <c r="Y9" s="16">
        <f t="shared" si="1"/>
        <v>-1</v>
      </c>
      <c r="Z9" s="16">
        <f t="shared" si="1"/>
        <v>-1</v>
      </c>
      <c r="AA9" s="6">
        <v>0</v>
      </c>
      <c r="AB9" s="6">
        <v>0</v>
      </c>
      <c r="AC9" s="6">
        <v>0.5</v>
      </c>
      <c r="AD9" s="6">
        <v>0</v>
      </c>
      <c r="AE9" s="6">
        <v>0</v>
      </c>
      <c r="AF9" s="6">
        <v>0</v>
      </c>
      <c r="AG9" s="6">
        <v>0</v>
      </c>
    </row>
    <row r="10" spans="2:33" x14ac:dyDescent="0.2">
      <c r="B10" s="6">
        <v>7</v>
      </c>
      <c r="C10" s="3" t="s">
        <v>21</v>
      </c>
      <c r="D10" s="2" t="s">
        <v>33</v>
      </c>
      <c r="E10" s="3" t="s">
        <v>12</v>
      </c>
      <c r="F10" s="6">
        <v>0</v>
      </c>
      <c r="G10" s="6">
        <v>0.5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16">
        <f t="shared" si="0"/>
        <v>-1</v>
      </c>
      <c r="U10" s="16">
        <f t="shared" si="1"/>
        <v>-1</v>
      </c>
      <c r="V10" s="16">
        <f t="shared" si="1"/>
        <v>-1</v>
      </c>
      <c r="W10" s="16">
        <f t="shared" si="1"/>
        <v>0.5</v>
      </c>
      <c r="X10" s="16">
        <f t="shared" si="1"/>
        <v>-1</v>
      </c>
      <c r="Y10" s="16">
        <f t="shared" si="1"/>
        <v>-1</v>
      </c>
      <c r="Z10" s="16">
        <f t="shared" si="1"/>
        <v>-1</v>
      </c>
      <c r="AA10" s="6">
        <v>0</v>
      </c>
      <c r="AB10" s="6">
        <v>0</v>
      </c>
      <c r="AC10" s="6">
        <v>0</v>
      </c>
      <c r="AD10" s="6">
        <v>0.5</v>
      </c>
      <c r="AE10" s="6">
        <v>0</v>
      </c>
      <c r="AF10" s="6">
        <v>0</v>
      </c>
      <c r="AG10" s="6">
        <v>0</v>
      </c>
    </row>
    <row r="11" spans="2:33" x14ac:dyDescent="0.2">
      <c r="B11" s="6">
        <v>8</v>
      </c>
      <c r="C11" s="3" t="s">
        <v>25</v>
      </c>
      <c r="D11" s="2" t="s">
        <v>40</v>
      </c>
      <c r="E11" s="3" t="s">
        <v>26</v>
      </c>
      <c r="F11" s="6">
        <v>0</v>
      </c>
      <c r="G11" s="6">
        <v>0.5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16">
        <f t="shared" si="0"/>
        <v>-1</v>
      </c>
      <c r="U11" s="16">
        <f t="shared" si="1"/>
        <v>-1</v>
      </c>
      <c r="V11" s="16">
        <f t="shared" si="1"/>
        <v>-1</v>
      </c>
      <c r="W11" s="16">
        <f t="shared" si="1"/>
        <v>-1</v>
      </c>
      <c r="X11" s="16">
        <f t="shared" si="1"/>
        <v>0.5</v>
      </c>
      <c r="Y11" s="16">
        <f t="shared" si="1"/>
        <v>-1</v>
      </c>
      <c r="Z11" s="16">
        <f t="shared" si="1"/>
        <v>-1</v>
      </c>
      <c r="AA11" s="6">
        <v>0</v>
      </c>
      <c r="AB11" s="6">
        <v>0</v>
      </c>
      <c r="AC11" s="6">
        <v>0</v>
      </c>
      <c r="AD11" s="6">
        <v>0</v>
      </c>
      <c r="AE11" s="6">
        <v>0.5</v>
      </c>
      <c r="AF11" s="6">
        <v>0</v>
      </c>
      <c r="AG11" s="6">
        <v>0</v>
      </c>
    </row>
    <row r="12" spans="2:33" x14ac:dyDescent="0.2">
      <c r="B12" s="6">
        <v>9</v>
      </c>
      <c r="C12" s="3" t="s">
        <v>16</v>
      </c>
      <c r="D12" s="2" t="s">
        <v>41</v>
      </c>
      <c r="E12" s="3" t="s">
        <v>27</v>
      </c>
      <c r="F12" s="6">
        <v>0</v>
      </c>
      <c r="G12" s="6">
        <v>0.5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16">
        <f t="shared" si="0"/>
        <v>-1</v>
      </c>
      <c r="U12" s="16">
        <f t="shared" si="1"/>
        <v>-1</v>
      </c>
      <c r="V12" s="16">
        <f t="shared" si="1"/>
        <v>-1</v>
      </c>
      <c r="W12" s="16">
        <f t="shared" si="1"/>
        <v>-1</v>
      </c>
      <c r="X12" s="16">
        <f t="shared" si="1"/>
        <v>-1</v>
      </c>
      <c r="Y12" s="16">
        <f t="shared" si="1"/>
        <v>0.5</v>
      </c>
      <c r="Z12" s="16">
        <f t="shared" si="1"/>
        <v>-1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0.5</v>
      </c>
      <c r="AG12" s="6">
        <v>0</v>
      </c>
    </row>
    <row r="13" spans="2:33" x14ac:dyDescent="0.2">
      <c r="B13" s="6">
        <v>10</v>
      </c>
      <c r="C13" s="3" t="s">
        <v>28</v>
      </c>
      <c r="D13" s="2" t="s">
        <v>42</v>
      </c>
      <c r="E13" s="3" t="s">
        <v>17</v>
      </c>
      <c r="F13" s="6">
        <v>0</v>
      </c>
      <c r="G13" s="6">
        <v>0.5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16">
        <f t="shared" si="0"/>
        <v>-1</v>
      </c>
      <c r="U13" s="16">
        <f t="shared" si="1"/>
        <v>-1</v>
      </c>
      <c r="V13" s="16">
        <f t="shared" si="1"/>
        <v>-1</v>
      </c>
      <c r="W13" s="16">
        <f t="shared" si="1"/>
        <v>-1</v>
      </c>
      <c r="X13" s="16">
        <f t="shared" si="1"/>
        <v>-1</v>
      </c>
      <c r="Y13" s="16">
        <f t="shared" si="1"/>
        <v>-1</v>
      </c>
      <c r="Z13" s="16">
        <f t="shared" si="1"/>
        <v>0.5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0.5</v>
      </c>
    </row>
    <row r="14" spans="2:33" x14ac:dyDescent="0.2">
      <c r="B14" s="6">
        <v>11</v>
      </c>
      <c r="C14" s="3" t="s">
        <v>29</v>
      </c>
      <c r="D14" s="2" t="s">
        <v>43</v>
      </c>
      <c r="E14" s="3" t="s">
        <v>14</v>
      </c>
      <c r="F14" s="6">
        <v>0</v>
      </c>
      <c r="G14" s="6">
        <v>0.5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0.3</v>
      </c>
      <c r="S14" s="6">
        <v>0</v>
      </c>
      <c r="T14" s="16">
        <f t="shared" si="0"/>
        <v>-1</v>
      </c>
      <c r="U14" s="16">
        <f t="shared" si="1"/>
        <v>0.5</v>
      </c>
      <c r="V14" s="16">
        <f t="shared" si="1"/>
        <v>-1</v>
      </c>
      <c r="W14" s="16">
        <f t="shared" si="1"/>
        <v>-1</v>
      </c>
      <c r="X14" s="16">
        <f t="shared" si="1"/>
        <v>-1</v>
      </c>
      <c r="Y14" s="16">
        <f t="shared" si="1"/>
        <v>-1</v>
      </c>
      <c r="Z14" s="16">
        <f t="shared" si="1"/>
        <v>-1</v>
      </c>
      <c r="AA14" s="6">
        <v>0</v>
      </c>
      <c r="AB14" s="6">
        <v>0.5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</row>
    <row r="17" spans="2:14" x14ac:dyDescent="0.15">
      <c r="B17" s="4" t="s">
        <v>47</v>
      </c>
      <c r="C17" s="4" t="s">
        <v>49</v>
      </c>
      <c r="D17" s="4" t="s">
        <v>0</v>
      </c>
      <c r="E17" s="4" t="s">
        <v>1</v>
      </c>
      <c r="F17" s="4" t="s">
        <v>2</v>
      </c>
      <c r="G17" s="4" t="s">
        <v>3</v>
      </c>
      <c r="H17" s="4" t="s">
        <v>4</v>
      </c>
      <c r="I17" s="4" t="s">
        <v>5</v>
      </c>
      <c r="J17" s="4" t="s">
        <v>6</v>
      </c>
      <c r="K17" s="4" t="s">
        <v>7</v>
      </c>
      <c r="L17" s="4" t="s">
        <v>8</v>
      </c>
      <c r="M17" s="4" t="s">
        <v>9</v>
      </c>
      <c r="N17" s="4" t="s">
        <v>48</v>
      </c>
    </row>
    <row r="18" spans="2:14" x14ac:dyDescent="0.2">
      <c r="B18" s="6">
        <v>1</v>
      </c>
      <c r="C18" s="3">
        <f>ROUNDUP(B18/(100/9),0)</f>
        <v>1</v>
      </c>
      <c r="D18" s="6">
        <f ca="1">(mVlookup(C18&amp;3,[1]!monsterDamage,"min",FALSE)+mVlookup(C18&amp;3,[1]!monsterDamage,"max",FALSE))/2</f>
        <v>0.10500000000000001</v>
      </c>
      <c r="E18" s="6">
        <f ca="1">(mVlookup(C18&amp;3,[1]!monsterDamage,"min",FALSE)+mVlookup(C18&amp;3,[1]!monsterDamage,"max",FALSE))/2</f>
        <v>0.10500000000000001</v>
      </c>
      <c r="F18" s="6">
        <f ca="1">(mVlookup(C18&amp;3,[1]!monsterDamage,"min",FALSE)+mVlookup(C18&amp;3,[1]!monsterDamage,"max",FALSE))/2</f>
        <v>0.10500000000000001</v>
      </c>
      <c r="G18" s="6">
        <f ca="1">(mVlookup(C18&amp;3,[1]!monsterDamage,"min",FALSE)+mVlookup(C18&amp;3,[1]!monsterDamage,"max",FALSE))/2</f>
        <v>0.10500000000000001</v>
      </c>
      <c r="H18" s="6">
        <f ca="1">(mVlookup(C18&amp;3,[1]!monsterDamage,"min",FALSE)+mVlookup(C18&amp;3,[1]!monsterDamage,"max",FALSE))/2</f>
        <v>0.10500000000000001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</row>
    <row r="19" spans="2:14" x14ac:dyDescent="0.2">
      <c r="B19" s="6">
        <v>2</v>
      </c>
      <c r="C19" s="3">
        <f t="shared" ref="C19:C82" si="2">ROUNDUP(B19/(100/9),0)</f>
        <v>1</v>
      </c>
      <c r="D19" s="6">
        <f ca="1">(mVlookup(C19&amp;3,[1]!monsterDamage,"min",FALSE)+mVlookup(C19&amp;3,[1]!monsterDamage,"max",FALSE))/2</f>
        <v>0.10500000000000001</v>
      </c>
      <c r="E19" s="6">
        <f ca="1">(mVlookup(C19&amp;3,[1]!monsterDamage,"min",FALSE)+mVlookup(C19&amp;3,[1]!monsterDamage,"max",FALSE))/2</f>
        <v>0.10500000000000001</v>
      </c>
      <c r="F19" s="6">
        <f ca="1">(mVlookup(C19&amp;3,[1]!monsterDamage,"min",FALSE)+mVlookup(C19&amp;3,[1]!monsterDamage,"max",FALSE))/2</f>
        <v>0.10500000000000001</v>
      </c>
      <c r="G19" s="6">
        <f ca="1">(mVlookup(C19&amp;3,[1]!monsterDamage,"min",FALSE)+mVlookup(C19&amp;3,[1]!monsterDamage,"max",FALSE))/2</f>
        <v>0.10500000000000001</v>
      </c>
      <c r="H19" s="6">
        <f ca="1">(mVlookup(C19&amp;3,[1]!monsterDamage,"min",FALSE)+mVlookup(C19&amp;3,[1]!monsterDamage,"max",FALSE))/2</f>
        <v>0.10500000000000001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</row>
    <row r="20" spans="2:14" x14ac:dyDescent="0.2">
      <c r="B20" s="6">
        <v>3</v>
      </c>
      <c r="C20" s="3">
        <f t="shared" si="2"/>
        <v>1</v>
      </c>
      <c r="D20" s="6">
        <f ca="1">(mVlookup(C20&amp;3,[1]!monsterDamage,"min",FALSE)+mVlookup(C20&amp;3,[1]!monsterDamage,"max",FALSE))/2</f>
        <v>0.10500000000000001</v>
      </c>
      <c r="E20" s="6">
        <f ca="1">(mVlookup(C20&amp;3,[1]!monsterDamage,"min",FALSE)+mVlookup(C20&amp;3,[1]!monsterDamage,"max",FALSE))/2</f>
        <v>0.10500000000000001</v>
      </c>
      <c r="F20" s="6">
        <f ca="1">(mVlookup(C20&amp;3,[1]!monsterDamage,"min",FALSE)+mVlookup(C20&amp;3,[1]!monsterDamage,"max",FALSE))/2</f>
        <v>0.10500000000000001</v>
      </c>
      <c r="G20" s="6">
        <f ca="1">(mVlookup(C20&amp;3,[1]!monsterDamage,"min",FALSE)+mVlookup(C20&amp;3,[1]!monsterDamage,"max",FALSE))/2</f>
        <v>0.10500000000000001</v>
      </c>
      <c r="H20" s="6">
        <f ca="1">(mVlookup(C20&amp;3,[1]!monsterDamage,"min",FALSE)+mVlookup(C20&amp;3,[1]!monsterDamage,"max",FALSE))/2</f>
        <v>0.10500000000000001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</row>
    <row r="21" spans="2:14" x14ac:dyDescent="0.2">
      <c r="B21" s="6">
        <v>4</v>
      </c>
      <c r="C21" s="3">
        <f t="shared" si="2"/>
        <v>1</v>
      </c>
      <c r="D21" s="6">
        <f ca="1">(mVlookup(C21&amp;3,[1]!monsterDamage,"min",FALSE)+mVlookup(C21&amp;3,[1]!monsterDamage,"max",FALSE))/2</f>
        <v>0.10500000000000001</v>
      </c>
      <c r="E21" s="6">
        <f ca="1">(mVlookup(C21&amp;3,[1]!monsterDamage,"min",FALSE)+mVlookup(C21&amp;3,[1]!monsterDamage,"max",FALSE))/2</f>
        <v>0.10500000000000001</v>
      </c>
      <c r="F21" s="6">
        <f ca="1">(mVlookup(C21&amp;3,[1]!monsterDamage,"min",FALSE)+mVlookup(C21&amp;3,[1]!monsterDamage,"max",FALSE))/2</f>
        <v>0.10500000000000001</v>
      </c>
      <c r="G21" s="6">
        <f ca="1">(mVlookup(C21&amp;3,[1]!monsterDamage,"min",FALSE)+mVlookup(C21&amp;3,[1]!monsterDamage,"max",FALSE))/2</f>
        <v>0.10500000000000001</v>
      </c>
      <c r="H21" s="6">
        <f ca="1">(mVlookup(C21&amp;3,[1]!monsterDamage,"min",FALSE)+mVlookup(C21&amp;3,[1]!monsterDamage,"max",FALSE))/2</f>
        <v>0.10500000000000001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</row>
    <row r="22" spans="2:14" x14ac:dyDescent="0.2">
      <c r="B22" s="6">
        <v>5</v>
      </c>
      <c r="C22" s="3">
        <f t="shared" si="2"/>
        <v>1</v>
      </c>
      <c r="D22" s="6">
        <f ca="1">(mVlookup(C22&amp;3,[1]!monsterDamage,"min",FALSE)+mVlookup(C22&amp;3,[1]!monsterDamage,"max",FALSE))/2</f>
        <v>0.10500000000000001</v>
      </c>
      <c r="E22" s="6">
        <f ca="1">(mVlookup(C22&amp;3,[1]!monsterDamage,"min",FALSE)+mVlookup(C22&amp;3,[1]!monsterDamage,"max",FALSE))/2</f>
        <v>0.10500000000000001</v>
      </c>
      <c r="F22" s="6">
        <f ca="1">(mVlookup(C22&amp;3,[1]!monsterDamage,"min",FALSE)+mVlookup(C22&amp;3,[1]!monsterDamage,"max",FALSE))/2</f>
        <v>0.10500000000000001</v>
      </c>
      <c r="G22" s="6">
        <f ca="1">(mVlookup(C22&amp;3,[1]!monsterDamage,"min",FALSE)+mVlookup(C22&amp;3,[1]!monsterDamage,"max",FALSE))/2</f>
        <v>0.10500000000000001</v>
      </c>
      <c r="H22" s="6">
        <f ca="1">(mVlookup(C22&amp;3,[1]!monsterDamage,"min",FALSE)+mVlookup(C22&amp;3,[1]!monsterDamage,"max",FALSE))/2</f>
        <v>0.10500000000000001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</row>
    <row r="23" spans="2:14" x14ac:dyDescent="0.2">
      <c r="B23" s="6">
        <v>6</v>
      </c>
      <c r="C23" s="3">
        <f t="shared" si="2"/>
        <v>1</v>
      </c>
      <c r="D23" s="6">
        <f ca="1">(mVlookup(C23&amp;3,[1]!monsterDamage,"min",FALSE)+mVlookup(C23&amp;3,[1]!monsterDamage,"max",FALSE))/2</f>
        <v>0.10500000000000001</v>
      </c>
      <c r="E23" s="6">
        <f ca="1">(mVlookup(C23&amp;3,[1]!monsterDamage,"min",FALSE)+mVlookup(C23&amp;3,[1]!monsterDamage,"max",FALSE))/2</f>
        <v>0.10500000000000001</v>
      </c>
      <c r="F23" s="6">
        <f ca="1">(mVlookup(C23&amp;3,[1]!monsterDamage,"min",FALSE)+mVlookup(C23&amp;3,[1]!monsterDamage,"max",FALSE))/2</f>
        <v>0.10500000000000001</v>
      </c>
      <c r="G23" s="6">
        <f ca="1">(mVlookup(C23&amp;3,[1]!monsterDamage,"min",FALSE)+mVlookup(C23&amp;3,[1]!monsterDamage,"max",FALSE))/2</f>
        <v>0.10500000000000001</v>
      </c>
      <c r="H23" s="6">
        <f ca="1">(mVlookup(C23&amp;3,[1]!monsterDamage,"min",FALSE)+mVlookup(C23&amp;3,[1]!monsterDamage,"max",FALSE))/2</f>
        <v>0.10500000000000001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</row>
    <row r="24" spans="2:14" x14ac:dyDescent="0.2">
      <c r="B24" s="6">
        <v>7</v>
      </c>
      <c r="C24" s="3">
        <f t="shared" si="2"/>
        <v>1</v>
      </c>
      <c r="D24" s="6">
        <f ca="1">(mVlookup(C24&amp;3,[1]!monsterDamage,"min",FALSE)+mVlookup(C24&amp;3,[1]!monsterDamage,"max",FALSE))/2</f>
        <v>0.10500000000000001</v>
      </c>
      <c r="E24" s="6">
        <f ca="1">(mVlookup(C24&amp;3,[1]!monsterDamage,"min",FALSE)+mVlookup(C24&amp;3,[1]!monsterDamage,"max",FALSE))/2</f>
        <v>0.10500000000000001</v>
      </c>
      <c r="F24" s="6">
        <f ca="1">(mVlookup(C24&amp;3,[1]!monsterDamage,"min",FALSE)+mVlookup(C24&amp;3,[1]!monsterDamage,"max",FALSE))/2</f>
        <v>0.10500000000000001</v>
      </c>
      <c r="G24" s="6">
        <f ca="1">(mVlookup(C24&amp;3,[1]!monsterDamage,"min",FALSE)+mVlookup(C24&amp;3,[1]!monsterDamage,"max",FALSE))/2</f>
        <v>0.10500000000000001</v>
      </c>
      <c r="H24" s="6">
        <f ca="1">(mVlookup(C24&amp;3,[1]!monsterDamage,"min",FALSE)+mVlookup(C24&amp;3,[1]!monsterDamage,"max",FALSE))/2</f>
        <v>0.10500000000000001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</row>
    <row r="25" spans="2:14" x14ac:dyDescent="0.2">
      <c r="B25" s="6">
        <v>8</v>
      </c>
      <c r="C25" s="3">
        <f t="shared" si="2"/>
        <v>1</v>
      </c>
      <c r="D25" s="6">
        <f ca="1">(mVlookup(C25&amp;3,[1]!monsterDamage,"min",FALSE)+mVlookup(C25&amp;3,[1]!monsterDamage,"max",FALSE))/2</f>
        <v>0.10500000000000001</v>
      </c>
      <c r="E25" s="6">
        <f ca="1">(mVlookup(C25&amp;3,[1]!monsterDamage,"min",FALSE)+mVlookup(C25&amp;3,[1]!monsterDamage,"max",FALSE))/2</f>
        <v>0.10500000000000001</v>
      </c>
      <c r="F25" s="6">
        <f ca="1">(mVlookup(C25&amp;3,[1]!monsterDamage,"min",FALSE)+mVlookup(C25&amp;3,[1]!monsterDamage,"max",FALSE))/2</f>
        <v>0.10500000000000001</v>
      </c>
      <c r="G25" s="6">
        <f ca="1">(mVlookup(C25&amp;3,[1]!monsterDamage,"min",FALSE)+mVlookup(C25&amp;3,[1]!monsterDamage,"max",FALSE))/2</f>
        <v>0.10500000000000001</v>
      </c>
      <c r="H25" s="6">
        <f ca="1">(mVlookup(C25&amp;3,[1]!monsterDamage,"min",FALSE)+mVlookup(C25&amp;3,[1]!monsterDamage,"max",FALSE))/2</f>
        <v>0.10500000000000001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</row>
    <row r="26" spans="2:14" x14ac:dyDescent="0.2">
      <c r="B26" s="6">
        <v>9</v>
      </c>
      <c r="C26" s="3">
        <f t="shared" si="2"/>
        <v>1</v>
      </c>
      <c r="D26" s="6">
        <f ca="1">(mVlookup(C26&amp;3,[1]!monsterDamage,"min",FALSE)+mVlookup(C26&amp;3,[1]!monsterDamage,"max",FALSE))/2</f>
        <v>0.10500000000000001</v>
      </c>
      <c r="E26" s="6">
        <f ca="1">(mVlookup(C26&amp;3,[1]!monsterDamage,"min",FALSE)+mVlookup(C26&amp;3,[1]!monsterDamage,"max",FALSE))/2</f>
        <v>0.10500000000000001</v>
      </c>
      <c r="F26" s="6">
        <f ca="1">(mVlookup(C26&amp;3,[1]!monsterDamage,"min",FALSE)+mVlookup(C26&amp;3,[1]!monsterDamage,"max",FALSE))/2</f>
        <v>0.10500000000000001</v>
      </c>
      <c r="G26" s="6">
        <f ca="1">(mVlookup(C26&amp;3,[1]!monsterDamage,"min",FALSE)+mVlookup(C26&amp;3,[1]!monsterDamage,"max",FALSE))/2</f>
        <v>0.10500000000000001</v>
      </c>
      <c r="H26" s="6">
        <f ca="1">(mVlookup(C26&amp;3,[1]!monsterDamage,"min",FALSE)+mVlookup(C26&amp;3,[1]!monsterDamage,"max",FALSE))/2</f>
        <v>0.10500000000000001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</row>
    <row r="27" spans="2:14" x14ac:dyDescent="0.2">
      <c r="B27" s="6">
        <v>10</v>
      </c>
      <c r="C27" s="3">
        <f t="shared" si="2"/>
        <v>1</v>
      </c>
      <c r="D27" s="6">
        <f ca="1">(mVlookup(C27&amp;3,[1]!monsterDamage,"min",FALSE)+mVlookup(C27&amp;3,[1]!monsterDamage,"max",FALSE))/2</f>
        <v>0.10500000000000001</v>
      </c>
      <c r="E27" s="6">
        <f ca="1">(mVlookup(C27&amp;3,[1]!monsterDamage,"min",FALSE)+mVlookup(C27&amp;3,[1]!monsterDamage,"max",FALSE))/2</f>
        <v>0.10500000000000001</v>
      </c>
      <c r="F27" s="6">
        <f ca="1">(mVlookup(C27&amp;3,[1]!monsterDamage,"min",FALSE)+mVlookup(C27&amp;3,[1]!monsterDamage,"max",FALSE))/2</f>
        <v>0.10500000000000001</v>
      </c>
      <c r="G27" s="6">
        <f ca="1">(mVlookup(C27&amp;3,[1]!monsterDamage,"min",FALSE)+mVlookup(C27&amp;3,[1]!monsterDamage,"max",FALSE))/2</f>
        <v>0.10500000000000001</v>
      </c>
      <c r="H27" s="6">
        <f ca="1">(mVlookup(C27&amp;3,[1]!monsterDamage,"min",FALSE)+mVlookup(C27&amp;3,[1]!monsterDamage,"max",FALSE))/2</f>
        <v>0.10500000000000001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</row>
    <row r="28" spans="2:14" x14ac:dyDescent="0.2">
      <c r="B28" s="6">
        <v>11</v>
      </c>
      <c r="C28" s="3">
        <f t="shared" si="2"/>
        <v>1</v>
      </c>
      <c r="D28" s="6">
        <f ca="1">(mVlookup(C28&amp;3,[1]!monsterDamage,"min",FALSE)+mVlookup(C28&amp;3,[1]!monsterDamage,"max",FALSE))/2</f>
        <v>0.10500000000000001</v>
      </c>
      <c r="E28" s="6">
        <f ca="1">(mVlookup(C28&amp;3,[1]!monsterDamage,"min",FALSE)+mVlookup(C28&amp;3,[1]!monsterDamage,"max",FALSE))/2</f>
        <v>0.10500000000000001</v>
      </c>
      <c r="F28" s="6">
        <f ca="1">(mVlookup(C28&amp;3,[1]!monsterDamage,"min",FALSE)+mVlookup(C28&amp;3,[1]!monsterDamage,"max",FALSE))/2</f>
        <v>0.10500000000000001</v>
      </c>
      <c r="G28" s="6">
        <f ca="1">(mVlookup(C28&amp;3,[1]!monsterDamage,"min",FALSE)+mVlookup(C28&amp;3,[1]!monsterDamage,"max",FALSE))/2</f>
        <v>0.10500000000000001</v>
      </c>
      <c r="H28" s="6">
        <f ca="1">(mVlookup(C28&amp;3,[1]!monsterDamage,"min",FALSE)+mVlookup(C28&amp;3,[1]!monsterDamage,"max",FALSE))/2</f>
        <v>0.10500000000000001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</row>
    <row r="29" spans="2:14" x14ac:dyDescent="0.2">
      <c r="B29" s="6">
        <v>12</v>
      </c>
      <c r="C29" s="3">
        <f t="shared" si="2"/>
        <v>2</v>
      </c>
      <c r="D29" s="6">
        <f ca="1">(mVlookup(C29&amp;3,[1]!monsterDamage,"min",FALSE)+mVlookup(C29&amp;3,[1]!monsterDamage,"max",FALSE))/2</f>
        <v>0.12</v>
      </c>
      <c r="E29" s="6">
        <f ca="1">(mVlookup(C29&amp;3,[1]!monsterDamage,"min",FALSE)+mVlookup(C29&amp;3,[1]!monsterDamage,"max",FALSE))/2</f>
        <v>0.12</v>
      </c>
      <c r="F29" s="6">
        <f ca="1">(mVlookup(C29&amp;3,[1]!monsterDamage,"min",FALSE)+mVlookup(C29&amp;3,[1]!monsterDamage,"max",FALSE))/2</f>
        <v>0.12</v>
      </c>
      <c r="G29" s="6">
        <f ca="1">(mVlookup(C29&amp;3,[1]!monsterDamage,"min",FALSE)+mVlookup(C29&amp;3,[1]!monsterDamage,"max",FALSE))/2</f>
        <v>0.12</v>
      </c>
      <c r="H29" s="6">
        <f ca="1">(mVlookup(C29&amp;3,[1]!monsterDamage,"min",FALSE)+mVlookup(C29&amp;3,[1]!monsterDamage,"max",FALSE))/2</f>
        <v>0.12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</row>
    <row r="30" spans="2:14" x14ac:dyDescent="0.2">
      <c r="B30" s="6">
        <v>13</v>
      </c>
      <c r="C30" s="3">
        <f t="shared" si="2"/>
        <v>2</v>
      </c>
      <c r="D30" s="6">
        <f ca="1">(mVlookup(C30&amp;3,[1]!monsterDamage,"min",FALSE)+mVlookup(C30&amp;3,[1]!monsterDamage,"max",FALSE))/2</f>
        <v>0.12</v>
      </c>
      <c r="E30" s="6">
        <f ca="1">(mVlookup(C30&amp;3,[1]!monsterDamage,"min",FALSE)+mVlookup(C30&amp;3,[1]!monsterDamage,"max",FALSE))/2</f>
        <v>0.12</v>
      </c>
      <c r="F30" s="6">
        <f ca="1">(mVlookup(C30&amp;3,[1]!monsterDamage,"min",FALSE)+mVlookup(C30&amp;3,[1]!monsterDamage,"max",FALSE))/2</f>
        <v>0.12</v>
      </c>
      <c r="G30" s="6">
        <f ca="1">(mVlookup(C30&amp;3,[1]!monsterDamage,"min",FALSE)+mVlookup(C30&amp;3,[1]!monsterDamage,"max",FALSE))/2</f>
        <v>0.12</v>
      </c>
      <c r="H30" s="6">
        <f ca="1">(mVlookup(C30&amp;3,[1]!monsterDamage,"min",FALSE)+mVlookup(C30&amp;3,[1]!monsterDamage,"max",FALSE))/2</f>
        <v>0.12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</row>
    <row r="31" spans="2:14" x14ac:dyDescent="0.2">
      <c r="B31" s="6">
        <v>14</v>
      </c>
      <c r="C31" s="3">
        <f t="shared" si="2"/>
        <v>2</v>
      </c>
      <c r="D31" s="6">
        <f ca="1">(mVlookup(C31&amp;3,[1]!monsterDamage,"min",FALSE)+mVlookup(C31&amp;3,[1]!monsterDamage,"max",FALSE))/2</f>
        <v>0.12</v>
      </c>
      <c r="E31" s="6">
        <f ca="1">(mVlookup(C31&amp;3,[1]!monsterDamage,"min",FALSE)+mVlookup(C31&amp;3,[1]!monsterDamage,"max",FALSE))/2</f>
        <v>0.12</v>
      </c>
      <c r="F31" s="6">
        <f ca="1">(mVlookup(C31&amp;3,[1]!monsterDamage,"min",FALSE)+mVlookup(C31&amp;3,[1]!monsterDamage,"max",FALSE))/2</f>
        <v>0.12</v>
      </c>
      <c r="G31" s="6">
        <f ca="1">(mVlookup(C31&amp;3,[1]!monsterDamage,"min",FALSE)+mVlookup(C31&amp;3,[1]!monsterDamage,"max",FALSE))/2</f>
        <v>0.12</v>
      </c>
      <c r="H31" s="6">
        <f ca="1">(mVlookup(C31&amp;3,[1]!monsterDamage,"min",FALSE)+mVlookup(C31&amp;3,[1]!monsterDamage,"max",FALSE))/2</f>
        <v>0.12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</row>
    <row r="32" spans="2:14" x14ac:dyDescent="0.2">
      <c r="B32" s="6">
        <v>15</v>
      </c>
      <c r="C32" s="3">
        <f t="shared" si="2"/>
        <v>2</v>
      </c>
      <c r="D32" s="6">
        <f ca="1">(mVlookup(C32&amp;3,[1]!monsterDamage,"min",FALSE)+mVlookup(C32&amp;3,[1]!monsterDamage,"max",FALSE))/2</f>
        <v>0.12</v>
      </c>
      <c r="E32" s="6">
        <f ca="1">(mVlookup(C32&amp;3,[1]!monsterDamage,"min",FALSE)+mVlookup(C32&amp;3,[1]!monsterDamage,"max",FALSE))/2</f>
        <v>0.12</v>
      </c>
      <c r="F32" s="6">
        <f ca="1">(mVlookup(C32&amp;3,[1]!monsterDamage,"min",FALSE)+mVlookup(C32&amp;3,[1]!monsterDamage,"max",FALSE))/2</f>
        <v>0.12</v>
      </c>
      <c r="G32" s="6">
        <f ca="1">(mVlookup(C32&amp;3,[1]!monsterDamage,"min",FALSE)+mVlookup(C32&amp;3,[1]!monsterDamage,"max",FALSE))/2</f>
        <v>0.12</v>
      </c>
      <c r="H32" s="6">
        <f ca="1">(mVlookup(C32&amp;3,[1]!monsterDamage,"min",FALSE)+mVlookup(C32&amp;3,[1]!monsterDamage,"max",FALSE))/2</f>
        <v>0.12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</row>
    <row r="33" spans="2:14" x14ac:dyDescent="0.2">
      <c r="B33" s="6">
        <v>16</v>
      </c>
      <c r="C33" s="3">
        <f t="shared" si="2"/>
        <v>2</v>
      </c>
      <c r="D33" s="6">
        <f ca="1">(mVlookup(C33&amp;3,[1]!monsterDamage,"min",FALSE)+mVlookup(C33&amp;3,[1]!monsterDamage,"max",FALSE))/2</f>
        <v>0.12</v>
      </c>
      <c r="E33" s="6">
        <f ca="1">(mVlookup(C33&amp;3,[1]!monsterDamage,"min",FALSE)+mVlookup(C33&amp;3,[1]!monsterDamage,"max",FALSE))/2</f>
        <v>0.12</v>
      </c>
      <c r="F33" s="6">
        <f ca="1">(mVlookup(C33&amp;3,[1]!monsterDamage,"min",FALSE)+mVlookup(C33&amp;3,[1]!monsterDamage,"max",FALSE))/2</f>
        <v>0.12</v>
      </c>
      <c r="G33" s="6">
        <f ca="1">(mVlookup(C33&amp;3,[1]!monsterDamage,"min",FALSE)+mVlookup(C33&amp;3,[1]!monsterDamage,"max",FALSE))/2</f>
        <v>0.12</v>
      </c>
      <c r="H33" s="6">
        <f ca="1">(mVlookup(C33&amp;3,[1]!monsterDamage,"min",FALSE)+mVlookup(C33&amp;3,[1]!monsterDamage,"max",FALSE))/2</f>
        <v>0.12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</row>
    <row r="34" spans="2:14" x14ac:dyDescent="0.2">
      <c r="B34" s="6">
        <v>17</v>
      </c>
      <c r="C34" s="3">
        <f t="shared" si="2"/>
        <v>2</v>
      </c>
      <c r="D34" s="6">
        <f ca="1">(mVlookup(C34&amp;3,[1]!monsterDamage,"min",FALSE)+mVlookup(C34&amp;3,[1]!monsterDamage,"max",FALSE))/2</f>
        <v>0.12</v>
      </c>
      <c r="E34" s="6">
        <f ca="1">(mVlookup(C34&amp;3,[1]!monsterDamage,"min",FALSE)+mVlookup(C34&amp;3,[1]!monsterDamage,"max",FALSE))/2</f>
        <v>0.12</v>
      </c>
      <c r="F34" s="6">
        <f ca="1">(mVlookup(C34&amp;3,[1]!monsterDamage,"min",FALSE)+mVlookup(C34&amp;3,[1]!monsterDamage,"max",FALSE))/2</f>
        <v>0.12</v>
      </c>
      <c r="G34" s="6">
        <f ca="1">(mVlookup(C34&amp;3,[1]!monsterDamage,"min",FALSE)+mVlookup(C34&amp;3,[1]!monsterDamage,"max",FALSE))/2</f>
        <v>0.12</v>
      </c>
      <c r="H34" s="6">
        <f ca="1">(mVlookup(C34&amp;3,[1]!monsterDamage,"min",FALSE)+mVlookup(C34&amp;3,[1]!monsterDamage,"max",FALSE))/2</f>
        <v>0.12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</row>
    <row r="35" spans="2:14" x14ac:dyDescent="0.2">
      <c r="B35" s="6">
        <v>18</v>
      </c>
      <c r="C35" s="3">
        <f t="shared" si="2"/>
        <v>2</v>
      </c>
      <c r="D35" s="6">
        <f ca="1">(mVlookup(C35&amp;3,[1]!monsterDamage,"min",FALSE)+mVlookup(C35&amp;3,[1]!monsterDamage,"max",FALSE))/2</f>
        <v>0.12</v>
      </c>
      <c r="E35" s="6">
        <f ca="1">(mVlookup(C35&amp;3,[1]!monsterDamage,"min",FALSE)+mVlookup(C35&amp;3,[1]!monsterDamage,"max",FALSE))/2</f>
        <v>0.12</v>
      </c>
      <c r="F35" s="6">
        <f ca="1">(mVlookup(C35&amp;3,[1]!monsterDamage,"min",FALSE)+mVlookup(C35&amp;3,[1]!monsterDamage,"max",FALSE))/2</f>
        <v>0.12</v>
      </c>
      <c r="G35" s="6">
        <f ca="1">(mVlookup(C35&amp;3,[1]!monsterDamage,"min",FALSE)+mVlookup(C35&amp;3,[1]!monsterDamage,"max",FALSE))/2</f>
        <v>0.12</v>
      </c>
      <c r="H35" s="6">
        <f ca="1">(mVlookup(C35&amp;3,[1]!monsterDamage,"min",FALSE)+mVlookup(C35&amp;3,[1]!monsterDamage,"max",FALSE))/2</f>
        <v>0.12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</row>
    <row r="36" spans="2:14" x14ac:dyDescent="0.2">
      <c r="B36" s="6">
        <v>19</v>
      </c>
      <c r="C36" s="3">
        <f t="shared" si="2"/>
        <v>2</v>
      </c>
      <c r="D36" s="6">
        <f ca="1">(mVlookup(C36&amp;3,[1]!monsterDamage,"min",FALSE)+mVlookup(C36&amp;3,[1]!monsterDamage,"max",FALSE))/2</f>
        <v>0.12</v>
      </c>
      <c r="E36" s="6">
        <f ca="1">(mVlookup(C36&amp;3,[1]!monsterDamage,"min",FALSE)+mVlookup(C36&amp;3,[1]!monsterDamage,"max",FALSE))/2</f>
        <v>0.12</v>
      </c>
      <c r="F36" s="6">
        <f ca="1">(mVlookup(C36&amp;3,[1]!monsterDamage,"min",FALSE)+mVlookup(C36&amp;3,[1]!monsterDamage,"max",FALSE))/2</f>
        <v>0.12</v>
      </c>
      <c r="G36" s="6">
        <f ca="1">(mVlookup(C36&amp;3,[1]!monsterDamage,"min",FALSE)+mVlookup(C36&amp;3,[1]!monsterDamage,"max",FALSE))/2</f>
        <v>0.12</v>
      </c>
      <c r="H36" s="6">
        <f ca="1">(mVlookup(C36&amp;3,[1]!monsterDamage,"min",FALSE)+mVlookup(C36&amp;3,[1]!monsterDamage,"max",FALSE))/2</f>
        <v>0.12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</row>
    <row r="37" spans="2:14" x14ac:dyDescent="0.2">
      <c r="B37" s="6">
        <v>20</v>
      </c>
      <c r="C37" s="3">
        <f t="shared" si="2"/>
        <v>2</v>
      </c>
      <c r="D37" s="6">
        <f ca="1">(mVlookup(C37&amp;3,[1]!monsterDamage,"min",FALSE)+mVlookup(C37&amp;3,[1]!monsterDamage,"max",FALSE))/2</f>
        <v>0.12</v>
      </c>
      <c r="E37" s="6">
        <f ca="1">(mVlookup(C37&amp;3,[1]!monsterDamage,"min",FALSE)+mVlookup(C37&amp;3,[1]!monsterDamage,"max",FALSE))/2</f>
        <v>0.12</v>
      </c>
      <c r="F37" s="6">
        <f ca="1">(mVlookup(C37&amp;3,[1]!monsterDamage,"min",FALSE)+mVlookup(C37&amp;3,[1]!monsterDamage,"max",FALSE))/2</f>
        <v>0.12</v>
      </c>
      <c r="G37" s="6">
        <f ca="1">(mVlookup(C37&amp;3,[1]!monsterDamage,"min",FALSE)+mVlookup(C37&amp;3,[1]!monsterDamage,"max",FALSE))/2</f>
        <v>0.12</v>
      </c>
      <c r="H37" s="6">
        <f ca="1">(mVlookup(C37&amp;3,[1]!monsterDamage,"min",FALSE)+mVlookup(C37&amp;3,[1]!monsterDamage,"max",FALSE))/2</f>
        <v>0.12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</row>
    <row r="38" spans="2:14" x14ac:dyDescent="0.2">
      <c r="B38" s="6">
        <v>21</v>
      </c>
      <c r="C38" s="3">
        <f t="shared" si="2"/>
        <v>2</v>
      </c>
      <c r="D38" s="6">
        <f ca="1">(mVlookup(C38&amp;3,[1]!monsterDamage,"min",FALSE)+mVlookup(C38&amp;3,[1]!monsterDamage,"max",FALSE))/2</f>
        <v>0.12</v>
      </c>
      <c r="E38" s="6">
        <f ca="1">(mVlookup(C38&amp;3,[1]!monsterDamage,"min",FALSE)+mVlookup(C38&amp;3,[1]!monsterDamage,"max",FALSE))/2</f>
        <v>0.12</v>
      </c>
      <c r="F38" s="6">
        <f ca="1">(mVlookup(C38&amp;3,[1]!monsterDamage,"min",FALSE)+mVlookup(C38&amp;3,[1]!monsterDamage,"max",FALSE))/2</f>
        <v>0.12</v>
      </c>
      <c r="G38" s="6">
        <f ca="1">(mVlookup(C38&amp;3,[1]!monsterDamage,"min",FALSE)+mVlookup(C38&amp;3,[1]!monsterDamage,"max",FALSE))/2</f>
        <v>0.12</v>
      </c>
      <c r="H38" s="6">
        <f ca="1">(mVlookup(C38&amp;3,[1]!monsterDamage,"min",FALSE)+mVlookup(C38&amp;3,[1]!monsterDamage,"max",FALSE))/2</f>
        <v>0.12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</row>
    <row r="39" spans="2:14" x14ac:dyDescent="0.2">
      <c r="B39" s="6">
        <v>22</v>
      </c>
      <c r="C39" s="3">
        <f t="shared" si="2"/>
        <v>2</v>
      </c>
      <c r="D39" s="6">
        <f ca="1">(mVlookup(C39&amp;3,[1]!monsterDamage,"min",FALSE)+mVlookup(C39&amp;3,[1]!monsterDamage,"max",FALSE))/2</f>
        <v>0.12</v>
      </c>
      <c r="E39" s="6">
        <f ca="1">(mVlookup(C39&amp;3,[1]!monsterDamage,"min",FALSE)+mVlookup(C39&amp;3,[1]!monsterDamage,"max",FALSE))/2</f>
        <v>0.12</v>
      </c>
      <c r="F39" s="6">
        <f ca="1">(mVlookup(C39&amp;3,[1]!monsterDamage,"min",FALSE)+mVlookup(C39&amp;3,[1]!monsterDamage,"max",FALSE))/2</f>
        <v>0.12</v>
      </c>
      <c r="G39" s="6">
        <f ca="1">(mVlookup(C39&amp;3,[1]!monsterDamage,"min",FALSE)+mVlookup(C39&amp;3,[1]!monsterDamage,"max",FALSE))/2</f>
        <v>0.12</v>
      </c>
      <c r="H39" s="6">
        <f ca="1">(mVlookup(C39&amp;3,[1]!monsterDamage,"min",FALSE)+mVlookup(C39&amp;3,[1]!monsterDamage,"max",FALSE))/2</f>
        <v>0.12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</row>
    <row r="40" spans="2:14" x14ac:dyDescent="0.2">
      <c r="B40" s="6">
        <v>23</v>
      </c>
      <c r="C40" s="3">
        <f t="shared" si="2"/>
        <v>3</v>
      </c>
      <c r="D40" s="6">
        <f ca="1">(mVlookup(C40&amp;3,[1]!monsterDamage,"min",FALSE)+mVlookup(C40&amp;3,[1]!monsterDamage,"max",FALSE))/2</f>
        <v>0.13500000000000001</v>
      </c>
      <c r="E40" s="6">
        <f ca="1">(mVlookup(C40&amp;3,[1]!monsterDamage,"min",FALSE)+mVlookup(C40&amp;3,[1]!monsterDamage,"max",FALSE))/2</f>
        <v>0.13500000000000001</v>
      </c>
      <c r="F40" s="6">
        <f ca="1">(mVlookup(C40&amp;3,[1]!monsterDamage,"min",FALSE)+mVlookup(C40&amp;3,[1]!monsterDamage,"max",FALSE))/2</f>
        <v>0.13500000000000001</v>
      </c>
      <c r="G40" s="6">
        <f ca="1">(mVlookup(C40&amp;3,[1]!monsterDamage,"min",FALSE)+mVlookup(C40&amp;3,[1]!monsterDamage,"max",FALSE))/2</f>
        <v>0.13500000000000001</v>
      </c>
      <c r="H40" s="6">
        <f ca="1">(mVlookup(C40&amp;3,[1]!monsterDamage,"min",FALSE)+mVlookup(C40&amp;3,[1]!monsterDamage,"max",FALSE))/2</f>
        <v>0.13500000000000001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</row>
    <row r="41" spans="2:14" x14ac:dyDescent="0.2">
      <c r="B41" s="6">
        <v>24</v>
      </c>
      <c r="C41" s="3">
        <f t="shared" si="2"/>
        <v>3</v>
      </c>
      <c r="D41" s="6">
        <f ca="1">(mVlookup(C41&amp;3,[1]!monsterDamage,"min",FALSE)+mVlookup(C41&amp;3,[1]!monsterDamage,"max",FALSE))/2</f>
        <v>0.13500000000000001</v>
      </c>
      <c r="E41" s="6">
        <f ca="1">(mVlookup(C41&amp;3,[1]!monsterDamage,"min",FALSE)+mVlookup(C41&amp;3,[1]!monsterDamage,"max",FALSE))/2</f>
        <v>0.13500000000000001</v>
      </c>
      <c r="F41" s="6">
        <f ca="1">(mVlookup(C41&amp;3,[1]!monsterDamage,"min",FALSE)+mVlookup(C41&amp;3,[1]!monsterDamage,"max",FALSE))/2</f>
        <v>0.13500000000000001</v>
      </c>
      <c r="G41" s="6">
        <f ca="1">(mVlookup(C41&amp;3,[1]!monsterDamage,"min",FALSE)+mVlookup(C41&amp;3,[1]!monsterDamage,"max",FALSE))/2</f>
        <v>0.13500000000000001</v>
      </c>
      <c r="H41" s="6">
        <f ca="1">(mVlookup(C41&amp;3,[1]!monsterDamage,"min",FALSE)+mVlookup(C41&amp;3,[1]!monsterDamage,"max",FALSE))/2</f>
        <v>0.13500000000000001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</row>
    <row r="42" spans="2:14" x14ac:dyDescent="0.2">
      <c r="B42" s="6">
        <v>25</v>
      </c>
      <c r="C42" s="3">
        <f t="shared" si="2"/>
        <v>3</v>
      </c>
      <c r="D42" s="6">
        <f ca="1">(mVlookup(C42&amp;3,[1]!monsterDamage,"min",FALSE)+mVlookup(C42&amp;3,[1]!monsterDamage,"max",FALSE))/2</f>
        <v>0.13500000000000001</v>
      </c>
      <c r="E42" s="6">
        <f ca="1">(mVlookup(C42&amp;3,[1]!monsterDamage,"min",FALSE)+mVlookup(C42&amp;3,[1]!monsterDamage,"max",FALSE))/2</f>
        <v>0.13500000000000001</v>
      </c>
      <c r="F42" s="6">
        <f ca="1">(mVlookup(C42&amp;3,[1]!monsterDamage,"min",FALSE)+mVlookup(C42&amp;3,[1]!monsterDamage,"max",FALSE))/2</f>
        <v>0.13500000000000001</v>
      </c>
      <c r="G42" s="6">
        <f ca="1">(mVlookup(C42&amp;3,[1]!monsterDamage,"min",FALSE)+mVlookup(C42&amp;3,[1]!monsterDamage,"max",FALSE))/2</f>
        <v>0.13500000000000001</v>
      </c>
      <c r="H42" s="6">
        <f ca="1">(mVlookup(C42&amp;3,[1]!monsterDamage,"min",FALSE)+mVlookup(C42&amp;3,[1]!monsterDamage,"max",FALSE))/2</f>
        <v>0.13500000000000001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</row>
    <row r="43" spans="2:14" x14ac:dyDescent="0.2">
      <c r="B43" s="6">
        <v>26</v>
      </c>
      <c r="C43" s="3">
        <f t="shared" si="2"/>
        <v>3</v>
      </c>
      <c r="D43" s="6">
        <f ca="1">(mVlookup(C43&amp;3,[1]!monsterDamage,"min",FALSE)+mVlookup(C43&amp;3,[1]!monsterDamage,"max",FALSE))/2</f>
        <v>0.13500000000000001</v>
      </c>
      <c r="E43" s="6">
        <f ca="1">(mVlookup(C43&amp;3,[1]!monsterDamage,"min",FALSE)+mVlookup(C43&amp;3,[1]!monsterDamage,"max",FALSE))/2</f>
        <v>0.13500000000000001</v>
      </c>
      <c r="F43" s="6">
        <f ca="1">(mVlookup(C43&amp;3,[1]!monsterDamage,"min",FALSE)+mVlookup(C43&amp;3,[1]!monsterDamage,"max",FALSE))/2</f>
        <v>0.13500000000000001</v>
      </c>
      <c r="G43" s="6">
        <f ca="1">(mVlookup(C43&amp;3,[1]!monsterDamage,"min",FALSE)+mVlookup(C43&amp;3,[1]!monsterDamage,"max",FALSE))/2</f>
        <v>0.13500000000000001</v>
      </c>
      <c r="H43" s="6">
        <f ca="1">(mVlookup(C43&amp;3,[1]!monsterDamage,"min",FALSE)+mVlookup(C43&amp;3,[1]!monsterDamage,"max",FALSE))/2</f>
        <v>0.13500000000000001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</row>
    <row r="44" spans="2:14" x14ac:dyDescent="0.2">
      <c r="B44" s="6">
        <v>27</v>
      </c>
      <c r="C44" s="3">
        <f t="shared" si="2"/>
        <v>3</v>
      </c>
      <c r="D44" s="6">
        <f ca="1">(mVlookup(C44&amp;3,[1]!monsterDamage,"min",FALSE)+mVlookup(C44&amp;3,[1]!monsterDamage,"max",FALSE))/2</f>
        <v>0.13500000000000001</v>
      </c>
      <c r="E44" s="6">
        <f ca="1">(mVlookup(C44&amp;3,[1]!monsterDamage,"min",FALSE)+mVlookup(C44&amp;3,[1]!monsterDamage,"max",FALSE))/2</f>
        <v>0.13500000000000001</v>
      </c>
      <c r="F44" s="6">
        <f ca="1">(mVlookup(C44&amp;3,[1]!monsterDamage,"min",FALSE)+mVlookup(C44&amp;3,[1]!monsterDamage,"max",FALSE))/2</f>
        <v>0.13500000000000001</v>
      </c>
      <c r="G44" s="6">
        <f ca="1">(mVlookup(C44&amp;3,[1]!monsterDamage,"min",FALSE)+mVlookup(C44&amp;3,[1]!monsterDamage,"max",FALSE))/2</f>
        <v>0.13500000000000001</v>
      </c>
      <c r="H44" s="6">
        <f ca="1">(mVlookup(C44&amp;3,[1]!monsterDamage,"min",FALSE)+mVlookup(C44&amp;3,[1]!monsterDamage,"max",FALSE))/2</f>
        <v>0.13500000000000001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</row>
    <row r="45" spans="2:14" x14ac:dyDescent="0.2">
      <c r="B45" s="6">
        <v>28</v>
      </c>
      <c r="C45" s="3">
        <f t="shared" si="2"/>
        <v>3</v>
      </c>
      <c r="D45" s="6">
        <f ca="1">(mVlookup(C45&amp;3,[1]!monsterDamage,"min",FALSE)+mVlookup(C45&amp;3,[1]!monsterDamage,"max",FALSE))/2</f>
        <v>0.13500000000000001</v>
      </c>
      <c r="E45" s="6">
        <f ca="1">(mVlookup(C45&amp;3,[1]!monsterDamage,"min",FALSE)+mVlookup(C45&amp;3,[1]!monsterDamage,"max",FALSE))/2</f>
        <v>0.13500000000000001</v>
      </c>
      <c r="F45" s="6">
        <f ca="1">(mVlookup(C45&amp;3,[1]!monsterDamage,"min",FALSE)+mVlookup(C45&amp;3,[1]!monsterDamage,"max",FALSE))/2</f>
        <v>0.13500000000000001</v>
      </c>
      <c r="G45" s="6">
        <f ca="1">(mVlookup(C45&amp;3,[1]!monsterDamage,"min",FALSE)+mVlookup(C45&amp;3,[1]!monsterDamage,"max",FALSE))/2</f>
        <v>0.13500000000000001</v>
      </c>
      <c r="H45" s="6">
        <f ca="1">(mVlookup(C45&amp;3,[1]!monsterDamage,"min",FALSE)+mVlookup(C45&amp;3,[1]!monsterDamage,"max",FALSE))/2</f>
        <v>0.13500000000000001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</row>
    <row r="46" spans="2:14" x14ac:dyDescent="0.2">
      <c r="B46" s="6">
        <v>29</v>
      </c>
      <c r="C46" s="3">
        <f t="shared" si="2"/>
        <v>3</v>
      </c>
      <c r="D46" s="6">
        <f ca="1">(mVlookup(C46&amp;3,[1]!monsterDamage,"min",FALSE)+mVlookup(C46&amp;3,[1]!monsterDamage,"max",FALSE))/2</f>
        <v>0.13500000000000001</v>
      </c>
      <c r="E46" s="6">
        <f ca="1">(mVlookup(C46&amp;3,[1]!monsterDamage,"min",FALSE)+mVlookup(C46&amp;3,[1]!monsterDamage,"max",FALSE))/2</f>
        <v>0.13500000000000001</v>
      </c>
      <c r="F46" s="6">
        <f ca="1">(mVlookup(C46&amp;3,[1]!monsterDamage,"min",FALSE)+mVlookup(C46&amp;3,[1]!monsterDamage,"max",FALSE))/2</f>
        <v>0.13500000000000001</v>
      </c>
      <c r="G46" s="6">
        <f ca="1">(mVlookup(C46&amp;3,[1]!monsterDamage,"min",FALSE)+mVlookup(C46&amp;3,[1]!monsterDamage,"max",FALSE))/2</f>
        <v>0.13500000000000001</v>
      </c>
      <c r="H46" s="6">
        <f ca="1">(mVlookup(C46&amp;3,[1]!monsterDamage,"min",FALSE)+mVlookup(C46&amp;3,[1]!monsterDamage,"max",FALSE))/2</f>
        <v>0.13500000000000001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</row>
    <row r="47" spans="2:14" x14ac:dyDescent="0.2">
      <c r="B47" s="6">
        <v>30</v>
      </c>
      <c r="C47" s="3">
        <f t="shared" si="2"/>
        <v>3</v>
      </c>
      <c r="D47" s="6">
        <f ca="1">(mVlookup(C47&amp;3,[1]!monsterDamage,"min",FALSE)+mVlookup(C47&amp;3,[1]!monsterDamage,"max",FALSE))/2</f>
        <v>0.13500000000000001</v>
      </c>
      <c r="E47" s="6">
        <f ca="1">(mVlookup(C47&amp;3,[1]!monsterDamage,"min",FALSE)+mVlookup(C47&amp;3,[1]!monsterDamage,"max",FALSE))/2</f>
        <v>0.13500000000000001</v>
      </c>
      <c r="F47" s="6">
        <f ca="1">(mVlookup(C47&amp;3,[1]!monsterDamage,"min",FALSE)+mVlookup(C47&amp;3,[1]!monsterDamage,"max",FALSE))/2</f>
        <v>0.13500000000000001</v>
      </c>
      <c r="G47" s="6">
        <f ca="1">(mVlookup(C47&amp;3,[1]!monsterDamage,"min",FALSE)+mVlookup(C47&amp;3,[1]!monsterDamage,"max",FALSE))/2</f>
        <v>0.13500000000000001</v>
      </c>
      <c r="H47" s="6">
        <f ca="1">(mVlookup(C47&amp;3,[1]!monsterDamage,"min",FALSE)+mVlookup(C47&amp;3,[1]!monsterDamage,"max",FALSE))/2</f>
        <v>0.13500000000000001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</row>
    <row r="48" spans="2:14" x14ac:dyDescent="0.2">
      <c r="B48" s="6">
        <v>31</v>
      </c>
      <c r="C48" s="3">
        <f t="shared" si="2"/>
        <v>3</v>
      </c>
      <c r="D48" s="6">
        <f ca="1">(mVlookup(C48&amp;3,[1]!monsterDamage,"min",FALSE)+mVlookup(C48&amp;3,[1]!monsterDamage,"max",FALSE))/2</f>
        <v>0.13500000000000001</v>
      </c>
      <c r="E48" s="6">
        <f ca="1">(mVlookup(C48&amp;3,[1]!monsterDamage,"min",FALSE)+mVlookup(C48&amp;3,[1]!monsterDamage,"max",FALSE))/2</f>
        <v>0.13500000000000001</v>
      </c>
      <c r="F48" s="6">
        <f ca="1">(mVlookup(C48&amp;3,[1]!monsterDamage,"min",FALSE)+mVlookup(C48&amp;3,[1]!monsterDamage,"max",FALSE))/2</f>
        <v>0.13500000000000001</v>
      </c>
      <c r="G48" s="6">
        <f ca="1">(mVlookup(C48&amp;3,[1]!monsterDamage,"min",FALSE)+mVlookup(C48&amp;3,[1]!monsterDamage,"max",FALSE))/2</f>
        <v>0.13500000000000001</v>
      </c>
      <c r="H48" s="6">
        <f ca="1">(mVlookup(C48&amp;3,[1]!monsterDamage,"min",FALSE)+mVlookup(C48&amp;3,[1]!monsterDamage,"max",FALSE))/2</f>
        <v>0.13500000000000001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</row>
    <row r="49" spans="2:14" x14ac:dyDescent="0.2">
      <c r="B49" s="6">
        <v>32</v>
      </c>
      <c r="C49" s="3">
        <f t="shared" si="2"/>
        <v>3</v>
      </c>
      <c r="D49" s="6">
        <f ca="1">(mVlookup(C49&amp;3,[1]!monsterDamage,"min",FALSE)+mVlookup(C49&amp;3,[1]!monsterDamage,"max",FALSE))/2</f>
        <v>0.13500000000000001</v>
      </c>
      <c r="E49" s="6">
        <f ca="1">(mVlookup(C49&amp;3,[1]!monsterDamage,"min",FALSE)+mVlookup(C49&amp;3,[1]!monsterDamage,"max",FALSE))/2</f>
        <v>0.13500000000000001</v>
      </c>
      <c r="F49" s="6">
        <f ca="1">(mVlookup(C49&amp;3,[1]!monsterDamage,"min",FALSE)+mVlookup(C49&amp;3,[1]!monsterDamage,"max",FALSE))/2</f>
        <v>0.13500000000000001</v>
      </c>
      <c r="G49" s="6">
        <f ca="1">(mVlookup(C49&amp;3,[1]!monsterDamage,"min",FALSE)+mVlookup(C49&amp;3,[1]!monsterDamage,"max",FALSE))/2</f>
        <v>0.13500000000000001</v>
      </c>
      <c r="H49" s="6">
        <f ca="1">(mVlookup(C49&amp;3,[1]!monsterDamage,"min",FALSE)+mVlookup(C49&amp;3,[1]!monsterDamage,"max",FALSE))/2</f>
        <v>0.13500000000000001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</row>
    <row r="50" spans="2:14" x14ac:dyDescent="0.2">
      <c r="B50" s="6">
        <v>33</v>
      </c>
      <c r="C50" s="3">
        <f t="shared" si="2"/>
        <v>3</v>
      </c>
      <c r="D50" s="6">
        <f ca="1">(mVlookup(C50&amp;3,[1]!monsterDamage,"min",FALSE)+mVlookup(C50&amp;3,[1]!monsterDamage,"max",FALSE))/2</f>
        <v>0.13500000000000001</v>
      </c>
      <c r="E50" s="6">
        <f ca="1">(mVlookup(C50&amp;3,[1]!monsterDamage,"min",FALSE)+mVlookup(C50&amp;3,[1]!monsterDamage,"max",FALSE))/2</f>
        <v>0.13500000000000001</v>
      </c>
      <c r="F50" s="6">
        <f ca="1">(mVlookup(C50&amp;3,[1]!monsterDamage,"min",FALSE)+mVlookup(C50&amp;3,[1]!monsterDamage,"max",FALSE))/2</f>
        <v>0.13500000000000001</v>
      </c>
      <c r="G50" s="6">
        <f ca="1">(mVlookup(C50&amp;3,[1]!monsterDamage,"min",FALSE)+mVlookup(C50&amp;3,[1]!monsterDamage,"max",FALSE))/2</f>
        <v>0.13500000000000001</v>
      </c>
      <c r="H50" s="6">
        <f ca="1">(mVlookup(C50&amp;3,[1]!monsterDamage,"min",FALSE)+mVlookup(C50&amp;3,[1]!monsterDamage,"max",FALSE))/2</f>
        <v>0.13500000000000001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</row>
    <row r="51" spans="2:14" x14ac:dyDescent="0.2">
      <c r="B51" s="6">
        <v>34</v>
      </c>
      <c r="C51" s="3">
        <f t="shared" si="2"/>
        <v>4</v>
      </c>
      <c r="D51" s="6">
        <f ca="1">(mVlookup(C51&amp;3,[1]!monsterDamage,"min",FALSE)+mVlookup(C51&amp;3,[1]!monsterDamage,"max",FALSE))/2</f>
        <v>0.15000000000000002</v>
      </c>
      <c r="E51" s="6">
        <f ca="1">(mVlookup(C51&amp;3,[1]!monsterDamage,"min",FALSE)+mVlookup(C51&amp;3,[1]!monsterDamage,"max",FALSE))/2</f>
        <v>0.15000000000000002</v>
      </c>
      <c r="F51" s="6">
        <f ca="1">(mVlookup(C51&amp;3,[1]!monsterDamage,"min",FALSE)+mVlookup(C51&amp;3,[1]!monsterDamage,"max",FALSE))/2</f>
        <v>0.15000000000000002</v>
      </c>
      <c r="G51" s="6">
        <f ca="1">(mVlookup(C51&amp;3,[1]!monsterDamage,"min",FALSE)+mVlookup(C51&amp;3,[1]!monsterDamage,"max",FALSE))/2</f>
        <v>0.15000000000000002</v>
      </c>
      <c r="H51" s="6">
        <f ca="1">(mVlookup(C51&amp;3,[1]!monsterDamage,"min",FALSE)+mVlookup(C51&amp;3,[1]!monsterDamage,"max",FALSE))/2</f>
        <v>0.15000000000000002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</row>
    <row r="52" spans="2:14" x14ac:dyDescent="0.2">
      <c r="B52" s="6">
        <v>35</v>
      </c>
      <c r="C52" s="3">
        <f t="shared" si="2"/>
        <v>4</v>
      </c>
      <c r="D52" s="6">
        <f ca="1">(mVlookup(C52&amp;3,[1]!monsterDamage,"min",FALSE)+mVlookup(C52&amp;3,[1]!monsterDamage,"max",FALSE))/2</f>
        <v>0.15000000000000002</v>
      </c>
      <c r="E52" s="6">
        <f ca="1">(mVlookup(C52&amp;3,[1]!monsterDamage,"min",FALSE)+mVlookup(C52&amp;3,[1]!monsterDamage,"max",FALSE))/2</f>
        <v>0.15000000000000002</v>
      </c>
      <c r="F52" s="6">
        <f ca="1">(mVlookup(C52&amp;3,[1]!monsterDamage,"min",FALSE)+mVlookup(C52&amp;3,[1]!monsterDamage,"max",FALSE))/2</f>
        <v>0.15000000000000002</v>
      </c>
      <c r="G52" s="6">
        <f ca="1">(mVlookup(C52&amp;3,[1]!monsterDamage,"min",FALSE)+mVlookup(C52&amp;3,[1]!monsterDamage,"max",FALSE))/2</f>
        <v>0.15000000000000002</v>
      </c>
      <c r="H52" s="6">
        <f ca="1">(mVlookup(C52&amp;3,[1]!monsterDamage,"min",FALSE)+mVlookup(C52&amp;3,[1]!monsterDamage,"max",FALSE))/2</f>
        <v>0.15000000000000002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</row>
    <row r="53" spans="2:14" x14ac:dyDescent="0.2">
      <c r="B53" s="6">
        <v>36</v>
      </c>
      <c r="C53" s="3">
        <f t="shared" si="2"/>
        <v>4</v>
      </c>
      <c r="D53" s="6">
        <f ca="1">(mVlookup(C53&amp;3,[1]!monsterDamage,"min",FALSE)+mVlookup(C53&amp;3,[1]!monsterDamage,"max",FALSE))/2</f>
        <v>0.15000000000000002</v>
      </c>
      <c r="E53" s="6">
        <f ca="1">(mVlookup(C53&amp;3,[1]!monsterDamage,"min",FALSE)+mVlookup(C53&amp;3,[1]!monsterDamage,"max",FALSE))/2</f>
        <v>0.15000000000000002</v>
      </c>
      <c r="F53" s="6">
        <f ca="1">(mVlookup(C53&amp;3,[1]!monsterDamage,"min",FALSE)+mVlookup(C53&amp;3,[1]!monsterDamage,"max",FALSE))/2</f>
        <v>0.15000000000000002</v>
      </c>
      <c r="G53" s="6">
        <f ca="1">(mVlookup(C53&amp;3,[1]!monsterDamage,"min",FALSE)+mVlookup(C53&amp;3,[1]!monsterDamage,"max",FALSE))/2</f>
        <v>0.15000000000000002</v>
      </c>
      <c r="H53" s="6">
        <f ca="1">(mVlookup(C53&amp;3,[1]!monsterDamage,"min",FALSE)+mVlookup(C53&amp;3,[1]!monsterDamage,"max",FALSE))/2</f>
        <v>0.15000000000000002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</row>
    <row r="54" spans="2:14" x14ac:dyDescent="0.2">
      <c r="B54" s="6">
        <v>37</v>
      </c>
      <c r="C54" s="3">
        <f t="shared" si="2"/>
        <v>4</v>
      </c>
      <c r="D54" s="6">
        <f ca="1">(mVlookup(C54&amp;3,[1]!monsterDamage,"min",FALSE)+mVlookup(C54&amp;3,[1]!monsterDamage,"max",FALSE))/2</f>
        <v>0.15000000000000002</v>
      </c>
      <c r="E54" s="6">
        <f ca="1">(mVlookup(C54&amp;3,[1]!monsterDamage,"min",FALSE)+mVlookup(C54&amp;3,[1]!monsterDamage,"max",FALSE))/2</f>
        <v>0.15000000000000002</v>
      </c>
      <c r="F54" s="6">
        <f ca="1">(mVlookup(C54&amp;3,[1]!monsterDamage,"min",FALSE)+mVlookup(C54&amp;3,[1]!monsterDamage,"max",FALSE))/2</f>
        <v>0.15000000000000002</v>
      </c>
      <c r="G54" s="6">
        <f ca="1">(mVlookup(C54&amp;3,[1]!monsterDamage,"min",FALSE)+mVlookup(C54&amp;3,[1]!monsterDamage,"max",FALSE))/2</f>
        <v>0.15000000000000002</v>
      </c>
      <c r="H54" s="6">
        <f ca="1">(mVlookup(C54&amp;3,[1]!monsterDamage,"min",FALSE)+mVlookup(C54&amp;3,[1]!monsterDamage,"max",FALSE))/2</f>
        <v>0.15000000000000002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</row>
    <row r="55" spans="2:14" x14ac:dyDescent="0.2">
      <c r="B55" s="6">
        <v>38</v>
      </c>
      <c r="C55" s="3">
        <f t="shared" si="2"/>
        <v>4</v>
      </c>
      <c r="D55" s="6">
        <f ca="1">(mVlookup(C55&amp;3,[1]!monsterDamage,"min",FALSE)+mVlookup(C55&amp;3,[1]!monsterDamage,"max",FALSE))/2</f>
        <v>0.15000000000000002</v>
      </c>
      <c r="E55" s="6">
        <f ca="1">(mVlookup(C55&amp;3,[1]!monsterDamage,"min",FALSE)+mVlookup(C55&amp;3,[1]!monsterDamage,"max",FALSE))/2</f>
        <v>0.15000000000000002</v>
      </c>
      <c r="F55" s="6">
        <f ca="1">(mVlookup(C55&amp;3,[1]!monsterDamage,"min",FALSE)+mVlookup(C55&amp;3,[1]!monsterDamage,"max",FALSE))/2</f>
        <v>0.15000000000000002</v>
      </c>
      <c r="G55" s="6">
        <f ca="1">(mVlookup(C55&amp;3,[1]!monsterDamage,"min",FALSE)+mVlookup(C55&amp;3,[1]!monsterDamage,"max",FALSE))/2</f>
        <v>0.15000000000000002</v>
      </c>
      <c r="H55" s="6">
        <f ca="1">(mVlookup(C55&amp;3,[1]!monsterDamage,"min",FALSE)+mVlookup(C55&amp;3,[1]!monsterDamage,"max",FALSE))/2</f>
        <v>0.15000000000000002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</row>
    <row r="56" spans="2:14" x14ac:dyDescent="0.2">
      <c r="B56" s="6">
        <v>39</v>
      </c>
      <c r="C56" s="3">
        <f t="shared" si="2"/>
        <v>4</v>
      </c>
      <c r="D56" s="6">
        <f ca="1">(mVlookup(C56&amp;3,[1]!monsterDamage,"min",FALSE)+mVlookup(C56&amp;3,[1]!monsterDamage,"max",FALSE))/2</f>
        <v>0.15000000000000002</v>
      </c>
      <c r="E56" s="6">
        <f ca="1">(mVlookup(C56&amp;3,[1]!monsterDamage,"min",FALSE)+mVlookup(C56&amp;3,[1]!monsterDamage,"max",FALSE))/2</f>
        <v>0.15000000000000002</v>
      </c>
      <c r="F56" s="6">
        <f ca="1">(mVlookup(C56&amp;3,[1]!monsterDamage,"min",FALSE)+mVlookup(C56&amp;3,[1]!monsterDamage,"max",FALSE))/2</f>
        <v>0.15000000000000002</v>
      </c>
      <c r="G56" s="6">
        <f ca="1">(mVlookup(C56&amp;3,[1]!monsterDamage,"min",FALSE)+mVlookup(C56&amp;3,[1]!monsterDamage,"max",FALSE))/2</f>
        <v>0.15000000000000002</v>
      </c>
      <c r="H56" s="6">
        <f ca="1">(mVlookup(C56&amp;3,[1]!monsterDamage,"min",FALSE)+mVlookup(C56&amp;3,[1]!monsterDamage,"max",FALSE))/2</f>
        <v>0.15000000000000002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</row>
    <row r="57" spans="2:14" x14ac:dyDescent="0.2">
      <c r="B57" s="6">
        <v>40</v>
      </c>
      <c r="C57" s="3">
        <f t="shared" si="2"/>
        <v>4</v>
      </c>
      <c r="D57" s="6">
        <f ca="1">(mVlookup(C57&amp;3,[1]!monsterDamage,"min",FALSE)+mVlookup(C57&amp;3,[1]!monsterDamage,"max",FALSE))/2</f>
        <v>0.15000000000000002</v>
      </c>
      <c r="E57" s="6">
        <f ca="1">(mVlookup(C57&amp;3,[1]!monsterDamage,"min",FALSE)+mVlookup(C57&amp;3,[1]!monsterDamage,"max",FALSE))/2</f>
        <v>0.15000000000000002</v>
      </c>
      <c r="F57" s="6">
        <f ca="1">(mVlookup(C57&amp;3,[1]!monsterDamage,"min",FALSE)+mVlookup(C57&amp;3,[1]!monsterDamage,"max",FALSE))/2</f>
        <v>0.15000000000000002</v>
      </c>
      <c r="G57" s="6">
        <f ca="1">(mVlookup(C57&amp;3,[1]!monsterDamage,"min",FALSE)+mVlookup(C57&amp;3,[1]!monsterDamage,"max",FALSE))/2</f>
        <v>0.15000000000000002</v>
      </c>
      <c r="H57" s="6">
        <f ca="1">(mVlookup(C57&amp;3,[1]!monsterDamage,"min",FALSE)+mVlookup(C57&amp;3,[1]!monsterDamage,"max",FALSE))/2</f>
        <v>0.15000000000000002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</row>
    <row r="58" spans="2:14" x14ac:dyDescent="0.2">
      <c r="B58" s="6">
        <v>41</v>
      </c>
      <c r="C58" s="3">
        <f t="shared" si="2"/>
        <v>4</v>
      </c>
      <c r="D58" s="6">
        <f ca="1">(mVlookup(C58&amp;3,[1]!monsterDamage,"min",FALSE)+mVlookup(C58&amp;3,[1]!monsterDamage,"max",FALSE))/2</f>
        <v>0.15000000000000002</v>
      </c>
      <c r="E58" s="6">
        <f ca="1">(mVlookup(C58&amp;3,[1]!monsterDamage,"min",FALSE)+mVlookup(C58&amp;3,[1]!monsterDamage,"max",FALSE))/2</f>
        <v>0.15000000000000002</v>
      </c>
      <c r="F58" s="6">
        <f ca="1">(mVlookup(C58&amp;3,[1]!monsterDamage,"min",FALSE)+mVlookup(C58&amp;3,[1]!monsterDamage,"max",FALSE))/2</f>
        <v>0.15000000000000002</v>
      </c>
      <c r="G58" s="6">
        <f ca="1">(mVlookup(C58&amp;3,[1]!monsterDamage,"min",FALSE)+mVlookup(C58&amp;3,[1]!monsterDamage,"max",FALSE))/2</f>
        <v>0.15000000000000002</v>
      </c>
      <c r="H58" s="6">
        <f ca="1">(mVlookup(C58&amp;3,[1]!monsterDamage,"min",FALSE)+mVlookup(C58&amp;3,[1]!monsterDamage,"max",FALSE))/2</f>
        <v>0.15000000000000002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</row>
    <row r="59" spans="2:14" x14ac:dyDescent="0.2">
      <c r="B59" s="6">
        <v>42</v>
      </c>
      <c r="C59" s="3">
        <f t="shared" si="2"/>
        <v>4</v>
      </c>
      <c r="D59" s="6">
        <f ca="1">(mVlookup(C59&amp;3,[1]!monsterDamage,"min",FALSE)+mVlookup(C59&amp;3,[1]!monsterDamage,"max",FALSE))/2</f>
        <v>0.15000000000000002</v>
      </c>
      <c r="E59" s="6">
        <f ca="1">(mVlookup(C59&amp;3,[1]!monsterDamage,"min",FALSE)+mVlookup(C59&amp;3,[1]!monsterDamage,"max",FALSE))/2</f>
        <v>0.15000000000000002</v>
      </c>
      <c r="F59" s="6">
        <f ca="1">(mVlookup(C59&amp;3,[1]!monsterDamage,"min",FALSE)+mVlookup(C59&amp;3,[1]!monsterDamage,"max",FALSE))/2</f>
        <v>0.15000000000000002</v>
      </c>
      <c r="G59" s="6">
        <f ca="1">(mVlookup(C59&amp;3,[1]!monsterDamage,"min",FALSE)+mVlookup(C59&amp;3,[1]!monsterDamage,"max",FALSE))/2</f>
        <v>0.15000000000000002</v>
      </c>
      <c r="H59" s="6">
        <f ca="1">(mVlookup(C59&amp;3,[1]!monsterDamage,"min",FALSE)+mVlookup(C59&amp;3,[1]!monsterDamage,"max",FALSE))/2</f>
        <v>0.15000000000000002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</row>
    <row r="60" spans="2:14" x14ac:dyDescent="0.2">
      <c r="B60" s="6">
        <v>43</v>
      </c>
      <c r="C60" s="3">
        <f t="shared" si="2"/>
        <v>4</v>
      </c>
      <c r="D60" s="6">
        <f ca="1">(mVlookup(C60&amp;3,[1]!monsterDamage,"min",FALSE)+mVlookup(C60&amp;3,[1]!monsterDamage,"max",FALSE))/2</f>
        <v>0.15000000000000002</v>
      </c>
      <c r="E60" s="6">
        <f ca="1">(mVlookup(C60&amp;3,[1]!monsterDamage,"min",FALSE)+mVlookup(C60&amp;3,[1]!monsterDamage,"max",FALSE))/2</f>
        <v>0.15000000000000002</v>
      </c>
      <c r="F60" s="6">
        <f ca="1">(mVlookup(C60&amp;3,[1]!monsterDamage,"min",FALSE)+mVlookup(C60&amp;3,[1]!monsterDamage,"max",FALSE))/2</f>
        <v>0.15000000000000002</v>
      </c>
      <c r="G60" s="6">
        <f ca="1">(mVlookup(C60&amp;3,[1]!monsterDamage,"min",FALSE)+mVlookup(C60&amp;3,[1]!monsterDamage,"max",FALSE))/2</f>
        <v>0.15000000000000002</v>
      </c>
      <c r="H60" s="6">
        <f ca="1">(mVlookup(C60&amp;3,[1]!monsterDamage,"min",FALSE)+mVlookup(C60&amp;3,[1]!monsterDamage,"max",FALSE))/2</f>
        <v>0.15000000000000002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</row>
    <row r="61" spans="2:14" x14ac:dyDescent="0.2">
      <c r="B61" s="6">
        <v>44</v>
      </c>
      <c r="C61" s="3">
        <f t="shared" si="2"/>
        <v>4</v>
      </c>
      <c r="D61" s="6">
        <f ca="1">(mVlookup(C61&amp;3,[1]!monsterDamage,"min",FALSE)+mVlookup(C61&amp;3,[1]!monsterDamage,"max",FALSE))/2</f>
        <v>0.15000000000000002</v>
      </c>
      <c r="E61" s="6">
        <f ca="1">(mVlookup(C61&amp;3,[1]!monsterDamage,"min",FALSE)+mVlookup(C61&amp;3,[1]!monsterDamage,"max",FALSE))/2</f>
        <v>0.15000000000000002</v>
      </c>
      <c r="F61" s="6">
        <f ca="1">(mVlookup(C61&amp;3,[1]!monsterDamage,"min",FALSE)+mVlookup(C61&amp;3,[1]!monsterDamage,"max",FALSE))/2</f>
        <v>0.15000000000000002</v>
      </c>
      <c r="G61" s="6">
        <f ca="1">(mVlookup(C61&amp;3,[1]!monsterDamage,"min",FALSE)+mVlookup(C61&amp;3,[1]!monsterDamage,"max",FALSE))/2</f>
        <v>0.15000000000000002</v>
      </c>
      <c r="H61" s="6">
        <f ca="1">(mVlookup(C61&amp;3,[1]!monsterDamage,"min",FALSE)+mVlookup(C61&amp;3,[1]!monsterDamage,"max",FALSE))/2</f>
        <v>0.15000000000000002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</row>
    <row r="62" spans="2:14" x14ac:dyDescent="0.2">
      <c r="B62" s="6">
        <v>45</v>
      </c>
      <c r="C62" s="3">
        <f t="shared" si="2"/>
        <v>5</v>
      </c>
      <c r="D62" s="6">
        <f ca="1">(mVlookup(C62&amp;3,[1]!monsterDamage,"min",FALSE)+mVlookup(C62&amp;3,[1]!monsterDamage,"max",FALSE))/2</f>
        <v>0.16500000000000001</v>
      </c>
      <c r="E62" s="6">
        <f ca="1">(mVlookup(C62&amp;3,[1]!monsterDamage,"min",FALSE)+mVlookup(C62&amp;3,[1]!monsterDamage,"max",FALSE))/2</f>
        <v>0.16500000000000001</v>
      </c>
      <c r="F62" s="6">
        <f ca="1">(mVlookup(C62&amp;3,[1]!monsterDamage,"min",FALSE)+mVlookup(C62&amp;3,[1]!monsterDamage,"max",FALSE))/2</f>
        <v>0.16500000000000001</v>
      </c>
      <c r="G62" s="6">
        <f ca="1">(mVlookup(C62&amp;3,[1]!monsterDamage,"min",FALSE)+mVlookup(C62&amp;3,[1]!monsterDamage,"max",FALSE))/2</f>
        <v>0.16500000000000001</v>
      </c>
      <c r="H62" s="6">
        <f ca="1">(mVlookup(C62&amp;3,[1]!monsterDamage,"min",FALSE)+mVlookup(C62&amp;3,[1]!monsterDamage,"max",FALSE))/2</f>
        <v>0.16500000000000001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</row>
    <row r="63" spans="2:14" x14ac:dyDescent="0.2">
      <c r="B63" s="6">
        <v>46</v>
      </c>
      <c r="C63" s="3">
        <f t="shared" si="2"/>
        <v>5</v>
      </c>
      <c r="D63" s="6">
        <f ca="1">(mVlookup(C63&amp;3,[1]!monsterDamage,"min",FALSE)+mVlookup(C63&amp;3,[1]!monsterDamage,"max",FALSE))/2</f>
        <v>0.16500000000000001</v>
      </c>
      <c r="E63" s="6">
        <f ca="1">(mVlookup(C63&amp;3,[1]!monsterDamage,"min",FALSE)+mVlookup(C63&amp;3,[1]!monsterDamage,"max",FALSE))/2</f>
        <v>0.16500000000000001</v>
      </c>
      <c r="F63" s="6">
        <f ca="1">(mVlookup(C63&amp;3,[1]!monsterDamage,"min",FALSE)+mVlookup(C63&amp;3,[1]!monsterDamage,"max",FALSE))/2</f>
        <v>0.16500000000000001</v>
      </c>
      <c r="G63" s="6">
        <f ca="1">(mVlookup(C63&amp;3,[1]!monsterDamage,"min",FALSE)+mVlookup(C63&amp;3,[1]!monsterDamage,"max",FALSE))/2</f>
        <v>0.16500000000000001</v>
      </c>
      <c r="H63" s="6">
        <f ca="1">(mVlookup(C63&amp;3,[1]!monsterDamage,"min",FALSE)+mVlookup(C63&amp;3,[1]!monsterDamage,"max",FALSE))/2</f>
        <v>0.16500000000000001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</row>
    <row r="64" spans="2:14" x14ac:dyDescent="0.2">
      <c r="B64" s="6">
        <v>47</v>
      </c>
      <c r="C64" s="3">
        <f t="shared" si="2"/>
        <v>5</v>
      </c>
      <c r="D64" s="6">
        <f ca="1">(mVlookup(C64&amp;3,[1]!monsterDamage,"min",FALSE)+mVlookup(C64&amp;3,[1]!monsterDamage,"max",FALSE))/2</f>
        <v>0.16500000000000001</v>
      </c>
      <c r="E64" s="6">
        <f ca="1">(mVlookup(C64&amp;3,[1]!monsterDamage,"min",FALSE)+mVlookup(C64&amp;3,[1]!monsterDamage,"max",FALSE))/2</f>
        <v>0.16500000000000001</v>
      </c>
      <c r="F64" s="6">
        <f ca="1">(mVlookup(C64&amp;3,[1]!monsterDamage,"min",FALSE)+mVlookup(C64&amp;3,[1]!monsterDamage,"max",FALSE))/2</f>
        <v>0.16500000000000001</v>
      </c>
      <c r="G64" s="6">
        <f ca="1">(mVlookup(C64&amp;3,[1]!monsterDamage,"min",FALSE)+mVlookup(C64&amp;3,[1]!monsterDamage,"max",FALSE))/2</f>
        <v>0.16500000000000001</v>
      </c>
      <c r="H64" s="6">
        <f ca="1">(mVlookup(C64&amp;3,[1]!monsterDamage,"min",FALSE)+mVlookup(C64&amp;3,[1]!monsterDamage,"max",FALSE))/2</f>
        <v>0.16500000000000001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</row>
    <row r="65" spans="2:14" x14ac:dyDescent="0.2">
      <c r="B65" s="6">
        <v>48</v>
      </c>
      <c r="C65" s="3">
        <f t="shared" si="2"/>
        <v>5</v>
      </c>
      <c r="D65" s="6">
        <f ca="1">(mVlookup(C65&amp;3,[1]!monsterDamage,"min",FALSE)+mVlookup(C65&amp;3,[1]!monsterDamage,"max",FALSE))/2</f>
        <v>0.16500000000000001</v>
      </c>
      <c r="E65" s="6">
        <f ca="1">(mVlookup(C65&amp;3,[1]!monsterDamage,"min",FALSE)+mVlookup(C65&amp;3,[1]!monsterDamage,"max",FALSE))/2</f>
        <v>0.16500000000000001</v>
      </c>
      <c r="F65" s="6">
        <f ca="1">(mVlookup(C65&amp;3,[1]!monsterDamage,"min",FALSE)+mVlookup(C65&amp;3,[1]!monsterDamage,"max",FALSE))/2</f>
        <v>0.16500000000000001</v>
      </c>
      <c r="G65" s="6">
        <f ca="1">(mVlookup(C65&amp;3,[1]!monsterDamage,"min",FALSE)+mVlookup(C65&amp;3,[1]!monsterDamage,"max",FALSE))/2</f>
        <v>0.16500000000000001</v>
      </c>
      <c r="H65" s="6">
        <f ca="1">(mVlookup(C65&amp;3,[1]!monsterDamage,"min",FALSE)+mVlookup(C65&amp;3,[1]!monsterDamage,"max",FALSE))/2</f>
        <v>0.16500000000000001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</row>
    <row r="66" spans="2:14" x14ac:dyDescent="0.2">
      <c r="B66" s="6">
        <v>49</v>
      </c>
      <c r="C66" s="3">
        <f t="shared" si="2"/>
        <v>5</v>
      </c>
      <c r="D66" s="6">
        <f ca="1">(mVlookup(C66&amp;3,[1]!monsterDamage,"min",FALSE)+mVlookup(C66&amp;3,[1]!monsterDamage,"max",FALSE))/2</f>
        <v>0.16500000000000001</v>
      </c>
      <c r="E66" s="6">
        <f ca="1">(mVlookup(C66&amp;3,[1]!monsterDamage,"min",FALSE)+mVlookup(C66&amp;3,[1]!monsterDamage,"max",FALSE))/2</f>
        <v>0.16500000000000001</v>
      </c>
      <c r="F66" s="6">
        <f ca="1">(mVlookup(C66&amp;3,[1]!monsterDamage,"min",FALSE)+mVlookup(C66&amp;3,[1]!monsterDamage,"max",FALSE))/2</f>
        <v>0.16500000000000001</v>
      </c>
      <c r="G66" s="6">
        <f ca="1">(mVlookup(C66&amp;3,[1]!monsterDamage,"min",FALSE)+mVlookup(C66&amp;3,[1]!monsterDamage,"max",FALSE))/2</f>
        <v>0.16500000000000001</v>
      </c>
      <c r="H66" s="6">
        <f ca="1">(mVlookup(C66&amp;3,[1]!monsterDamage,"min",FALSE)+mVlookup(C66&amp;3,[1]!monsterDamage,"max",FALSE))/2</f>
        <v>0.16500000000000001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</row>
    <row r="67" spans="2:14" x14ac:dyDescent="0.2">
      <c r="B67" s="6">
        <v>50</v>
      </c>
      <c r="C67" s="3">
        <f t="shared" si="2"/>
        <v>5</v>
      </c>
      <c r="D67" s="6">
        <f ca="1">(mVlookup(C67&amp;3,[1]!monsterDamage,"min",FALSE)+mVlookup(C67&amp;3,[1]!monsterDamage,"max",FALSE))/2</f>
        <v>0.16500000000000001</v>
      </c>
      <c r="E67" s="6">
        <f ca="1">(mVlookup(C67&amp;3,[1]!monsterDamage,"min",FALSE)+mVlookup(C67&amp;3,[1]!monsterDamage,"max",FALSE))/2</f>
        <v>0.16500000000000001</v>
      </c>
      <c r="F67" s="6">
        <f ca="1">(mVlookup(C67&amp;3,[1]!monsterDamage,"min",FALSE)+mVlookup(C67&amp;3,[1]!monsterDamage,"max",FALSE))/2</f>
        <v>0.16500000000000001</v>
      </c>
      <c r="G67" s="6">
        <f ca="1">(mVlookup(C67&amp;3,[1]!monsterDamage,"min",FALSE)+mVlookup(C67&amp;3,[1]!monsterDamage,"max",FALSE))/2</f>
        <v>0.16500000000000001</v>
      </c>
      <c r="H67" s="6">
        <f ca="1">(mVlookup(C67&amp;3,[1]!monsterDamage,"min",FALSE)+mVlookup(C67&amp;3,[1]!monsterDamage,"max",FALSE))/2</f>
        <v>0.16500000000000001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</row>
    <row r="68" spans="2:14" x14ac:dyDescent="0.2">
      <c r="B68" s="6">
        <v>51</v>
      </c>
      <c r="C68" s="3">
        <f t="shared" si="2"/>
        <v>5</v>
      </c>
      <c r="D68" s="6">
        <f ca="1">(mVlookup(C68&amp;3,[1]!monsterDamage,"min",FALSE)+mVlookup(C68&amp;3,[1]!monsterDamage,"max",FALSE))/2</f>
        <v>0.16500000000000001</v>
      </c>
      <c r="E68" s="6">
        <f ca="1">(mVlookup(C68&amp;3,[1]!monsterDamage,"min",FALSE)+mVlookup(C68&amp;3,[1]!monsterDamage,"max",FALSE))/2</f>
        <v>0.16500000000000001</v>
      </c>
      <c r="F68" s="6">
        <f ca="1">(mVlookup(C68&amp;3,[1]!monsterDamage,"min",FALSE)+mVlookup(C68&amp;3,[1]!monsterDamage,"max",FALSE))/2</f>
        <v>0.16500000000000001</v>
      </c>
      <c r="G68" s="6">
        <f ca="1">(mVlookup(C68&amp;3,[1]!monsterDamage,"min",FALSE)+mVlookup(C68&amp;3,[1]!monsterDamage,"max",FALSE))/2</f>
        <v>0.16500000000000001</v>
      </c>
      <c r="H68" s="6">
        <f ca="1">(mVlookup(C68&amp;3,[1]!monsterDamage,"min",FALSE)+mVlookup(C68&amp;3,[1]!monsterDamage,"max",FALSE))/2</f>
        <v>0.16500000000000001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</row>
    <row r="69" spans="2:14" x14ac:dyDescent="0.2">
      <c r="B69" s="6">
        <v>52</v>
      </c>
      <c r="C69" s="3">
        <f t="shared" si="2"/>
        <v>5</v>
      </c>
      <c r="D69" s="6">
        <f ca="1">(mVlookup(C69&amp;3,[1]!monsterDamage,"min",FALSE)+mVlookup(C69&amp;3,[1]!monsterDamage,"max",FALSE))/2</f>
        <v>0.16500000000000001</v>
      </c>
      <c r="E69" s="6">
        <f ca="1">(mVlookup(C69&amp;3,[1]!monsterDamage,"min",FALSE)+mVlookup(C69&amp;3,[1]!monsterDamage,"max",FALSE))/2</f>
        <v>0.16500000000000001</v>
      </c>
      <c r="F69" s="6">
        <f ca="1">(mVlookup(C69&amp;3,[1]!monsterDamage,"min",FALSE)+mVlookup(C69&amp;3,[1]!monsterDamage,"max",FALSE))/2</f>
        <v>0.16500000000000001</v>
      </c>
      <c r="G69" s="6">
        <f ca="1">(mVlookup(C69&amp;3,[1]!monsterDamage,"min",FALSE)+mVlookup(C69&amp;3,[1]!monsterDamage,"max",FALSE))/2</f>
        <v>0.16500000000000001</v>
      </c>
      <c r="H69" s="6">
        <f ca="1">(mVlookup(C69&amp;3,[1]!monsterDamage,"min",FALSE)+mVlookup(C69&amp;3,[1]!monsterDamage,"max",FALSE))/2</f>
        <v>0.16500000000000001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</row>
    <row r="70" spans="2:14" x14ac:dyDescent="0.2">
      <c r="B70" s="6">
        <v>53</v>
      </c>
      <c r="C70" s="3">
        <f t="shared" si="2"/>
        <v>5</v>
      </c>
      <c r="D70" s="6">
        <f ca="1">(mVlookup(C70&amp;3,[1]!monsterDamage,"min",FALSE)+mVlookup(C70&amp;3,[1]!monsterDamage,"max",FALSE))/2</f>
        <v>0.16500000000000001</v>
      </c>
      <c r="E70" s="6">
        <f ca="1">(mVlookup(C70&amp;3,[1]!monsterDamage,"min",FALSE)+mVlookup(C70&amp;3,[1]!monsterDamage,"max",FALSE))/2</f>
        <v>0.16500000000000001</v>
      </c>
      <c r="F70" s="6">
        <f ca="1">(mVlookup(C70&amp;3,[1]!monsterDamage,"min",FALSE)+mVlookup(C70&amp;3,[1]!monsterDamage,"max",FALSE))/2</f>
        <v>0.16500000000000001</v>
      </c>
      <c r="G70" s="6">
        <f ca="1">(mVlookup(C70&amp;3,[1]!monsterDamage,"min",FALSE)+mVlookup(C70&amp;3,[1]!monsterDamage,"max",FALSE))/2</f>
        <v>0.16500000000000001</v>
      </c>
      <c r="H70" s="6">
        <f ca="1">(mVlookup(C70&amp;3,[1]!monsterDamage,"min",FALSE)+mVlookup(C70&amp;3,[1]!monsterDamage,"max",FALSE))/2</f>
        <v>0.16500000000000001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</row>
    <row r="71" spans="2:14" x14ac:dyDescent="0.2">
      <c r="B71" s="6">
        <v>54</v>
      </c>
      <c r="C71" s="3">
        <f t="shared" si="2"/>
        <v>5</v>
      </c>
      <c r="D71" s="6">
        <f ca="1">(mVlookup(C71&amp;3,[1]!monsterDamage,"min",FALSE)+mVlookup(C71&amp;3,[1]!monsterDamage,"max",FALSE))/2</f>
        <v>0.16500000000000001</v>
      </c>
      <c r="E71" s="6">
        <f ca="1">(mVlookup(C71&amp;3,[1]!monsterDamage,"min",FALSE)+mVlookup(C71&amp;3,[1]!monsterDamage,"max",FALSE))/2</f>
        <v>0.16500000000000001</v>
      </c>
      <c r="F71" s="6">
        <f ca="1">(mVlookup(C71&amp;3,[1]!monsterDamage,"min",FALSE)+mVlookup(C71&amp;3,[1]!monsterDamage,"max",FALSE))/2</f>
        <v>0.16500000000000001</v>
      </c>
      <c r="G71" s="6">
        <f ca="1">(mVlookup(C71&amp;3,[1]!monsterDamage,"min",FALSE)+mVlookup(C71&amp;3,[1]!monsterDamage,"max",FALSE))/2</f>
        <v>0.16500000000000001</v>
      </c>
      <c r="H71" s="6">
        <f ca="1">(mVlookup(C71&amp;3,[1]!monsterDamage,"min",FALSE)+mVlookup(C71&amp;3,[1]!monsterDamage,"max",FALSE))/2</f>
        <v>0.16500000000000001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</row>
    <row r="72" spans="2:14" x14ac:dyDescent="0.2">
      <c r="B72" s="6">
        <v>55</v>
      </c>
      <c r="C72" s="3">
        <f t="shared" si="2"/>
        <v>5</v>
      </c>
      <c r="D72" s="6">
        <f ca="1">(mVlookup(C72&amp;3,[1]!monsterDamage,"min",FALSE)+mVlookup(C72&amp;3,[1]!monsterDamage,"max",FALSE))/2</f>
        <v>0.16500000000000001</v>
      </c>
      <c r="E72" s="6">
        <f ca="1">(mVlookup(C72&amp;3,[1]!monsterDamage,"min",FALSE)+mVlookup(C72&amp;3,[1]!monsterDamage,"max",FALSE))/2</f>
        <v>0.16500000000000001</v>
      </c>
      <c r="F72" s="6">
        <f ca="1">(mVlookup(C72&amp;3,[1]!monsterDamage,"min",FALSE)+mVlookup(C72&amp;3,[1]!monsterDamage,"max",FALSE))/2</f>
        <v>0.16500000000000001</v>
      </c>
      <c r="G72" s="6">
        <f ca="1">(mVlookup(C72&amp;3,[1]!monsterDamage,"min",FALSE)+mVlookup(C72&amp;3,[1]!monsterDamage,"max",FALSE))/2</f>
        <v>0.16500000000000001</v>
      </c>
      <c r="H72" s="6">
        <f ca="1">(mVlookup(C72&amp;3,[1]!monsterDamage,"min",FALSE)+mVlookup(C72&amp;3,[1]!monsterDamage,"max",FALSE))/2</f>
        <v>0.16500000000000001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</row>
    <row r="73" spans="2:14" x14ac:dyDescent="0.2">
      <c r="B73" s="6">
        <v>56</v>
      </c>
      <c r="C73" s="3">
        <f t="shared" si="2"/>
        <v>6</v>
      </c>
      <c r="D73" s="6">
        <f ca="1">(mVlookup(C73&amp;3,[1]!monsterDamage,"min",FALSE)+mVlookup(C73&amp;3,[1]!monsterDamage,"max",FALSE))/2</f>
        <v>0.18</v>
      </c>
      <c r="E73" s="6">
        <f ca="1">(mVlookup(C73&amp;3,[1]!monsterDamage,"min",FALSE)+mVlookup(C73&amp;3,[1]!monsterDamage,"max",FALSE))/2</f>
        <v>0.18</v>
      </c>
      <c r="F73" s="6">
        <f ca="1">(mVlookup(C73&amp;3,[1]!monsterDamage,"min",FALSE)+mVlookup(C73&amp;3,[1]!monsterDamage,"max",FALSE))/2</f>
        <v>0.18</v>
      </c>
      <c r="G73" s="6">
        <f ca="1">(mVlookup(C73&amp;3,[1]!monsterDamage,"min",FALSE)+mVlookup(C73&amp;3,[1]!monsterDamage,"max",FALSE))/2</f>
        <v>0.18</v>
      </c>
      <c r="H73" s="6">
        <f ca="1">(mVlookup(C73&amp;3,[1]!monsterDamage,"min",FALSE)+mVlookup(C73&amp;3,[1]!monsterDamage,"max",FALSE))/2</f>
        <v>0.18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</row>
    <row r="74" spans="2:14" x14ac:dyDescent="0.2">
      <c r="B74" s="6">
        <v>57</v>
      </c>
      <c r="C74" s="3">
        <f t="shared" si="2"/>
        <v>6</v>
      </c>
      <c r="D74" s="6">
        <f ca="1">(mVlookup(C74&amp;3,[1]!monsterDamage,"min",FALSE)+mVlookup(C74&amp;3,[1]!monsterDamage,"max",FALSE))/2</f>
        <v>0.18</v>
      </c>
      <c r="E74" s="6">
        <f ca="1">(mVlookup(C74&amp;3,[1]!monsterDamage,"min",FALSE)+mVlookup(C74&amp;3,[1]!monsterDamage,"max",FALSE))/2</f>
        <v>0.18</v>
      </c>
      <c r="F74" s="6">
        <f ca="1">(mVlookup(C74&amp;3,[1]!monsterDamage,"min",FALSE)+mVlookup(C74&amp;3,[1]!monsterDamage,"max",FALSE))/2</f>
        <v>0.18</v>
      </c>
      <c r="G74" s="6">
        <f ca="1">(mVlookup(C74&amp;3,[1]!monsterDamage,"min",FALSE)+mVlookup(C74&amp;3,[1]!monsterDamage,"max",FALSE))/2</f>
        <v>0.18</v>
      </c>
      <c r="H74" s="6">
        <f ca="1">(mVlookup(C74&amp;3,[1]!monsterDamage,"min",FALSE)+mVlookup(C74&amp;3,[1]!monsterDamage,"max",FALSE))/2</f>
        <v>0.18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</row>
    <row r="75" spans="2:14" x14ac:dyDescent="0.2">
      <c r="B75" s="6">
        <v>58</v>
      </c>
      <c r="C75" s="3">
        <f t="shared" si="2"/>
        <v>6</v>
      </c>
      <c r="D75" s="6">
        <f ca="1">(mVlookup(C75&amp;3,[1]!monsterDamage,"min",FALSE)+mVlookup(C75&amp;3,[1]!monsterDamage,"max",FALSE))/2</f>
        <v>0.18</v>
      </c>
      <c r="E75" s="6">
        <f ca="1">(mVlookup(C75&amp;3,[1]!monsterDamage,"min",FALSE)+mVlookup(C75&amp;3,[1]!monsterDamage,"max",FALSE))/2</f>
        <v>0.18</v>
      </c>
      <c r="F75" s="6">
        <f ca="1">(mVlookup(C75&amp;3,[1]!monsterDamage,"min",FALSE)+mVlookup(C75&amp;3,[1]!monsterDamage,"max",FALSE))/2</f>
        <v>0.18</v>
      </c>
      <c r="G75" s="6">
        <f ca="1">(mVlookup(C75&amp;3,[1]!monsterDamage,"min",FALSE)+mVlookup(C75&amp;3,[1]!monsterDamage,"max",FALSE))/2</f>
        <v>0.18</v>
      </c>
      <c r="H75" s="6">
        <f ca="1">(mVlookup(C75&amp;3,[1]!monsterDamage,"min",FALSE)+mVlookup(C75&amp;3,[1]!monsterDamage,"max",FALSE))/2</f>
        <v>0.18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</row>
    <row r="76" spans="2:14" x14ac:dyDescent="0.2">
      <c r="B76" s="6">
        <v>59</v>
      </c>
      <c r="C76" s="3">
        <f t="shared" si="2"/>
        <v>6</v>
      </c>
      <c r="D76" s="6">
        <f ca="1">(mVlookup(C76&amp;3,[1]!monsterDamage,"min",FALSE)+mVlookup(C76&amp;3,[1]!monsterDamage,"max",FALSE))/2</f>
        <v>0.18</v>
      </c>
      <c r="E76" s="6">
        <f ca="1">(mVlookup(C76&amp;3,[1]!monsterDamage,"min",FALSE)+mVlookup(C76&amp;3,[1]!monsterDamage,"max",FALSE))/2</f>
        <v>0.18</v>
      </c>
      <c r="F76" s="6">
        <f ca="1">(mVlookup(C76&amp;3,[1]!monsterDamage,"min",FALSE)+mVlookup(C76&amp;3,[1]!monsterDamage,"max",FALSE))/2</f>
        <v>0.18</v>
      </c>
      <c r="G76" s="6">
        <f ca="1">(mVlookup(C76&amp;3,[1]!monsterDamage,"min",FALSE)+mVlookup(C76&amp;3,[1]!monsterDamage,"max",FALSE))/2</f>
        <v>0.18</v>
      </c>
      <c r="H76" s="6">
        <f ca="1">(mVlookup(C76&amp;3,[1]!monsterDamage,"min",FALSE)+mVlookup(C76&amp;3,[1]!monsterDamage,"max",FALSE))/2</f>
        <v>0.18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</row>
    <row r="77" spans="2:14" x14ac:dyDescent="0.2">
      <c r="B77" s="6">
        <v>60</v>
      </c>
      <c r="C77" s="3">
        <f t="shared" si="2"/>
        <v>6</v>
      </c>
      <c r="D77" s="6">
        <f ca="1">(mVlookup(C77&amp;3,[1]!monsterDamage,"min",FALSE)+mVlookup(C77&amp;3,[1]!monsterDamage,"max",FALSE))/2</f>
        <v>0.18</v>
      </c>
      <c r="E77" s="6">
        <f ca="1">(mVlookup(C77&amp;3,[1]!monsterDamage,"min",FALSE)+mVlookup(C77&amp;3,[1]!monsterDamage,"max",FALSE))/2</f>
        <v>0.18</v>
      </c>
      <c r="F77" s="6">
        <f ca="1">(mVlookup(C77&amp;3,[1]!monsterDamage,"min",FALSE)+mVlookup(C77&amp;3,[1]!monsterDamage,"max",FALSE))/2</f>
        <v>0.18</v>
      </c>
      <c r="G77" s="6">
        <f ca="1">(mVlookup(C77&amp;3,[1]!monsterDamage,"min",FALSE)+mVlookup(C77&amp;3,[1]!monsterDamage,"max",FALSE))/2</f>
        <v>0.18</v>
      </c>
      <c r="H77" s="6">
        <f ca="1">(mVlookup(C77&amp;3,[1]!monsterDamage,"min",FALSE)+mVlookup(C77&amp;3,[1]!monsterDamage,"max",FALSE))/2</f>
        <v>0.18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</row>
    <row r="78" spans="2:14" x14ac:dyDescent="0.2">
      <c r="B78" s="6">
        <v>61</v>
      </c>
      <c r="C78" s="3">
        <f t="shared" si="2"/>
        <v>6</v>
      </c>
      <c r="D78" s="6">
        <f ca="1">(mVlookup(C78&amp;3,[1]!monsterDamage,"min",FALSE)+mVlookup(C78&amp;3,[1]!monsterDamage,"max",FALSE))/2</f>
        <v>0.18</v>
      </c>
      <c r="E78" s="6">
        <f ca="1">(mVlookup(C78&amp;3,[1]!monsterDamage,"min",FALSE)+mVlookup(C78&amp;3,[1]!monsterDamage,"max",FALSE))/2</f>
        <v>0.18</v>
      </c>
      <c r="F78" s="6">
        <f ca="1">(mVlookup(C78&amp;3,[1]!monsterDamage,"min",FALSE)+mVlookup(C78&amp;3,[1]!monsterDamage,"max",FALSE))/2</f>
        <v>0.18</v>
      </c>
      <c r="G78" s="6">
        <f ca="1">(mVlookup(C78&amp;3,[1]!monsterDamage,"min",FALSE)+mVlookup(C78&amp;3,[1]!monsterDamage,"max",FALSE))/2</f>
        <v>0.18</v>
      </c>
      <c r="H78" s="6">
        <f ca="1">(mVlookup(C78&amp;3,[1]!monsterDamage,"min",FALSE)+mVlookup(C78&amp;3,[1]!monsterDamage,"max",FALSE))/2</f>
        <v>0.18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</row>
    <row r="79" spans="2:14" x14ac:dyDescent="0.2">
      <c r="B79" s="6">
        <v>62</v>
      </c>
      <c r="C79" s="3">
        <f t="shared" si="2"/>
        <v>6</v>
      </c>
      <c r="D79" s="6">
        <f ca="1">(mVlookup(C79&amp;3,[1]!monsterDamage,"min",FALSE)+mVlookup(C79&amp;3,[1]!monsterDamage,"max",FALSE))/2</f>
        <v>0.18</v>
      </c>
      <c r="E79" s="6">
        <f ca="1">(mVlookup(C79&amp;3,[1]!monsterDamage,"min",FALSE)+mVlookup(C79&amp;3,[1]!monsterDamage,"max",FALSE))/2</f>
        <v>0.18</v>
      </c>
      <c r="F79" s="6">
        <f ca="1">(mVlookup(C79&amp;3,[1]!monsterDamage,"min",FALSE)+mVlookup(C79&amp;3,[1]!monsterDamage,"max",FALSE))/2</f>
        <v>0.18</v>
      </c>
      <c r="G79" s="6">
        <f ca="1">(mVlookup(C79&amp;3,[1]!monsterDamage,"min",FALSE)+mVlookup(C79&amp;3,[1]!monsterDamage,"max",FALSE))/2</f>
        <v>0.18</v>
      </c>
      <c r="H79" s="6">
        <f ca="1">(mVlookup(C79&amp;3,[1]!monsterDamage,"min",FALSE)+mVlookup(C79&amp;3,[1]!monsterDamage,"max",FALSE))/2</f>
        <v>0.18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</row>
    <row r="80" spans="2:14" x14ac:dyDescent="0.2">
      <c r="B80" s="6">
        <v>63</v>
      </c>
      <c r="C80" s="3">
        <f t="shared" si="2"/>
        <v>6</v>
      </c>
      <c r="D80" s="6">
        <f ca="1">(mVlookup(C80&amp;3,[1]!monsterDamage,"min",FALSE)+mVlookup(C80&amp;3,[1]!monsterDamage,"max",FALSE))/2</f>
        <v>0.18</v>
      </c>
      <c r="E80" s="6">
        <f ca="1">(mVlookup(C80&amp;3,[1]!monsterDamage,"min",FALSE)+mVlookup(C80&amp;3,[1]!monsterDamage,"max",FALSE))/2</f>
        <v>0.18</v>
      </c>
      <c r="F80" s="6">
        <f ca="1">(mVlookup(C80&amp;3,[1]!monsterDamage,"min",FALSE)+mVlookup(C80&amp;3,[1]!monsterDamage,"max",FALSE))/2</f>
        <v>0.18</v>
      </c>
      <c r="G80" s="6">
        <f ca="1">(mVlookup(C80&amp;3,[1]!monsterDamage,"min",FALSE)+mVlookup(C80&amp;3,[1]!monsterDamage,"max",FALSE))/2</f>
        <v>0.18</v>
      </c>
      <c r="H80" s="6">
        <f ca="1">(mVlookup(C80&amp;3,[1]!monsterDamage,"min",FALSE)+mVlookup(C80&amp;3,[1]!monsterDamage,"max",FALSE))/2</f>
        <v>0.18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</row>
    <row r="81" spans="2:14" x14ac:dyDescent="0.2">
      <c r="B81" s="6">
        <v>64</v>
      </c>
      <c r="C81" s="3">
        <f t="shared" si="2"/>
        <v>6</v>
      </c>
      <c r="D81" s="6">
        <f ca="1">(mVlookup(C81&amp;3,[1]!monsterDamage,"min",FALSE)+mVlookup(C81&amp;3,[1]!monsterDamage,"max",FALSE))/2</f>
        <v>0.18</v>
      </c>
      <c r="E81" s="6">
        <f ca="1">(mVlookup(C81&amp;3,[1]!monsterDamage,"min",FALSE)+mVlookup(C81&amp;3,[1]!monsterDamage,"max",FALSE))/2</f>
        <v>0.18</v>
      </c>
      <c r="F81" s="6">
        <f ca="1">(mVlookup(C81&amp;3,[1]!monsterDamage,"min",FALSE)+mVlookup(C81&amp;3,[1]!monsterDamage,"max",FALSE))/2</f>
        <v>0.18</v>
      </c>
      <c r="G81" s="6">
        <f ca="1">(mVlookup(C81&amp;3,[1]!monsterDamage,"min",FALSE)+mVlookup(C81&amp;3,[1]!monsterDamage,"max",FALSE))/2</f>
        <v>0.18</v>
      </c>
      <c r="H81" s="6">
        <f ca="1">(mVlookup(C81&amp;3,[1]!monsterDamage,"min",FALSE)+mVlookup(C81&amp;3,[1]!monsterDamage,"max",FALSE))/2</f>
        <v>0.18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</row>
    <row r="82" spans="2:14" x14ac:dyDescent="0.2">
      <c r="B82" s="6">
        <v>65</v>
      </c>
      <c r="C82" s="3">
        <f t="shared" si="2"/>
        <v>6</v>
      </c>
      <c r="D82" s="6">
        <f ca="1">(mVlookup(C82&amp;3,[1]!monsterDamage,"min",FALSE)+mVlookup(C82&amp;3,[1]!monsterDamage,"max",FALSE))/2</f>
        <v>0.18</v>
      </c>
      <c r="E82" s="6">
        <f ca="1">(mVlookup(C82&amp;3,[1]!monsterDamage,"min",FALSE)+mVlookup(C82&amp;3,[1]!monsterDamage,"max",FALSE))/2</f>
        <v>0.18</v>
      </c>
      <c r="F82" s="6">
        <f ca="1">(mVlookup(C82&amp;3,[1]!monsterDamage,"min",FALSE)+mVlookup(C82&amp;3,[1]!monsterDamage,"max",FALSE))/2</f>
        <v>0.18</v>
      </c>
      <c r="G82" s="6">
        <f ca="1">(mVlookup(C82&amp;3,[1]!monsterDamage,"min",FALSE)+mVlookup(C82&amp;3,[1]!monsterDamage,"max",FALSE))/2</f>
        <v>0.18</v>
      </c>
      <c r="H82" s="6">
        <f ca="1">(mVlookup(C82&amp;3,[1]!monsterDamage,"min",FALSE)+mVlookup(C82&amp;3,[1]!monsterDamage,"max",FALSE))/2</f>
        <v>0.18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</row>
    <row r="83" spans="2:14" x14ac:dyDescent="0.2">
      <c r="B83" s="6">
        <v>66</v>
      </c>
      <c r="C83" s="3">
        <f t="shared" ref="C83:C116" si="3">ROUNDUP(B83/(100/9),0)</f>
        <v>6</v>
      </c>
      <c r="D83" s="6">
        <f ca="1">(mVlookup(C83&amp;3,[1]!monsterDamage,"min",FALSE)+mVlookup(C83&amp;3,[1]!monsterDamage,"max",FALSE))/2</f>
        <v>0.18</v>
      </c>
      <c r="E83" s="6">
        <f ca="1">(mVlookup(C83&amp;3,[1]!monsterDamage,"min",FALSE)+mVlookup(C83&amp;3,[1]!monsterDamage,"max",FALSE))/2</f>
        <v>0.18</v>
      </c>
      <c r="F83" s="6">
        <f ca="1">(mVlookup(C83&amp;3,[1]!monsterDamage,"min",FALSE)+mVlookup(C83&amp;3,[1]!monsterDamage,"max",FALSE))/2</f>
        <v>0.18</v>
      </c>
      <c r="G83" s="6">
        <f ca="1">(mVlookup(C83&amp;3,[1]!monsterDamage,"min",FALSE)+mVlookup(C83&amp;3,[1]!monsterDamage,"max",FALSE))/2</f>
        <v>0.18</v>
      </c>
      <c r="H83" s="6">
        <f ca="1">(mVlookup(C83&amp;3,[1]!monsterDamage,"min",FALSE)+mVlookup(C83&amp;3,[1]!monsterDamage,"max",FALSE))/2</f>
        <v>0.18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</row>
    <row r="84" spans="2:14" x14ac:dyDescent="0.2">
      <c r="B84" s="6">
        <v>67</v>
      </c>
      <c r="C84" s="3">
        <f t="shared" si="3"/>
        <v>7</v>
      </c>
      <c r="D84" s="6">
        <f ca="1">(mVlookup(C84&amp;3,[1]!monsterDamage,"min",FALSE)+mVlookup(C84&amp;3,[1]!monsterDamage,"max",FALSE))/2</f>
        <v>0.19500000000000001</v>
      </c>
      <c r="E84" s="6">
        <f ca="1">(mVlookup(C84&amp;3,[1]!monsterDamage,"min",FALSE)+mVlookup(C84&amp;3,[1]!monsterDamage,"max",FALSE))/2</f>
        <v>0.19500000000000001</v>
      </c>
      <c r="F84" s="6">
        <f ca="1">(mVlookup(C84&amp;3,[1]!monsterDamage,"min",FALSE)+mVlookup(C84&amp;3,[1]!monsterDamage,"max",FALSE))/2</f>
        <v>0.19500000000000001</v>
      </c>
      <c r="G84" s="6">
        <f ca="1">(mVlookup(C84&amp;3,[1]!monsterDamage,"min",FALSE)+mVlookup(C84&amp;3,[1]!monsterDamage,"max",FALSE))/2</f>
        <v>0.19500000000000001</v>
      </c>
      <c r="H84" s="6">
        <f ca="1">(mVlookup(C84&amp;3,[1]!monsterDamage,"min",FALSE)+mVlookup(C84&amp;3,[1]!monsterDamage,"max",FALSE))/2</f>
        <v>0.19500000000000001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</row>
    <row r="85" spans="2:14" x14ac:dyDescent="0.2">
      <c r="B85" s="6">
        <v>68</v>
      </c>
      <c r="C85" s="3">
        <f t="shared" si="3"/>
        <v>7</v>
      </c>
      <c r="D85" s="6">
        <f ca="1">(mVlookup(C85&amp;3,[1]!monsterDamage,"min",FALSE)+mVlookup(C85&amp;3,[1]!monsterDamage,"max",FALSE))/2</f>
        <v>0.19500000000000001</v>
      </c>
      <c r="E85" s="6">
        <f ca="1">(mVlookup(C85&amp;3,[1]!monsterDamage,"min",FALSE)+mVlookup(C85&amp;3,[1]!monsterDamage,"max",FALSE))/2</f>
        <v>0.19500000000000001</v>
      </c>
      <c r="F85" s="6">
        <f ca="1">(mVlookup(C85&amp;3,[1]!monsterDamage,"min",FALSE)+mVlookup(C85&amp;3,[1]!monsterDamage,"max",FALSE))/2</f>
        <v>0.19500000000000001</v>
      </c>
      <c r="G85" s="6">
        <f ca="1">(mVlookup(C85&amp;3,[1]!monsterDamage,"min",FALSE)+mVlookup(C85&amp;3,[1]!monsterDamage,"max",FALSE))/2</f>
        <v>0.19500000000000001</v>
      </c>
      <c r="H85" s="6">
        <f ca="1">(mVlookup(C85&amp;3,[1]!monsterDamage,"min",FALSE)+mVlookup(C85&amp;3,[1]!monsterDamage,"max",FALSE))/2</f>
        <v>0.19500000000000001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</row>
    <row r="86" spans="2:14" x14ac:dyDescent="0.2">
      <c r="B86" s="6">
        <v>69</v>
      </c>
      <c r="C86" s="3">
        <f t="shared" si="3"/>
        <v>7</v>
      </c>
      <c r="D86" s="6">
        <f ca="1">(mVlookup(C86&amp;3,[1]!monsterDamage,"min",FALSE)+mVlookup(C86&amp;3,[1]!monsterDamage,"max",FALSE))/2</f>
        <v>0.19500000000000001</v>
      </c>
      <c r="E86" s="6">
        <f ca="1">(mVlookup(C86&amp;3,[1]!monsterDamage,"min",FALSE)+mVlookup(C86&amp;3,[1]!monsterDamage,"max",FALSE))/2</f>
        <v>0.19500000000000001</v>
      </c>
      <c r="F86" s="6">
        <f ca="1">(mVlookup(C86&amp;3,[1]!monsterDamage,"min",FALSE)+mVlookup(C86&amp;3,[1]!monsterDamage,"max",FALSE))/2</f>
        <v>0.19500000000000001</v>
      </c>
      <c r="G86" s="6">
        <f ca="1">(mVlookup(C86&amp;3,[1]!monsterDamage,"min",FALSE)+mVlookup(C86&amp;3,[1]!monsterDamage,"max",FALSE))/2</f>
        <v>0.19500000000000001</v>
      </c>
      <c r="H86" s="6">
        <f ca="1">(mVlookup(C86&amp;3,[1]!monsterDamage,"min",FALSE)+mVlookup(C86&amp;3,[1]!monsterDamage,"max",FALSE))/2</f>
        <v>0.19500000000000001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</row>
    <row r="87" spans="2:14" x14ac:dyDescent="0.2">
      <c r="B87" s="6">
        <v>70</v>
      </c>
      <c r="C87" s="3">
        <f t="shared" si="3"/>
        <v>7</v>
      </c>
      <c r="D87" s="6">
        <f ca="1">(mVlookup(C87&amp;3,[1]!monsterDamage,"min",FALSE)+mVlookup(C87&amp;3,[1]!monsterDamage,"max",FALSE))/2</f>
        <v>0.19500000000000001</v>
      </c>
      <c r="E87" s="6">
        <f ca="1">(mVlookup(C87&amp;3,[1]!monsterDamage,"min",FALSE)+mVlookup(C87&amp;3,[1]!monsterDamage,"max",FALSE))/2</f>
        <v>0.19500000000000001</v>
      </c>
      <c r="F87" s="6">
        <f ca="1">(mVlookup(C87&amp;3,[1]!monsterDamage,"min",FALSE)+mVlookup(C87&amp;3,[1]!monsterDamage,"max",FALSE))/2</f>
        <v>0.19500000000000001</v>
      </c>
      <c r="G87" s="6">
        <f ca="1">(mVlookup(C87&amp;3,[1]!monsterDamage,"min",FALSE)+mVlookup(C87&amp;3,[1]!monsterDamage,"max",FALSE))/2</f>
        <v>0.19500000000000001</v>
      </c>
      <c r="H87" s="6">
        <f ca="1">(mVlookup(C87&amp;3,[1]!monsterDamage,"min",FALSE)+mVlookup(C87&amp;3,[1]!monsterDamage,"max",FALSE))/2</f>
        <v>0.19500000000000001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</row>
    <row r="88" spans="2:14" x14ac:dyDescent="0.2">
      <c r="B88" s="6">
        <v>71</v>
      </c>
      <c r="C88" s="3">
        <f t="shared" si="3"/>
        <v>7</v>
      </c>
      <c r="D88" s="6">
        <f ca="1">(mVlookup(C88&amp;3,[1]!monsterDamage,"min",FALSE)+mVlookup(C88&amp;3,[1]!monsterDamage,"max",FALSE))/2</f>
        <v>0.19500000000000001</v>
      </c>
      <c r="E88" s="6">
        <f ca="1">(mVlookup(C88&amp;3,[1]!monsterDamage,"min",FALSE)+mVlookup(C88&amp;3,[1]!monsterDamage,"max",FALSE))/2</f>
        <v>0.19500000000000001</v>
      </c>
      <c r="F88" s="6">
        <f ca="1">(mVlookup(C88&amp;3,[1]!monsterDamage,"min",FALSE)+mVlookup(C88&amp;3,[1]!monsterDamage,"max",FALSE))/2</f>
        <v>0.19500000000000001</v>
      </c>
      <c r="G88" s="6">
        <f ca="1">(mVlookup(C88&amp;3,[1]!monsterDamage,"min",FALSE)+mVlookup(C88&amp;3,[1]!monsterDamage,"max",FALSE))/2</f>
        <v>0.19500000000000001</v>
      </c>
      <c r="H88" s="6">
        <f ca="1">(mVlookup(C88&amp;3,[1]!monsterDamage,"min",FALSE)+mVlookup(C88&amp;3,[1]!monsterDamage,"max",FALSE))/2</f>
        <v>0.19500000000000001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</row>
    <row r="89" spans="2:14" x14ac:dyDescent="0.2">
      <c r="B89" s="6">
        <v>72</v>
      </c>
      <c r="C89" s="3">
        <f t="shared" si="3"/>
        <v>7</v>
      </c>
      <c r="D89" s="6">
        <f ca="1">(mVlookup(C89&amp;3,[1]!monsterDamage,"min",FALSE)+mVlookup(C89&amp;3,[1]!monsterDamage,"max",FALSE))/2</f>
        <v>0.19500000000000001</v>
      </c>
      <c r="E89" s="6">
        <f ca="1">(mVlookup(C89&amp;3,[1]!monsterDamage,"min",FALSE)+mVlookup(C89&amp;3,[1]!monsterDamage,"max",FALSE))/2</f>
        <v>0.19500000000000001</v>
      </c>
      <c r="F89" s="6">
        <f ca="1">(mVlookup(C89&amp;3,[1]!monsterDamage,"min",FALSE)+mVlookup(C89&amp;3,[1]!monsterDamage,"max",FALSE))/2</f>
        <v>0.19500000000000001</v>
      </c>
      <c r="G89" s="6">
        <f ca="1">(mVlookup(C89&amp;3,[1]!monsterDamage,"min",FALSE)+mVlookup(C89&amp;3,[1]!monsterDamage,"max",FALSE))/2</f>
        <v>0.19500000000000001</v>
      </c>
      <c r="H89" s="6">
        <f ca="1">(mVlookup(C89&amp;3,[1]!monsterDamage,"min",FALSE)+mVlookup(C89&amp;3,[1]!monsterDamage,"max",FALSE))/2</f>
        <v>0.19500000000000001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</row>
    <row r="90" spans="2:14" x14ac:dyDescent="0.2">
      <c r="B90" s="6">
        <v>73</v>
      </c>
      <c r="C90" s="3">
        <f t="shared" si="3"/>
        <v>7</v>
      </c>
      <c r="D90" s="6">
        <f ca="1">(mVlookup(C90&amp;3,[1]!monsterDamage,"min",FALSE)+mVlookup(C90&amp;3,[1]!monsterDamage,"max",FALSE))/2</f>
        <v>0.19500000000000001</v>
      </c>
      <c r="E90" s="6">
        <f ca="1">(mVlookup(C90&amp;3,[1]!monsterDamage,"min",FALSE)+mVlookup(C90&amp;3,[1]!monsterDamage,"max",FALSE))/2</f>
        <v>0.19500000000000001</v>
      </c>
      <c r="F90" s="6">
        <f ca="1">(mVlookup(C90&amp;3,[1]!monsterDamage,"min",FALSE)+mVlookup(C90&amp;3,[1]!monsterDamage,"max",FALSE))/2</f>
        <v>0.19500000000000001</v>
      </c>
      <c r="G90" s="6">
        <f ca="1">(mVlookup(C90&amp;3,[1]!monsterDamage,"min",FALSE)+mVlookup(C90&amp;3,[1]!monsterDamage,"max",FALSE))/2</f>
        <v>0.19500000000000001</v>
      </c>
      <c r="H90" s="6">
        <f ca="1">(mVlookup(C90&amp;3,[1]!monsterDamage,"min",FALSE)+mVlookup(C90&amp;3,[1]!monsterDamage,"max",FALSE))/2</f>
        <v>0.19500000000000001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</row>
    <row r="91" spans="2:14" x14ac:dyDescent="0.2">
      <c r="B91" s="6">
        <v>74</v>
      </c>
      <c r="C91" s="3">
        <f t="shared" si="3"/>
        <v>7</v>
      </c>
      <c r="D91" s="6">
        <f ca="1">(mVlookup(C91&amp;3,[1]!monsterDamage,"min",FALSE)+mVlookup(C91&amp;3,[1]!monsterDamage,"max",FALSE))/2</f>
        <v>0.19500000000000001</v>
      </c>
      <c r="E91" s="6">
        <f ca="1">(mVlookup(C91&amp;3,[1]!monsterDamage,"min",FALSE)+mVlookup(C91&amp;3,[1]!monsterDamage,"max",FALSE))/2</f>
        <v>0.19500000000000001</v>
      </c>
      <c r="F91" s="6">
        <f ca="1">(mVlookup(C91&amp;3,[1]!monsterDamage,"min",FALSE)+mVlookup(C91&amp;3,[1]!monsterDamage,"max",FALSE))/2</f>
        <v>0.19500000000000001</v>
      </c>
      <c r="G91" s="6">
        <f ca="1">(mVlookup(C91&amp;3,[1]!monsterDamage,"min",FALSE)+mVlookup(C91&amp;3,[1]!monsterDamage,"max",FALSE))/2</f>
        <v>0.19500000000000001</v>
      </c>
      <c r="H91" s="6">
        <f ca="1">(mVlookup(C91&amp;3,[1]!monsterDamage,"min",FALSE)+mVlookup(C91&amp;3,[1]!monsterDamage,"max",FALSE))/2</f>
        <v>0.19500000000000001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</row>
    <row r="92" spans="2:14" x14ac:dyDescent="0.2">
      <c r="B92" s="6">
        <v>75</v>
      </c>
      <c r="C92" s="3">
        <f t="shared" si="3"/>
        <v>7</v>
      </c>
      <c r="D92" s="6">
        <f ca="1">(mVlookup(C92&amp;3,[1]!monsterDamage,"min",FALSE)+mVlookup(C92&amp;3,[1]!monsterDamage,"max",FALSE))/2</f>
        <v>0.19500000000000001</v>
      </c>
      <c r="E92" s="6">
        <f ca="1">(mVlookup(C92&amp;3,[1]!monsterDamage,"min",FALSE)+mVlookup(C92&amp;3,[1]!monsterDamage,"max",FALSE))/2</f>
        <v>0.19500000000000001</v>
      </c>
      <c r="F92" s="6">
        <f ca="1">(mVlookup(C92&amp;3,[1]!monsterDamage,"min",FALSE)+mVlookup(C92&amp;3,[1]!monsterDamage,"max",FALSE))/2</f>
        <v>0.19500000000000001</v>
      </c>
      <c r="G92" s="6">
        <f ca="1">(mVlookup(C92&amp;3,[1]!monsterDamage,"min",FALSE)+mVlookup(C92&amp;3,[1]!monsterDamage,"max",FALSE))/2</f>
        <v>0.19500000000000001</v>
      </c>
      <c r="H92" s="6">
        <f ca="1">(mVlookup(C92&amp;3,[1]!monsterDamage,"min",FALSE)+mVlookup(C92&amp;3,[1]!monsterDamage,"max",FALSE))/2</f>
        <v>0.19500000000000001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</row>
    <row r="93" spans="2:14" x14ac:dyDescent="0.2">
      <c r="B93" s="6">
        <v>76</v>
      </c>
      <c r="C93" s="3">
        <f t="shared" si="3"/>
        <v>7</v>
      </c>
      <c r="D93" s="6">
        <f ca="1">(mVlookup(C93&amp;3,[1]!monsterDamage,"min",FALSE)+mVlookup(C93&amp;3,[1]!monsterDamage,"max",FALSE))/2</f>
        <v>0.19500000000000001</v>
      </c>
      <c r="E93" s="6">
        <f ca="1">(mVlookup(C93&amp;3,[1]!monsterDamage,"min",FALSE)+mVlookup(C93&amp;3,[1]!monsterDamage,"max",FALSE))/2</f>
        <v>0.19500000000000001</v>
      </c>
      <c r="F93" s="6">
        <f ca="1">(mVlookup(C93&amp;3,[1]!monsterDamage,"min",FALSE)+mVlookup(C93&amp;3,[1]!monsterDamage,"max",FALSE))/2</f>
        <v>0.19500000000000001</v>
      </c>
      <c r="G93" s="6">
        <f ca="1">(mVlookup(C93&amp;3,[1]!monsterDamage,"min",FALSE)+mVlookup(C93&amp;3,[1]!monsterDamage,"max",FALSE))/2</f>
        <v>0.19500000000000001</v>
      </c>
      <c r="H93" s="6">
        <f ca="1">(mVlookup(C93&amp;3,[1]!monsterDamage,"min",FALSE)+mVlookup(C93&amp;3,[1]!monsterDamage,"max",FALSE))/2</f>
        <v>0.19500000000000001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</row>
    <row r="94" spans="2:14" x14ac:dyDescent="0.2">
      <c r="B94" s="6">
        <v>77</v>
      </c>
      <c r="C94" s="3">
        <f t="shared" si="3"/>
        <v>7</v>
      </c>
      <c r="D94" s="6">
        <f ca="1">(mVlookup(C94&amp;3,[1]!monsterDamage,"min",FALSE)+mVlookup(C94&amp;3,[1]!monsterDamage,"max",FALSE))/2</f>
        <v>0.19500000000000001</v>
      </c>
      <c r="E94" s="6">
        <f ca="1">(mVlookup(C94&amp;3,[1]!monsterDamage,"min",FALSE)+mVlookup(C94&amp;3,[1]!monsterDamage,"max",FALSE))/2</f>
        <v>0.19500000000000001</v>
      </c>
      <c r="F94" s="6">
        <f ca="1">(mVlookup(C94&amp;3,[1]!monsterDamage,"min",FALSE)+mVlookup(C94&amp;3,[1]!monsterDamage,"max",FALSE))/2</f>
        <v>0.19500000000000001</v>
      </c>
      <c r="G94" s="6">
        <f ca="1">(mVlookup(C94&amp;3,[1]!monsterDamage,"min",FALSE)+mVlookup(C94&amp;3,[1]!monsterDamage,"max",FALSE))/2</f>
        <v>0.19500000000000001</v>
      </c>
      <c r="H94" s="6">
        <f ca="1">(mVlookup(C94&amp;3,[1]!monsterDamage,"min",FALSE)+mVlookup(C94&amp;3,[1]!monsterDamage,"max",FALSE))/2</f>
        <v>0.19500000000000001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</row>
    <row r="95" spans="2:14" x14ac:dyDescent="0.2">
      <c r="B95" s="6">
        <v>78</v>
      </c>
      <c r="C95" s="3">
        <f t="shared" si="3"/>
        <v>8</v>
      </c>
      <c r="D95" s="6">
        <f ca="1">(mVlookup(C95&amp;3,[1]!monsterDamage,"min",FALSE)+mVlookup(C95&amp;3,[1]!monsterDamage,"max",FALSE))/2</f>
        <v>0.21000000000000002</v>
      </c>
      <c r="E95" s="6">
        <f ca="1">(mVlookup(C95&amp;3,[1]!monsterDamage,"min",FALSE)+mVlookup(C95&amp;3,[1]!monsterDamage,"max",FALSE))/2</f>
        <v>0.21000000000000002</v>
      </c>
      <c r="F95" s="6">
        <f ca="1">(mVlookup(C95&amp;3,[1]!monsterDamage,"min",FALSE)+mVlookup(C95&amp;3,[1]!monsterDamage,"max",FALSE))/2</f>
        <v>0.21000000000000002</v>
      </c>
      <c r="G95" s="6">
        <f ca="1">(mVlookup(C95&amp;3,[1]!monsterDamage,"min",FALSE)+mVlookup(C95&amp;3,[1]!monsterDamage,"max",FALSE))/2</f>
        <v>0.21000000000000002</v>
      </c>
      <c r="H95" s="6">
        <f ca="1">(mVlookup(C95&amp;3,[1]!monsterDamage,"min",FALSE)+mVlookup(C95&amp;3,[1]!monsterDamage,"max",FALSE))/2</f>
        <v>0.21000000000000002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</row>
    <row r="96" spans="2:14" x14ac:dyDescent="0.2">
      <c r="B96" s="6">
        <v>79</v>
      </c>
      <c r="C96" s="3">
        <f t="shared" si="3"/>
        <v>8</v>
      </c>
      <c r="D96" s="6">
        <f ca="1">(mVlookup(C96&amp;3,[1]!monsterDamage,"min",FALSE)+mVlookup(C96&amp;3,[1]!monsterDamage,"max",FALSE))/2</f>
        <v>0.21000000000000002</v>
      </c>
      <c r="E96" s="6">
        <f ca="1">(mVlookup(C96&amp;3,[1]!monsterDamage,"min",FALSE)+mVlookup(C96&amp;3,[1]!monsterDamage,"max",FALSE))/2</f>
        <v>0.21000000000000002</v>
      </c>
      <c r="F96" s="6">
        <f ca="1">(mVlookup(C96&amp;3,[1]!monsterDamage,"min",FALSE)+mVlookup(C96&amp;3,[1]!monsterDamage,"max",FALSE))/2</f>
        <v>0.21000000000000002</v>
      </c>
      <c r="G96" s="6">
        <f ca="1">(mVlookup(C96&amp;3,[1]!monsterDamage,"min",FALSE)+mVlookup(C96&amp;3,[1]!monsterDamage,"max",FALSE))/2</f>
        <v>0.21000000000000002</v>
      </c>
      <c r="H96" s="6">
        <f ca="1">(mVlookup(C96&amp;3,[1]!monsterDamage,"min",FALSE)+mVlookup(C96&amp;3,[1]!monsterDamage,"max",FALSE))/2</f>
        <v>0.21000000000000002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</row>
    <row r="97" spans="2:14" x14ac:dyDescent="0.2">
      <c r="B97" s="6">
        <v>80</v>
      </c>
      <c r="C97" s="3">
        <f t="shared" si="3"/>
        <v>8</v>
      </c>
      <c r="D97" s="6">
        <f ca="1">(mVlookup(C97&amp;3,[1]!monsterDamage,"min",FALSE)+mVlookup(C97&amp;3,[1]!monsterDamage,"max",FALSE))/2</f>
        <v>0.21000000000000002</v>
      </c>
      <c r="E97" s="6">
        <f ca="1">(mVlookup(C97&amp;3,[1]!monsterDamage,"min",FALSE)+mVlookup(C97&amp;3,[1]!monsterDamage,"max",FALSE))/2</f>
        <v>0.21000000000000002</v>
      </c>
      <c r="F97" s="6">
        <f ca="1">(mVlookup(C97&amp;3,[1]!monsterDamage,"min",FALSE)+mVlookup(C97&amp;3,[1]!monsterDamage,"max",FALSE))/2</f>
        <v>0.21000000000000002</v>
      </c>
      <c r="G97" s="6">
        <f ca="1">(mVlookup(C97&amp;3,[1]!monsterDamage,"min",FALSE)+mVlookup(C97&amp;3,[1]!monsterDamage,"max",FALSE))/2</f>
        <v>0.21000000000000002</v>
      </c>
      <c r="H97" s="6">
        <f ca="1">(mVlookup(C97&amp;3,[1]!monsterDamage,"min",FALSE)+mVlookup(C97&amp;3,[1]!monsterDamage,"max",FALSE))/2</f>
        <v>0.21000000000000002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</row>
    <row r="98" spans="2:14" x14ac:dyDescent="0.2">
      <c r="B98" s="6">
        <v>81</v>
      </c>
      <c r="C98" s="3">
        <f t="shared" si="3"/>
        <v>8</v>
      </c>
      <c r="D98" s="6">
        <f ca="1">(mVlookup(C98&amp;3,[1]!monsterDamage,"min",FALSE)+mVlookup(C98&amp;3,[1]!monsterDamage,"max",FALSE))/2</f>
        <v>0.21000000000000002</v>
      </c>
      <c r="E98" s="6">
        <f ca="1">(mVlookup(C98&amp;3,[1]!monsterDamage,"min",FALSE)+mVlookup(C98&amp;3,[1]!monsterDamage,"max",FALSE))/2</f>
        <v>0.21000000000000002</v>
      </c>
      <c r="F98" s="6">
        <f ca="1">(mVlookup(C98&amp;3,[1]!monsterDamage,"min",FALSE)+mVlookup(C98&amp;3,[1]!monsterDamage,"max",FALSE))/2</f>
        <v>0.21000000000000002</v>
      </c>
      <c r="G98" s="6">
        <f ca="1">(mVlookup(C98&amp;3,[1]!monsterDamage,"min",FALSE)+mVlookup(C98&amp;3,[1]!monsterDamage,"max",FALSE))/2</f>
        <v>0.21000000000000002</v>
      </c>
      <c r="H98" s="6">
        <f ca="1">(mVlookup(C98&amp;3,[1]!monsterDamage,"min",FALSE)+mVlookup(C98&amp;3,[1]!monsterDamage,"max",FALSE))/2</f>
        <v>0.21000000000000002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</row>
    <row r="99" spans="2:14" x14ac:dyDescent="0.2">
      <c r="B99" s="6">
        <v>82</v>
      </c>
      <c r="C99" s="3">
        <f t="shared" si="3"/>
        <v>8</v>
      </c>
      <c r="D99" s="6">
        <f ca="1">(mVlookup(C99&amp;3,[1]!monsterDamage,"min",FALSE)+mVlookup(C99&amp;3,[1]!monsterDamage,"max",FALSE))/2</f>
        <v>0.21000000000000002</v>
      </c>
      <c r="E99" s="6">
        <f ca="1">(mVlookup(C99&amp;3,[1]!monsterDamage,"min",FALSE)+mVlookup(C99&amp;3,[1]!monsterDamage,"max",FALSE))/2</f>
        <v>0.21000000000000002</v>
      </c>
      <c r="F99" s="6">
        <f ca="1">(mVlookup(C99&amp;3,[1]!monsterDamage,"min",FALSE)+mVlookup(C99&amp;3,[1]!monsterDamage,"max",FALSE))/2</f>
        <v>0.21000000000000002</v>
      </c>
      <c r="G99" s="6">
        <f ca="1">(mVlookup(C99&amp;3,[1]!monsterDamage,"min",FALSE)+mVlookup(C99&amp;3,[1]!monsterDamage,"max",FALSE))/2</f>
        <v>0.21000000000000002</v>
      </c>
      <c r="H99" s="6">
        <f ca="1">(mVlookup(C99&amp;3,[1]!monsterDamage,"min",FALSE)+mVlookup(C99&amp;3,[1]!monsterDamage,"max",FALSE))/2</f>
        <v>0.21000000000000002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</row>
    <row r="100" spans="2:14" x14ac:dyDescent="0.2">
      <c r="B100" s="6">
        <v>83</v>
      </c>
      <c r="C100" s="3">
        <f t="shared" si="3"/>
        <v>8</v>
      </c>
      <c r="D100" s="6">
        <f ca="1">(mVlookup(C100&amp;3,[1]!monsterDamage,"min",FALSE)+mVlookup(C100&amp;3,[1]!monsterDamage,"max",FALSE))/2</f>
        <v>0.21000000000000002</v>
      </c>
      <c r="E100" s="6">
        <f ca="1">(mVlookup(C100&amp;3,[1]!monsterDamage,"min",FALSE)+mVlookup(C100&amp;3,[1]!monsterDamage,"max",FALSE))/2</f>
        <v>0.21000000000000002</v>
      </c>
      <c r="F100" s="6">
        <f ca="1">(mVlookup(C100&amp;3,[1]!monsterDamage,"min",FALSE)+mVlookup(C100&amp;3,[1]!monsterDamage,"max",FALSE))/2</f>
        <v>0.21000000000000002</v>
      </c>
      <c r="G100" s="6">
        <f ca="1">(mVlookup(C100&amp;3,[1]!monsterDamage,"min",FALSE)+mVlookup(C100&amp;3,[1]!monsterDamage,"max",FALSE))/2</f>
        <v>0.21000000000000002</v>
      </c>
      <c r="H100" s="6">
        <f ca="1">(mVlookup(C100&amp;3,[1]!monsterDamage,"min",FALSE)+mVlookup(C100&amp;3,[1]!monsterDamage,"max",FALSE))/2</f>
        <v>0.21000000000000002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</row>
    <row r="101" spans="2:14" x14ac:dyDescent="0.2">
      <c r="B101" s="6">
        <v>84</v>
      </c>
      <c r="C101" s="3">
        <f t="shared" si="3"/>
        <v>8</v>
      </c>
      <c r="D101" s="6">
        <f ca="1">(mVlookup(C101&amp;3,[1]!monsterDamage,"min",FALSE)+mVlookup(C101&amp;3,[1]!monsterDamage,"max",FALSE))/2</f>
        <v>0.21000000000000002</v>
      </c>
      <c r="E101" s="6">
        <f ca="1">(mVlookup(C101&amp;3,[1]!monsterDamage,"min",FALSE)+mVlookup(C101&amp;3,[1]!monsterDamage,"max",FALSE))/2</f>
        <v>0.21000000000000002</v>
      </c>
      <c r="F101" s="6">
        <f ca="1">(mVlookup(C101&amp;3,[1]!monsterDamage,"min",FALSE)+mVlookup(C101&amp;3,[1]!monsterDamage,"max",FALSE))/2</f>
        <v>0.21000000000000002</v>
      </c>
      <c r="G101" s="6">
        <f ca="1">(mVlookup(C101&amp;3,[1]!monsterDamage,"min",FALSE)+mVlookup(C101&amp;3,[1]!monsterDamage,"max",FALSE))/2</f>
        <v>0.21000000000000002</v>
      </c>
      <c r="H101" s="6">
        <f ca="1">(mVlookup(C101&amp;3,[1]!monsterDamage,"min",FALSE)+mVlookup(C101&amp;3,[1]!monsterDamage,"max",FALSE))/2</f>
        <v>0.21000000000000002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</row>
    <row r="102" spans="2:14" x14ac:dyDescent="0.2">
      <c r="B102" s="6">
        <v>85</v>
      </c>
      <c r="C102" s="3">
        <f t="shared" si="3"/>
        <v>8</v>
      </c>
      <c r="D102" s="6">
        <f ca="1">(mVlookup(C102&amp;3,[1]!monsterDamage,"min",FALSE)+mVlookup(C102&amp;3,[1]!monsterDamage,"max",FALSE))/2</f>
        <v>0.21000000000000002</v>
      </c>
      <c r="E102" s="6">
        <f ca="1">(mVlookup(C102&amp;3,[1]!monsterDamage,"min",FALSE)+mVlookup(C102&amp;3,[1]!monsterDamage,"max",FALSE))/2</f>
        <v>0.21000000000000002</v>
      </c>
      <c r="F102" s="6">
        <f ca="1">(mVlookup(C102&amp;3,[1]!monsterDamage,"min",FALSE)+mVlookup(C102&amp;3,[1]!monsterDamage,"max",FALSE))/2</f>
        <v>0.21000000000000002</v>
      </c>
      <c r="G102" s="6">
        <f ca="1">(mVlookup(C102&amp;3,[1]!monsterDamage,"min",FALSE)+mVlookup(C102&amp;3,[1]!monsterDamage,"max",FALSE))/2</f>
        <v>0.21000000000000002</v>
      </c>
      <c r="H102" s="6">
        <f ca="1">(mVlookup(C102&amp;3,[1]!monsterDamage,"min",FALSE)+mVlookup(C102&amp;3,[1]!monsterDamage,"max",FALSE))/2</f>
        <v>0.21000000000000002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</row>
    <row r="103" spans="2:14" x14ac:dyDescent="0.2">
      <c r="B103" s="6">
        <v>86</v>
      </c>
      <c r="C103" s="3">
        <f t="shared" si="3"/>
        <v>8</v>
      </c>
      <c r="D103" s="6">
        <f ca="1">(mVlookup(C103&amp;3,[1]!monsterDamage,"min",FALSE)+mVlookup(C103&amp;3,[1]!monsterDamage,"max",FALSE))/2</f>
        <v>0.21000000000000002</v>
      </c>
      <c r="E103" s="6">
        <f ca="1">(mVlookup(C103&amp;3,[1]!monsterDamage,"min",FALSE)+mVlookup(C103&amp;3,[1]!monsterDamage,"max",FALSE))/2</f>
        <v>0.21000000000000002</v>
      </c>
      <c r="F103" s="6">
        <f ca="1">(mVlookup(C103&amp;3,[1]!monsterDamage,"min",FALSE)+mVlookup(C103&amp;3,[1]!monsterDamage,"max",FALSE))/2</f>
        <v>0.21000000000000002</v>
      </c>
      <c r="G103" s="6">
        <f ca="1">(mVlookup(C103&amp;3,[1]!monsterDamage,"min",FALSE)+mVlookup(C103&amp;3,[1]!monsterDamage,"max",FALSE))/2</f>
        <v>0.21000000000000002</v>
      </c>
      <c r="H103" s="6">
        <f ca="1">(mVlookup(C103&amp;3,[1]!monsterDamage,"min",FALSE)+mVlookup(C103&amp;3,[1]!monsterDamage,"max",FALSE))/2</f>
        <v>0.21000000000000002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</row>
    <row r="104" spans="2:14" x14ac:dyDescent="0.2">
      <c r="B104" s="6">
        <v>87</v>
      </c>
      <c r="C104" s="3">
        <f t="shared" si="3"/>
        <v>8</v>
      </c>
      <c r="D104" s="6">
        <f ca="1">(mVlookup(C104&amp;3,[1]!monsterDamage,"min",FALSE)+mVlookup(C104&amp;3,[1]!monsterDamage,"max",FALSE))/2</f>
        <v>0.21000000000000002</v>
      </c>
      <c r="E104" s="6">
        <f ca="1">(mVlookup(C104&amp;3,[1]!monsterDamage,"min",FALSE)+mVlookup(C104&amp;3,[1]!monsterDamage,"max",FALSE))/2</f>
        <v>0.21000000000000002</v>
      </c>
      <c r="F104" s="6">
        <f ca="1">(mVlookup(C104&amp;3,[1]!monsterDamage,"min",FALSE)+mVlookup(C104&amp;3,[1]!monsterDamage,"max",FALSE))/2</f>
        <v>0.21000000000000002</v>
      </c>
      <c r="G104" s="6">
        <f ca="1">(mVlookup(C104&amp;3,[1]!monsterDamage,"min",FALSE)+mVlookup(C104&amp;3,[1]!monsterDamage,"max",FALSE))/2</f>
        <v>0.21000000000000002</v>
      </c>
      <c r="H104" s="6">
        <f ca="1">(mVlookup(C104&amp;3,[1]!monsterDamage,"min",FALSE)+mVlookup(C104&amp;3,[1]!monsterDamage,"max",FALSE))/2</f>
        <v>0.21000000000000002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</row>
    <row r="105" spans="2:14" x14ac:dyDescent="0.2">
      <c r="B105" s="6">
        <v>88</v>
      </c>
      <c r="C105" s="3">
        <f t="shared" si="3"/>
        <v>8</v>
      </c>
      <c r="D105" s="6">
        <f ca="1">(mVlookup(C105&amp;3,[1]!monsterDamage,"min",FALSE)+mVlookup(C105&amp;3,[1]!monsterDamage,"max",FALSE))/2</f>
        <v>0.21000000000000002</v>
      </c>
      <c r="E105" s="6">
        <f ca="1">(mVlookup(C105&amp;3,[1]!monsterDamage,"min",FALSE)+mVlookup(C105&amp;3,[1]!monsterDamage,"max",FALSE))/2</f>
        <v>0.21000000000000002</v>
      </c>
      <c r="F105" s="6">
        <f ca="1">(mVlookup(C105&amp;3,[1]!monsterDamage,"min",FALSE)+mVlookup(C105&amp;3,[1]!monsterDamage,"max",FALSE))/2</f>
        <v>0.21000000000000002</v>
      </c>
      <c r="G105" s="6">
        <f ca="1">(mVlookup(C105&amp;3,[1]!monsterDamage,"min",FALSE)+mVlookup(C105&amp;3,[1]!monsterDamage,"max",FALSE))/2</f>
        <v>0.21000000000000002</v>
      </c>
      <c r="H105" s="6">
        <f ca="1">(mVlookup(C105&amp;3,[1]!monsterDamage,"min",FALSE)+mVlookup(C105&amp;3,[1]!monsterDamage,"max",FALSE))/2</f>
        <v>0.21000000000000002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</row>
    <row r="106" spans="2:14" x14ac:dyDescent="0.2">
      <c r="B106" s="6">
        <v>89</v>
      </c>
      <c r="C106" s="3">
        <f t="shared" si="3"/>
        <v>9</v>
      </c>
      <c r="D106" s="6">
        <f ca="1">(mVlookup(C106&amp;3,[1]!monsterDamage,"min",FALSE)+mVlookup(C106&amp;3,[1]!monsterDamage,"max",FALSE))/2</f>
        <v>0.22499999999999998</v>
      </c>
      <c r="E106" s="6">
        <f ca="1">(mVlookup(C106&amp;3,[1]!monsterDamage,"min",FALSE)+mVlookup(C106&amp;3,[1]!monsterDamage,"max",FALSE))/2</f>
        <v>0.22499999999999998</v>
      </c>
      <c r="F106" s="6">
        <f ca="1">(mVlookup(C106&amp;3,[1]!monsterDamage,"min",FALSE)+mVlookup(C106&amp;3,[1]!monsterDamage,"max",FALSE))/2</f>
        <v>0.22499999999999998</v>
      </c>
      <c r="G106" s="6">
        <f ca="1">(mVlookup(C106&amp;3,[1]!monsterDamage,"min",FALSE)+mVlookup(C106&amp;3,[1]!monsterDamage,"max",FALSE))/2</f>
        <v>0.22499999999999998</v>
      </c>
      <c r="H106" s="6">
        <f ca="1">(mVlookup(C106&amp;3,[1]!monsterDamage,"min",FALSE)+mVlookup(C106&amp;3,[1]!monsterDamage,"max",FALSE))/2</f>
        <v>0.22499999999999998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</row>
    <row r="107" spans="2:14" x14ac:dyDescent="0.2">
      <c r="B107" s="6">
        <v>90</v>
      </c>
      <c r="C107" s="3">
        <f t="shared" si="3"/>
        <v>9</v>
      </c>
      <c r="D107" s="6">
        <f ca="1">(mVlookup(C107&amp;3,[1]!monsterDamage,"min",FALSE)+mVlookup(C107&amp;3,[1]!monsterDamage,"max",FALSE))/2</f>
        <v>0.22499999999999998</v>
      </c>
      <c r="E107" s="6">
        <f ca="1">(mVlookup(C107&amp;3,[1]!monsterDamage,"min",FALSE)+mVlookup(C107&amp;3,[1]!monsterDamage,"max",FALSE))/2</f>
        <v>0.22499999999999998</v>
      </c>
      <c r="F107" s="6">
        <f ca="1">(mVlookup(C107&amp;3,[1]!monsterDamage,"min",FALSE)+mVlookup(C107&amp;3,[1]!monsterDamage,"max",FALSE))/2</f>
        <v>0.22499999999999998</v>
      </c>
      <c r="G107" s="6">
        <f ca="1">(mVlookup(C107&amp;3,[1]!monsterDamage,"min",FALSE)+mVlookup(C107&amp;3,[1]!monsterDamage,"max",FALSE))/2</f>
        <v>0.22499999999999998</v>
      </c>
      <c r="H107" s="6">
        <f ca="1">(mVlookup(C107&amp;3,[1]!monsterDamage,"min",FALSE)+mVlookup(C107&amp;3,[1]!monsterDamage,"max",FALSE))/2</f>
        <v>0.22499999999999998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</row>
    <row r="108" spans="2:14" x14ac:dyDescent="0.2">
      <c r="B108" s="6">
        <v>91</v>
      </c>
      <c r="C108" s="3">
        <f t="shared" si="3"/>
        <v>9</v>
      </c>
      <c r="D108" s="6">
        <f ca="1">(mVlookup(C108&amp;3,[1]!monsterDamage,"min",FALSE)+mVlookup(C108&amp;3,[1]!monsterDamage,"max",FALSE))/2</f>
        <v>0.22499999999999998</v>
      </c>
      <c r="E108" s="6">
        <f ca="1">(mVlookup(C108&amp;3,[1]!monsterDamage,"min",FALSE)+mVlookup(C108&amp;3,[1]!monsterDamage,"max",FALSE))/2</f>
        <v>0.22499999999999998</v>
      </c>
      <c r="F108" s="6">
        <f ca="1">(mVlookup(C108&amp;3,[1]!monsterDamage,"min",FALSE)+mVlookup(C108&amp;3,[1]!monsterDamage,"max",FALSE))/2</f>
        <v>0.22499999999999998</v>
      </c>
      <c r="G108" s="6">
        <f ca="1">(mVlookup(C108&amp;3,[1]!monsterDamage,"min",FALSE)+mVlookup(C108&amp;3,[1]!monsterDamage,"max",FALSE))/2</f>
        <v>0.22499999999999998</v>
      </c>
      <c r="H108" s="6">
        <f ca="1">(mVlookup(C108&amp;3,[1]!monsterDamage,"min",FALSE)+mVlookup(C108&amp;3,[1]!monsterDamage,"max",FALSE))/2</f>
        <v>0.22499999999999998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</row>
    <row r="109" spans="2:14" x14ac:dyDescent="0.2">
      <c r="B109" s="6">
        <v>92</v>
      </c>
      <c r="C109" s="3">
        <f t="shared" si="3"/>
        <v>9</v>
      </c>
      <c r="D109" s="6">
        <f ca="1">(mVlookup(C109&amp;3,[1]!monsterDamage,"min",FALSE)+mVlookup(C109&amp;3,[1]!monsterDamage,"max",FALSE))/2</f>
        <v>0.22499999999999998</v>
      </c>
      <c r="E109" s="6">
        <f ca="1">(mVlookup(C109&amp;3,[1]!monsterDamage,"min",FALSE)+mVlookup(C109&amp;3,[1]!monsterDamage,"max",FALSE))/2</f>
        <v>0.22499999999999998</v>
      </c>
      <c r="F109" s="6">
        <f ca="1">(mVlookup(C109&amp;3,[1]!monsterDamage,"min",FALSE)+mVlookup(C109&amp;3,[1]!monsterDamage,"max",FALSE))/2</f>
        <v>0.22499999999999998</v>
      </c>
      <c r="G109" s="6">
        <f ca="1">(mVlookup(C109&amp;3,[1]!monsterDamage,"min",FALSE)+mVlookup(C109&amp;3,[1]!monsterDamage,"max",FALSE))/2</f>
        <v>0.22499999999999998</v>
      </c>
      <c r="H109" s="6">
        <f ca="1">(mVlookup(C109&amp;3,[1]!monsterDamage,"min",FALSE)+mVlookup(C109&amp;3,[1]!monsterDamage,"max",FALSE))/2</f>
        <v>0.22499999999999998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</row>
    <row r="110" spans="2:14" x14ac:dyDescent="0.2">
      <c r="B110" s="6">
        <v>93</v>
      </c>
      <c r="C110" s="3">
        <f t="shared" si="3"/>
        <v>9</v>
      </c>
      <c r="D110" s="6">
        <f ca="1">(mVlookup(C110&amp;3,[1]!monsterDamage,"min",FALSE)+mVlookup(C110&amp;3,[1]!monsterDamage,"max",FALSE))/2</f>
        <v>0.22499999999999998</v>
      </c>
      <c r="E110" s="6">
        <f ca="1">(mVlookup(C110&amp;3,[1]!monsterDamage,"min",FALSE)+mVlookup(C110&amp;3,[1]!monsterDamage,"max",FALSE))/2</f>
        <v>0.22499999999999998</v>
      </c>
      <c r="F110" s="6">
        <f ca="1">(mVlookup(C110&amp;3,[1]!monsterDamage,"min",FALSE)+mVlookup(C110&amp;3,[1]!monsterDamage,"max",FALSE))/2</f>
        <v>0.22499999999999998</v>
      </c>
      <c r="G110" s="6">
        <f ca="1">(mVlookup(C110&amp;3,[1]!monsterDamage,"min",FALSE)+mVlookup(C110&amp;3,[1]!monsterDamage,"max",FALSE))/2</f>
        <v>0.22499999999999998</v>
      </c>
      <c r="H110" s="6">
        <f ca="1">(mVlookup(C110&amp;3,[1]!monsterDamage,"min",FALSE)+mVlookup(C110&amp;3,[1]!monsterDamage,"max",FALSE))/2</f>
        <v>0.22499999999999998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</row>
    <row r="111" spans="2:14" x14ac:dyDescent="0.2">
      <c r="B111" s="6">
        <v>94</v>
      </c>
      <c r="C111" s="3">
        <f t="shared" si="3"/>
        <v>9</v>
      </c>
      <c r="D111" s="6">
        <f ca="1">(mVlookup(C111&amp;3,[1]!monsterDamage,"min",FALSE)+mVlookup(C111&amp;3,[1]!monsterDamage,"max",FALSE))/2</f>
        <v>0.22499999999999998</v>
      </c>
      <c r="E111" s="6">
        <f ca="1">(mVlookup(C111&amp;3,[1]!monsterDamage,"min",FALSE)+mVlookup(C111&amp;3,[1]!monsterDamage,"max",FALSE))/2</f>
        <v>0.22499999999999998</v>
      </c>
      <c r="F111" s="6">
        <f ca="1">(mVlookup(C111&amp;3,[1]!monsterDamage,"min",FALSE)+mVlookup(C111&amp;3,[1]!monsterDamage,"max",FALSE))/2</f>
        <v>0.22499999999999998</v>
      </c>
      <c r="G111" s="6">
        <f ca="1">(mVlookup(C111&amp;3,[1]!monsterDamage,"min",FALSE)+mVlookup(C111&amp;3,[1]!monsterDamage,"max",FALSE))/2</f>
        <v>0.22499999999999998</v>
      </c>
      <c r="H111" s="6">
        <f ca="1">(mVlookup(C111&amp;3,[1]!monsterDamage,"min",FALSE)+mVlookup(C111&amp;3,[1]!monsterDamage,"max",FALSE))/2</f>
        <v>0.22499999999999998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</row>
    <row r="112" spans="2:14" x14ac:dyDescent="0.2">
      <c r="B112" s="6">
        <v>95</v>
      </c>
      <c r="C112" s="3">
        <f t="shared" si="3"/>
        <v>9</v>
      </c>
      <c r="D112" s="6">
        <f ca="1">(mVlookup(C112&amp;3,[1]!monsterDamage,"min",FALSE)+mVlookup(C112&amp;3,[1]!monsterDamage,"max",FALSE))/2</f>
        <v>0.22499999999999998</v>
      </c>
      <c r="E112" s="6">
        <f ca="1">(mVlookup(C112&amp;3,[1]!monsterDamage,"min",FALSE)+mVlookup(C112&amp;3,[1]!monsterDamage,"max",FALSE))/2</f>
        <v>0.22499999999999998</v>
      </c>
      <c r="F112" s="6">
        <f ca="1">(mVlookup(C112&amp;3,[1]!monsterDamage,"min",FALSE)+mVlookup(C112&amp;3,[1]!monsterDamage,"max",FALSE))/2</f>
        <v>0.22499999999999998</v>
      </c>
      <c r="G112" s="6">
        <f ca="1">(mVlookup(C112&amp;3,[1]!monsterDamage,"min",FALSE)+mVlookup(C112&amp;3,[1]!monsterDamage,"max",FALSE))/2</f>
        <v>0.22499999999999998</v>
      </c>
      <c r="H112" s="6">
        <f ca="1">(mVlookup(C112&amp;3,[1]!monsterDamage,"min",FALSE)+mVlookup(C112&amp;3,[1]!monsterDamage,"max",FALSE))/2</f>
        <v>0.22499999999999998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</row>
    <row r="113" spans="2:14" x14ac:dyDescent="0.2">
      <c r="B113" s="6">
        <v>96</v>
      </c>
      <c r="C113" s="3">
        <f t="shared" si="3"/>
        <v>9</v>
      </c>
      <c r="D113" s="6">
        <f ca="1">(mVlookup(C113&amp;3,[1]!monsterDamage,"min",FALSE)+mVlookup(C113&amp;3,[1]!monsterDamage,"max",FALSE))/2</f>
        <v>0.22499999999999998</v>
      </c>
      <c r="E113" s="6">
        <f ca="1">(mVlookup(C113&amp;3,[1]!monsterDamage,"min",FALSE)+mVlookup(C113&amp;3,[1]!monsterDamage,"max",FALSE))/2</f>
        <v>0.22499999999999998</v>
      </c>
      <c r="F113" s="6">
        <f ca="1">(mVlookup(C113&amp;3,[1]!monsterDamage,"min",FALSE)+mVlookup(C113&amp;3,[1]!monsterDamage,"max",FALSE))/2</f>
        <v>0.22499999999999998</v>
      </c>
      <c r="G113" s="6">
        <f ca="1">(mVlookup(C113&amp;3,[1]!monsterDamage,"min",FALSE)+mVlookup(C113&amp;3,[1]!monsterDamage,"max",FALSE))/2</f>
        <v>0.22499999999999998</v>
      </c>
      <c r="H113" s="6">
        <f ca="1">(mVlookup(C113&amp;3,[1]!monsterDamage,"min",FALSE)+mVlookup(C113&amp;3,[1]!monsterDamage,"max",FALSE))/2</f>
        <v>0.22499999999999998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</row>
    <row r="114" spans="2:14" x14ac:dyDescent="0.2">
      <c r="B114" s="6">
        <v>97</v>
      </c>
      <c r="C114" s="3">
        <f t="shared" si="3"/>
        <v>9</v>
      </c>
      <c r="D114" s="6">
        <f ca="1">(mVlookup(C114&amp;3,[1]!monsterDamage,"min",FALSE)+mVlookup(C114&amp;3,[1]!monsterDamage,"max",FALSE))/2</f>
        <v>0.22499999999999998</v>
      </c>
      <c r="E114" s="6">
        <f ca="1">(mVlookup(C114&amp;3,[1]!monsterDamage,"min",FALSE)+mVlookup(C114&amp;3,[1]!monsterDamage,"max",FALSE))/2</f>
        <v>0.22499999999999998</v>
      </c>
      <c r="F114" s="6">
        <f ca="1">(mVlookup(C114&amp;3,[1]!monsterDamage,"min",FALSE)+mVlookup(C114&amp;3,[1]!monsterDamage,"max",FALSE))/2</f>
        <v>0.22499999999999998</v>
      </c>
      <c r="G114" s="6">
        <f ca="1">(mVlookup(C114&amp;3,[1]!monsterDamage,"min",FALSE)+mVlookup(C114&amp;3,[1]!monsterDamage,"max",FALSE))/2</f>
        <v>0.22499999999999998</v>
      </c>
      <c r="H114" s="6">
        <f ca="1">(mVlookup(C114&amp;3,[1]!monsterDamage,"min",FALSE)+mVlookup(C114&amp;3,[1]!monsterDamage,"max",FALSE))/2</f>
        <v>0.22499999999999998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</row>
    <row r="115" spans="2:14" x14ac:dyDescent="0.2">
      <c r="B115" s="6">
        <v>98</v>
      </c>
      <c r="C115" s="3">
        <f t="shared" si="3"/>
        <v>9</v>
      </c>
      <c r="D115" s="6">
        <f ca="1">(mVlookup(C115&amp;3,[1]!monsterDamage,"min",FALSE)+mVlookup(C115&amp;3,[1]!monsterDamage,"max",FALSE))/2</f>
        <v>0.22499999999999998</v>
      </c>
      <c r="E115" s="6">
        <f ca="1">(mVlookup(C115&amp;3,[1]!monsterDamage,"min",FALSE)+mVlookup(C115&amp;3,[1]!monsterDamage,"max",FALSE))/2</f>
        <v>0.22499999999999998</v>
      </c>
      <c r="F115" s="6">
        <f ca="1">(mVlookup(C115&amp;3,[1]!monsterDamage,"min",FALSE)+mVlookup(C115&amp;3,[1]!monsterDamage,"max",FALSE))/2</f>
        <v>0.22499999999999998</v>
      </c>
      <c r="G115" s="6">
        <f ca="1">(mVlookup(C115&amp;3,[1]!monsterDamage,"min",FALSE)+mVlookup(C115&amp;3,[1]!monsterDamage,"max",FALSE))/2</f>
        <v>0.22499999999999998</v>
      </c>
      <c r="H115" s="6">
        <f ca="1">(mVlookup(C115&amp;3,[1]!monsterDamage,"min",FALSE)+mVlookup(C115&amp;3,[1]!monsterDamage,"max",FALSE))/2</f>
        <v>0.22499999999999998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</row>
    <row r="116" spans="2:14" x14ac:dyDescent="0.2">
      <c r="B116" s="6">
        <v>99</v>
      </c>
      <c r="C116" s="3">
        <f t="shared" si="3"/>
        <v>9</v>
      </c>
      <c r="D116" s="6">
        <f ca="1">(mVlookup(C116&amp;3,[1]!monsterDamage,"min",FALSE)+mVlookup(C116&amp;3,[1]!monsterDamage,"max",FALSE))/2</f>
        <v>0.22499999999999998</v>
      </c>
      <c r="E116" s="6">
        <f ca="1">(mVlookup(C116&amp;3,[1]!monsterDamage,"min",FALSE)+mVlookup(C116&amp;3,[1]!monsterDamage,"max",FALSE))/2</f>
        <v>0.22499999999999998</v>
      </c>
      <c r="F116" s="6">
        <f ca="1">(mVlookup(C116&amp;3,[1]!monsterDamage,"min",FALSE)+mVlookup(C116&amp;3,[1]!monsterDamage,"max",FALSE))/2</f>
        <v>0.22499999999999998</v>
      </c>
      <c r="G116" s="6">
        <f ca="1">(mVlookup(C116&amp;3,[1]!monsterDamage,"min",FALSE)+mVlookup(C116&amp;3,[1]!monsterDamage,"max",FALSE))/2</f>
        <v>0.22499999999999998</v>
      </c>
      <c r="H116" s="6">
        <f ca="1">(mVlookup(C116&amp;3,[1]!monsterDamage,"min",FALSE)+mVlookup(C116&amp;3,[1]!monsterDamage,"max",FALSE))/2</f>
        <v>0.22499999999999998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101"/>
  <sheetViews>
    <sheetView tabSelected="1" workbookViewId="0">
      <selection activeCell="H9" sqref="H9"/>
    </sheetView>
  </sheetViews>
  <sheetFormatPr defaultRowHeight="12.75" x14ac:dyDescent="0.15"/>
  <cols>
    <col min="1" max="1" width="9" style="1"/>
    <col min="2" max="2" width="10.625" style="1" customWidth="1"/>
    <col min="3" max="3" width="4" style="1" customWidth="1"/>
    <col min="4" max="4" width="7.5" style="1" customWidth="1"/>
    <col min="5" max="5" width="13.375" style="1" customWidth="1"/>
    <col min="6" max="6" width="12.75" style="1" customWidth="1"/>
    <col min="7" max="7" width="15.625" style="1" customWidth="1"/>
    <col min="8" max="8" width="9.5" style="1" customWidth="1"/>
    <col min="9" max="9" width="18.125" style="1" customWidth="1"/>
    <col min="10" max="10" width="8.75" style="1" customWidth="1"/>
    <col min="11" max="11" width="13.25" style="1" customWidth="1"/>
    <col min="12" max="12" width="15.5" style="1" customWidth="1"/>
    <col min="13" max="20" width="9" style="1"/>
    <col min="21" max="21" width="5" style="1" customWidth="1"/>
    <col min="22" max="22" width="6.75" style="1" customWidth="1"/>
    <col min="23" max="23" width="5" style="1" customWidth="1"/>
    <col min="24" max="25" width="10.75" style="1" customWidth="1"/>
    <col min="26" max="26" width="9" style="1"/>
    <col min="27" max="27" width="8.25" style="1" customWidth="1"/>
    <col min="28" max="28" width="8.25" style="9" customWidth="1"/>
    <col min="29" max="16384" width="9" style="1"/>
  </cols>
  <sheetData>
    <row r="1" spans="2:42" x14ac:dyDescent="0.15">
      <c r="AB1" s="1"/>
    </row>
    <row r="2" spans="2:42" x14ac:dyDescent="0.15">
      <c r="B2" s="8" t="s">
        <v>51</v>
      </c>
      <c r="C2" s="7" t="s">
        <v>50</v>
      </c>
      <c r="D2" s="7" t="s">
        <v>83</v>
      </c>
      <c r="E2" s="7" t="s">
        <v>84</v>
      </c>
      <c r="F2" s="7" t="s">
        <v>85</v>
      </c>
      <c r="G2" s="7" t="s">
        <v>86</v>
      </c>
      <c r="H2" s="7" t="s">
        <v>52</v>
      </c>
      <c r="I2" s="10" t="s">
        <v>53</v>
      </c>
      <c r="J2" s="10" t="s">
        <v>78</v>
      </c>
      <c r="K2" s="10" t="s">
        <v>55</v>
      </c>
      <c r="L2" s="10" t="s">
        <v>54</v>
      </c>
      <c r="M2" s="10" t="s">
        <v>57</v>
      </c>
      <c r="N2" s="10" t="s">
        <v>56</v>
      </c>
      <c r="O2" s="10" t="s">
        <v>58</v>
      </c>
      <c r="P2" s="10" t="s">
        <v>59</v>
      </c>
      <c r="Q2" s="10" t="s">
        <v>60</v>
      </c>
      <c r="R2" s="10" t="s">
        <v>61</v>
      </c>
      <c r="S2" s="10" t="s">
        <v>62</v>
      </c>
      <c r="T2" s="10" t="s">
        <v>63</v>
      </c>
      <c r="U2" s="10" t="s">
        <v>79</v>
      </c>
      <c r="V2" s="7" t="s">
        <v>80</v>
      </c>
      <c r="W2" s="7" t="s">
        <v>81</v>
      </c>
      <c r="X2" s="7" t="s">
        <v>87</v>
      </c>
      <c r="Y2" s="7" t="s">
        <v>88</v>
      </c>
      <c r="Z2" s="7" t="s">
        <v>76</v>
      </c>
      <c r="AA2" s="7" t="s">
        <v>31</v>
      </c>
      <c r="AB2" s="7" t="s">
        <v>77</v>
      </c>
      <c r="AC2" s="7" t="s">
        <v>64</v>
      </c>
      <c r="AD2" s="7" t="s">
        <v>65</v>
      </c>
      <c r="AE2" s="7" t="s">
        <v>66</v>
      </c>
      <c r="AF2" s="7" t="s">
        <v>67</v>
      </c>
      <c r="AG2" s="7" t="s">
        <v>68</v>
      </c>
      <c r="AH2" s="7" t="s">
        <v>69</v>
      </c>
      <c r="AI2" s="7" t="s">
        <v>101</v>
      </c>
      <c r="AJ2" s="7" t="s">
        <v>70</v>
      </c>
      <c r="AK2" s="7" t="s">
        <v>71</v>
      </c>
      <c r="AL2" s="7" t="s">
        <v>72</v>
      </c>
      <c r="AM2" s="7" t="s">
        <v>73</v>
      </c>
      <c r="AN2" s="7" t="s">
        <v>74</v>
      </c>
      <c r="AO2" s="7" t="s">
        <v>75</v>
      </c>
      <c r="AP2" s="7" t="s">
        <v>102</v>
      </c>
    </row>
    <row r="3" spans="2:42" x14ac:dyDescent="0.15">
      <c r="C3" s="6">
        <v>1</v>
      </c>
      <c r="D3" s="6">
        <f>ROUNDUP(C3/(100/9),0)</f>
        <v>1</v>
      </c>
      <c r="E3" s="11">
        <f ca="1">mVlookup(D3&amp;3,[1]!circlePer,"max",FALSE)+10%</f>
        <v>0.2</v>
      </c>
      <c r="F3" s="6">
        <f ca="1">mVlookup(D3&amp;3,[1]!circleValue,"max",FALSE)+1.5</f>
        <v>2.4</v>
      </c>
      <c r="G3" s="6">
        <f ca="1">mVlookup(D3&amp;3,[1]!otherDamage,"max",FALSE)*100%</f>
        <v>0.1</v>
      </c>
      <c r="H3" s="6">
        <v>2.2000000000000002</v>
      </c>
      <c r="I3" s="6" t="str">
        <f>MID(H3/1.5,1,3)</f>
        <v>1.4</v>
      </c>
      <c r="J3" s="12">
        <f>[1]伤害减免!$D3</f>
        <v>0.7</v>
      </c>
      <c r="K3" s="6">
        <v>8</v>
      </c>
      <c r="L3" s="6" t="str">
        <f>MID(K3/1.5,1,3)</f>
        <v>5.3</v>
      </c>
      <c r="M3" s="6">
        <f>C3*([1]装备!E$10*0.5+[1]装备!E$10*VLOOKUP(C3,[1]!powerDistribution,3,FALSE))</f>
        <v>19.5</v>
      </c>
      <c r="N3" s="6">
        <f>C3*([1]装备!F$10*0.5+[1]装备!F$10*VLOOKUP(C3,[1]!powerDistribution,3,FALSE))</f>
        <v>11.786666268296266</v>
      </c>
      <c r="O3" s="6">
        <f ca="1">H3*(N3/2*(1-U3)*(1-V3)*(1+E3*(F3-1))*(1+G3))</f>
        <v>11.683320778455847</v>
      </c>
      <c r="P3" s="6">
        <v>100</v>
      </c>
      <c r="Q3" s="6">
        <f>M3/(K3*(1-J3))*baseAtkRevise(C3)</f>
        <v>8.0843749999999979</v>
      </c>
      <c r="R3" s="6">
        <f t="shared" ref="R3:R34" si="0">U3*C3*5.6667/(1-U3)</f>
        <v>1.4166749999999999</v>
      </c>
      <c r="S3" s="6">
        <f>Q3</f>
        <v>8.0843749999999979</v>
      </c>
      <c r="T3" s="6">
        <f>R3</f>
        <v>1.4166749999999999</v>
      </c>
      <c r="U3" s="6">
        <f>20%</f>
        <v>0.2</v>
      </c>
      <c r="V3" s="6">
        <v>0.2</v>
      </c>
      <c r="W3" s="6">
        <f>1-(1-U3)*(1-V3)</f>
        <v>0.35999999999999988</v>
      </c>
      <c r="X3" s="12">
        <v>0.1</v>
      </c>
      <c r="Y3" s="12">
        <v>2</v>
      </c>
      <c r="Z3" s="12">
        <v>0.1</v>
      </c>
      <c r="AA3" s="12">
        <v>0.9</v>
      </c>
      <c r="AB3" s="13">
        <f>(0.2/0.3*2+0.6)*C3</f>
        <v>1.9333333333333336</v>
      </c>
      <c r="AC3" s="6">
        <f>M3/(K3*(1-J3))*natureAtkRevise(C3)</f>
        <v>4.0624999999999994E-2</v>
      </c>
      <c r="AD3" s="6">
        <f>M3/(K3*(1-J3))*natureAtkRevise(C3)</f>
        <v>4.0624999999999994E-2</v>
      </c>
      <c r="AE3" s="6">
        <f>M3/(K3*(1-J3))*natureAtkRevise(C3)</f>
        <v>4.0624999999999994E-2</v>
      </c>
      <c r="AF3" s="6">
        <f>M3/(K3*(1-J3))*natureAtkRevise(C3)</f>
        <v>4.0624999999999994E-2</v>
      </c>
      <c r="AG3" s="6">
        <f>M3/(K3*(1-J3))*natureAtkRevise(C3)</f>
        <v>4.0624999999999994E-2</v>
      </c>
      <c r="AH3" s="6">
        <f>M3/(K3*(1-J3))*natureAtkRevise(C3)</f>
        <v>4.0624999999999994E-2</v>
      </c>
      <c r="AI3" s="6">
        <f>M3/(K3*(1-J3))*natureAtkRevise(C3)</f>
        <v>4.0624999999999994E-2</v>
      </c>
      <c r="AJ3" s="6">
        <f>$T3</f>
        <v>1.4166749999999999</v>
      </c>
      <c r="AK3" s="6">
        <f t="shared" ref="AK3:AO18" si="1">$T3</f>
        <v>1.4166749999999999</v>
      </c>
      <c r="AL3" s="6">
        <f t="shared" si="1"/>
        <v>1.4166749999999999</v>
      </c>
      <c r="AM3" s="6">
        <f t="shared" si="1"/>
        <v>1.4166749999999999</v>
      </c>
      <c r="AN3" s="6">
        <f t="shared" si="1"/>
        <v>1.4166749999999999</v>
      </c>
      <c r="AO3" s="6">
        <f t="shared" si="1"/>
        <v>1.4166749999999999</v>
      </c>
      <c r="AP3" s="1">
        <f>AO3</f>
        <v>1.4166749999999999</v>
      </c>
    </row>
    <row r="4" spans="2:42" x14ac:dyDescent="0.15">
      <c r="C4" s="6">
        <v>2</v>
      </c>
      <c r="D4" s="6">
        <f t="shared" ref="D4:D67" si="2">ROUNDUP(C4/(100/9),0)</f>
        <v>1</v>
      </c>
      <c r="E4" s="11">
        <f ca="1">mVlookup(D4&amp;3,[1]!circlePer,"max",FALSE)+10%</f>
        <v>0.2</v>
      </c>
      <c r="F4" s="6">
        <f ca="1">mVlookup(D4&amp;3,[1]!circleValue,"max",FALSE)+1.5</f>
        <v>2.4</v>
      </c>
      <c r="G4" s="6">
        <f ca="1">mVlookup(D4&amp;3,[1]!otherDamage,"max",FALSE)*100%</f>
        <v>0.1</v>
      </c>
      <c r="H4" s="6">
        <f>IF(H3+0.2&gt;4,4,H3+0.2)</f>
        <v>2.4000000000000004</v>
      </c>
      <c r="I4" s="6">
        <f>IF(I3+0.2&gt;3.3,3.3,I3+0.2)</f>
        <v>1.5999999999999999</v>
      </c>
      <c r="J4" s="12">
        <f>[1]伤害减免!$D4</f>
        <v>0.70199999999999996</v>
      </c>
      <c r="K4" s="6">
        <f>IF(K3-0.2&lt;7,7,K3-0.2)</f>
        <v>7.8</v>
      </c>
      <c r="L4" s="6" t="str">
        <f t="shared" ref="L4:L67" si="3">MID(K4/1.5,1,3)</f>
        <v>5.2</v>
      </c>
      <c r="M4" s="6">
        <f>C4*([1]装备!E$10*0.5+[1]装备!E$10*VLOOKUP(C4,[1]!powerDistribution,3,FALSE))</f>
        <v>39.260000000000005</v>
      </c>
      <c r="N4" s="6">
        <f>C4*([1]装备!F$10*0.5+[1]装备!F$10*VLOOKUP(C4,[1]!powerDistribution,3,FALSE))</f>
        <v>23.730488086836484</v>
      </c>
      <c r="O4" s="6">
        <f t="shared" ref="O4:O67" ca="1" si="4">H4*(N4/2*(1-U4)*(1-V4)*(1+E4*(F4-1))*(1+G4))</f>
        <v>25.66082090977212</v>
      </c>
      <c r="P4" s="6">
        <v>100</v>
      </c>
      <c r="Q4" s="6">
        <f t="shared" ref="Q4:Q67" si="5">M4/(K4*(1-J4))*baseAtkRevise(C4)</f>
        <v>16.721476510067117</v>
      </c>
      <c r="R4" s="6">
        <f t="shared" si="0"/>
        <v>2.8333499999999998</v>
      </c>
      <c r="S4" s="6">
        <f t="shared" ref="S4:S67" si="6">Q4</f>
        <v>16.721476510067117</v>
      </c>
      <c r="T4" s="6">
        <f t="shared" ref="T4:T67" si="7">R4</f>
        <v>2.8333499999999998</v>
      </c>
      <c r="U4" s="6">
        <f>20%</f>
        <v>0.2</v>
      </c>
      <c r="V4" s="6">
        <v>0.2</v>
      </c>
      <c r="W4" s="6">
        <f t="shared" ref="W4:W67" si="8">1-(1-U4)*(1-V4)</f>
        <v>0.35999999999999988</v>
      </c>
      <c r="X4" s="12">
        <v>0.1</v>
      </c>
      <c r="Y4" s="12">
        <v>2</v>
      </c>
      <c r="Z4" s="12">
        <v>0.1</v>
      </c>
      <c r="AA4" s="12">
        <v>0.9</v>
      </c>
      <c r="AB4" s="13">
        <f t="shared" ref="AB4:AB67" si="9">(0.2/0.3*2+0.6)*C4</f>
        <v>3.8666666666666671</v>
      </c>
      <c r="AC4" s="6">
        <f t="shared" ref="AC4:AC67" si="10">M4/(K4*(1-J4))*natureAtkRevise(C4)</f>
        <v>0.16890380313199108</v>
      </c>
      <c r="AD4" s="6">
        <f t="shared" ref="AD4:AD67" si="11">M4/(K4*(1-J4))*natureAtkRevise(C4)</f>
        <v>0.16890380313199108</v>
      </c>
      <c r="AE4" s="6">
        <f t="shared" ref="AE4:AE67" si="12">M4/(K4*(1-J4))*natureAtkRevise(C4)</f>
        <v>0.16890380313199108</v>
      </c>
      <c r="AF4" s="6">
        <f t="shared" ref="AF4:AF67" si="13">M4/(K4*(1-J4))*natureAtkRevise(C4)</f>
        <v>0.16890380313199108</v>
      </c>
      <c r="AG4" s="6">
        <f t="shared" ref="AG4:AG67" si="14">M4/(K4*(1-J4))*natureAtkRevise(C4)</f>
        <v>0.16890380313199108</v>
      </c>
      <c r="AH4" s="6">
        <f t="shared" ref="AH4:AH67" si="15">M4/(K4*(1-J4))*natureAtkRevise(C4)</f>
        <v>0.16890380313199108</v>
      </c>
      <c r="AI4" s="6">
        <f t="shared" ref="AI4:AI67" si="16">M4/(K4*(1-J4))*natureAtkRevise(C4)</f>
        <v>0.16890380313199108</v>
      </c>
      <c r="AJ4" s="6">
        <f t="shared" ref="AJ4:AO35" si="17">$T4</f>
        <v>2.8333499999999998</v>
      </c>
      <c r="AK4" s="6">
        <f t="shared" si="1"/>
        <v>2.8333499999999998</v>
      </c>
      <c r="AL4" s="6">
        <f t="shared" si="1"/>
        <v>2.8333499999999998</v>
      </c>
      <c r="AM4" s="6">
        <f t="shared" si="1"/>
        <v>2.8333499999999998</v>
      </c>
      <c r="AN4" s="6">
        <f t="shared" si="1"/>
        <v>2.8333499999999998</v>
      </c>
      <c r="AO4" s="6">
        <f t="shared" si="1"/>
        <v>2.8333499999999998</v>
      </c>
      <c r="AP4" s="1">
        <f t="shared" ref="AP4:AP67" si="18">AO4</f>
        <v>2.8333499999999998</v>
      </c>
    </row>
    <row r="5" spans="2:42" x14ac:dyDescent="0.15">
      <c r="C5" s="6">
        <v>3</v>
      </c>
      <c r="D5" s="6">
        <f t="shared" si="2"/>
        <v>1</v>
      </c>
      <c r="E5" s="11">
        <f ca="1">mVlookup(D5&amp;3,[1]!circlePer,"max",FALSE)+10%</f>
        <v>0.2</v>
      </c>
      <c r="F5" s="6">
        <f ca="1">mVlookup(D5&amp;3,[1]!circleValue,"max",FALSE)+1.5</f>
        <v>2.4</v>
      </c>
      <c r="G5" s="6">
        <f ca="1">mVlookup(D5&amp;3,[1]!otherDamage,"max",FALSE)*100%</f>
        <v>0.1</v>
      </c>
      <c r="H5" s="6">
        <f t="shared" ref="H5:H68" si="19">IF(H4+0.2&gt;4,4,H4+0.2)</f>
        <v>2.6000000000000005</v>
      </c>
      <c r="I5" s="6">
        <f t="shared" ref="I5:I68" si="20">IF(I4+0.2&gt;3.3,3.3,I4+0.2)</f>
        <v>1.7999999999999998</v>
      </c>
      <c r="J5" s="12">
        <f>[1]伤害减免!$D5</f>
        <v>0.70399999999999996</v>
      </c>
      <c r="K5" s="6">
        <f t="shared" ref="K5:K68" si="21">IF(K4-0.2&lt;7,7,K4-0.2)</f>
        <v>7.6</v>
      </c>
      <c r="L5" s="6" t="str">
        <f t="shared" si="3"/>
        <v>5.0</v>
      </c>
      <c r="M5" s="6">
        <f>C5*([1]装备!E$10*0.5+[1]装备!E$10*VLOOKUP(C5,[1]!powerDistribution,3,FALSE))</f>
        <v>59.279999999999994</v>
      </c>
      <c r="N5" s="6">
        <f>C5*([1]装备!F$10*0.5+[1]装备!F$10*VLOOKUP(C5,[1]!powerDistribution,3,FALSE))</f>
        <v>35.831465455620652</v>
      </c>
      <c r="O5" s="6">
        <f t="shared" ca="1" si="4"/>
        <v>41.974985196779571</v>
      </c>
      <c r="P5" s="6">
        <v>100</v>
      </c>
      <c r="Q5" s="6">
        <f t="shared" si="5"/>
        <v>25.956081081081077</v>
      </c>
      <c r="R5" s="6">
        <f t="shared" si="0"/>
        <v>4.2500249999999999</v>
      </c>
      <c r="S5" s="6">
        <f t="shared" si="6"/>
        <v>25.956081081081077</v>
      </c>
      <c r="T5" s="6">
        <f t="shared" si="7"/>
        <v>4.2500249999999999</v>
      </c>
      <c r="U5" s="6">
        <f>20%</f>
        <v>0.2</v>
      </c>
      <c r="V5" s="6">
        <v>0.2</v>
      </c>
      <c r="W5" s="6">
        <f t="shared" si="8"/>
        <v>0.35999999999999988</v>
      </c>
      <c r="X5" s="12">
        <v>0.1</v>
      </c>
      <c r="Y5" s="12">
        <v>2</v>
      </c>
      <c r="Z5" s="12">
        <v>0.1</v>
      </c>
      <c r="AA5" s="12">
        <v>0.9</v>
      </c>
      <c r="AB5" s="13">
        <f t="shared" si="9"/>
        <v>5.8000000000000007</v>
      </c>
      <c r="AC5" s="6">
        <f t="shared" si="10"/>
        <v>0.39527027027027017</v>
      </c>
      <c r="AD5" s="6">
        <f t="shared" si="11"/>
        <v>0.39527027027027017</v>
      </c>
      <c r="AE5" s="6">
        <f t="shared" si="12"/>
        <v>0.39527027027027017</v>
      </c>
      <c r="AF5" s="6">
        <f t="shared" si="13"/>
        <v>0.39527027027027017</v>
      </c>
      <c r="AG5" s="6">
        <f t="shared" si="14"/>
        <v>0.39527027027027017</v>
      </c>
      <c r="AH5" s="6">
        <f t="shared" si="15"/>
        <v>0.39527027027027017</v>
      </c>
      <c r="AI5" s="6">
        <f t="shared" si="16"/>
        <v>0.39527027027027017</v>
      </c>
      <c r="AJ5" s="6">
        <f t="shared" si="17"/>
        <v>4.2500249999999999</v>
      </c>
      <c r="AK5" s="6">
        <f t="shared" si="1"/>
        <v>4.2500249999999999</v>
      </c>
      <c r="AL5" s="6">
        <f t="shared" si="1"/>
        <v>4.2500249999999999</v>
      </c>
      <c r="AM5" s="6">
        <f t="shared" si="1"/>
        <v>4.2500249999999999</v>
      </c>
      <c r="AN5" s="6">
        <f t="shared" si="1"/>
        <v>4.2500249999999999</v>
      </c>
      <c r="AO5" s="6">
        <f t="shared" si="1"/>
        <v>4.2500249999999999</v>
      </c>
      <c r="AP5" s="1">
        <f t="shared" si="18"/>
        <v>4.2500249999999999</v>
      </c>
    </row>
    <row r="6" spans="2:42" x14ac:dyDescent="0.15">
      <c r="C6" s="6">
        <v>4</v>
      </c>
      <c r="D6" s="6">
        <f t="shared" si="2"/>
        <v>1</v>
      </c>
      <c r="E6" s="11">
        <f ca="1">mVlookup(D6&amp;3,[1]!circlePer,"max",FALSE)+10%</f>
        <v>0.2</v>
      </c>
      <c r="F6" s="6">
        <f ca="1">mVlookup(D6&amp;3,[1]!circleValue,"max",FALSE)+1.5</f>
        <v>2.4</v>
      </c>
      <c r="G6" s="6">
        <f ca="1">mVlookup(D6&amp;3,[1]!otherDamage,"max",FALSE)*100%</f>
        <v>0.1</v>
      </c>
      <c r="H6" s="6">
        <f t="shared" si="19"/>
        <v>2.8000000000000007</v>
      </c>
      <c r="I6" s="6">
        <f t="shared" si="20"/>
        <v>1.9999999999999998</v>
      </c>
      <c r="J6" s="12">
        <f>[1]伤害减免!$D6</f>
        <v>0.70599999999999996</v>
      </c>
      <c r="K6" s="6">
        <f t="shared" si="21"/>
        <v>7.3999999999999995</v>
      </c>
      <c r="L6" s="6" t="str">
        <f t="shared" si="3"/>
        <v>4.9</v>
      </c>
      <c r="M6" s="6">
        <f>C6*([1]装备!E$10*0.5+[1]装备!E$10*VLOOKUP(C6,[1]!powerDistribution,3,FALSE))</f>
        <v>79.56</v>
      </c>
      <c r="N6" s="6">
        <f>C6*([1]装备!F$10*0.5+[1]装备!F$10*VLOOKUP(C6,[1]!powerDistribution,3,FALSE))</f>
        <v>48.089598374648766</v>
      </c>
      <c r="O6" s="6">
        <f t="shared" ca="1" si="4"/>
        <v>60.668298442308917</v>
      </c>
      <c r="P6" s="6">
        <v>100</v>
      </c>
      <c r="Q6" s="6">
        <f t="shared" si="5"/>
        <v>35.837837837837839</v>
      </c>
      <c r="R6" s="6">
        <f t="shared" si="0"/>
        <v>5.6666999999999996</v>
      </c>
      <c r="S6" s="6">
        <f t="shared" si="6"/>
        <v>35.837837837837839</v>
      </c>
      <c r="T6" s="6">
        <f t="shared" si="7"/>
        <v>5.6666999999999996</v>
      </c>
      <c r="U6" s="6">
        <f>20%</f>
        <v>0.2</v>
      </c>
      <c r="V6" s="6">
        <v>0.2</v>
      </c>
      <c r="W6" s="6">
        <f t="shared" si="8"/>
        <v>0.35999999999999988</v>
      </c>
      <c r="X6" s="12">
        <v>0.1</v>
      </c>
      <c r="Y6" s="12">
        <v>2</v>
      </c>
      <c r="Z6" s="12">
        <v>0.1</v>
      </c>
      <c r="AA6" s="12">
        <v>0.9</v>
      </c>
      <c r="AB6" s="13">
        <f t="shared" si="9"/>
        <v>7.7333333333333343</v>
      </c>
      <c r="AC6" s="6">
        <f t="shared" si="10"/>
        <v>0.73138444567015992</v>
      </c>
      <c r="AD6" s="6">
        <f t="shared" si="11"/>
        <v>0.73138444567015992</v>
      </c>
      <c r="AE6" s="6">
        <f t="shared" si="12"/>
        <v>0.73138444567015992</v>
      </c>
      <c r="AF6" s="6">
        <f t="shared" si="13"/>
        <v>0.73138444567015992</v>
      </c>
      <c r="AG6" s="6">
        <f t="shared" si="14"/>
        <v>0.73138444567015992</v>
      </c>
      <c r="AH6" s="6">
        <f t="shared" si="15"/>
        <v>0.73138444567015992</v>
      </c>
      <c r="AI6" s="6">
        <f t="shared" si="16"/>
        <v>0.73138444567015992</v>
      </c>
      <c r="AJ6" s="6">
        <f t="shared" si="17"/>
        <v>5.6666999999999996</v>
      </c>
      <c r="AK6" s="6">
        <f t="shared" si="1"/>
        <v>5.6666999999999996</v>
      </c>
      <c r="AL6" s="6">
        <f t="shared" si="1"/>
        <v>5.6666999999999996</v>
      </c>
      <c r="AM6" s="6">
        <f t="shared" si="1"/>
        <v>5.6666999999999996</v>
      </c>
      <c r="AN6" s="6">
        <f t="shared" si="1"/>
        <v>5.6666999999999996</v>
      </c>
      <c r="AO6" s="6">
        <f t="shared" si="1"/>
        <v>5.6666999999999996</v>
      </c>
      <c r="AP6" s="1">
        <f t="shared" si="18"/>
        <v>5.6666999999999996</v>
      </c>
    </row>
    <row r="7" spans="2:42" x14ac:dyDescent="0.15">
      <c r="C7" s="6">
        <v>5</v>
      </c>
      <c r="D7" s="6">
        <f t="shared" si="2"/>
        <v>1</v>
      </c>
      <c r="E7" s="11">
        <f ca="1">mVlookup(D7&amp;3,[1]!circlePer,"max",FALSE)+10%</f>
        <v>0.2</v>
      </c>
      <c r="F7" s="6">
        <f ca="1">mVlookup(D7&amp;3,[1]!circleValue,"max",FALSE)+1.5</f>
        <v>2.4</v>
      </c>
      <c r="G7" s="6">
        <f ca="1">mVlookup(D7&amp;3,[1]!otherDamage,"max",FALSE)*100%</f>
        <v>0.1</v>
      </c>
      <c r="H7" s="6">
        <f t="shared" si="19"/>
        <v>3.0000000000000009</v>
      </c>
      <c r="I7" s="6">
        <f t="shared" si="20"/>
        <v>2.1999999999999997</v>
      </c>
      <c r="J7" s="12">
        <f>[1]伤害减免!$D7</f>
        <v>0.70799999999999996</v>
      </c>
      <c r="K7" s="6">
        <f t="shared" si="21"/>
        <v>7.1999999999999993</v>
      </c>
      <c r="L7" s="6" t="str">
        <f t="shared" si="3"/>
        <v>4.8</v>
      </c>
      <c r="M7" s="6">
        <f>C7*([1]装备!E$10*0.5+[1]装备!E$10*VLOOKUP(C7,[1]!powerDistribution,3,FALSE))</f>
        <v>100.1</v>
      </c>
      <c r="N7" s="6">
        <f>C7*([1]装备!F$10*0.5+[1]装备!F$10*VLOOKUP(C7,[1]!powerDistribution,3,FALSE))</f>
        <v>60.504886843920843</v>
      </c>
      <c r="O7" s="6">
        <f t="shared" ca="1" si="4"/>
        <v>81.783245449190971</v>
      </c>
      <c r="P7" s="6">
        <v>100</v>
      </c>
      <c r="Q7" s="6">
        <f t="shared" si="5"/>
        <v>46.421946347031955</v>
      </c>
      <c r="R7" s="6">
        <f t="shared" si="0"/>
        <v>7.0833749999999993</v>
      </c>
      <c r="S7" s="6">
        <f t="shared" si="6"/>
        <v>46.421946347031955</v>
      </c>
      <c r="T7" s="6">
        <f t="shared" si="7"/>
        <v>7.0833749999999993</v>
      </c>
      <c r="U7" s="6">
        <f>20%</f>
        <v>0.2</v>
      </c>
      <c r="V7" s="6">
        <v>0.2</v>
      </c>
      <c r="W7" s="6">
        <f t="shared" si="8"/>
        <v>0.35999999999999988</v>
      </c>
      <c r="X7" s="12">
        <v>0.1</v>
      </c>
      <c r="Y7" s="12">
        <v>2</v>
      </c>
      <c r="Z7" s="12">
        <v>0.1</v>
      </c>
      <c r="AA7" s="12">
        <v>0.9</v>
      </c>
      <c r="AB7" s="13">
        <f t="shared" si="9"/>
        <v>9.6666666666666679</v>
      </c>
      <c r="AC7" s="6">
        <f t="shared" si="10"/>
        <v>1.190306316590563</v>
      </c>
      <c r="AD7" s="6">
        <f t="shared" si="11"/>
        <v>1.190306316590563</v>
      </c>
      <c r="AE7" s="6">
        <f t="shared" si="12"/>
        <v>1.190306316590563</v>
      </c>
      <c r="AF7" s="6">
        <f t="shared" si="13"/>
        <v>1.190306316590563</v>
      </c>
      <c r="AG7" s="6">
        <f t="shared" si="14"/>
        <v>1.190306316590563</v>
      </c>
      <c r="AH7" s="6">
        <f t="shared" si="15"/>
        <v>1.190306316590563</v>
      </c>
      <c r="AI7" s="6">
        <f t="shared" si="16"/>
        <v>1.190306316590563</v>
      </c>
      <c r="AJ7" s="6">
        <f t="shared" si="17"/>
        <v>7.0833749999999993</v>
      </c>
      <c r="AK7" s="6">
        <f t="shared" si="1"/>
        <v>7.0833749999999993</v>
      </c>
      <c r="AL7" s="6">
        <f t="shared" si="1"/>
        <v>7.0833749999999993</v>
      </c>
      <c r="AM7" s="6">
        <f t="shared" si="1"/>
        <v>7.0833749999999993</v>
      </c>
      <c r="AN7" s="6">
        <f t="shared" si="1"/>
        <v>7.0833749999999993</v>
      </c>
      <c r="AO7" s="6">
        <f t="shared" si="1"/>
        <v>7.0833749999999993</v>
      </c>
      <c r="AP7" s="1">
        <f t="shared" si="18"/>
        <v>7.0833749999999993</v>
      </c>
    </row>
    <row r="8" spans="2:42" x14ac:dyDescent="0.15">
      <c r="C8" s="6">
        <v>6</v>
      </c>
      <c r="D8" s="6">
        <f t="shared" si="2"/>
        <v>1</v>
      </c>
      <c r="E8" s="11">
        <f ca="1">mVlookup(D8&amp;3,[1]!circlePer,"max",FALSE)+10%</f>
        <v>0.2</v>
      </c>
      <c r="F8" s="6">
        <f ca="1">mVlookup(D8&amp;3,[1]!circleValue,"max",FALSE)+1.5</f>
        <v>2.4</v>
      </c>
      <c r="G8" s="6">
        <f ca="1">mVlookup(D8&amp;3,[1]!otherDamage,"max",FALSE)*100%</f>
        <v>0.1</v>
      </c>
      <c r="H8" s="6">
        <f t="shared" si="19"/>
        <v>3.2000000000000011</v>
      </c>
      <c r="I8" s="6">
        <f t="shared" si="20"/>
        <v>2.4</v>
      </c>
      <c r="J8" s="12">
        <f>[1]伤害减免!$D8</f>
        <v>0.71</v>
      </c>
      <c r="K8" s="6">
        <f t="shared" si="21"/>
        <v>6.9999999999999991</v>
      </c>
      <c r="L8" s="6" t="str">
        <f t="shared" si="3"/>
        <v>4.6</v>
      </c>
      <c r="M8" s="6">
        <f>C8*([1]装备!E$10*0.5+[1]装备!E$10*VLOOKUP(C8,[1]!powerDistribution,3,FALSE))</f>
        <v>120.89999999999999</v>
      </c>
      <c r="N8" s="6">
        <f>C8*([1]装备!F$10*0.5+[1]装备!F$10*VLOOKUP(C8,[1]!powerDistribution,3,FALSE))</f>
        <v>73.077330863436856</v>
      </c>
      <c r="O8" s="6">
        <f t="shared" ca="1" si="4"/>
        <v>105.36231102025639</v>
      </c>
      <c r="P8" s="6">
        <v>100</v>
      </c>
      <c r="Q8" s="6">
        <f t="shared" si="5"/>
        <v>57.769950738916258</v>
      </c>
      <c r="R8" s="6">
        <f t="shared" si="0"/>
        <v>8.5000499999999999</v>
      </c>
      <c r="S8" s="6">
        <f t="shared" si="6"/>
        <v>57.769950738916258</v>
      </c>
      <c r="T8" s="6">
        <f t="shared" si="7"/>
        <v>8.5000499999999999</v>
      </c>
      <c r="U8" s="6">
        <f>20%</f>
        <v>0.2</v>
      </c>
      <c r="V8" s="6">
        <v>0.2</v>
      </c>
      <c r="W8" s="6">
        <f t="shared" si="8"/>
        <v>0.35999999999999988</v>
      </c>
      <c r="X8" s="12">
        <v>0.1</v>
      </c>
      <c r="Y8" s="12">
        <v>2</v>
      </c>
      <c r="Z8" s="12">
        <v>0.1</v>
      </c>
      <c r="AA8" s="12">
        <v>0.9</v>
      </c>
      <c r="AB8" s="13">
        <f t="shared" si="9"/>
        <v>11.600000000000001</v>
      </c>
      <c r="AC8" s="6">
        <f t="shared" si="10"/>
        <v>1.7866995073891627</v>
      </c>
      <c r="AD8" s="6">
        <f t="shared" si="11"/>
        <v>1.7866995073891627</v>
      </c>
      <c r="AE8" s="6">
        <f t="shared" si="12"/>
        <v>1.7866995073891627</v>
      </c>
      <c r="AF8" s="6">
        <f t="shared" si="13"/>
        <v>1.7866995073891627</v>
      </c>
      <c r="AG8" s="6">
        <f t="shared" si="14"/>
        <v>1.7866995073891627</v>
      </c>
      <c r="AH8" s="6">
        <f t="shared" si="15"/>
        <v>1.7866995073891627</v>
      </c>
      <c r="AI8" s="6">
        <f t="shared" si="16"/>
        <v>1.7866995073891627</v>
      </c>
      <c r="AJ8" s="6">
        <f t="shared" si="17"/>
        <v>8.5000499999999999</v>
      </c>
      <c r="AK8" s="6">
        <f t="shared" si="1"/>
        <v>8.5000499999999999</v>
      </c>
      <c r="AL8" s="6">
        <f t="shared" si="1"/>
        <v>8.5000499999999999</v>
      </c>
      <c r="AM8" s="6">
        <f t="shared" si="1"/>
        <v>8.5000499999999999</v>
      </c>
      <c r="AN8" s="6">
        <f t="shared" si="1"/>
        <v>8.5000499999999999</v>
      </c>
      <c r="AO8" s="6">
        <f t="shared" si="1"/>
        <v>8.5000499999999999</v>
      </c>
      <c r="AP8" s="1">
        <f t="shared" si="18"/>
        <v>8.5000499999999999</v>
      </c>
    </row>
    <row r="9" spans="2:42" x14ac:dyDescent="0.15">
      <c r="C9" s="6">
        <v>7</v>
      </c>
      <c r="D9" s="6">
        <f t="shared" si="2"/>
        <v>1</v>
      </c>
      <c r="E9" s="11">
        <f ca="1">mVlookup(D9&amp;3,[1]!circlePer,"max",FALSE)+10%</f>
        <v>0.2</v>
      </c>
      <c r="F9" s="6">
        <f ca="1">mVlookup(D9&amp;3,[1]!circleValue,"max",FALSE)+1.5</f>
        <v>2.4</v>
      </c>
      <c r="G9" s="6">
        <f ca="1">mVlookup(D9&amp;3,[1]!otherDamage,"max",FALSE)*100%</f>
        <v>0.1</v>
      </c>
      <c r="H9" s="6">
        <f t="shared" si="19"/>
        <v>3.4000000000000012</v>
      </c>
      <c r="I9" s="6">
        <f t="shared" si="20"/>
        <v>2.6</v>
      </c>
      <c r="J9" s="12">
        <f>[1]伤害减免!$D9</f>
        <v>0.71199999999999997</v>
      </c>
      <c r="K9" s="6">
        <f t="shared" si="21"/>
        <v>7</v>
      </c>
      <c r="L9" s="6" t="str">
        <f t="shared" si="3"/>
        <v>4.6</v>
      </c>
      <c r="M9" s="6">
        <f>C9*([1]装备!E$10*0.5+[1]装备!E$10*VLOOKUP(C9,[1]!powerDistribution,3,FALSE))</f>
        <v>141.96</v>
      </c>
      <c r="N9" s="6">
        <f>C9*([1]装备!F$10*0.5+[1]装备!F$10*VLOOKUP(C9,[1]!powerDistribution,3,FALSE))</f>
        <v>85.806930433196825</v>
      </c>
      <c r="O9" s="6">
        <f t="shared" ca="1" si="4"/>
        <v>131.44797995833602</v>
      </c>
      <c r="P9" s="6">
        <v>100</v>
      </c>
      <c r="Q9" s="6">
        <f t="shared" si="5"/>
        <v>67.952083333333334</v>
      </c>
      <c r="R9" s="6">
        <f t="shared" si="0"/>
        <v>9.9167249999999996</v>
      </c>
      <c r="S9" s="6">
        <f t="shared" si="6"/>
        <v>67.952083333333334</v>
      </c>
      <c r="T9" s="6">
        <f t="shared" si="7"/>
        <v>9.9167249999999996</v>
      </c>
      <c r="U9" s="6">
        <f>20%</f>
        <v>0.2</v>
      </c>
      <c r="V9" s="6">
        <v>0.2</v>
      </c>
      <c r="W9" s="6">
        <f t="shared" si="8"/>
        <v>0.35999999999999988</v>
      </c>
      <c r="X9" s="12">
        <v>0.1</v>
      </c>
      <c r="Y9" s="12">
        <v>2</v>
      </c>
      <c r="Z9" s="12">
        <v>0.1</v>
      </c>
      <c r="AA9" s="12">
        <v>0.9</v>
      </c>
      <c r="AB9" s="13">
        <f t="shared" si="9"/>
        <v>13.533333333333335</v>
      </c>
      <c r="AC9" s="6">
        <f t="shared" si="10"/>
        <v>2.4645833333333336</v>
      </c>
      <c r="AD9" s="6">
        <f t="shared" si="11"/>
        <v>2.4645833333333336</v>
      </c>
      <c r="AE9" s="6">
        <f t="shared" si="12"/>
        <v>2.4645833333333336</v>
      </c>
      <c r="AF9" s="6">
        <f t="shared" si="13"/>
        <v>2.4645833333333336</v>
      </c>
      <c r="AG9" s="6">
        <f t="shared" si="14"/>
        <v>2.4645833333333336</v>
      </c>
      <c r="AH9" s="6">
        <f t="shared" si="15"/>
        <v>2.4645833333333336</v>
      </c>
      <c r="AI9" s="6">
        <f t="shared" si="16"/>
        <v>2.4645833333333336</v>
      </c>
      <c r="AJ9" s="6">
        <f t="shared" si="17"/>
        <v>9.9167249999999996</v>
      </c>
      <c r="AK9" s="6">
        <f t="shared" si="1"/>
        <v>9.9167249999999996</v>
      </c>
      <c r="AL9" s="6">
        <f t="shared" si="1"/>
        <v>9.9167249999999996</v>
      </c>
      <c r="AM9" s="6">
        <f t="shared" si="1"/>
        <v>9.9167249999999996</v>
      </c>
      <c r="AN9" s="6">
        <f t="shared" si="1"/>
        <v>9.9167249999999996</v>
      </c>
      <c r="AO9" s="6">
        <f t="shared" si="1"/>
        <v>9.9167249999999996</v>
      </c>
      <c r="AP9" s="1">
        <f t="shared" si="18"/>
        <v>9.9167249999999996</v>
      </c>
    </row>
    <row r="10" spans="2:42" x14ac:dyDescent="0.15">
      <c r="C10" s="6">
        <v>8</v>
      </c>
      <c r="D10" s="6">
        <f t="shared" si="2"/>
        <v>1</v>
      </c>
      <c r="E10" s="11">
        <f ca="1">mVlookup(D10&amp;3,[1]!circlePer,"max",FALSE)+10%</f>
        <v>0.2</v>
      </c>
      <c r="F10" s="6">
        <f ca="1">mVlookup(D10&amp;3,[1]!circleValue,"max",FALSE)+1.5</f>
        <v>2.4</v>
      </c>
      <c r="G10" s="6">
        <f ca="1">mVlookup(D10&amp;3,[1]!otherDamage,"max",FALSE)*100%</f>
        <v>0.1</v>
      </c>
      <c r="H10" s="6">
        <f t="shared" si="19"/>
        <v>3.6000000000000014</v>
      </c>
      <c r="I10" s="6">
        <f t="shared" si="20"/>
        <v>2.8000000000000003</v>
      </c>
      <c r="J10" s="12">
        <f>[1]伤害减免!$D10</f>
        <v>0.71399999999999997</v>
      </c>
      <c r="K10" s="6">
        <f t="shared" si="21"/>
        <v>7</v>
      </c>
      <c r="L10" s="6" t="str">
        <f t="shared" si="3"/>
        <v>4.6</v>
      </c>
      <c r="M10" s="6">
        <f>C10*([1]装备!E$10*0.5+[1]装备!E$10*VLOOKUP(C10,[1]!powerDistribution,3,FALSE))</f>
        <v>163.28</v>
      </c>
      <c r="N10" s="6">
        <f>C10*([1]装备!F$10*0.5+[1]装备!F$10*VLOOKUP(C10,[1]!powerDistribution,3,FALSE))</f>
        <v>98.693685553200737</v>
      </c>
      <c r="O10" s="6">
        <f t="shared" ca="1" si="4"/>
        <v>160.08273706626053</v>
      </c>
      <c r="P10" s="6">
        <v>100</v>
      </c>
      <c r="Q10" s="6">
        <f t="shared" si="5"/>
        <v>78.296103896103872</v>
      </c>
      <c r="R10" s="6">
        <f t="shared" si="0"/>
        <v>11.333399999999999</v>
      </c>
      <c r="S10" s="6">
        <f t="shared" si="6"/>
        <v>78.296103896103872</v>
      </c>
      <c r="T10" s="6">
        <f t="shared" si="7"/>
        <v>11.333399999999999</v>
      </c>
      <c r="U10" s="6">
        <f>20%</f>
        <v>0.2</v>
      </c>
      <c r="V10" s="6">
        <v>0.2</v>
      </c>
      <c r="W10" s="6">
        <f t="shared" si="8"/>
        <v>0.35999999999999988</v>
      </c>
      <c r="X10" s="12">
        <v>0.1</v>
      </c>
      <c r="Y10" s="12">
        <v>2</v>
      </c>
      <c r="Z10" s="12">
        <v>0.1</v>
      </c>
      <c r="AA10" s="12">
        <v>0.9</v>
      </c>
      <c r="AB10" s="13">
        <f t="shared" si="9"/>
        <v>15.466666666666669</v>
      </c>
      <c r="AC10" s="6">
        <f t="shared" si="10"/>
        <v>3.2623376623376616</v>
      </c>
      <c r="AD10" s="6">
        <f t="shared" si="11"/>
        <v>3.2623376623376616</v>
      </c>
      <c r="AE10" s="6">
        <f t="shared" si="12"/>
        <v>3.2623376623376616</v>
      </c>
      <c r="AF10" s="6">
        <f t="shared" si="13"/>
        <v>3.2623376623376616</v>
      </c>
      <c r="AG10" s="6">
        <f t="shared" si="14"/>
        <v>3.2623376623376616</v>
      </c>
      <c r="AH10" s="6">
        <f t="shared" si="15"/>
        <v>3.2623376623376616</v>
      </c>
      <c r="AI10" s="6">
        <f t="shared" si="16"/>
        <v>3.2623376623376616</v>
      </c>
      <c r="AJ10" s="6">
        <f t="shared" si="17"/>
        <v>11.333399999999999</v>
      </c>
      <c r="AK10" s="6">
        <f t="shared" si="1"/>
        <v>11.333399999999999</v>
      </c>
      <c r="AL10" s="6">
        <f t="shared" si="1"/>
        <v>11.333399999999999</v>
      </c>
      <c r="AM10" s="6">
        <f t="shared" si="1"/>
        <v>11.333399999999999</v>
      </c>
      <c r="AN10" s="6">
        <f t="shared" si="1"/>
        <v>11.333399999999999</v>
      </c>
      <c r="AO10" s="6">
        <f t="shared" si="1"/>
        <v>11.333399999999999</v>
      </c>
      <c r="AP10" s="1">
        <f t="shared" si="18"/>
        <v>11.333399999999999</v>
      </c>
    </row>
    <row r="11" spans="2:42" x14ac:dyDescent="0.15">
      <c r="C11" s="6">
        <v>9</v>
      </c>
      <c r="D11" s="6">
        <f t="shared" si="2"/>
        <v>1</v>
      </c>
      <c r="E11" s="11">
        <f ca="1">mVlookup(D11&amp;3,[1]!circlePer,"max",FALSE)+10%</f>
        <v>0.2</v>
      </c>
      <c r="F11" s="6">
        <f ca="1">mVlookup(D11&amp;3,[1]!circleValue,"max",FALSE)+1.5</f>
        <v>2.4</v>
      </c>
      <c r="G11" s="6">
        <f ca="1">mVlookup(D11&amp;3,[1]!otherDamage,"max",FALSE)*100%</f>
        <v>0.1</v>
      </c>
      <c r="H11" s="6">
        <f t="shared" si="19"/>
        <v>3.8000000000000016</v>
      </c>
      <c r="I11" s="6">
        <f t="shared" si="20"/>
        <v>3.0000000000000004</v>
      </c>
      <c r="J11" s="12">
        <f>[1]伤害减免!$D11</f>
        <v>0.71599999999999997</v>
      </c>
      <c r="K11" s="6">
        <f t="shared" si="21"/>
        <v>7</v>
      </c>
      <c r="L11" s="6" t="str">
        <f t="shared" si="3"/>
        <v>4.6</v>
      </c>
      <c r="M11" s="6">
        <f>C11*([1]装备!E$10*0.5+[1]装备!E$10*VLOOKUP(C11,[1]!powerDistribution,3,FALSE))</f>
        <v>184.85999999999999</v>
      </c>
      <c r="N11" s="6">
        <f>C11*([1]装备!F$10*0.5+[1]装备!F$10*VLOOKUP(C11,[1]!powerDistribution,3,FALSE))</f>
        <v>111.73759622344862</v>
      </c>
      <c r="O11" s="6">
        <f t="shared" ca="1" si="4"/>
        <v>191.30906714686074</v>
      </c>
      <c r="P11" s="6">
        <v>100</v>
      </c>
      <c r="Q11" s="6">
        <f t="shared" si="5"/>
        <v>88.803470824949684</v>
      </c>
      <c r="R11" s="6">
        <f t="shared" si="0"/>
        <v>12.750074999999997</v>
      </c>
      <c r="S11" s="6">
        <f t="shared" si="6"/>
        <v>88.803470824949684</v>
      </c>
      <c r="T11" s="6">
        <f t="shared" si="7"/>
        <v>12.750074999999997</v>
      </c>
      <c r="U11" s="6">
        <f>20%</f>
        <v>0.2</v>
      </c>
      <c r="V11" s="6">
        <v>0.2</v>
      </c>
      <c r="W11" s="6">
        <f t="shared" si="8"/>
        <v>0.35999999999999988</v>
      </c>
      <c r="X11" s="12">
        <v>0.1</v>
      </c>
      <c r="Y11" s="12">
        <v>2</v>
      </c>
      <c r="Z11" s="12">
        <v>0.1</v>
      </c>
      <c r="AA11" s="12">
        <v>0.9</v>
      </c>
      <c r="AB11" s="13">
        <f t="shared" si="9"/>
        <v>17.400000000000002</v>
      </c>
      <c r="AC11" s="6">
        <f t="shared" si="10"/>
        <v>4.1844567404426556</v>
      </c>
      <c r="AD11" s="6">
        <f t="shared" si="11"/>
        <v>4.1844567404426556</v>
      </c>
      <c r="AE11" s="6">
        <f t="shared" si="12"/>
        <v>4.1844567404426556</v>
      </c>
      <c r="AF11" s="6">
        <f t="shared" si="13"/>
        <v>4.1844567404426556</v>
      </c>
      <c r="AG11" s="6">
        <f t="shared" si="14"/>
        <v>4.1844567404426556</v>
      </c>
      <c r="AH11" s="6">
        <f t="shared" si="15"/>
        <v>4.1844567404426556</v>
      </c>
      <c r="AI11" s="6">
        <f t="shared" si="16"/>
        <v>4.1844567404426556</v>
      </c>
      <c r="AJ11" s="6">
        <f t="shared" si="17"/>
        <v>12.750074999999997</v>
      </c>
      <c r="AK11" s="6">
        <f t="shared" si="1"/>
        <v>12.750074999999997</v>
      </c>
      <c r="AL11" s="6">
        <f t="shared" si="1"/>
        <v>12.750074999999997</v>
      </c>
      <c r="AM11" s="6">
        <f t="shared" si="1"/>
        <v>12.750074999999997</v>
      </c>
      <c r="AN11" s="6">
        <f t="shared" si="1"/>
        <v>12.750074999999997</v>
      </c>
      <c r="AO11" s="6">
        <f t="shared" si="1"/>
        <v>12.750074999999997</v>
      </c>
      <c r="AP11" s="1">
        <f t="shared" si="18"/>
        <v>12.750074999999997</v>
      </c>
    </row>
    <row r="12" spans="2:42" x14ac:dyDescent="0.15">
      <c r="C12" s="6">
        <v>10</v>
      </c>
      <c r="D12" s="6">
        <f t="shared" si="2"/>
        <v>1</v>
      </c>
      <c r="E12" s="11">
        <f ca="1">mVlookup(D12&amp;3,[1]!circlePer,"max",FALSE)+10%</f>
        <v>0.2</v>
      </c>
      <c r="F12" s="6">
        <f ca="1">mVlookup(D12&amp;3,[1]!circleValue,"max",FALSE)+1.5</f>
        <v>2.4</v>
      </c>
      <c r="G12" s="6">
        <f ca="1">mVlookup(D12&amp;3,[1]!otherDamage,"max",FALSE)*100%</f>
        <v>0.1</v>
      </c>
      <c r="H12" s="6">
        <f t="shared" si="19"/>
        <v>4.0000000000000018</v>
      </c>
      <c r="I12" s="6">
        <f t="shared" si="20"/>
        <v>3.2000000000000006</v>
      </c>
      <c r="J12" s="12">
        <f>[1]伤害减免!$D12</f>
        <v>0.71799999999999997</v>
      </c>
      <c r="K12" s="6">
        <f t="shared" si="21"/>
        <v>7</v>
      </c>
      <c r="L12" s="6" t="str">
        <f t="shared" si="3"/>
        <v>4.6</v>
      </c>
      <c r="M12" s="6">
        <f>C12*([1]装备!E$10*0.5+[1]装备!E$10*VLOOKUP(C12,[1]!powerDistribution,3,FALSE))</f>
        <v>206.70000000000002</v>
      </c>
      <c r="N12" s="6">
        <f>C12*([1]装备!F$10*0.5+[1]装备!F$10*VLOOKUP(C12,[1]!powerDistribution,3,FALSE))</f>
        <v>124.93866244394043</v>
      </c>
      <c r="O12" s="6">
        <f t="shared" ca="1" si="4"/>
        <v>225.1694550029674</v>
      </c>
      <c r="P12" s="6">
        <v>100</v>
      </c>
      <c r="Q12" s="6">
        <f t="shared" si="5"/>
        <v>99.4756838905775</v>
      </c>
      <c r="R12" s="6">
        <f t="shared" si="0"/>
        <v>14.166749999999999</v>
      </c>
      <c r="S12" s="6">
        <f t="shared" si="6"/>
        <v>99.4756838905775</v>
      </c>
      <c r="T12" s="6">
        <f t="shared" si="7"/>
        <v>14.166749999999999</v>
      </c>
      <c r="U12" s="6">
        <f>20%</f>
        <v>0.2</v>
      </c>
      <c r="V12" s="6">
        <v>0.2</v>
      </c>
      <c r="W12" s="6">
        <f t="shared" si="8"/>
        <v>0.35999999999999988</v>
      </c>
      <c r="X12" s="12">
        <v>0.1</v>
      </c>
      <c r="Y12" s="12">
        <v>2</v>
      </c>
      <c r="Z12" s="12">
        <v>0.1</v>
      </c>
      <c r="AA12" s="12">
        <v>0.9</v>
      </c>
      <c r="AB12" s="13">
        <f t="shared" si="9"/>
        <v>19.333333333333336</v>
      </c>
      <c r="AC12" s="6">
        <f t="shared" si="10"/>
        <v>5.2355623100303958</v>
      </c>
      <c r="AD12" s="6">
        <f t="shared" si="11"/>
        <v>5.2355623100303958</v>
      </c>
      <c r="AE12" s="6">
        <f t="shared" si="12"/>
        <v>5.2355623100303958</v>
      </c>
      <c r="AF12" s="6">
        <f t="shared" si="13"/>
        <v>5.2355623100303958</v>
      </c>
      <c r="AG12" s="6">
        <f t="shared" si="14"/>
        <v>5.2355623100303958</v>
      </c>
      <c r="AH12" s="6">
        <f t="shared" si="15"/>
        <v>5.2355623100303958</v>
      </c>
      <c r="AI12" s="6">
        <f t="shared" si="16"/>
        <v>5.2355623100303958</v>
      </c>
      <c r="AJ12" s="6">
        <f t="shared" si="17"/>
        <v>14.166749999999999</v>
      </c>
      <c r="AK12" s="6">
        <f t="shared" si="1"/>
        <v>14.166749999999999</v>
      </c>
      <c r="AL12" s="6">
        <f t="shared" si="1"/>
        <v>14.166749999999999</v>
      </c>
      <c r="AM12" s="6">
        <f t="shared" si="1"/>
        <v>14.166749999999999</v>
      </c>
      <c r="AN12" s="6">
        <f t="shared" si="1"/>
        <v>14.166749999999999</v>
      </c>
      <c r="AO12" s="6">
        <f t="shared" si="1"/>
        <v>14.166749999999999</v>
      </c>
      <c r="AP12" s="1">
        <f t="shared" si="18"/>
        <v>14.166749999999999</v>
      </c>
    </row>
    <row r="13" spans="2:42" x14ac:dyDescent="0.15">
      <c r="C13" s="6">
        <v>11</v>
      </c>
      <c r="D13" s="6">
        <f t="shared" si="2"/>
        <v>1</v>
      </c>
      <c r="E13" s="11">
        <f ca="1">mVlookup(D13&amp;3,[1]!circlePer,"max",FALSE)+10%</f>
        <v>0.2</v>
      </c>
      <c r="F13" s="6">
        <f ca="1">mVlookup(D13&amp;3,[1]!circleValue,"max",FALSE)+1.5</f>
        <v>2.4</v>
      </c>
      <c r="G13" s="6">
        <f ca="1">mVlookup(D13&amp;3,[1]!otherDamage,"max",FALSE)*100%</f>
        <v>0.1</v>
      </c>
      <c r="H13" s="6">
        <f t="shared" si="19"/>
        <v>4</v>
      </c>
      <c r="I13" s="6">
        <f t="shared" si="20"/>
        <v>3.3</v>
      </c>
      <c r="J13" s="12">
        <f>[1]伤害减免!$D13</f>
        <v>0.72</v>
      </c>
      <c r="K13" s="6">
        <f t="shared" si="21"/>
        <v>7</v>
      </c>
      <c r="L13" s="6" t="str">
        <f t="shared" si="3"/>
        <v>4.6</v>
      </c>
      <c r="M13" s="6">
        <f>C13*([1]装备!E$10*0.5+[1]装备!E$10*VLOOKUP(C13,[1]!powerDistribution,3,FALSE))</f>
        <v>228.8</v>
      </c>
      <c r="N13" s="6">
        <f>C13*([1]装备!F$10*0.5+[1]装备!F$10*VLOOKUP(C13,[1]!powerDistribution,3,FALSE))</f>
        <v>138.2968842146762</v>
      </c>
      <c r="O13" s="6">
        <f t="shared" ca="1" si="4"/>
        <v>249.24417660705808</v>
      </c>
      <c r="P13" s="6">
        <v>100</v>
      </c>
      <c r="Q13" s="6">
        <f t="shared" si="5"/>
        <v>110.3142857142857</v>
      </c>
      <c r="R13" s="6">
        <f t="shared" si="0"/>
        <v>15.583424999999998</v>
      </c>
      <c r="S13" s="6">
        <f t="shared" si="6"/>
        <v>110.3142857142857</v>
      </c>
      <c r="T13" s="6">
        <f t="shared" si="7"/>
        <v>15.583424999999998</v>
      </c>
      <c r="U13" s="6">
        <f>20%</f>
        <v>0.2</v>
      </c>
      <c r="V13" s="6">
        <v>0.2</v>
      </c>
      <c r="W13" s="6">
        <f t="shared" si="8"/>
        <v>0.35999999999999988</v>
      </c>
      <c r="X13" s="12">
        <v>0.1</v>
      </c>
      <c r="Y13" s="12">
        <v>2</v>
      </c>
      <c r="Z13" s="12">
        <v>0.1</v>
      </c>
      <c r="AA13" s="12">
        <v>0.9</v>
      </c>
      <c r="AB13" s="13">
        <f t="shared" si="9"/>
        <v>21.266666666666669</v>
      </c>
      <c r="AC13" s="6">
        <f t="shared" si="10"/>
        <v>6.4204081632653054</v>
      </c>
      <c r="AD13" s="6">
        <f t="shared" si="11"/>
        <v>6.4204081632653054</v>
      </c>
      <c r="AE13" s="6">
        <f t="shared" si="12"/>
        <v>6.4204081632653054</v>
      </c>
      <c r="AF13" s="6">
        <f t="shared" si="13"/>
        <v>6.4204081632653054</v>
      </c>
      <c r="AG13" s="6">
        <f t="shared" si="14"/>
        <v>6.4204081632653054</v>
      </c>
      <c r="AH13" s="6">
        <f t="shared" si="15"/>
        <v>6.4204081632653054</v>
      </c>
      <c r="AI13" s="6">
        <f t="shared" si="16"/>
        <v>6.4204081632653054</v>
      </c>
      <c r="AJ13" s="6">
        <f t="shared" si="17"/>
        <v>15.583424999999998</v>
      </c>
      <c r="AK13" s="6">
        <f t="shared" si="1"/>
        <v>15.583424999999998</v>
      </c>
      <c r="AL13" s="6">
        <f t="shared" si="1"/>
        <v>15.583424999999998</v>
      </c>
      <c r="AM13" s="6">
        <f t="shared" si="1"/>
        <v>15.583424999999998</v>
      </c>
      <c r="AN13" s="6">
        <f t="shared" si="1"/>
        <v>15.583424999999998</v>
      </c>
      <c r="AO13" s="6">
        <f t="shared" si="1"/>
        <v>15.583424999999998</v>
      </c>
      <c r="AP13" s="1">
        <f t="shared" si="18"/>
        <v>15.583424999999998</v>
      </c>
    </row>
    <row r="14" spans="2:42" x14ac:dyDescent="0.15">
      <c r="C14" s="6">
        <v>12</v>
      </c>
      <c r="D14" s="6">
        <f t="shared" si="2"/>
        <v>2</v>
      </c>
      <c r="E14" s="11">
        <f ca="1">mVlookup(D14&amp;3,[1]!circlePer,"max",FALSE)+10%</f>
        <v>0.21000000000000002</v>
      </c>
      <c r="F14" s="6">
        <f ca="1">mVlookup(D14&amp;3,[1]!circleValue,"max",FALSE)+1.5</f>
        <v>2.5</v>
      </c>
      <c r="G14" s="6">
        <f ca="1">mVlookup(D14&amp;3,[1]!otherDamage,"max",FALSE)*100%</f>
        <v>0.11</v>
      </c>
      <c r="H14" s="6">
        <f t="shared" si="19"/>
        <v>4</v>
      </c>
      <c r="I14" s="6">
        <f t="shared" si="20"/>
        <v>3.3</v>
      </c>
      <c r="J14" s="12">
        <f>[1]伤害减免!$D14</f>
        <v>0.72199999999999998</v>
      </c>
      <c r="K14" s="6">
        <f t="shared" si="21"/>
        <v>7</v>
      </c>
      <c r="L14" s="6" t="str">
        <f t="shared" si="3"/>
        <v>4.6</v>
      </c>
      <c r="M14" s="6">
        <f>C14*([1]装备!E$10*0.5+[1]装备!E$10*VLOOKUP(C14,[1]!powerDistribution,3,FALSE))</f>
        <v>251.16</v>
      </c>
      <c r="N14" s="6">
        <f>C14*([1]装备!F$10*0.5+[1]装备!F$10*VLOOKUP(C14,[1]!powerDistribution,3,FALSE))</f>
        <v>151.81226153565592</v>
      </c>
      <c r="O14" s="6">
        <f t="shared" ca="1" si="4"/>
        <v>283.63874246466588</v>
      </c>
      <c r="P14" s="6">
        <v>100</v>
      </c>
      <c r="Q14" s="6">
        <f t="shared" si="5"/>
        <v>121.3208633093525</v>
      </c>
      <c r="R14" s="6">
        <f t="shared" si="0"/>
        <v>17.0001</v>
      </c>
      <c r="S14" s="6">
        <f t="shared" si="6"/>
        <v>121.3208633093525</v>
      </c>
      <c r="T14" s="6">
        <f t="shared" si="7"/>
        <v>17.0001</v>
      </c>
      <c r="U14" s="6">
        <f>20%</f>
        <v>0.2</v>
      </c>
      <c r="V14" s="6">
        <v>0.2</v>
      </c>
      <c r="W14" s="6">
        <f t="shared" si="8"/>
        <v>0.35999999999999988</v>
      </c>
      <c r="X14" s="12">
        <v>0.1</v>
      </c>
      <c r="Y14" s="12">
        <v>2</v>
      </c>
      <c r="Z14" s="12">
        <v>0.1</v>
      </c>
      <c r="AA14" s="12">
        <v>0.9</v>
      </c>
      <c r="AB14" s="13">
        <f t="shared" si="9"/>
        <v>23.200000000000003</v>
      </c>
      <c r="AC14" s="6">
        <f t="shared" si="10"/>
        <v>7.7438848920863306</v>
      </c>
      <c r="AD14" s="6">
        <f t="shared" si="11"/>
        <v>7.7438848920863306</v>
      </c>
      <c r="AE14" s="6">
        <f t="shared" si="12"/>
        <v>7.7438848920863306</v>
      </c>
      <c r="AF14" s="6">
        <f t="shared" si="13"/>
        <v>7.7438848920863306</v>
      </c>
      <c r="AG14" s="6">
        <f t="shared" si="14"/>
        <v>7.7438848920863306</v>
      </c>
      <c r="AH14" s="6">
        <f t="shared" si="15"/>
        <v>7.7438848920863306</v>
      </c>
      <c r="AI14" s="6">
        <f t="shared" si="16"/>
        <v>7.7438848920863306</v>
      </c>
      <c r="AJ14" s="6">
        <f t="shared" si="17"/>
        <v>17.0001</v>
      </c>
      <c r="AK14" s="6">
        <f t="shared" si="1"/>
        <v>17.0001</v>
      </c>
      <c r="AL14" s="6">
        <f t="shared" si="1"/>
        <v>17.0001</v>
      </c>
      <c r="AM14" s="6">
        <f t="shared" si="1"/>
        <v>17.0001</v>
      </c>
      <c r="AN14" s="6">
        <f t="shared" si="1"/>
        <v>17.0001</v>
      </c>
      <c r="AO14" s="6">
        <f t="shared" si="1"/>
        <v>17.0001</v>
      </c>
      <c r="AP14" s="1">
        <f t="shared" si="18"/>
        <v>17.0001</v>
      </c>
    </row>
    <row r="15" spans="2:42" x14ac:dyDescent="0.15">
      <c r="C15" s="6">
        <v>13</v>
      </c>
      <c r="D15" s="6">
        <f t="shared" si="2"/>
        <v>2</v>
      </c>
      <c r="E15" s="11">
        <f ca="1">mVlookup(D15&amp;3,[1]!circlePer,"max",FALSE)+10%</f>
        <v>0.21000000000000002</v>
      </c>
      <c r="F15" s="6">
        <f ca="1">mVlookup(D15&amp;3,[1]!circleValue,"max",FALSE)+1.5</f>
        <v>2.5</v>
      </c>
      <c r="G15" s="6">
        <f ca="1">mVlookup(D15&amp;3,[1]!otherDamage,"max",FALSE)*100%</f>
        <v>0.11</v>
      </c>
      <c r="H15" s="6">
        <f t="shared" si="19"/>
        <v>4</v>
      </c>
      <c r="I15" s="6">
        <f t="shared" si="20"/>
        <v>3.3</v>
      </c>
      <c r="J15" s="12">
        <f>[1]伤害减免!$D15</f>
        <v>0.72399999999999998</v>
      </c>
      <c r="K15" s="6">
        <f t="shared" si="21"/>
        <v>7</v>
      </c>
      <c r="L15" s="6" t="str">
        <f t="shared" si="3"/>
        <v>4.6</v>
      </c>
      <c r="M15" s="6">
        <f>C15*([1]装备!E$10*0.5+[1]装备!E$10*VLOOKUP(C15,[1]!powerDistribution,3,FALSE))</f>
        <v>273.78000000000003</v>
      </c>
      <c r="N15" s="6">
        <f>C15*([1]装备!F$10*0.5+[1]装备!F$10*VLOOKUP(C15,[1]!powerDistribution,3,FALSE))</f>
        <v>165.48479440687959</v>
      </c>
      <c r="O15" s="6">
        <f t="shared" ca="1" si="4"/>
        <v>309.18384659968228</v>
      </c>
      <c r="P15" s="6">
        <v>100</v>
      </c>
      <c r="Q15" s="6">
        <f t="shared" si="5"/>
        <v>132.49704968944098</v>
      </c>
      <c r="R15" s="6">
        <f t="shared" si="0"/>
        <v>18.416774999999998</v>
      </c>
      <c r="S15" s="6">
        <f t="shared" si="6"/>
        <v>132.49704968944098</v>
      </c>
      <c r="T15" s="6">
        <f t="shared" si="7"/>
        <v>18.416774999999998</v>
      </c>
      <c r="U15" s="6">
        <f>20%</f>
        <v>0.2</v>
      </c>
      <c r="V15" s="6">
        <v>0.2</v>
      </c>
      <c r="W15" s="6">
        <f t="shared" si="8"/>
        <v>0.35999999999999988</v>
      </c>
      <c r="X15" s="12">
        <v>0.1</v>
      </c>
      <c r="Y15" s="12">
        <v>2</v>
      </c>
      <c r="Z15" s="12">
        <v>0.1</v>
      </c>
      <c r="AA15" s="12">
        <v>0.9</v>
      </c>
      <c r="AB15" s="13">
        <f t="shared" si="9"/>
        <v>25.133333333333336</v>
      </c>
      <c r="AC15" s="6">
        <f t="shared" si="10"/>
        <v>9.2110248447204963</v>
      </c>
      <c r="AD15" s="6">
        <f t="shared" si="11"/>
        <v>9.2110248447204963</v>
      </c>
      <c r="AE15" s="6">
        <f t="shared" si="12"/>
        <v>9.2110248447204963</v>
      </c>
      <c r="AF15" s="6">
        <f t="shared" si="13"/>
        <v>9.2110248447204963</v>
      </c>
      <c r="AG15" s="6">
        <f t="shared" si="14"/>
        <v>9.2110248447204963</v>
      </c>
      <c r="AH15" s="6">
        <f t="shared" si="15"/>
        <v>9.2110248447204963</v>
      </c>
      <c r="AI15" s="6">
        <f t="shared" si="16"/>
        <v>9.2110248447204963</v>
      </c>
      <c r="AJ15" s="6">
        <f t="shared" si="17"/>
        <v>18.416774999999998</v>
      </c>
      <c r="AK15" s="6">
        <f t="shared" si="1"/>
        <v>18.416774999999998</v>
      </c>
      <c r="AL15" s="6">
        <f t="shared" si="1"/>
        <v>18.416774999999998</v>
      </c>
      <c r="AM15" s="6">
        <f t="shared" si="1"/>
        <v>18.416774999999998</v>
      </c>
      <c r="AN15" s="6">
        <f t="shared" si="1"/>
        <v>18.416774999999998</v>
      </c>
      <c r="AO15" s="6">
        <f t="shared" si="1"/>
        <v>18.416774999999998</v>
      </c>
      <c r="AP15" s="1">
        <f t="shared" si="18"/>
        <v>18.416774999999998</v>
      </c>
    </row>
    <row r="16" spans="2:42" x14ac:dyDescent="0.15">
      <c r="C16" s="6">
        <v>14</v>
      </c>
      <c r="D16" s="6">
        <f t="shared" si="2"/>
        <v>2</v>
      </c>
      <c r="E16" s="11">
        <f ca="1">mVlookup(D16&amp;3,[1]!circlePer,"max",FALSE)+10%</f>
        <v>0.21000000000000002</v>
      </c>
      <c r="F16" s="6">
        <f ca="1">mVlookup(D16&amp;3,[1]!circleValue,"max",FALSE)+1.5</f>
        <v>2.5</v>
      </c>
      <c r="G16" s="6">
        <f ca="1">mVlookup(D16&amp;3,[1]!otherDamage,"max",FALSE)*100%</f>
        <v>0.11</v>
      </c>
      <c r="H16" s="6">
        <f t="shared" si="19"/>
        <v>4</v>
      </c>
      <c r="I16" s="6">
        <f t="shared" si="20"/>
        <v>3.3</v>
      </c>
      <c r="J16" s="12">
        <f>[1]伤害减免!$D16</f>
        <v>0.72599999999999998</v>
      </c>
      <c r="K16" s="6">
        <f t="shared" si="21"/>
        <v>7</v>
      </c>
      <c r="L16" s="6" t="str">
        <f t="shared" si="3"/>
        <v>4.6</v>
      </c>
      <c r="M16" s="6">
        <f>C16*([1]装备!E$10*0.5+[1]装备!E$10*VLOOKUP(C16,[1]!powerDistribution,3,FALSE))</f>
        <v>296.66000000000003</v>
      </c>
      <c r="N16" s="6">
        <f>C16*([1]装备!F$10*0.5+[1]装备!F$10*VLOOKUP(C16,[1]!powerDistribution,3,FALSE))</f>
        <v>179.31448282834722</v>
      </c>
      <c r="O16" s="6">
        <f t="shared" ca="1" si="4"/>
        <v>335.0225726213082</v>
      </c>
      <c r="P16" s="6">
        <v>100</v>
      </c>
      <c r="Q16" s="6">
        <f t="shared" si="5"/>
        <v>143.84452554744527</v>
      </c>
      <c r="R16" s="6">
        <f t="shared" si="0"/>
        <v>19.833449999999999</v>
      </c>
      <c r="S16" s="6">
        <f t="shared" si="6"/>
        <v>143.84452554744527</v>
      </c>
      <c r="T16" s="6">
        <f t="shared" si="7"/>
        <v>19.833449999999999</v>
      </c>
      <c r="U16" s="6">
        <f>20%</f>
        <v>0.2</v>
      </c>
      <c r="V16" s="6">
        <v>0.2</v>
      </c>
      <c r="W16" s="6">
        <f t="shared" si="8"/>
        <v>0.35999999999999988</v>
      </c>
      <c r="X16" s="12">
        <v>0.1</v>
      </c>
      <c r="Y16" s="12">
        <v>2</v>
      </c>
      <c r="Z16" s="12">
        <v>0.1</v>
      </c>
      <c r="AA16" s="12">
        <v>0.9</v>
      </c>
      <c r="AB16" s="13">
        <f t="shared" si="9"/>
        <v>27.06666666666667</v>
      </c>
      <c r="AC16" s="6">
        <f t="shared" si="10"/>
        <v>10.827007299270075</v>
      </c>
      <c r="AD16" s="6">
        <f t="shared" si="11"/>
        <v>10.827007299270075</v>
      </c>
      <c r="AE16" s="6">
        <f>M16/(K16*(1-J16))*natureAtkRevise(C16)</f>
        <v>10.827007299270075</v>
      </c>
      <c r="AF16" s="6">
        <f t="shared" si="13"/>
        <v>10.827007299270075</v>
      </c>
      <c r="AG16" s="6">
        <f t="shared" si="14"/>
        <v>10.827007299270075</v>
      </c>
      <c r="AH16" s="6">
        <f t="shared" si="15"/>
        <v>10.827007299270075</v>
      </c>
      <c r="AI16" s="6">
        <f t="shared" si="16"/>
        <v>10.827007299270075</v>
      </c>
      <c r="AJ16" s="6">
        <f t="shared" si="17"/>
        <v>19.833449999999999</v>
      </c>
      <c r="AK16" s="6">
        <f t="shared" si="1"/>
        <v>19.833449999999999</v>
      </c>
      <c r="AL16" s="6">
        <f t="shared" si="1"/>
        <v>19.833449999999999</v>
      </c>
      <c r="AM16" s="6">
        <f t="shared" si="1"/>
        <v>19.833449999999999</v>
      </c>
      <c r="AN16" s="6">
        <f t="shared" si="1"/>
        <v>19.833449999999999</v>
      </c>
      <c r="AO16" s="6">
        <f t="shared" si="1"/>
        <v>19.833449999999999</v>
      </c>
      <c r="AP16" s="1">
        <f t="shared" si="18"/>
        <v>19.833449999999999</v>
      </c>
    </row>
    <row r="17" spans="3:42" x14ac:dyDescent="0.15">
      <c r="C17" s="6">
        <v>15</v>
      </c>
      <c r="D17" s="6">
        <f t="shared" si="2"/>
        <v>2</v>
      </c>
      <c r="E17" s="11">
        <f ca="1">mVlookup(D17&amp;3,[1]!circlePer,"max",FALSE)+10%</f>
        <v>0.21000000000000002</v>
      </c>
      <c r="F17" s="6">
        <f ca="1">mVlookup(D17&amp;3,[1]!circleValue,"max",FALSE)+1.5</f>
        <v>2.5</v>
      </c>
      <c r="G17" s="6">
        <f ca="1">mVlookup(D17&amp;3,[1]!otherDamage,"max",FALSE)*100%</f>
        <v>0.11</v>
      </c>
      <c r="H17" s="6">
        <f t="shared" si="19"/>
        <v>4</v>
      </c>
      <c r="I17" s="6">
        <f t="shared" si="20"/>
        <v>3.3</v>
      </c>
      <c r="J17" s="12">
        <f>[1]伤害减免!$D17</f>
        <v>0.72799999999999998</v>
      </c>
      <c r="K17" s="6">
        <f t="shared" si="21"/>
        <v>7</v>
      </c>
      <c r="L17" s="6" t="str">
        <f t="shared" si="3"/>
        <v>4.6</v>
      </c>
      <c r="M17" s="6">
        <f>C17*([1]装备!E$10*0.5+[1]装备!E$10*VLOOKUP(C17,[1]!powerDistribution,3,FALSE))</f>
        <v>319.8</v>
      </c>
      <c r="N17" s="6">
        <f>C17*([1]装备!F$10*0.5+[1]装备!F$10*VLOOKUP(C17,[1]!powerDistribution,3,FALSE))</f>
        <v>193.30132680005877</v>
      </c>
      <c r="O17" s="6">
        <f t="shared" ca="1" si="4"/>
        <v>361.15492052954346</v>
      </c>
      <c r="P17" s="6">
        <v>100</v>
      </c>
      <c r="Q17" s="6">
        <f t="shared" si="5"/>
        <v>155.36502100840337</v>
      </c>
      <c r="R17" s="6">
        <f t="shared" si="0"/>
        <v>21.250124999999997</v>
      </c>
      <c r="S17" s="6">
        <f t="shared" si="6"/>
        <v>155.36502100840337</v>
      </c>
      <c r="T17" s="6">
        <f t="shared" si="7"/>
        <v>21.250124999999997</v>
      </c>
      <c r="U17" s="6">
        <f>20%</f>
        <v>0.2</v>
      </c>
      <c r="V17" s="6">
        <v>0.2</v>
      </c>
      <c r="W17" s="6">
        <f t="shared" si="8"/>
        <v>0.35999999999999988</v>
      </c>
      <c r="X17" s="12">
        <v>0.1</v>
      </c>
      <c r="Y17" s="12">
        <v>2</v>
      </c>
      <c r="Z17" s="12">
        <v>0.1</v>
      </c>
      <c r="AA17" s="12">
        <v>0.9</v>
      </c>
      <c r="AB17" s="13">
        <f t="shared" si="9"/>
        <v>29.000000000000004</v>
      </c>
      <c r="AC17" s="6">
        <f t="shared" si="10"/>
        <v>12.597163865546218</v>
      </c>
      <c r="AD17" s="6">
        <f t="shared" si="11"/>
        <v>12.597163865546218</v>
      </c>
      <c r="AE17" s="6">
        <f t="shared" si="12"/>
        <v>12.597163865546218</v>
      </c>
      <c r="AF17" s="6">
        <f t="shared" si="13"/>
        <v>12.597163865546218</v>
      </c>
      <c r="AG17" s="6">
        <f t="shared" si="14"/>
        <v>12.597163865546218</v>
      </c>
      <c r="AH17" s="6">
        <f t="shared" si="15"/>
        <v>12.597163865546218</v>
      </c>
      <c r="AI17" s="6">
        <f t="shared" si="16"/>
        <v>12.597163865546218</v>
      </c>
      <c r="AJ17" s="6">
        <f t="shared" si="17"/>
        <v>21.250124999999997</v>
      </c>
      <c r="AK17" s="6">
        <f t="shared" si="1"/>
        <v>21.250124999999997</v>
      </c>
      <c r="AL17" s="6">
        <f t="shared" si="1"/>
        <v>21.250124999999997</v>
      </c>
      <c r="AM17" s="6">
        <f t="shared" si="1"/>
        <v>21.250124999999997</v>
      </c>
      <c r="AN17" s="6">
        <f t="shared" si="1"/>
        <v>21.250124999999997</v>
      </c>
      <c r="AO17" s="6">
        <f t="shared" si="1"/>
        <v>21.250124999999997</v>
      </c>
      <c r="AP17" s="1">
        <f t="shared" si="18"/>
        <v>21.250124999999997</v>
      </c>
    </row>
    <row r="18" spans="3:42" x14ac:dyDescent="0.15">
      <c r="C18" s="6">
        <v>16</v>
      </c>
      <c r="D18" s="6">
        <f t="shared" si="2"/>
        <v>2</v>
      </c>
      <c r="E18" s="11">
        <f ca="1">mVlookup(D18&amp;3,[1]!circlePer,"max",FALSE)+10%</f>
        <v>0.21000000000000002</v>
      </c>
      <c r="F18" s="6">
        <f ca="1">mVlookup(D18&amp;3,[1]!circleValue,"max",FALSE)+1.5</f>
        <v>2.5</v>
      </c>
      <c r="G18" s="6">
        <f ca="1">mVlookup(D18&amp;3,[1]!otherDamage,"max",FALSE)*100%</f>
        <v>0.11</v>
      </c>
      <c r="H18" s="6">
        <f t="shared" si="19"/>
        <v>4</v>
      </c>
      <c r="I18" s="6">
        <f t="shared" si="20"/>
        <v>3.3</v>
      </c>
      <c r="J18" s="12">
        <f>[1]伤害减免!$D18</f>
        <v>0.73</v>
      </c>
      <c r="K18" s="6">
        <f t="shared" si="21"/>
        <v>7</v>
      </c>
      <c r="L18" s="6" t="str">
        <f t="shared" si="3"/>
        <v>4.6</v>
      </c>
      <c r="M18" s="6">
        <f>C18*([1]装备!E$10*0.5+[1]装备!E$10*VLOOKUP(C18,[1]!powerDistribution,3,FALSE))</f>
        <v>343.20000000000005</v>
      </c>
      <c r="N18" s="6">
        <f>C18*([1]装备!F$10*0.5+[1]装备!F$10*VLOOKUP(C18,[1]!powerDistribution,3,FALSE))</f>
        <v>207.4453263220143</v>
      </c>
      <c r="O18" s="6">
        <f t="shared" ca="1" si="4"/>
        <v>387.58089032438812</v>
      </c>
      <c r="P18" s="6">
        <v>100</v>
      </c>
      <c r="Q18" s="6">
        <f t="shared" si="5"/>
        <v>167.06031746031746</v>
      </c>
      <c r="R18" s="6">
        <f t="shared" si="0"/>
        <v>22.666799999999999</v>
      </c>
      <c r="S18" s="6">
        <f t="shared" si="6"/>
        <v>167.06031746031746</v>
      </c>
      <c r="T18" s="6">
        <f t="shared" si="7"/>
        <v>22.666799999999999</v>
      </c>
      <c r="U18" s="6">
        <f>20%</f>
        <v>0.2</v>
      </c>
      <c r="V18" s="6">
        <v>0.2</v>
      </c>
      <c r="W18" s="6">
        <f t="shared" si="8"/>
        <v>0.35999999999999988</v>
      </c>
      <c r="X18" s="12">
        <v>0.1</v>
      </c>
      <c r="Y18" s="12">
        <v>2</v>
      </c>
      <c r="Z18" s="12">
        <v>0.1</v>
      </c>
      <c r="AA18" s="12">
        <v>0.9</v>
      </c>
      <c r="AB18" s="13">
        <f t="shared" si="9"/>
        <v>30.933333333333337</v>
      </c>
      <c r="AC18" s="6">
        <f t="shared" si="10"/>
        <v>14.526984126984129</v>
      </c>
      <c r="AD18" s="6">
        <f t="shared" si="11"/>
        <v>14.526984126984129</v>
      </c>
      <c r="AE18" s="6">
        <f t="shared" si="12"/>
        <v>14.526984126984129</v>
      </c>
      <c r="AF18" s="6">
        <f t="shared" si="13"/>
        <v>14.526984126984129</v>
      </c>
      <c r="AG18" s="6">
        <f t="shared" si="14"/>
        <v>14.526984126984129</v>
      </c>
      <c r="AH18" s="6">
        <f t="shared" si="15"/>
        <v>14.526984126984129</v>
      </c>
      <c r="AI18" s="6">
        <f t="shared" si="16"/>
        <v>14.526984126984129</v>
      </c>
      <c r="AJ18" s="6">
        <f t="shared" si="17"/>
        <v>22.666799999999999</v>
      </c>
      <c r="AK18" s="6">
        <f t="shared" si="1"/>
        <v>22.666799999999999</v>
      </c>
      <c r="AL18" s="6">
        <f t="shared" si="1"/>
        <v>22.666799999999999</v>
      </c>
      <c r="AM18" s="6">
        <f t="shared" si="1"/>
        <v>22.666799999999999</v>
      </c>
      <c r="AN18" s="6">
        <f t="shared" si="1"/>
        <v>22.666799999999999</v>
      </c>
      <c r="AO18" s="6">
        <f t="shared" si="1"/>
        <v>22.666799999999999</v>
      </c>
      <c r="AP18" s="1">
        <f t="shared" si="18"/>
        <v>22.666799999999999</v>
      </c>
    </row>
    <row r="19" spans="3:42" x14ac:dyDescent="0.15">
      <c r="C19" s="6">
        <v>17</v>
      </c>
      <c r="D19" s="6">
        <f t="shared" si="2"/>
        <v>2</v>
      </c>
      <c r="E19" s="11">
        <f ca="1">mVlookup(D19&amp;3,[1]!circlePer,"max",FALSE)+10%</f>
        <v>0.21000000000000002</v>
      </c>
      <c r="F19" s="6">
        <f ca="1">mVlookup(D19&amp;3,[1]!circleValue,"max",FALSE)+1.5</f>
        <v>2.5</v>
      </c>
      <c r="G19" s="6">
        <f ca="1">mVlookup(D19&amp;3,[1]!otherDamage,"max",FALSE)*100%</f>
        <v>0.11</v>
      </c>
      <c r="H19" s="6">
        <f t="shared" si="19"/>
        <v>4</v>
      </c>
      <c r="I19" s="6">
        <f t="shared" si="20"/>
        <v>3.3</v>
      </c>
      <c r="J19" s="12">
        <f>[1]伤害减免!$D19</f>
        <v>0.73199999999999998</v>
      </c>
      <c r="K19" s="6">
        <f t="shared" si="21"/>
        <v>7</v>
      </c>
      <c r="L19" s="6" t="str">
        <f t="shared" si="3"/>
        <v>4.6</v>
      </c>
      <c r="M19" s="6">
        <f>C19*([1]装备!E$10*0.5+[1]装备!E$10*VLOOKUP(C19,[1]!powerDistribution,3,FALSE))</f>
        <v>366.86</v>
      </c>
      <c r="N19" s="6">
        <f>C19*([1]装备!F$10*0.5+[1]装备!F$10*VLOOKUP(C19,[1]!powerDistribution,3,FALSE))</f>
        <v>221.74648139421379</v>
      </c>
      <c r="O19" s="6">
        <f t="shared" ca="1" si="4"/>
        <v>414.30048200584213</v>
      </c>
      <c r="P19" s="6">
        <v>100</v>
      </c>
      <c r="Q19" s="6">
        <f t="shared" si="5"/>
        <v>178.93224946695096</v>
      </c>
      <c r="R19" s="6">
        <f t="shared" si="0"/>
        <v>24.083475</v>
      </c>
      <c r="S19" s="6">
        <f t="shared" si="6"/>
        <v>178.93224946695096</v>
      </c>
      <c r="T19" s="6">
        <f t="shared" si="7"/>
        <v>24.083475</v>
      </c>
      <c r="U19" s="6">
        <f>20%</f>
        <v>0.2</v>
      </c>
      <c r="V19" s="6">
        <v>0.2</v>
      </c>
      <c r="W19" s="6">
        <f t="shared" si="8"/>
        <v>0.35999999999999988</v>
      </c>
      <c r="X19" s="12">
        <v>0.1</v>
      </c>
      <c r="Y19" s="12">
        <v>2</v>
      </c>
      <c r="Z19" s="12">
        <v>0.1</v>
      </c>
      <c r="AA19" s="12">
        <v>0.9</v>
      </c>
      <c r="AB19" s="13">
        <f t="shared" si="9"/>
        <v>32.866666666666674</v>
      </c>
      <c r="AC19" s="6">
        <f t="shared" si="10"/>
        <v>16.62212153518124</v>
      </c>
      <c r="AD19" s="6">
        <f t="shared" si="11"/>
        <v>16.62212153518124</v>
      </c>
      <c r="AE19" s="6">
        <f t="shared" si="12"/>
        <v>16.62212153518124</v>
      </c>
      <c r="AF19" s="6">
        <f t="shared" si="13"/>
        <v>16.62212153518124</v>
      </c>
      <c r="AG19" s="6">
        <f t="shared" si="14"/>
        <v>16.62212153518124</v>
      </c>
      <c r="AH19" s="6">
        <f t="shared" si="15"/>
        <v>16.62212153518124</v>
      </c>
      <c r="AI19" s="6">
        <f t="shared" si="16"/>
        <v>16.62212153518124</v>
      </c>
      <c r="AJ19" s="6">
        <f t="shared" si="17"/>
        <v>24.083475</v>
      </c>
      <c r="AK19" s="6">
        <f t="shared" si="17"/>
        <v>24.083475</v>
      </c>
      <c r="AL19" s="6">
        <f t="shared" si="17"/>
        <v>24.083475</v>
      </c>
      <c r="AM19" s="6">
        <f t="shared" si="17"/>
        <v>24.083475</v>
      </c>
      <c r="AN19" s="6">
        <f t="shared" si="17"/>
        <v>24.083475</v>
      </c>
      <c r="AO19" s="6">
        <f t="shared" si="17"/>
        <v>24.083475</v>
      </c>
      <c r="AP19" s="1">
        <f t="shared" si="18"/>
        <v>24.083475</v>
      </c>
    </row>
    <row r="20" spans="3:42" x14ac:dyDescent="0.15">
      <c r="C20" s="6">
        <v>18</v>
      </c>
      <c r="D20" s="6">
        <f t="shared" si="2"/>
        <v>2</v>
      </c>
      <c r="E20" s="11">
        <f ca="1">mVlookup(D20&amp;3,[1]!circlePer,"max",FALSE)+10%</f>
        <v>0.21000000000000002</v>
      </c>
      <c r="F20" s="6">
        <f ca="1">mVlookup(D20&amp;3,[1]!circleValue,"max",FALSE)+1.5</f>
        <v>2.5</v>
      </c>
      <c r="G20" s="6">
        <f ca="1">mVlookup(D20&amp;3,[1]!otherDamage,"max",FALSE)*100%</f>
        <v>0.11</v>
      </c>
      <c r="H20" s="6">
        <f t="shared" si="19"/>
        <v>4</v>
      </c>
      <c r="I20" s="6">
        <f t="shared" si="20"/>
        <v>3.3</v>
      </c>
      <c r="J20" s="12">
        <f>[1]伤害减免!$D20</f>
        <v>0.73399999999999999</v>
      </c>
      <c r="K20" s="6">
        <f t="shared" si="21"/>
        <v>7</v>
      </c>
      <c r="L20" s="6" t="str">
        <f t="shared" si="3"/>
        <v>4.6</v>
      </c>
      <c r="M20" s="6">
        <f>C20*([1]装备!E$10*0.5+[1]装备!E$10*VLOOKUP(C20,[1]!powerDistribution,3,FALSE))</f>
        <v>390.78000000000003</v>
      </c>
      <c r="N20" s="6">
        <f>C20*([1]装备!F$10*0.5+[1]装备!F$10*VLOOKUP(C20,[1]!powerDistribution,3,FALSE))</f>
        <v>236.20479201665719</v>
      </c>
      <c r="O20" s="6">
        <f t="shared" ca="1" si="4"/>
        <v>441.31369557390559</v>
      </c>
      <c r="P20" s="6">
        <v>100</v>
      </c>
      <c r="Q20" s="6">
        <f t="shared" si="5"/>
        <v>190.98270676691729</v>
      </c>
      <c r="R20" s="6">
        <f t="shared" si="0"/>
        <v>25.500149999999994</v>
      </c>
      <c r="S20" s="6">
        <f t="shared" si="6"/>
        <v>190.98270676691729</v>
      </c>
      <c r="T20" s="6">
        <f t="shared" si="7"/>
        <v>25.500149999999994</v>
      </c>
      <c r="U20" s="6">
        <f>20%</f>
        <v>0.2</v>
      </c>
      <c r="V20" s="6">
        <v>0.2</v>
      </c>
      <c r="W20" s="6">
        <f t="shared" si="8"/>
        <v>0.35999999999999988</v>
      </c>
      <c r="X20" s="12">
        <v>0.1</v>
      </c>
      <c r="Y20" s="12">
        <v>2</v>
      </c>
      <c r="Z20" s="12">
        <v>0.1</v>
      </c>
      <c r="AA20" s="12">
        <v>0.9</v>
      </c>
      <c r="AB20" s="13">
        <f t="shared" si="9"/>
        <v>34.800000000000004</v>
      </c>
      <c r="AC20" s="6">
        <f t="shared" si="10"/>
        <v>18.888399570354458</v>
      </c>
      <c r="AD20" s="6">
        <f t="shared" si="11"/>
        <v>18.888399570354458</v>
      </c>
      <c r="AE20" s="6">
        <f t="shared" si="12"/>
        <v>18.888399570354458</v>
      </c>
      <c r="AF20" s="6">
        <f t="shared" si="13"/>
        <v>18.888399570354458</v>
      </c>
      <c r="AG20" s="6">
        <f t="shared" si="14"/>
        <v>18.888399570354458</v>
      </c>
      <c r="AH20" s="6">
        <f t="shared" si="15"/>
        <v>18.888399570354458</v>
      </c>
      <c r="AI20" s="6">
        <f t="shared" si="16"/>
        <v>18.888399570354458</v>
      </c>
      <c r="AJ20" s="6">
        <f t="shared" si="17"/>
        <v>25.500149999999994</v>
      </c>
      <c r="AK20" s="6">
        <f t="shared" si="17"/>
        <v>25.500149999999994</v>
      </c>
      <c r="AL20" s="6">
        <f t="shared" si="17"/>
        <v>25.500149999999994</v>
      </c>
      <c r="AM20" s="6">
        <f t="shared" si="17"/>
        <v>25.500149999999994</v>
      </c>
      <c r="AN20" s="6">
        <f t="shared" si="17"/>
        <v>25.500149999999994</v>
      </c>
      <c r="AO20" s="6">
        <f t="shared" si="17"/>
        <v>25.500149999999994</v>
      </c>
      <c r="AP20" s="1">
        <f t="shared" si="18"/>
        <v>25.500149999999994</v>
      </c>
    </row>
    <row r="21" spans="3:42" x14ac:dyDescent="0.15">
      <c r="C21" s="6">
        <v>19</v>
      </c>
      <c r="D21" s="6">
        <f t="shared" si="2"/>
        <v>2</v>
      </c>
      <c r="E21" s="11">
        <f ca="1">mVlookup(D21&amp;3,[1]!circlePer,"max",FALSE)+10%</f>
        <v>0.21000000000000002</v>
      </c>
      <c r="F21" s="6">
        <f ca="1">mVlookup(D21&amp;3,[1]!circleValue,"max",FALSE)+1.5</f>
        <v>2.5</v>
      </c>
      <c r="G21" s="6">
        <f ca="1">mVlookup(D21&amp;3,[1]!otherDamage,"max",FALSE)*100%</f>
        <v>0.11</v>
      </c>
      <c r="H21" s="6">
        <f t="shared" si="19"/>
        <v>4</v>
      </c>
      <c r="I21" s="6">
        <f t="shared" si="20"/>
        <v>3.3</v>
      </c>
      <c r="J21" s="12">
        <f>[1]伤害减免!$D21</f>
        <v>0.73599999999999999</v>
      </c>
      <c r="K21" s="6">
        <f t="shared" si="21"/>
        <v>7</v>
      </c>
      <c r="L21" s="6" t="str">
        <f t="shared" si="3"/>
        <v>4.6</v>
      </c>
      <c r="M21" s="6">
        <f>C21*([1]装备!E$10*0.5+[1]装备!E$10*VLOOKUP(C21,[1]!powerDistribution,3,FALSE))</f>
        <v>414.96000000000004</v>
      </c>
      <c r="N21" s="6">
        <f>C21*([1]装备!F$10*0.5+[1]装备!F$10*VLOOKUP(C21,[1]!powerDistribution,3,FALSE))</f>
        <v>250.82025818934457</v>
      </c>
      <c r="O21" s="6">
        <f t="shared" ca="1" si="4"/>
        <v>468.6205310285784</v>
      </c>
      <c r="P21" s="6">
        <v>100</v>
      </c>
      <c r="Q21" s="6">
        <f t="shared" si="5"/>
        <v>203.2136363636364</v>
      </c>
      <c r="R21" s="6">
        <f t="shared" si="0"/>
        <v>26.916824999999999</v>
      </c>
      <c r="S21" s="6">
        <f t="shared" si="6"/>
        <v>203.2136363636364</v>
      </c>
      <c r="T21" s="6">
        <f t="shared" si="7"/>
        <v>26.916824999999999</v>
      </c>
      <c r="U21" s="6">
        <f>20%</f>
        <v>0.2</v>
      </c>
      <c r="V21" s="6">
        <v>0.2</v>
      </c>
      <c r="W21" s="6">
        <f t="shared" si="8"/>
        <v>0.35999999999999988</v>
      </c>
      <c r="X21" s="12">
        <v>0.1</v>
      </c>
      <c r="Y21" s="12">
        <v>2</v>
      </c>
      <c r="Z21" s="12">
        <v>0.1</v>
      </c>
      <c r="AA21" s="12">
        <v>0.9</v>
      </c>
      <c r="AB21" s="13">
        <f t="shared" si="9"/>
        <v>36.733333333333334</v>
      </c>
      <c r="AC21" s="6">
        <f t="shared" si="10"/>
        <v>21.331818181818182</v>
      </c>
      <c r="AD21" s="6">
        <f t="shared" si="11"/>
        <v>21.331818181818182</v>
      </c>
      <c r="AE21" s="6">
        <f t="shared" si="12"/>
        <v>21.331818181818182</v>
      </c>
      <c r="AF21" s="6">
        <f t="shared" si="13"/>
        <v>21.331818181818182</v>
      </c>
      <c r="AG21" s="6">
        <f t="shared" si="14"/>
        <v>21.331818181818182</v>
      </c>
      <c r="AH21" s="6">
        <f t="shared" si="15"/>
        <v>21.331818181818182</v>
      </c>
      <c r="AI21" s="6">
        <f t="shared" si="16"/>
        <v>21.331818181818182</v>
      </c>
      <c r="AJ21" s="6">
        <f t="shared" si="17"/>
        <v>26.916824999999999</v>
      </c>
      <c r="AK21" s="6">
        <f t="shared" si="17"/>
        <v>26.916824999999999</v>
      </c>
      <c r="AL21" s="6">
        <f t="shared" si="17"/>
        <v>26.916824999999999</v>
      </c>
      <c r="AM21" s="6">
        <f t="shared" si="17"/>
        <v>26.916824999999999</v>
      </c>
      <c r="AN21" s="6">
        <f t="shared" si="17"/>
        <v>26.916824999999999</v>
      </c>
      <c r="AO21" s="6">
        <f t="shared" si="17"/>
        <v>26.916824999999999</v>
      </c>
      <c r="AP21" s="1">
        <f t="shared" si="18"/>
        <v>26.916824999999999</v>
      </c>
    </row>
    <row r="22" spans="3:42" x14ac:dyDescent="0.15">
      <c r="C22" s="6">
        <v>20</v>
      </c>
      <c r="D22" s="6">
        <f t="shared" si="2"/>
        <v>2</v>
      </c>
      <c r="E22" s="11">
        <f ca="1">mVlookup(D22&amp;3,[1]!circlePer,"max",FALSE)+10%</f>
        <v>0.21000000000000002</v>
      </c>
      <c r="F22" s="6">
        <f ca="1">mVlookup(D22&amp;3,[1]!circleValue,"max",FALSE)+1.5</f>
        <v>2.5</v>
      </c>
      <c r="G22" s="6">
        <f ca="1">mVlookup(D22&amp;3,[1]!otherDamage,"max",FALSE)*100%</f>
        <v>0.11</v>
      </c>
      <c r="H22" s="6">
        <f t="shared" si="19"/>
        <v>4</v>
      </c>
      <c r="I22" s="6">
        <f t="shared" si="20"/>
        <v>3.3</v>
      </c>
      <c r="J22" s="12">
        <f>[1]伤害减免!$D22</f>
        <v>0.73799999999999999</v>
      </c>
      <c r="K22" s="6">
        <f t="shared" si="21"/>
        <v>7</v>
      </c>
      <c r="L22" s="6" t="str">
        <f t="shared" si="3"/>
        <v>4.6</v>
      </c>
      <c r="M22" s="6">
        <f>C22*([1]装备!E$10*0.5+[1]装备!E$10*VLOOKUP(C22,[1]!powerDistribution,3,FALSE))</f>
        <v>439.40000000000003</v>
      </c>
      <c r="N22" s="6">
        <f>C22*([1]装备!F$10*0.5+[1]装备!F$10*VLOOKUP(C22,[1]!powerDistribution,3,FALSE))</f>
        <v>265.59287991227586</v>
      </c>
      <c r="O22" s="6">
        <f t="shared" ca="1" si="4"/>
        <v>496.22098836986049</v>
      </c>
      <c r="P22" s="6">
        <v>100</v>
      </c>
      <c r="Q22" s="6">
        <f t="shared" si="5"/>
        <v>215.62704471101421</v>
      </c>
      <c r="R22" s="6">
        <f t="shared" si="0"/>
        <v>28.333499999999997</v>
      </c>
      <c r="S22" s="6">
        <f t="shared" si="6"/>
        <v>215.62704471101421</v>
      </c>
      <c r="T22" s="6">
        <f t="shared" si="7"/>
        <v>28.333499999999997</v>
      </c>
      <c r="U22" s="6">
        <f>20%</f>
        <v>0.2</v>
      </c>
      <c r="V22" s="6">
        <v>0.2</v>
      </c>
      <c r="W22" s="6">
        <f t="shared" si="8"/>
        <v>0.35999999999999988</v>
      </c>
      <c r="X22" s="12">
        <v>0.1</v>
      </c>
      <c r="Y22" s="12">
        <v>2</v>
      </c>
      <c r="Z22" s="12">
        <v>0.1</v>
      </c>
      <c r="AA22" s="12">
        <v>0.9</v>
      </c>
      <c r="AB22" s="13">
        <f t="shared" si="9"/>
        <v>38.666666666666671</v>
      </c>
      <c r="AC22" s="6">
        <f t="shared" si="10"/>
        <v>23.958560523446025</v>
      </c>
      <c r="AD22" s="6">
        <f t="shared" si="11"/>
        <v>23.958560523446025</v>
      </c>
      <c r="AE22" s="6">
        <f t="shared" si="12"/>
        <v>23.958560523446025</v>
      </c>
      <c r="AF22" s="6">
        <f t="shared" si="13"/>
        <v>23.958560523446025</v>
      </c>
      <c r="AG22" s="6">
        <f t="shared" si="14"/>
        <v>23.958560523446025</v>
      </c>
      <c r="AH22" s="6">
        <f t="shared" si="15"/>
        <v>23.958560523446025</v>
      </c>
      <c r="AI22" s="6">
        <f t="shared" si="16"/>
        <v>23.958560523446025</v>
      </c>
      <c r="AJ22" s="6">
        <f t="shared" si="17"/>
        <v>28.333499999999997</v>
      </c>
      <c r="AK22" s="6">
        <f t="shared" si="17"/>
        <v>28.333499999999997</v>
      </c>
      <c r="AL22" s="6">
        <f t="shared" si="17"/>
        <v>28.333499999999997</v>
      </c>
      <c r="AM22" s="6">
        <f t="shared" si="17"/>
        <v>28.333499999999997</v>
      </c>
      <c r="AN22" s="6">
        <f t="shared" si="17"/>
        <v>28.333499999999997</v>
      </c>
      <c r="AO22" s="6">
        <f t="shared" si="17"/>
        <v>28.333499999999997</v>
      </c>
      <c r="AP22" s="1">
        <f t="shared" si="18"/>
        <v>28.333499999999997</v>
      </c>
    </row>
    <row r="23" spans="3:42" x14ac:dyDescent="0.15">
      <c r="C23" s="6">
        <v>21</v>
      </c>
      <c r="D23" s="6">
        <f t="shared" si="2"/>
        <v>2</v>
      </c>
      <c r="E23" s="11">
        <f ca="1">mVlookup(D23&amp;3,[1]!circlePer,"max",FALSE)+10%</f>
        <v>0.21000000000000002</v>
      </c>
      <c r="F23" s="6">
        <f ca="1">mVlookup(D23&amp;3,[1]!circleValue,"max",FALSE)+1.5</f>
        <v>2.5</v>
      </c>
      <c r="G23" s="6">
        <f ca="1">mVlookup(D23&amp;3,[1]!otherDamage,"max",FALSE)*100%</f>
        <v>0.11</v>
      </c>
      <c r="H23" s="6">
        <f t="shared" si="19"/>
        <v>4</v>
      </c>
      <c r="I23" s="6">
        <f t="shared" si="20"/>
        <v>3.3</v>
      </c>
      <c r="J23" s="12">
        <f>[1]伤害减免!$D23</f>
        <v>0.74</v>
      </c>
      <c r="K23" s="6">
        <f t="shared" si="21"/>
        <v>7</v>
      </c>
      <c r="L23" s="6" t="str">
        <f t="shared" si="3"/>
        <v>4.6</v>
      </c>
      <c r="M23" s="6">
        <f>C23*([1]装备!E$10*0.5+[1]装备!E$10*VLOOKUP(C23,[1]!powerDistribution,3,FALSE))</f>
        <v>464.1</v>
      </c>
      <c r="N23" s="6">
        <f>C23*([1]装备!F$10*0.5+[1]装备!F$10*VLOOKUP(C23,[1]!powerDistribution,3,FALSE))</f>
        <v>280.52265718545118</v>
      </c>
      <c r="O23" s="6">
        <f t="shared" ca="1" si="4"/>
        <v>524.11506759775216</v>
      </c>
      <c r="P23" s="6">
        <v>100</v>
      </c>
      <c r="Q23" s="6">
        <f t="shared" si="5"/>
        <v>228.22499999999999</v>
      </c>
      <c r="R23" s="6">
        <f t="shared" si="0"/>
        <v>29.750174999999999</v>
      </c>
      <c r="S23" s="6">
        <f t="shared" si="6"/>
        <v>228.22499999999999</v>
      </c>
      <c r="T23" s="6">
        <f t="shared" si="7"/>
        <v>29.750174999999999</v>
      </c>
      <c r="U23" s="6">
        <f>20%</f>
        <v>0.2</v>
      </c>
      <c r="V23" s="6">
        <v>0.2</v>
      </c>
      <c r="W23" s="6">
        <f t="shared" si="8"/>
        <v>0.35999999999999988</v>
      </c>
      <c r="X23" s="12">
        <v>0.1</v>
      </c>
      <c r="Y23" s="12">
        <v>2</v>
      </c>
      <c r="Z23" s="12">
        <v>0.1</v>
      </c>
      <c r="AA23" s="12">
        <v>0.9</v>
      </c>
      <c r="AB23" s="13">
        <f t="shared" si="9"/>
        <v>40.600000000000009</v>
      </c>
      <c r="AC23" s="6">
        <f t="shared" si="10"/>
        <v>26.774999999999999</v>
      </c>
      <c r="AD23" s="6">
        <f t="shared" si="11"/>
        <v>26.774999999999999</v>
      </c>
      <c r="AE23" s="6">
        <f t="shared" si="12"/>
        <v>26.774999999999999</v>
      </c>
      <c r="AF23" s="6">
        <f t="shared" si="13"/>
        <v>26.774999999999999</v>
      </c>
      <c r="AG23" s="6">
        <f t="shared" si="14"/>
        <v>26.774999999999999</v>
      </c>
      <c r="AH23" s="6">
        <f t="shared" si="15"/>
        <v>26.774999999999999</v>
      </c>
      <c r="AI23" s="6">
        <f t="shared" si="16"/>
        <v>26.774999999999999</v>
      </c>
      <c r="AJ23" s="6">
        <f t="shared" si="17"/>
        <v>29.750174999999999</v>
      </c>
      <c r="AK23" s="6">
        <f t="shared" si="17"/>
        <v>29.750174999999999</v>
      </c>
      <c r="AL23" s="6">
        <f t="shared" si="17"/>
        <v>29.750174999999999</v>
      </c>
      <c r="AM23" s="6">
        <f t="shared" si="17"/>
        <v>29.750174999999999</v>
      </c>
      <c r="AN23" s="6">
        <f t="shared" si="17"/>
        <v>29.750174999999999</v>
      </c>
      <c r="AO23" s="6">
        <f t="shared" si="17"/>
        <v>29.750174999999999</v>
      </c>
      <c r="AP23" s="1">
        <f t="shared" si="18"/>
        <v>29.750174999999999</v>
      </c>
    </row>
    <row r="24" spans="3:42" x14ac:dyDescent="0.15">
      <c r="C24" s="6">
        <v>22</v>
      </c>
      <c r="D24" s="6">
        <f t="shared" si="2"/>
        <v>2</v>
      </c>
      <c r="E24" s="11">
        <f ca="1">mVlookup(D24&amp;3,[1]!circlePer,"max",FALSE)+10%</f>
        <v>0.21000000000000002</v>
      </c>
      <c r="F24" s="6">
        <f ca="1">mVlookup(D24&amp;3,[1]!circleValue,"max",FALSE)+1.5</f>
        <v>2.5</v>
      </c>
      <c r="G24" s="6">
        <f ca="1">mVlookup(D24&amp;3,[1]!otherDamage,"max",FALSE)*100%</f>
        <v>0.11</v>
      </c>
      <c r="H24" s="6">
        <f t="shared" si="19"/>
        <v>4</v>
      </c>
      <c r="I24" s="6">
        <f t="shared" si="20"/>
        <v>3.3</v>
      </c>
      <c r="J24" s="12">
        <f>[1]伤害减免!$D24</f>
        <v>0.74199999999999999</v>
      </c>
      <c r="K24" s="6">
        <f t="shared" si="21"/>
        <v>7</v>
      </c>
      <c r="L24" s="6" t="str">
        <f t="shared" si="3"/>
        <v>4.6</v>
      </c>
      <c r="M24" s="6">
        <f>C24*([1]装备!E$10*0.5+[1]装备!E$10*VLOOKUP(C24,[1]!powerDistribution,3,FALSE))</f>
        <v>489.06000000000006</v>
      </c>
      <c r="N24" s="6">
        <f>C24*([1]装备!F$10*0.5+[1]装备!F$10*VLOOKUP(C24,[1]!powerDistribution,3,FALSE))</f>
        <v>295.60959000887038</v>
      </c>
      <c r="O24" s="6">
        <f t="shared" ca="1" si="4"/>
        <v>552.30276871225306</v>
      </c>
      <c r="P24" s="6">
        <v>100</v>
      </c>
      <c r="Q24" s="6">
        <f t="shared" si="5"/>
        <v>241.00963455149505</v>
      </c>
      <c r="R24" s="6">
        <f t="shared" si="0"/>
        <v>31.166849999999997</v>
      </c>
      <c r="S24" s="6">
        <f t="shared" si="6"/>
        <v>241.00963455149505</v>
      </c>
      <c r="T24" s="6">
        <f t="shared" si="7"/>
        <v>31.166849999999997</v>
      </c>
      <c r="U24" s="6">
        <f>20%</f>
        <v>0.2</v>
      </c>
      <c r="V24" s="6">
        <v>0.2</v>
      </c>
      <c r="W24" s="6">
        <f t="shared" si="8"/>
        <v>0.35999999999999988</v>
      </c>
      <c r="X24" s="12">
        <v>0.1</v>
      </c>
      <c r="Y24" s="12">
        <v>2</v>
      </c>
      <c r="Z24" s="12">
        <v>0.1</v>
      </c>
      <c r="AA24" s="12">
        <v>0.9</v>
      </c>
      <c r="AB24" s="13">
        <f t="shared" si="9"/>
        <v>42.533333333333339</v>
      </c>
      <c r="AC24" s="6">
        <f t="shared" si="10"/>
        <v>29.787707641196018</v>
      </c>
      <c r="AD24" s="6">
        <f t="shared" si="11"/>
        <v>29.787707641196018</v>
      </c>
      <c r="AE24" s="6">
        <f t="shared" si="12"/>
        <v>29.787707641196018</v>
      </c>
      <c r="AF24" s="6">
        <f t="shared" si="13"/>
        <v>29.787707641196018</v>
      </c>
      <c r="AG24" s="6">
        <f t="shared" si="14"/>
        <v>29.787707641196018</v>
      </c>
      <c r="AH24" s="6">
        <f t="shared" si="15"/>
        <v>29.787707641196018</v>
      </c>
      <c r="AI24" s="6">
        <f t="shared" si="16"/>
        <v>29.787707641196018</v>
      </c>
      <c r="AJ24" s="6">
        <f t="shared" si="17"/>
        <v>31.166849999999997</v>
      </c>
      <c r="AK24" s="6">
        <f t="shared" si="17"/>
        <v>31.166849999999997</v>
      </c>
      <c r="AL24" s="6">
        <f t="shared" si="17"/>
        <v>31.166849999999997</v>
      </c>
      <c r="AM24" s="6">
        <f t="shared" si="17"/>
        <v>31.166849999999997</v>
      </c>
      <c r="AN24" s="6">
        <f t="shared" si="17"/>
        <v>31.166849999999997</v>
      </c>
      <c r="AO24" s="6">
        <f t="shared" si="17"/>
        <v>31.166849999999997</v>
      </c>
      <c r="AP24" s="1">
        <f t="shared" si="18"/>
        <v>31.166849999999997</v>
      </c>
    </row>
    <row r="25" spans="3:42" x14ac:dyDescent="0.15">
      <c r="C25" s="6">
        <v>23</v>
      </c>
      <c r="D25" s="6">
        <f t="shared" si="2"/>
        <v>3</v>
      </c>
      <c r="E25" s="11">
        <f ca="1">mVlookup(D25&amp;3,[1]!circlePer,"max",FALSE)+10%</f>
        <v>0.22</v>
      </c>
      <c r="F25" s="6">
        <f ca="1">mVlookup(D25&amp;3,[1]!circleValue,"max",FALSE)+1.5</f>
        <v>2.6</v>
      </c>
      <c r="G25" s="6">
        <f ca="1">mVlookup(D25&amp;3,[1]!otherDamage,"max",FALSE)*100%</f>
        <v>0.12</v>
      </c>
      <c r="H25" s="6">
        <f t="shared" si="19"/>
        <v>4</v>
      </c>
      <c r="I25" s="6">
        <f t="shared" si="20"/>
        <v>3.3</v>
      </c>
      <c r="J25" s="12">
        <f>[1]伤害减免!$D25</f>
        <v>0.74399999999999999</v>
      </c>
      <c r="K25" s="6">
        <f t="shared" si="21"/>
        <v>7</v>
      </c>
      <c r="L25" s="6" t="str">
        <f t="shared" si="3"/>
        <v>4.6</v>
      </c>
      <c r="M25" s="6">
        <f>C25*([1]装备!E$10*0.5+[1]装备!E$10*VLOOKUP(C25,[1]!powerDistribution,3,FALSE))</f>
        <v>514.28000000000009</v>
      </c>
      <c r="N25" s="6">
        <f>C25*([1]装备!F$10*0.5+[1]装备!F$10*VLOOKUP(C25,[1]!powerDistribution,3,FALSE))</f>
        <v>310.85367838253359</v>
      </c>
      <c r="O25" s="6">
        <f t="shared" ca="1" si="4"/>
        <v>602.50505466107882</v>
      </c>
      <c r="P25" s="6">
        <v>100</v>
      </c>
      <c r="Q25" s="6">
        <f t="shared" si="5"/>
        <v>253.98314732142859</v>
      </c>
      <c r="R25" s="6">
        <f t="shared" si="0"/>
        <v>32.583524999999995</v>
      </c>
      <c r="S25" s="6">
        <f t="shared" si="6"/>
        <v>253.98314732142859</v>
      </c>
      <c r="T25" s="6">
        <f t="shared" si="7"/>
        <v>32.583524999999995</v>
      </c>
      <c r="U25" s="6">
        <f>20%</f>
        <v>0.2</v>
      </c>
      <c r="V25" s="6">
        <v>0.2</v>
      </c>
      <c r="W25" s="6">
        <f t="shared" si="8"/>
        <v>0.35999999999999988</v>
      </c>
      <c r="X25" s="12">
        <v>0.1</v>
      </c>
      <c r="Y25" s="12">
        <v>2</v>
      </c>
      <c r="Z25" s="12">
        <v>0.1</v>
      </c>
      <c r="AA25" s="12">
        <v>0.9</v>
      </c>
      <c r="AB25" s="13">
        <f t="shared" si="9"/>
        <v>44.466666666666669</v>
      </c>
      <c r="AC25" s="6">
        <f t="shared" si="10"/>
        <v>33.003459821428578</v>
      </c>
      <c r="AD25" s="6">
        <f t="shared" si="11"/>
        <v>33.003459821428578</v>
      </c>
      <c r="AE25" s="6">
        <f t="shared" si="12"/>
        <v>33.003459821428578</v>
      </c>
      <c r="AF25" s="6">
        <f t="shared" si="13"/>
        <v>33.003459821428578</v>
      </c>
      <c r="AG25" s="6">
        <f t="shared" si="14"/>
        <v>33.003459821428578</v>
      </c>
      <c r="AH25" s="6">
        <f t="shared" si="15"/>
        <v>33.003459821428578</v>
      </c>
      <c r="AI25" s="6">
        <f t="shared" si="16"/>
        <v>33.003459821428578</v>
      </c>
      <c r="AJ25" s="6">
        <f t="shared" si="17"/>
        <v>32.583524999999995</v>
      </c>
      <c r="AK25" s="6">
        <f t="shared" si="17"/>
        <v>32.583524999999995</v>
      </c>
      <c r="AL25" s="6">
        <f t="shared" si="17"/>
        <v>32.583524999999995</v>
      </c>
      <c r="AM25" s="6">
        <f t="shared" si="17"/>
        <v>32.583524999999995</v>
      </c>
      <c r="AN25" s="6">
        <f t="shared" si="17"/>
        <v>32.583524999999995</v>
      </c>
      <c r="AO25" s="6">
        <f t="shared" si="17"/>
        <v>32.583524999999995</v>
      </c>
      <c r="AP25" s="1">
        <f t="shared" si="18"/>
        <v>32.583524999999995</v>
      </c>
    </row>
    <row r="26" spans="3:42" x14ac:dyDescent="0.15">
      <c r="C26" s="6">
        <v>24</v>
      </c>
      <c r="D26" s="6">
        <f t="shared" si="2"/>
        <v>3</v>
      </c>
      <c r="E26" s="11">
        <f ca="1">mVlookup(D26&amp;3,[1]!circlePer,"max",FALSE)+10%</f>
        <v>0.22</v>
      </c>
      <c r="F26" s="6">
        <f ca="1">mVlookup(D26&amp;3,[1]!circleValue,"max",FALSE)+1.5</f>
        <v>2.6</v>
      </c>
      <c r="G26" s="6">
        <f ca="1">mVlookup(D26&amp;3,[1]!otherDamage,"max",FALSE)*100%</f>
        <v>0.12</v>
      </c>
      <c r="H26" s="6">
        <f t="shared" si="19"/>
        <v>4</v>
      </c>
      <c r="I26" s="6">
        <f t="shared" si="20"/>
        <v>3.3</v>
      </c>
      <c r="J26" s="12">
        <f>[1]伤害减免!$D26</f>
        <v>0.746</v>
      </c>
      <c r="K26" s="6">
        <f t="shared" si="21"/>
        <v>7</v>
      </c>
      <c r="L26" s="6" t="str">
        <f t="shared" si="3"/>
        <v>4.6</v>
      </c>
      <c r="M26" s="6">
        <f>C26*([1]装备!E$10*0.5+[1]装备!E$10*VLOOKUP(C26,[1]!powerDistribution,3,FALSE))</f>
        <v>539.76</v>
      </c>
      <c r="N26" s="6">
        <f>C26*([1]装备!F$10*0.5+[1]装备!F$10*VLOOKUP(C26,[1]!powerDistribution,3,FALSE))</f>
        <v>326.25492230644068</v>
      </c>
      <c r="O26" s="6">
        <f t="shared" ca="1" si="4"/>
        <v>632.35616454823025</v>
      </c>
      <c r="P26" s="6">
        <v>100</v>
      </c>
      <c r="Q26" s="6">
        <f t="shared" si="5"/>
        <v>267.14780652418449</v>
      </c>
      <c r="R26" s="6">
        <f t="shared" si="0"/>
        <v>34.0002</v>
      </c>
      <c r="S26" s="6">
        <f t="shared" si="6"/>
        <v>267.14780652418449</v>
      </c>
      <c r="T26" s="6">
        <f t="shared" si="7"/>
        <v>34.0002</v>
      </c>
      <c r="U26" s="6">
        <f>20%</f>
        <v>0.2</v>
      </c>
      <c r="V26" s="6">
        <v>0.2</v>
      </c>
      <c r="W26" s="6">
        <f t="shared" si="8"/>
        <v>0.35999999999999988</v>
      </c>
      <c r="X26" s="12">
        <v>0.1</v>
      </c>
      <c r="Y26" s="12">
        <v>2</v>
      </c>
      <c r="Z26" s="12">
        <v>0.1</v>
      </c>
      <c r="AA26" s="12">
        <v>0.9</v>
      </c>
      <c r="AB26" s="13">
        <f t="shared" si="9"/>
        <v>46.400000000000006</v>
      </c>
      <c r="AC26" s="6">
        <f t="shared" si="10"/>
        <v>36.429246344206973</v>
      </c>
      <c r="AD26" s="6">
        <f t="shared" si="11"/>
        <v>36.429246344206973</v>
      </c>
      <c r="AE26" s="6">
        <f t="shared" si="12"/>
        <v>36.429246344206973</v>
      </c>
      <c r="AF26" s="6">
        <f t="shared" si="13"/>
        <v>36.429246344206973</v>
      </c>
      <c r="AG26" s="6">
        <f t="shared" si="14"/>
        <v>36.429246344206973</v>
      </c>
      <c r="AH26" s="6">
        <f t="shared" si="15"/>
        <v>36.429246344206973</v>
      </c>
      <c r="AI26" s="6">
        <f t="shared" si="16"/>
        <v>36.429246344206973</v>
      </c>
      <c r="AJ26" s="6">
        <f t="shared" si="17"/>
        <v>34.0002</v>
      </c>
      <c r="AK26" s="6">
        <f t="shared" si="17"/>
        <v>34.0002</v>
      </c>
      <c r="AL26" s="6">
        <f t="shared" si="17"/>
        <v>34.0002</v>
      </c>
      <c r="AM26" s="6">
        <f t="shared" si="17"/>
        <v>34.0002</v>
      </c>
      <c r="AN26" s="6">
        <f t="shared" si="17"/>
        <v>34.0002</v>
      </c>
      <c r="AO26" s="6">
        <f t="shared" si="17"/>
        <v>34.0002</v>
      </c>
      <c r="AP26" s="1">
        <f t="shared" si="18"/>
        <v>34.0002</v>
      </c>
    </row>
    <row r="27" spans="3:42" x14ac:dyDescent="0.15">
      <c r="C27" s="6">
        <v>25</v>
      </c>
      <c r="D27" s="6">
        <f t="shared" si="2"/>
        <v>3</v>
      </c>
      <c r="E27" s="11">
        <f ca="1">mVlookup(D27&amp;3,[1]!circlePer,"max",FALSE)+10%</f>
        <v>0.22</v>
      </c>
      <c r="F27" s="6">
        <f ca="1">mVlookup(D27&amp;3,[1]!circleValue,"max",FALSE)+1.5</f>
        <v>2.6</v>
      </c>
      <c r="G27" s="6">
        <f ca="1">mVlookup(D27&amp;3,[1]!otherDamage,"max",FALSE)*100%</f>
        <v>0.12</v>
      </c>
      <c r="H27" s="6">
        <f t="shared" si="19"/>
        <v>4</v>
      </c>
      <c r="I27" s="6">
        <f t="shared" si="20"/>
        <v>3.3</v>
      </c>
      <c r="J27" s="12">
        <f>[1]伤害减免!$D27</f>
        <v>0.748</v>
      </c>
      <c r="K27" s="6">
        <f t="shared" si="21"/>
        <v>7</v>
      </c>
      <c r="L27" s="6" t="str">
        <f t="shared" si="3"/>
        <v>4.6</v>
      </c>
      <c r="M27" s="6">
        <f>C27*([1]装备!E$10*0.5+[1]装备!E$10*VLOOKUP(C27,[1]!powerDistribution,3,FALSE))</f>
        <v>565.50000000000011</v>
      </c>
      <c r="N27" s="6">
        <f>C27*([1]装备!F$10*0.5+[1]装备!F$10*VLOOKUP(C27,[1]!powerDistribution,3,FALSE))</f>
        <v>341.81332178059176</v>
      </c>
      <c r="O27" s="6">
        <f t="shared" ca="1" si="4"/>
        <v>662.51187759749564</v>
      </c>
      <c r="P27" s="6">
        <v>100</v>
      </c>
      <c r="Q27" s="6">
        <f t="shared" si="5"/>
        <v>280.50595238095241</v>
      </c>
      <c r="R27" s="6">
        <f t="shared" si="0"/>
        <v>35.416874999999997</v>
      </c>
      <c r="S27" s="6">
        <f t="shared" si="6"/>
        <v>280.50595238095241</v>
      </c>
      <c r="T27" s="6">
        <f t="shared" si="7"/>
        <v>35.416874999999997</v>
      </c>
      <c r="U27" s="6">
        <f>20%</f>
        <v>0.2</v>
      </c>
      <c r="V27" s="6">
        <v>0.2</v>
      </c>
      <c r="W27" s="6">
        <f t="shared" si="8"/>
        <v>0.35999999999999988</v>
      </c>
      <c r="X27" s="12">
        <v>0.1</v>
      </c>
      <c r="Y27" s="12">
        <v>2</v>
      </c>
      <c r="Z27" s="12">
        <v>0.1</v>
      </c>
      <c r="AA27" s="12">
        <v>0.9</v>
      </c>
      <c r="AB27" s="13">
        <f t="shared" si="9"/>
        <v>48.333333333333343</v>
      </c>
      <c r="AC27" s="6">
        <f t="shared" si="10"/>
        <v>40.072278911564631</v>
      </c>
      <c r="AD27" s="6">
        <f t="shared" si="11"/>
        <v>40.072278911564631</v>
      </c>
      <c r="AE27" s="6">
        <f t="shared" si="12"/>
        <v>40.072278911564631</v>
      </c>
      <c r="AF27" s="6">
        <f t="shared" si="13"/>
        <v>40.072278911564631</v>
      </c>
      <c r="AG27" s="6">
        <f t="shared" si="14"/>
        <v>40.072278911564631</v>
      </c>
      <c r="AH27" s="6">
        <f t="shared" si="15"/>
        <v>40.072278911564631</v>
      </c>
      <c r="AI27" s="6">
        <f t="shared" si="16"/>
        <v>40.072278911564631</v>
      </c>
      <c r="AJ27" s="6">
        <f t="shared" si="17"/>
        <v>35.416874999999997</v>
      </c>
      <c r="AK27" s="6">
        <f t="shared" si="17"/>
        <v>35.416874999999997</v>
      </c>
      <c r="AL27" s="6">
        <f t="shared" si="17"/>
        <v>35.416874999999997</v>
      </c>
      <c r="AM27" s="6">
        <f t="shared" si="17"/>
        <v>35.416874999999997</v>
      </c>
      <c r="AN27" s="6">
        <f t="shared" si="17"/>
        <v>35.416874999999997</v>
      </c>
      <c r="AO27" s="6">
        <f t="shared" si="17"/>
        <v>35.416874999999997</v>
      </c>
      <c r="AP27" s="1">
        <f t="shared" si="18"/>
        <v>35.416874999999997</v>
      </c>
    </row>
    <row r="28" spans="3:42" x14ac:dyDescent="0.15">
      <c r="C28" s="6">
        <v>26</v>
      </c>
      <c r="D28" s="6">
        <f t="shared" si="2"/>
        <v>3</v>
      </c>
      <c r="E28" s="11">
        <f ca="1">mVlookup(D28&amp;3,[1]!circlePer,"max",FALSE)+10%</f>
        <v>0.22</v>
      </c>
      <c r="F28" s="6">
        <f ca="1">mVlookup(D28&amp;3,[1]!circleValue,"max",FALSE)+1.5</f>
        <v>2.6</v>
      </c>
      <c r="G28" s="6">
        <f ca="1">mVlookup(D28&amp;3,[1]!otherDamage,"max",FALSE)*100%</f>
        <v>0.12</v>
      </c>
      <c r="H28" s="6">
        <f t="shared" si="19"/>
        <v>4</v>
      </c>
      <c r="I28" s="6">
        <f t="shared" si="20"/>
        <v>3.3</v>
      </c>
      <c r="J28" s="12">
        <f>[1]伤害减免!$D28</f>
        <v>0.75</v>
      </c>
      <c r="K28" s="6">
        <f t="shared" si="21"/>
        <v>7</v>
      </c>
      <c r="L28" s="6" t="str">
        <f t="shared" si="3"/>
        <v>4.6</v>
      </c>
      <c r="M28" s="6">
        <f>C28*([1]装备!E$10*0.5+[1]装备!E$10*VLOOKUP(C28,[1]!powerDistribution,3,FALSE))</f>
        <v>591.50000000000011</v>
      </c>
      <c r="N28" s="6">
        <f>C28*([1]装备!F$10*0.5+[1]装备!F$10*VLOOKUP(C28,[1]!powerDistribution,3,FALSE))</f>
        <v>357.52887680498679</v>
      </c>
      <c r="O28" s="6">
        <f t="shared" ca="1" si="4"/>
        <v>692.97219380887464</v>
      </c>
      <c r="P28" s="6">
        <v>100</v>
      </c>
      <c r="Q28" s="6">
        <f t="shared" si="5"/>
        <v>294.06000000000006</v>
      </c>
      <c r="R28" s="6">
        <f t="shared" si="0"/>
        <v>36.833549999999995</v>
      </c>
      <c r="S28" s="6">
        <f t="shared" si="6"/>
        <v>294.06000000000006</v>
      </c>
      <c r="T28" s="6">
        <f t="shared" si="7"/>
        <v>36.833549999999995</v>
      </c>
      <c r="U28" s="6">
        <f>20%</f>
        <v>0.2</v>
      </c>
      <c r="V28" s="6">
        <v>0.2</v>
      </c>
      <c r="W28" s="6">
        <f t="shared" si="8"/>
        <v>0.35999999999999988</v>
      </c>
      <c r="X28" s="12">
        <v>0.1</v>
      </c>
      <c r="Y28" s="12">
        <v>2</v>
      </c>
      <c r="Z28" s="12">
        <v>0.1</v>
      </c>
      <c r="AA28" s="12">
        <v>0.9</v>
      </c>
      <c r="AB28" s="13">
        <f t="shared" si="9"/>
        <v>50.266666666666673</v>
      </c>
      <c r="AC28" s="6">
        <f t="shared" si="10"/>
        <v>43.940000000000012</v>
      </c>
      <c r="AD28" s="6">
        <f t="shared" si="11"/>
        <v>43.940000000000012</v>
      </c>
      <c r="AE28" s="6">
        <f t="shared" si="12"/>
        <v>43.940000000000012</v>
      </c>
      <c r="AF28" s="6">
        <f t="shared" si="13"/>
        <v>43.940000000000012</v>
      </c>
      <c r="AG28" s="6">
        <f t="shared" si="14"/>
        <v>43.940000000000012</v>
      </c>
      <c r="AH28" s="6">
        <f t="shared" si="15"/>
        <v>43.940000000000012</v>
      </c>
      <c r="AI28" s="6">
        <f t="shared" si="16"/>
        <v>43.940000000000012</v>
      </c>
      <c r="AJ28" s="6">
        <f t="shared" si="17"/>
        <v>36.833549999999995</v>
      </c>
      <c r="AK28" s="6">
        <f t="shared" si="17"/>
        <v>36.833549999999995</v>
      </c>
      <c r="AL28" s="6">
        <f t="shared" si="17"/>
        <v>36.833549999999995</v>
      </c>
      <c r="AM28" s="6">
        <f t="shared" si="17"/>
        <v>36.833549999999995</v>
      </c>
      <c r="AN28" s="6">
        <f t="shared" si="17"/>
        <v>36.833549999999995</v>
      </c>
      <c r="AO28" s="6">
        <f t="shared" si="17"/>
        <v>36.833549999999995</v>
      </c>
      <c r="AP28" s="1">
        <f t="shared" si="18"/>
        <v>36.833549999999995</v>
      </c>
    </row>
    <row r="29" spans="3:42" x14ac:dyDescent="0.15">
      <c r="C29" s="6">
        <v>27</v>
      </c>
      <c r="D29" s="6">
        <f t="shared" si="2"/>
        <v>3</v>
      </c>
      <c r="E29" s="11">
        <f ca="1">mVlookup(D29&amp;3,[1]!circlePer,"max",FALSE)+10%</f>
        <v>0.22</v>
      </c>
      <c r="F29" s="6">
        <f ca="1">mVlookup(D29&amp;3,[1]!circleValue,"max",FALSE)+1.5</f>
        <v>2.6</v>
      </c>
      <c r="G29" s="6">
        <f ca="1">mVlookup(D29&amp;3,[1]!otherDamage,"max",FALSE)*100%</f>
        <v>0.12</v>
      </c>
      <c r="H29" s="6">
        <f t="shared" si="19"/>
        <v>4</v>
      </c>
      <c r="I29" s="6">
        <f t="shared" si="20"/>
        <v>3.3</v>
      </c>
      <c r="J29" s="12">
        <f>[1]伤害减免!$D29</f>
        <v>0.752</v>
      </c>
      <c r="K29" s="6">
        <f t="shared" si="21"/>
        <v>7</v>
      </c>
      <c r="L29" s="6" t="str">
        <f t="shared" si="3"/>
        <v>4.6</v>
      </c>
      <c r="M29" s="6">
        <f>C29*([1]装备!E$10*0.5+[1]装备!E$10*VLOOKUP(C29,[1]!powerDistribution,3,FALSE))</f>
        <v>617.7600000000001</v>
      </c>
      <c r="N29" s="6">
        <f>C29*([1]装备!F$10*0.5+[1]装备!F$10*VLOOKUP(C29,[1]!powerDistribution,3,FALSE))</f>
        <v>373.40158737962577</v>
      </c>
      <c r="O29" s="6">
        <f t="shared" ca="1" si="4"/>
        <v>723.73711318236758</v>
      </c>
      <c r="P29" s="6">
        <v>100</v>
      </c>
      <c r="Q29" s="6">
        <f t="shared" si="5"/>
        <v>307.81244239631343</v>
      </c>
      <c r="R29" s="6">
        <f t="shared" si="0"/>
        <v>38.250225</v>
      </c>
      <c r="S29" s="6">
        <f t="shared" si="6"/>
        <v>307.81244239631343</v>
      </c>
      <c r="T29" s="6">
        <f t="shared" si="7"/>
        <v>38.250225</v>
      </c>
      <c r="U29" s="6">
        <f>20%</f>
        <v>0.2</v>
      </c>
      <c r="V29" s="6">
        <v>0.2</v>
      </c>
      <c r="W29" s="6">
        <f t="shared" si="8"/>
        <v>0.35999999999999988</v>
      </c>
      <c r="X29" s="12">
        <v>0.1</v>
      </c>
      <c r="Y29" s="12">
        <v>2</v>
      </c>
      <c r="Z29" s="12">
        <v>0.1</v>
      </c>
      <c r="AA29" s="12">
        <v>0.9</v>
      </c>
      <c r="AB29" s="13">
        <f t="shared" si="9"/>
        <v>52.2</v>
      </c>
      <c r="AC29" s="6">
        <f t="shared" si="10"/>
        <v>48.040092165898628</v>
      </c>
      <c r="AD29" s="6">
        <f t="shared" si="11"/>
        <v>48.040092165898628</v>
      </c>
      <c r="AE29" s="6">
        <f t="shared" si="12"/>
        <v>48.040092165898628</v>
      </c>
      <c r="AF29" s="6">
        <f t="shared" si="13"/>
        <v>48.040092165898628</v>
      </c>
      <c r="AG29" s="6">
        <f t="shared" si="14"/>
        <v>48.040092165898628</v>
      </c>
      <c r="AH29" s="6">
        <f t="shared" si="15"/>
        <v>48.040092165898628</v>
      </c>
      <c r="AI29" s="6">
        <f t="shared" si="16"/>
        <v>48.040092165898628</v>
      </c>
      <c r="AJ29" s="6">
        <f t="shared" si="17"/>
        <v>38.250225</v>
      </c>
      <c r="AK29" s="6">
        <f t="shared" si="17"/>
        <v>38.250225</v>
      </c>
      <c r="AL29" s="6">
        <f t="shared" si="17"/>
        <v>38.250225</v>
      </c>
      <c r="AM29" s="6">
        <f t="shared" si="17"/>
        <v>38.250225</v>
      </c>
      <c r="AN29" s="6">
        <f t="shared" si="17"/>
        <v>38.250225</v>
      </c>
      <c r="AO29" s="6">
        <f t="shared" si="17"/>
        <v>38.250225</v>
      </c>
      <c r="AP29" s="1">
        <f t="shared" si="18"/>
        <v>38.250225</v>
      </c>
    </row>
    <row r="30" spans="3:42" x14ac:dyDescent="0.15">
      <c r="C30" s="6">
        <v>28</v>
      </c>
      <c r="D30" s="6">
        <f t="shared" si="2"/>
        <v>3</v>
      </c>
      <c r="E30" s="11">
        <f ca="1">mVlookup(D30&amp;3,[1]!circlePer,"max",FALSE)+10%</f>
        <v>0.22</v>
      </c>
      <c r="F30" s="6">
        <f ca="1">mVlookup(D30&amp;3,[1]!circleValue,"max",FALSE)+1.5</f>
        <v>2.6</v>
      </c>
      <c r="G30" s="6">
        <f ca="1">mVlookup(D30&amp;3,[1]!otherDamage,"max",FALSE)*100%</f>
        <v>0.12</v>
      </c>
      <c r="H30" s="6">
        <f t="shared" si="19"/>
        <v>4</v>
      </c>
      <c r="I30" s="6">
        <f t="shared" si="20"/>
        <v>3.3</v>
      </c>
      <c r="J30" s="12">
        <f>[1]伤害减免!$D30</f>
        <v>0.754</v>
      </c>
      <c r="K30" s="6">
        <f t="shared" si="21"/>
        <v>7</v>
      </c>
      <c r="L30" s="6" t="str">
        <f t="shared" si="3"/>
        <v>4.6</v>
      </c>
      <c r="M30" s="6">
        <f>C30*([1]装备!E$10*0.5+[1]装备!E$10*VLOOKUP(C30,[1]!powerDistribution,3,FALSE))</f>
        <v>644.28000000000009</v>
      </c>
      <c r="N30" s="6">
        <f>C30*([1]装备!F$10*0.5+[1]装备!F$10*VLOOKUP(C30,[1]!powerDistribution,3,FALSE))</f>
        <v>389.43145350450868</v>
      </c>
      <c r="O30" s="6">
        <f t="shared" ca="1" si="4"/>
        <v>754.80663571797425</v>
      </c>
      <c r="P30" s="6">
        <v>100</v>
      </c>
      <c r="Q30" s="6">
        <f t="shared" si="5"/>
        <v>321.76585365853663</v>
      </c>
      <c r="R30" s="6">
        <f t="shared" si="0"/>
        <v>39.666899999999998</v>
      </c>
      <c r="S30" s="6">
        <f t="shared" si="6"/>
        <v>321.76585365853663</v>
      </c>
      <c r="T30" s="6">
        <f t="shared" si="7"/>
        <v>39.666899999999998</v>
      </c>
      <c r="U30" s="6">
        <f>20%</f>
        <v>0.2</v>
      </c>
      <c r="V30" s="6">
        <v>0.2</v>
      </c>
      <c r="W30" s="6">
        <f t="shared" si="8"/>
        <v>0.35999999999999988</v>
      </c>
      <c r="X30" s="12">
        <v>0.1</v>
      </c>
      <c r="Y30" s="12">
        <v>2</v>
      </c>
      <c r="Z30" s="12">
        <v>0.1</v>
      </c>
      <c r="AA30" s="12">
        <v>0.9</v>
      </c>
      <c r="AB30" s="13">
        <f t="shared" si="9"/>
        <v>54.13333333333334</v>
      </c>
      <c r="AC30" s="6">
        <f t="shared" si="10"/>
        <v>52.380487804878058</v>
      </c>
      <c r="AD30" s="6">
        <f t="shared" si="11"/>
        <v>52.380487804878058</v>
      </c>
      <c r="AE30" s="6">
        <f t="shared" si="12"/>
        <v>52.380487804878058</v>
      </c>
      <c r="AF30" s="6">
        <f t="shared" si="13"/>
        <v>52.380487804878058</v>
      </c>
      <c r="AG30" s="6">
        <f t="shared" si="14"/>
        <v>52.380487804878058</v>
      </c>
      <c r="AH30" s="6">
        <f t="shared" si="15"/>
        <v>52.380487804878058</v>
      </c>
      <c r="AI30" s="6">
        <f t="shared" si="16"/>
        <v>52.380487804878058</v>
      </c>
      <c r="AJ30" s="6">
        <f t="shared" si="17"/>
        <v>39.666899999999998</v>
      </c>
      <c r="AK30" s="6">
        <f t="shared" si="17"/>
        <v>39.666899999999998</v>
      </c>
      <c r="AL30" s="6">
        <f t="shared" si="17"/>
        <v>39.666899999999998</v>
      </c>
      <c r="AM30" s="6">
        <f t="shared" si="17"/>
        <v>39.666899999999998</v>
      </c>
      <c r="AN30" s="6">
        <f t="shared" si="17"/>
        <v>39.666899999999998</v>
      </c>
      <c r="AO30" s="6">
        <f t="shared" si="17"/>
        <v>39.666899999999998</v>
      </c>
      <c r="AP30" s="1">
        <f t="shared" si="18"/>
        <v>39.666899999999998</v>
      </c>
    </row>
    <row r="31" spans="3:42" x14ac:dyDescent="0.15">
      <c r="C31" s="6">
        <v>29</v>
      </c>
      <c r="D31" s="6">
        <f t="shared" si="2"/>
        <v>3</v>
      </c>
      <c r="E31" s="11">
        <f ca="1">mVlookup(D31&amp;3,[1]!circlePer,"max",FALSE)+10%</f>
        <v>0.22</v>
      </c>
      <c r="F31" s="6">
        <f ca="1">mVlookup(D31&amp;3,[1]!circleValue,"max",FALSE)+1.5</f>
        <v>2.6</v>
      </c>
      <c r="G31" s="6">
        <f ca="1">mVlookup(D31&amp;3,[1]!otherDamage,"max",FALSE)*100%</f>
        <v>0.12</v>
      </c>
      <c r="H31" s="6">
        <f t="shared" si="19"/>
        <v>4</v>
      </c>
      <c r="I31" s="6">
        <f t="shared" si="20"/>
        <v>3.3</v>
      </c>
      <c r="J31" s="12">
        <f>[1]伤害减免!$D31</f>
        <v>0.75600000000000001</v>
      </c>
      <c r="K31" s="6">
        <f t="shared" si="21"/>
        <v>7</v>
      </c>
      <c r="L31" s="6" t="str">
        <f t="shared" si="3"/>
        <v>4.6</v>
      </c>
      <c r="M31" s="6">
        <f>C31*([1]装备!E$10*0.5+[1]装备!E$10*VLOOKUP(C31,[1]!powerDistribution,3,FALSE))</f>
        <v>671.06000000000017</v>
      </c>
      <c r="N31" s="6">
        <f>C31*([1]装备!F$10*0.5+[1]装备!F$10*VLOOKUP(C31,[1]!powerDistribution,3,FALSE))</f>
        <v>405.6184751796356</v>
      </c>
      <c r="O31" s="6">
        <f t="shared" ca="1" si="4"/>
        <v>786.18076141569486</v>
      </c>
      <c r="P31" s="6">
        <v>100</v>
      </c>
      <c r="Q31" s="6">
        <f t="shared" si="5"/>
        <v>335.92289227166282</v>
      </c>
      <c r="R31" s="6">
        <f t="shared" si="0"/>
        <v>41.083575000000003</v>
      </c>
      <c r="S31" s="6">
        <f t="shared" si="6"/>
        <v>335.92289227166282</v>
      </c>
      <c r="T31" s="6">
        <f t="shared" si="7"/>
        <v>41.083575000000003</v>
      </c>
      <c r="U31" s="6">
        <f>20%</f>
        <v>0.2</v>
      </c>
      <c r="V31" s="6">
        <v>0.2</v>
      </c>
      <c r="W31" s="6">
        <f t="shared" si="8"/>
        <v>0.35999999999999988</v>
      </c>
      <c r="X31" s="12">
        <v>0.1</v>
      </c>
      <c r="Y31" s="12">
        <v>2</v>
      </c>
      <c r="Z31" s="12">
        <v>0.1</v>
      </c>
      <c r="AA31" s="12">
        <v>0.9</v>
      </c>
      <c r="AB31" s="13">
        <f t="shared" si="9"/>
        <v>56.066666666666677</v>
      </c>
      <c r="AC31" s="6">
        <f t="shared" si="10"/>
        <v>56.969379391100709</v>
      </c>
      <c r="AD31" s="6">
        <f t="shared" si="11"/>
        <v>56.969379391100709</v>
      </c>
      <c r="AE31" s="6">
        <f t="shared" si="12"/>
        <v>56.969379391100709</v>
      </c>
      <c r="AF31" s="6">
        <f t="shared" si="13"/>
        <v>56.969379391100709</v>
      </c>
      <c r="AG31" s="6">
        <f t="shared" si="14"/>
        <v>56.969379391100709</v>
      </c>
      <c r="AH31" s="6">
        <f t="shared" si="15"/>
        <v>56.969379391100709</v>
      </c>
      <c r="AI31" s="6">
        <f t="shared" si="16"/>
        <v>56.969379391100709</v>
      </c>
      <c r="AJ31" s="6">
        <f t="shared" si="17"/>
        <v>41.083575000000003</v>
      </c>
      <c r="AK31" s="6">
        <f t="shared" si="17"/>
        <v>41.083575000000003</v>
      </c>
      <c r="AL31" s="6">
        <f t="shared" si="17"/>
        <v>41.083575000000003</v>
      </c>
      <c r="AM31" s="6">
        <f t="shared" si="17"/>
        <v>41.083575000000003</v>
      </c>
      <c r="AN31" s="6">
        <f t="shared" si="17"/>
        <v>41.083575000000003</v>
      </c>
      <c r="AO31" s="6">
        <f t="shared" si="17"/>
        <v>41.083575000000003</v>
      </c>
      <c r="AP31" s="1">
        <f t="shared" si="18"/>
        <v>41.083575000000003</v>
      </c>
    </row>
    <row r="32" spans="3:42" x14ac:dyDescent="0.15">
      <c r="C32" s="6">
        <v>30</v>
      </c>
      <c r="D32" s="6">
        <f t="shared" si="2"/>
        <v>3</v>
      </c>
      <c r="E32" s="11">
        <f ca="1">mVlookup(D32&amp;3,[1]!circlePer,"max",FALSE)+10%</f>
        <v>0.22</v>
      </c>
      <c r="F32" s="6">
        <f ca="1">mVlookup(D32&amp;3,[1]!circleValue,"max",FALSE)+1.5</f>
        <v>2.6</v>
      </c>
      <c r="G32" s="6">
        <f ca="1">mVlookup(D32&amp;3,[1]!otherDamage,"max",FALSE)*100%</f>
        <v>0.12</v>
      </c>
      <c r="H32" s="6">
        <f t="shared" si="19"/>
        <v>4</v>
      </c>
      <c r="I32" s="6">
        <f t="shared" si="20"/>
        <v>3.3</v>
      </c>
      <c r="J32" s="12">
        <f>[1]伤害减免!$D32</f>
        <v>0.75800000000000001</v>
      </c>
      <c r="K32" s="6">
        <f t="shared" si="21"/>
        <v>7</v>
      </c>
      <c r="L32" s="6" t="str">
        <f t="shared" si="3"/>
        <v>4.6</v>
      </c>
      <c r="M32" s="6">
        <f>C32*([1]装备!E$10*0.5+[1]装备!E$10*VLOOKUP(C32,[1]!powerDistribution,3,FALSE))</f>
        <v>698.10000000000014</v>
      </c>
      <c r="N32" s="6">
        <f>C32*([1]装备!F$10*0.5+[1]装备!F$10*VLOOKUP(C32,[1]!powerDistribution,3,FALSE))</f>
        <v>421.96265240500639</v>
      </c>
      <c r="O32" s="6">
        <f t="shared" ca="1" si="4"/>
        <v>817.85949027552908</v>
      </c>
      <c r="P32" s="6">
        <v>100</v>
      </c>
      <c r="Q32" s="6">
        <f t="shared" si="5"/>
        <v>350.28630460448647</v>
      </c>
      <c r="R32" s="6">
        <f t="shared" si="0"/>
        <v>42.500249999999994</v>
      </c>
      <c r="S32" s="6">
        <f t="shared" si="6"/>
        <v>350.28630460448647</v>
      </c>
      <c r="T32" s="6">
        <f t="shared" si="7"/>
        <v>42.500249999999994</v>
      </c>
      <c r="U32" s="6">
        <f>20%</f>
        <v>0.2</v>
      </c>
      <c r="V32" s="6">
        <v>0.2</v>
      </c>
      <c r="W32" s="6">
        <f t="shared" si="8"/>
        <v>0.35999999999999988</v>
      </c>
      <c r="X32" s="12">
        <v>0.1</v>
      </c>
      <c r="Y32" s="12">
        <v>2</v>
      </c>
      <c r="Z32" s="12">
        <v>0.1</v>
      </c>
      <c r="AA32" s="12">
        <v>0.9</v>
      </c>
      <c r="AB32" s="13">
        <f t="shared" si="9"/>
        <v>58.000000000000007</v>
      </c>
      <c r="AC32" s="6">
        <f t="shared" si="10"/>
        <v>61.815230224321141</v>
      </c>
      <c r="AD32" s="6">
        <f t="shared" si="11"/>
        <v>61.815230224321141</v>
      </c>
      <c r="AE32" s="6">
        <f t="shared" si="12"/>
        <v>61.815230224321141</v>
      </c>
      <c r="AF32" s="6">
        <f t="shared" si="13"/>
        <v>61.815230224321141</v>
      </c>
      <c r="AG32" s="6">
        <f t="shared" si="14"/>
        <v>61.815230224321141</v>
      </c>
      <c r="AH32" s="6">
        <f t="shared" si="15"/>
        <v>61.815230224321141</v>
      </c>
      <c r="AI32" s="6">
        <f t="shared" si="16"/>
        <v>61.815230224321141</v>
      </c>
      <c r="AJ32" s="6">
        <f t="shared" si="17"/>
        <v>42.500249999999994</v>
      </c>
      <c r="AK32" s="6">
        <f t="shared" si="17"/>
        <v>42.500249999999994</v>
      </c>
      <c r="AL32" s="6">
        <f t="shared" si="17"/>
        <v>42.500249999999994</v>
      </c>
      <c r="AM32" s="6">
        <f t="shared" si="17"/>
        <v>42.500249999999994</v>
      </c>
      <c r="AN32" s="6">
        <f t="shared" si="17"/>
        <v>42.500249999999994</v>
      </c>
      <c r="AO32" s="6">
        <f t="shared" si="17"/>
        <v>42.500249999999994</v>
      </c>
      <c r="AP32" s="1">
        <f t="shared" si="18"/>
        <v>42.500249999999994</v>
      </c>
    </row>
    <row r="33" spans="3:42" x14ac:dyDescent="0.15">
      <c r="C33" s="6">
        <v>31</v>
      </c>
      <c r="D33" s="6">
        <f t="shared" si="2"/>
        <v>3</v>
      </c>
      <c r="E33" s="11">
        <f ca="1">mVlookup(D33&amp;3,[1]!circlePer,"max",FALSE)+10%</f>
        <v>0.22</v>
      </c>
      <c r="F33" s="6">
        <f ca="1">mVlookup(D33&amp;3,[1]!circleValue,"max",FALSE)+1.5</f>
        <v>2.6</v>
      </c>
      <c r="G33" s="6">
        <f ca="1">mVlookup(D33&amp;3,[1]!otherDamage,"max",FALSE)*100%</f>
        <v>0.12</v>
      </c>
      <c r="H33" s="6">
        <f t="shared" si="19"/>
        <v>4</v>
      </c>
      <c r="I33" s="6">
        <f t="shared" si="20"/>
        <v>3.3</v>
      </c>
      <c r="J33" s="12">
        <f>[1]伤害减免!$D33</f>
        <v>0.76</v>
      </c>
      <c r="K33" s="6">
        <f t="shared" si="21"/>
        <v>7</v>
      </c>
      <c r="L33" s="6" t="str">
        <f t="shared" si="3"/>
        <v>4.6</v>
      </c>
      <c r="M33" s="6">
        <f>C33*([1]装备!E$10*0.5+[1]装备!E$10*VLOOKUP(C33,[1]!powerDistribution,3,FALSE))</f>
        <v>725.40000000000009</v>
      </c>
      <c r="N33" s="6">
        <f>C33*([1]装备!F$10*0.5+[1]装备!F$10*VLOOKUP(C33,[1]!powerDistribution,3,FALSE))</f>
        <v>438.46398518062119</v>
      </c>
      <c r="O33" s="6">
        <f t="shared" ca="1" si="4"/>
        <v>849.84282229747703</v>
      </c>
      <c r="P33" s="6">
        <v>100</v>
      </c>
      <c r="Q33" s="6">
        <f t="shared" si="5"/>
        <v>364.85892857142858</v>
      </c>
      <c r="R33" s="6">
        <f t="shared" si="0"/>
        <v>43.916924999999992</v>
      </c>
      <c r="S33" s="6">
        <f t="shared" si="6"/>
        <v>364.85892857142858</v>
      </c>
      <c r="T33" s="6">
        <f t="shared" si="7"/>
        <v>43.916924999999992</v>
      </c>
      <c r="U33" s="6">
        <f>20%</f>
        <v>0.2</v>
      </c>
      <c r="V33" s="6">
        <v>0.2</v>
      </c>
      <c r="W33" s="6">
        <f t="shared" si="8"/>
        <v>0.35999999999999988</v>
      </c>
      <c r="X33" s="12">
        <v>0.1</v>
      </c>
      <c r="Y33" s="12">
        <v>2</v>
      </c>
      <c r="Z33" s="12">
        <v>0.1</v>
      </c>
      <c r="AA33" s="12">
        <v>0.9</v>
      </c>
      <c r="AB33" s="13">
        <f t="shared" si="9"/>
        <v>59.933333333333337</v>
      </c>
      <c r="AC33" s="6">
        <f t="shared" si="10"/>
        <v>66.926785714285728</v>
      </c>
      <c r="AD33" s="6">
        <f t="shared" si="11"/>
        <v>66.926785714285728</v>
      </c>
      <c r="AE33" s="6">
        <f t="shared" si="12"/>
        <v>66.926785714285728</v>
      </c>
      <c r="AF33" s="6">
        <f t="shared" si="13"/>
        <v>66.926785714285728</v>
      </c>
      <c r="AG33" s="6">
        <f t="shared" si="14"/>
        <v>66.926785714285728</v>
      </c>
      <c r="AH33" s="6">
        <f t="shared" si="15"/>
        <v>66.926785714285728</v>
      </c>
      <c r="AI33" s="6">
        <f t="shared" si="16"/>
        <v>66.926785714285728</v>
      </c>
      <c r="AJ33" s="6">
        <f t="shared" si="17"/>
        <v>43.916924999999992</v>
      </c>
      <c r="AK33" s="6">
        <f t="shared" si="17"/>
        <v>43.916924999999992</v>
      </c>
      <c r="AL33" s="6">
        <f t="shared" si="17"/>
        <v>43.916924999999992</v>
      </c>
      <c r="AM33" s="6">
        <f t="shared" si="17"/>
        <v>43.916924999999992</v>
      </c>
      <c r="AN33" s="6">
        <f t="shared" si="17"/>
        <v>43.916924999999992</v>
      </c>
      <c r="AO33" s="6">
        <f t="shared" si="17"/>
        <v>43.916924999999992</v>
      </c>
      <c r="AP33" s="1">
        <f t="shared" si="18"/>
        <v>43.916924999999992</v>
      </c>
    </row>
    <row r="34" spans="3:42" x14ac:dyDescent="0.15">
      <c r="C34" s="6">
        <v>32</v>
      </c>
      <c r="D34" s="6">
        <f t="shared" si="2"/>
        <v>3</v>
      </c>
      <c r="E34" s="11">
        <f ca="1">mVlookup(D34&amp;3,[1]!circlePer,"max",FALSE)+10%</f>
        <v>0.22</v>
      </c>
      <c r="F34" s="6">
        <f ca="1">mVlookup(D34&amp;3,[1]!circleValue,"max",FALSE)+1.5</f>
        <v>2.6</v>
      </c>
      <c r="G34" s="6">
        <f ca="1">mVlookup(D34&amp;3,[1]!otherDamage,"max",FALSE)*100%</f>
        <v>0.12</v>
      </c>
      <c r="H34" s="6">
        <f t="shared" si="19"/>
        <v>4</v>
      </c>
      <c r="I34" s="6">
        <f t="shared" si="20"/>
        <v>3.3</v>
      </c>
      <c r="J34" s="12">
        <f>[1]伤害减免!$D34</f>
        <v>0.76200000000000001</v>
      </c>
      <c r="K34" s="6">
        <f t="shared" si="21"/>
        <v>7</v>
      </c>
      <c r="L34" s="6" t="str">
        <f t="shared" si="3"/>
        <v>4.6</v>
      </c>
      <c r="M34" s="6">
        <f>C34*([1]装备!E$10*0.5+[1]装备!E$10*VLOOKUP(C34,[1]!powerDistribution,3,FALSE))</f>
        <v>752.96000000000015</v>
      </c>
      <c r="N34" s="6">
        <f>C34*([1]装备!F$10*0.5+[1]装备!F$10*VLOOKUP(C34,[1]!powerDistribution,3,FALSE))</f>
        <v>455.12247350647988</v>
      </c>
      <c r="O34" s="6">
        <f t="shared" ca="1" si="4"/>
        <v>882.13075748153881</v>
      </c>
      <c r="P34" s="6">
        <v>100</v>
      </c>
      <c r="Q34" s="6">
        <f t="shared" si="5"/>
        <v>379.64369747899167</v>
      </c>
      <c r="R34" s="6">
        <f t="shared" si="0"/>
        <v>45.333599999999997</v>
      </c>
      <c r="S34" s="6">
        <f t="shared" si="6"/>
        <v>379.64369747899167</v>
      </c>
      <c r="T34" s="6">
        <f t="shared" si="7"/>
        <v>45.333599999999997</v>
      </c>
      <c r="U34" s="6">
        <f>20%</f>
        <v>0.2</v>
      </c>
      <c r="V34" s="6">
        <v>0.2</v>
      </c>
      <c r="W34" s="6">
        <f t="shared" si="8"/>
        <v>0.35999999999999988</v>
      </c>
      <c r="X34" s="12">
        <v>0.1</v>
      </c>
      <c r="Y34" s="12">
        <v>2</v>
      </c>
      <c r="Z34" s="12">
        <v>0.1</v>
      </c>
      <c r="AA34" s="12">
        <v>0.9</v>
      </c>
      <c r="AB34" s="13">
        <f t="shared" si="9"/>
        <v>61.866666666666674</v>
      </c>
      <c r="AC34" s="6">
        <f t="shared" si="10"/>
        <v>72.313085234093649</v>
      </c>
      <c r="AD34" s="6">
        <f t="shared" si="11"/>
        <v>72.313085234093649</v>
      </c>
      <c r="AE34" s="6">
        <f t="shared" si="12"/>
        <v>72.313085234093649</v>
      </c>
      <c r="AF34" s="6">
        <f t="shared" si="13"/>
        <v>72.313085234093649</v>
      </c>
      <c r="AG34" s="6">
        <f t="shared" si="14"/>
        <v>72.313085234093649</v>
      </c>
      <c r="AH34" s="6">
        <f t="shared" si="15"/>
        <v>72.313085234093649</v>
      </c>
      <c r="AI34" s="6">
        <f t="shared" si="16"/>
        <v>72.313085234093649</v>
      </c>
      <c r="AJ34" s="6">
        <f t="shared" si="17"/>
        <v>45.333599999999997</v>
      </c>
      <c r="AK34" s="6">
        <f t="shared" si="17"/>
        <v>45.333599999999997</v>
      </c>
      <c r="AL34" s="6">
        <f t="shared" si="17"/>
        <v>45.333599999999997</v>
      </c>
      <c r="AM34" s="6">
        <f t="shared" si="17"/>
        <v>45.333599999999997</v>
      </c>
      <c r="AN34" s="6">
        <f t="shared" si="17"/>
        <v>45.333599999999997</v>
      </c>
      <c r="AO34" s="6">
        <f t="shared" si="17"/>
        <v>45.333599999999997</v>
      </c>
      <c r="AP34" s="1">
        <f t="shared" si="18"/>
        <v>45.333599999999997</v>
      </c>
    </row>
    <row r="35" spans="3:42" x14ac:dyDescent="0.15">
      <c r="C35" s="6">
        <v>33</v>
      </c>
      <c r="D35" s="6">
        <f t="shared" si="2"/>
        <v>3</v>
      </c>
      <c r="E35" s="11">
        <f ca="1">mVlookup(D35&amp;3,[1]!circlePer,"max",FALSE)+10%</f>
        <v>0.22</v>
      </c>
      <c r="F35" s="6">
        <f ca="1">mVlookup(D35&amp;3,[1]!circleValue,"max",FALSE)+1.5</f>
        <v>2.6</v>
      </c>
      <c r="G35" s="6">
        <f ca="1">mVlookup(D35&amp;3,[1]!otherDamage,"max",FALSE)*100%</f>
        <v>0.12</v>
      </c>
      <c r="H35" s="6">
        <f t="shared" si="19"/>
        <v>4</v>
      </c>
      <c r="I35" s="6">
        <f t="shared" si="20"/>
        <v>3.3</v>
      </c>
      <c r="J35" s="12">
        <f>[1]伤害减免!$D35</f>
        <v>0.76400000000000001</v>
      </c>
      <c r="K35" s="6">
        <f t="shared" si="21"/>
        <v>7</v>
      </c>
      <c r="L35" s="6" t="str">
        <f t="shared" si="3"/>
        <v>4.6</v>
      </c>
      <c r="M35" s="6">
        <f>C35*([1]装备!E$10*0.5+[1]装备!E$10*VLOOKUP(C35,[1]!powerDistribution,3,FALSE))</f>
        <v>780.78000000000009</v>
      </c>
      <c r="N35" s="6">
        <f>C35*([1]装备!F$10*0.5+[1]装备!F$10*VLOOKUP(C35,[1]!powerDistribution,3,FALSE))</f>
        <v>471.93811738258262</v>
      </c>
      <c r="O35" s="6">
        <f t="shared" ca="1" si="4"/>
        <v>914.72329582771454</v>
      </c>
      <c r="P35" s="6">
        <v>100</v>
      </c>
      <c r="Q35" s="6">
        <f t="shared" si="5"/>
        <v>394.64364406779669</v>
      </c>
      <c r="R35" s="6">
        <f t="shared" ref="R35:R66" si="22">U35*C35*5.6667/(1-U35)</f>
        <v>46.750274999999995</v>
      </c>
      <c r="S35" s="6">
        <f t="shared" si="6"/>
        <v>394.64364406779669</v>
      </c>
      <c r="T35" s="6">
        <f t="shared" si="7"/>
        <v>46.750274999999995</v>
      </c>
      <c r="U35" s="6">
        <f>20%</f>
        <v>0.2</v>
      </c>
      <c r="V35" s="6">
        <v>0.2</v>
      </c>
      <c r="W35" s="6">
        <f t="shared" si="8"/>
        <v>0.35999999999999988</v>
      </c>
      <c r="X35" s="12">
        <v>0.1</v>
      </c>
      <c r="Y35" s="12">
        <v>2</v>
      </c>
      <c r="Z35" s="12">
        <v>0.1</v>
      </c>
      <c r="AA35" s="12">
        <v>0.9</v>
      </c>
      <c r="AB35" s="13">
        <f t="shared" si="9"/>
        <v>63.800000000000011</v>
      </c>
      <c r="AC35" s="6">
        <f t="shared" si="10"/>
        <v>77.983474576271206</v>
      </c>
      <c r="AD35" s="6">
        <f t="shared" si="11"/>
        <v>77.983474576271206</v>
      </c>
      <c r="AE35" s="6">
        <f t="shared" si="12"/>
        <v>77.983474576271206</v>
      </c>
      <c r="AF35" s="6">
        <f t="shared" si="13"/>
        <v>77.983474576271206</v>
      </c>
      <c r="AG35" s="6">
        <f t="shared" si="14"/>
        <v>77.983474576271206</v>
      </c>
      <c r="AH35" s="6">
        <f t="shared" si="15"/>
        <v>77.983474576271206</v>
      </c>
      <c r="AI35" s="6">
        <f t="shared" si="16"/>
        <v>77.983474576271206</v>
      </c>
      <c r="AJ35" s="6">
        <f t="shared" si="17"/>
        <v>46.750274999999995</v>
      </c>
      <c r="AK35" s="6">
        <f t="shared" si="17"/>
        <v>46.750274999999995</v>
      </c>
      <c r="AL35" s="6">
        <f t="shared" si="17"/>
        <v>46.750274999999995</v>
      </c>
      <c r="AM35" s="6">
        <f t="shared" si="17"/>
        <v>46.750274999999995</v>
      </c>
      <c r="AN35" s="6">
        <f t="shared" si="17"/>
        <v>46.750274999999995</v>
      </c>
      <c r="AO35" s="6">
        <f t="shared" si="17"/>
        <v>46.750274999999995</v>
      </c>
      <c r="AP35" s="1">
        <f t="shared" si="18"/>
        <v>46.750274999999995</v>
      </c>
    </row>
    <row r="36" spans="3:42" x14ac:dyDescent="0.15">
      <c r="C36" s="6">
        <v>34</v>
      </c>
      <c r="D36" s="6">
        <f t="shared" si="2"/>
        <v>4</v>
      </c>
      <c r="E36" s="11">
        <f ca="1">mVlookup(D36&amp;3,[1]!circlePer,"max",FALSE)+10%</f>
        <v>0.23</v>
      </c>
      <c r="F36" s="6">
        <f ca="1">mVlookup(D36&amp;3,[1]!circleValue,"max",FALSE)+1.5</f>
        <v>2.7</v>
      </c>
      <c r="G36" s="6">
        <f ca="1">mVlookup(D36&amp;3,[1]!otherDamage,"max",FALSE)*100%</f>
        <v>0.13</v>
      </c>
      <c r="H36" s="6">
        <f t="shared" si="19"/>
        <v>4</v>
      </c>
      <c r="I36" s="6">
        <f t="shared" si="20"/>
        <v>3.3</v>
      </c>
      <c r="J36" s="12">
        <f>[1]伤害减免!$D36</f>
        <v>0.76600000000000001</v>
      </c>
      <c r="K36" s="6">
        <f t="shared" si="21"/>
        <v>7</v>
      </c>
      <c r="L36" s="6" t="str">
        <f t="shared" si="3"/>
        <v>4.6</v>
      </c>
      <c r="M36" s="6">
        <f>C36*([1]装备!E$10*0.5+[1]装备!E$10*VLOOKUP(C36,[1]!powerDistribution,3,FALSE))</f>
        <v>808.86000000000013</v>
      </c>
      <c r="N36" s="6">
        <f>C36*([1]装备!F$10*0.5+[1]装备!F$10*VLOOKUP(C36,[1]!powerDistribution,3,FALSE))</f>
        <v>488.91091680892919</v>
      </c>
      <c r="O36" s="6">
        <f t="shared" ca="1" si="4"/>
        <v>983.66060335075736</v>
      </c>
      <c r="P36" s="6">
        <v>100</v>
      </c>
      <c r="Q36" s="6">
        <f t="shared" si="5"/>
        <v>409.86190476190484</v>
      </c>
      <c r="R36" s="6">
        <f t="shared" si="22"/>
        <v>48.16695</v>
      </c>
      <c r="S36" s="6">
        <f t="shared" si="6"/>
        <v>409.86190476190484</v>
      </c>
      <c r="T36" s="6">
        <f t="shared" si="7"/>
        <v>48.16695</v>
      </c>
      <c r="U36" s="6">
        <f>20%</f>
        <v>0.2</v>
      </c>
      <c r="V36" s="6">
        <v>0.2</v>
      </c>
      <c r="W36" s="6">
        <f t="shared" si="8"/>
        <v>0.35999999999999988</v>
      </c>
      <c r="X36" s="12">
        <v>0.1</v>
      </c>
      <c r="Y36" s="12">
        <v>2</v>
      </c>
      <c r="Z36" s="12">
        <v>0.1</v>
      </c>
      <c r="AA36" s="12">
        <v>0.9</v>
      </c>
      <c r="AB36" s="13">
        <f t="shared" si="9"/>
        <v>65.733333333333348</v>
      </c>
      <c r="AC36" s="6">
        <f t="shared" si="10"/>
        <v>83.947619047619071</v>
      </c>
      <c r="AD36" s="6">
        <f t="shared" si="11"/>
        <v>83.947619047619071</v>
      </c>
      <c r="AE36" s="6">
        <f t="shared" si="12"/>
        <v>83.947619047619071</v>
      </c>
      <c r="AF36" s="6">
        <f t="shared" si="13"/>
        <v>83.947619047619071</v>
      </c>
      <c r="AG36" s="6">
        <f t="shared" si="14"/>
        <v>83.947619047619071</v>
      </c>
      <c r="AH36" s="6">
        <f t="shared" si="15"/>
        <v>83.947619047619071</v>
      </c>
      <c r="AI36" s="6">
        <f t="shared" si="16"/>
        <v>83.947619047619071</v>
      </c>
      <c r="AJ36" s="6">
        <f t="shared" ref="AJ36:AO67" si="23">$T36</f>
        <v>48.16695</v>
      </c>
      <c r="AK36" s="6">
        <f t="shared" si="23"/>
        <v>48.16695</v>
      </c>
      <c r="AL36" s="6">
        <f t="shared" si="23"/>
        <v>48.16695</v>
      </c>
      <c r="AM36" s="6">
        <f t="shared" si="23"/>
        <v>48.16695</v>
      </c>
      <c r="AN36" s="6">
        <f t="shared" si="23"/>
        <v>48.16695</v>
      </c>
      <c r="AO36" s="6">
        <f t="shared" si="23"/>
        <v>48.16695</v>
      </c>
      <c r="AP36" s="1">
        <f t="shared" si="18"/>
        <v>48.16695</v>
      </c>
    </row>
    <row r="37" spans="3:42" x14ac:dyDescent="0.15">
      <c r="C37" s="6">
        <v>35</v>
      </c>
      <c r="D37" s="6">
        <f t="shared" si="2"/>
        <v>4</v>
      </c>
      <c r="E37" s="11">
        <f ca="1">mVlookup(D37&amp;3,[1]!circlePer,"max",FALSE)+10%</f>
        <v>0.23</v>
      </c>
      <c r="F37" s="6">
        <f ca="1">mVlookup(D37&amp;3,[1]!circleValue,"max",FALSE)+1.5</f>
        <v>2.7</v>
      </c>
      <c r="G37" s="6">
        <f ca="1">mVlookup(D37&amp;3,[1]!otherDamage,"max",FALSE)*100%</f>
        <v>0.13</v>
      </c>
      <c r="H37" s="6">
        <f t="shared" si="19"/>
        <v>4</v>
      </c>
      <c r="I37" s="6">
        <f t="shared" si="20"/>
        <v>3.3</v>
      </c>
      <c r="J37" s="12">
        <f>[1]伤害减免!$D37</f>
        <v>0.76800000000000002</v>
      </c>
      <c r="K37" s="6">
        <f t="shared" si="21"/>
        <v>7</v>
      </c>
      <c r="L37" s="6" t="str">
        <f t="shared" si="3"/>
        <v>4.6</v>
      </c>
      <c r="M37" s="6">
        <f>C37*([1]装备!E$10*0.5+[1]装备!E$10*VLOOKUP(C37,[1]!powerDistribution,3,FALSE))</f>
        <v>837.20000000000016</v>
      </c>
      <c r="N37" s="6">
        <f>C37*([1]装备!F$10*0.5+[1]装备!F$10*VLOOKUP(C37,[1]!powerDistribution,3,FALSE))</f>
        <v>506.04087178551976</v>
      </c>
      <c r="O37" s="6">
        <f t="shared" ca="1" si="4"/>
        <v>1018.1250860782509</v>
      </c>
      <c r="P37" s="6">
        <v>100</v>
      </c>
      <c r="Q37" s="6">
        <f t="shared" si="5"/>
        <v>425.3017241379311</v>
      </c>
      <c r="R37" s="6">
        <f t="shared" si="22"/>
        <v>49.583624999999998</v>
      </c>
      <c r="S37" s="6">
        <f t="shared" si="6"/>
        <v>425.3017241379311</v>
      </c>
      <c r="T37" s="6">
        <f t="shared" si="7"/>
        <v>49.583624999999998</v>
      </c>
      <c r="U37" s="6">
        <f>20%</f>
        <v>0.2</v>
      </c>
      <c r="V37" s="6">
        <v>0.2</v>
      </c>
      <c r="W37" s="6">
        <f t="shared" si="8"/>
        <v>0.35999999999999988</v>
      </c>
      <c r="X37" s="12">
        <v>0.1</v>
      </c>
      <c r="Y37" s="12">
        <v>2</v>
      </c>
      <c r="Z37" s="12">
        <v>0.1</v>
      </c>
      <c r="AA37" s="12">
        <v>0.9</v>
      </c>
      <c r="AB37" s="13">
        <f t="shared" si="9"/>
        <v>67.666666666666671</v>
      </c>
      <c r="AC37" s="6">
        <f t="shared" si="10"/>
        <v>90.215517241379331</v>
      </c>
      <c r="AD37" s="6">
        <f t="shared" si="11"/>
        <v>90.215517241379331</v>
      </c>
      <c r="AE37" s="6">
        <f t="shared" si="12"/>
        <v>90.215517241379331</v>
      </c>
      <c r="AF37" s="6">
        <f t="shared" si="13"/>
        <v>90.215517241379331</v>
      </c>
      <c r="AG37" s="6">
        <f t="shared" si="14"/>
        <v>90.215517241379331</v>
      </c>
      <c r="AH37" s="6">
        <f t="shared" si="15"/>
        <v>90.215517241379331</v>
      </c>
      <c r="AI37" s="6">
        <f t="shared" si="16"/>
        <v>90.215517241379331</v>
      </c>
      <c r="AJ37" s="6">
        <f t="shared" si="23"/>
        <v>49.583624999999998</v>
      </c>
      <c r="AK37" s="6">
        <f t="shared" si="23"/>
        <v>49.583624999999998</v>
      </c>
      <c r="AL37" s="6">
        <f t="shared" si="23"/>
        <v>49.583624999999998</v>
      </c>
      <c r="AM37" s="6">
        <f t="shared" si="23"/>
        <v>49.583624999999998</v>
      </c>
      <c r="AN37" s="6">
        <f t="shared" si="23"/>
        <v>49.583624999999998</v>
      </c>
      <c r="AO37" s="6">
        <f t="shared" si="23"/>
        <v>49.583624999999998</v>
      </c>
      <c r="AP37" s="1">
        <f t="shared" si="18"/>
        <v>49.583624999999998</v>
      </c>
    </row>
    <row r="38" spans="3:42" x14ac:dyDescent="0.15">
      <c r="C38" s="6">
        <v>36</v>
      </c>
      <c r="D38" s="6">
        <f t="shared" si="2"/>
        <v>4</v>
      </c>
      <c r="E38" s="11">
        <f ca="1">mVlookup(D38&amp;3,[1]!circlePer,"max",FALSE)+10%</f>
        <v>0.23</v>
      </c>
      <c r="F38" s="6">
        <f ca="1">mVlookup(D38&amp;3,[1]!circleValue,"max",FALSE)+1.5</f>
        <v>2.7</v>
      </c>
      <c r="G38" s="6">
        <f ca="1">mVlookup(D38&amp;3,[1]!otherDamage,"max",FALSE)*100%</f>
        <v>0.13</v>
      </c>
      <c r="H38" s="6">
        <f t="shared" si="19"/>
        <v>4</v>
      </c>
      <c r="I38" s="6">
        <f t="shared" si="20"/>
        <v>3.3</v>
      </c>
      <c r="J38" s="12">
        <f>[1]伤害减免!$D38</f>
        <v>0.77</v>
      </c>
      <c r="K38" s="6">
        <f t="shared" si="21"/>
        <v>7</v>
      </c>
      <c r="L38" s="6" t="str">
        <f t="shared" si="3"/>
        <v>4.6</v>
      </c>
      <c r="M38" s="6">
        <f>C38*([1]装备!E$10*0.5+[1]装备!E$10*VLOOKUP(C38,[1]!powerDistribution,3,FALSE))</f>
        <v>865.80000000000018</v>
      </c>
      <c r="N38" s="6">
        <f>C38*([1]装备!F$10*0.5+[1]装备!F$10*VLOOKUP(C38,[1]!powerDistribution,3,FALSE))</f>
        <v>523.32798231235427</v>
      </c>
      <c r="O38" s="6">
        <f t="shared" ca="1" si="4"/>
        <v>1052.9057567206755</v>
      </c>
      <c r="P38" s="6">
        <v>100</v>
      </c>
      <c r="Q38" s="6">
        <f t="shared" si="5"/>
        <v>440.9664596273293</v>
      </c>
      <c r="R38" s="6">
        <f t="shared" si="22"/>
        <v>51.000299999999989</v>
      </c>
      <c r="S38" s="6">
        <f t="shared" si="6"/>
        <v>440.9664596273293</v>
      </c>
      <c r="T38" s="6">
        <f t="shared" si="7"/>
        <v>51.000299999999989</v>
      </c>
      <c r="U38" s="6">
        <f>20%</f>
        <v>0.2</v>
      </c>
      <c r="V38" s="6">
        <v>0.2</v>
      </c>
      <c r="W38" s="6">
        <f t="shared" si="8"/>
        <v>0.35999999999999988</v>
      </c>
      <c r="X38" s="12">
        <v>0.1</v>
      </c>
      <c r="Y38" s="12">
        <v>2</v>
      </c>
      <c r="Z38" s="12">
        <v>0.1</v>
      </c>
      <c r="AA38" s="12">
        <v>0.9</v>
      </c>
      <c r="AB38" s="13">
        <f t="shared" si="9"/>
        <v>69.600000000000009</v>
      </c>
      <c r="AC38" s="6">
        <f t="shared" si="10"/>
        <v>96.797515527950338</v>
      </c>
      <c r="AD38" s="6">
        <f t="shared" si="11"/>
        <v>96.797515527950338</v>
      </c>
      <c r="AE38" s="6">
        <f t="shared" si="12"/>
        <v>96.797515527950338</v>
      </c>
      <c r="AF38" s="6">
        <f t="shared" si="13"/>
        <v>96.797515527950338</v>
      </c>
      <c r="AG38" s="6">
        <f t="shared" si="14"/>
        <v>96.797515527950338</v>
      </c>
      <c r="AH38" s="6">
        <f t="shared" si="15"/>
        <v>96.797515527950338</v>
      </c>
      <c r="AI38" s="6">
        <f t="shared" si="16"/>
        <v>96.797515527950338</v>
      </c>
      <c r="AJ38" s="6">
        <f t="shared" si="23"/>
        <v>51.000299999999989</v>
      </c>
      <c r="AK38" s="6">
        <f t="shared" si="23"/>
        <v>51.000299999999989</v>
      </c>
      <c r="AL38" s="6">
        <f t="shared" si="23"/>
        <v>51.000299999999989</v>
      </c>
      <c r="AM38" s="6">
        <f t="shared" si="23"/>
        <v>51.000299999999989</v>
      </c>
      <c r="AN38" s="6">
        <f t="shared" si="23"/>
        <v>51.000299999999989</v>
      </c>
      <c r="AO38" s="6">
        <f t="shared" si="23"/>
        <v>51.000299999999989</v>
      </c>
      <c r="AP38" s="1">
        <f t="shared" si="18"/>
        <v>51.000299999999989</v>
      </c>
    </row>
    <row r="39" spans="3:42" x14ac:dyDescent="0.15">
      <c r="C39" s="6">
        <v>37</v>
      </c>
      <c r="D39" s="6">
        <f t="shared" si="2"/>
        <v>4</v>
      </c>
      <c r="E39" s="11">
        <f ca="1">mVlookup(D39&amp;3,[1]!circlePer,"max",FALSE)+10%</f>
        <v>0.23</v>
      </c>
      <c r="F39" s="6">
        <f ca="1">mVlookup(D39&amp;3,[1]!circleValue,"max",FALSE)+1.5</f>
        <v>2.7</v>
      </c>
      <c r="G39" s="6">
        <f ca="1">mVlookup(D39&amp;3,[1]!otherDamage,"max",FALSE)*100%</f>
        <v>0.13</v>
      </c>
      <c r="H39" s="6">
        <f t="shared" si="19"/>
        <v>4</v>
      </c>
      <c r="I39" s="6">
        <f t="shared" si="20"/>
        <v>3.3</v>
      </c>
      <c r="J39" s="12">
        <f>[1]伤害减免!$D39</f>
        <v>0.77200000000000002</v>
      </c>
      <c r="K39" s="6">
        <f t="shared" si="21"/>
        <v>7</v>
      </c>
      <c r="L39" s="6" t="str">
        <f t="shared" si="3"/>
        <v>4.6</v>
      </c>
      <c r="M39" s="6">
        <f>C39*([1]装备!E$10*0.5+[1]装备!E$10*VLOOKUP(C39,[1]!powerDistribution,3,FALSE))</f>
        <v>894.66000000000008</v>
      </c>
      <c r="N39" s="6">
        <f>C39*([1]装备!F$10*0.5+[1]装备!F$10*VLOOKUP(C39,[1]!powerDistribution,3,FALSE))</f>
        <v>540.77224838943278</v>
      </c>
      <c r="O39" s="6">
        <f t="shared" ca="1" si="4"/>
        <v>1088.0026152780317</v>
      </c>
      <c r="P39" s="6">
        <v>100</v>
      </c>
      <c r="Q39" s="6">
        <f t="shared" si="5"/>
        <v>456.85958646616547</v>
      </c>
      <c r="R39" s="6">
        <f t="shared" si="22"/>
        <v>52.416974999999994</v>
      </c>
      <c r="S39" s="6">
        <f t="shared" si="6"/>
        <v>456.85958646616547</v>
      </c>
      <c r="T39" s="6">
        <f t="shared" si="7"/>
        <v>52.416974999999994</v>
      </c>
      <c r="U39" s="6">
        <f>20%</f>
        <v>0.2</v>
      </c>
      <c r="V39" s="6">
        <v>0.2</v>
      </c>
      <c r="W39" s="6">
        <f t="shared" si="8"/>
        <v>0.35999999999999988</v>
      </c>
      <c r="X39" s="12">
        <v>0.1</v>
      </c>
      <c r="Y39" s="12">
        <v>2</v>
      </c>
      <c r="Z39" s="12">
        <v>0.1</v>
      </c>
      <c r="AA39" s="12">
        <v>0.9</v>
      </c>
      <c r="AB39" s="13">
        <f t="shared" si="9"/>
        <v>71.533333333333346</v>
      </c>
      <c r="AC39" s="6">
        <f t="shared" si="10"/>
        <v>103.70432330827069</v>
      </c>
      <c r="AD39" s="6">
        <f t="shared" si="11"/>
        <v>103.70432330827069</v>
      </c>
      <c r="AE39" s="6">
        <f t="shared" si="12"/>
        <v>103.70432330827069</v>
      </c>
      <c r="AF39" s="6">
        <f t="shared" si="13"/>
        <v>103.70432330827069</v>
      </c>
      <c r="AG39" s="6">
        <f t="shared" si="14"/>
        <v>103.70432330827069</v>
      </c>
      <c r="AH39" s="6">
        <f t="shared" si="15"/>
        <v>103.70432330827069</v>
      </c>
      <c r="AI39" s="6">
        <f t="shared" si="16"/>
        <v>103.70432330827069</v>
      </c>
      <c r="AJ39" s="6">
        <f t="shared" si="23"/>
        <v>52.416974999999994</v>
      </c>
      <c r="AK39" s="6">
        <f t="shared" si="23"/>
        <v>52.416974999999994</v>
      </c>
      <c r="AL39" s="6">
        <f t="shared" si="23"/>
        <v>52.416974999999994</v>
      </c>
      <c r="AM39" s="6">
        <f t="shared" si="23"/>
        <v>52.416974999999994</v>
      </c>
      <c r="AN39" s="6">
        <f t="shared" si="23"/>
        <v>52.416974999999994</v>
      </c>
      <c r="AO39" s="6">
        <f t="shared" si="23"/>
        <v>52.416974999999994</v>
      </c>
      <c r="AP39" s="1">
        <f t="shared" si="18"/>
        <v>52.416974999999994</v>
      </c>
    </row>
    <row r="40" spans="3:42" x14ac:dyDescent="0.15">
      <c r="C40" s="6">
        <v>38</v>
      </c>
      <c r="D40" s="6">
        <f t="shared" si="2"/>
        <v>4</v>
      </c>
      <c r="E40" s="11">
        <f ca="1">mVlookup(D40&amp;3,[1]!circlePer,"max",FALSE)+10%</f>
        <v>0.23</v>
      </c>
      <c r="F40" s="6">
        <f ca="1">mVlookup(D40&amp;3,[1]!circleValue,"max",FALSE)+1.5</f>
        <v>2.7</v>
      </c>
      <c r="G40" s="6">
        <f ca="1">mVlookup(D40&amp;3,[1]!otherDamage,"max",FALSE)*100%</f>
        <v>0.13</v>
      </c>
      <c r="H40" s="6">
        <f t="shared" si="19"/>
        <v>4</v>
      </c>
      <c r="I40" s="6">
        <f t="shared" si="20"/>
        <v>3.3</v>
      </c>
      <c r="J40" s="12">
        <f>[1]伤害减免!$D40</f>
        <v>0.77400000000000002</v>
      </c>
      <c r="K40" s="6">
        <f t="shared" si="21"/>
        <v>7</v>
      </c>
      <c r="L40" s="6" t="str">
        <f t="shared" si="3"/>
        <v>4.6</v>
      </c>
      <c r="M40" s="6">
        <f>C40*([1]装备!E$10*0.5+[1]装备!E$10*VLOOKUP(C40,[1]!powerDistribution,3,FALSE))</f>
        <v>923.7800000000002</v>
      </c>
      <c r="N40" s="6">
        <f>C40*([1]装备!F$10*0.5+[1]装备!F$10*VLOOKUP(C40,[1]!powerDistribution,3,FALSE))</f>
        <v>558.37367001675523</v>
      </c>
      <c r="O40" s="6">
        <f t="shared" ca="1" si="4"/>
        <v>1123.4156617503186</v>
      </c>
      <c r="P40" s="6">
        <v>100</v>
      </c>
      <c r="Q40" s="6">
        <f t="shared" si="5"/>
        <v>472.98470290771195</v>
      </c>
      <c r="R40" s="6">
        <f t="shared" si="22"/>
        <v>53.833649999999999</v>
      </c>
      <c r="S40" s="6">
        <f t="shared" si="6"/>
        <v>472.98470290771195</v>
      </c>
      <c r="T40" s="6">
        <f t="shared" si="7"/>
        <v>53.833649999999999</v>
      </c>
      <c r="U40" s="6">
        <f>20%</f>
        <v>0.2</v>
      </c>
      <c r="V40" s="6">
        <v>0.2</v>
      </c>
      <c r="W40" s="6">
        <f t="shared" si="8"/>
        <v>0.35999999999999988</v>
      </c>
      <c r="X40" s="12">
        <v>0.1</v>
      </c>
      <c r="Y40" s="12">
        <v>2</v>
      </c>
      <c r="Z40" s="12">
        <v>0.1</v>
      </c>
      <c r="AA40" s="12">
        <v>0.9</v>
      </c>
      <c r="AB40" s="13">
        <f t="shared" si="9"/>
        <v>73.466666666666669</v>
      </c>
      <c r="AC40" s="6">
        <f t="shared" si="10"/>
        <v>110.94702907711761</v>
      </c>
      <c r="AD40" s="6">
        <f t="shared" si="11"/>
        <v>110.94702907711761</v>
      </c>
      <c r="AE40" s="6">
        <f t="shared" si="12"/>
        <v>110.94702907711761</v>
      </c>
      <c r="AF40" s="6">
        <f t="shared" si="13"/>
        <v>110.94702907711761</v>
      </c>
      <c r="AG40" s="6">
        <f t="shared" si="14"/>
        <v>110.94702907711761</v>
      </c>
      <c r="AH40" s="6">
        <f t="shared" si="15"/>
        <v>110.94702907711761</v>
      </c>
      <c r="AI40" s="6">
        <f t="shared" si="16"/>
        <v>110.94702907711761</v>
      </c>
      <c r="AJ40" s="6">
        <f t="shared" si="23"/>
        <v>53.833649999999999</v>
      </c>
      <c r="AK40" s="6">
        <f t="shared" si="23"/>
        <v>53.833649999999999</v>
      </c>
      <c r="AL40" s="6">
        <f t="shared" si="23"/>
        <v>53.833649999999999</v>
      </c>
      <c r="AM40" s="6">
        <f t="shared" si="23"/>
        <v>53.833649999999999</v>
      </c>
      <c r="AN40" s="6">
        <f t="shared" si="23"/>
        <v>53.833649999999999</v>
      </c>
      <c r="AO40" s="6">
        <f t="shared" si="23"/>
        <v>53.833649999999999</v>
      </c>
      <c r="AP40" s="1">
        <f t="shared" si="18"/>
        <v>53.833649999999999</v>
      </c>
    </row>
    <row r="41" spans="3:42" x14ac:dyDescent="0.15">
      <c r="C41" s="6">
        <v>39</v>
      </c>
      <c r="D41" s="6">
        <f t="shared" si="2"/>
        <v>4</v>
      </c>
      <c r="E41" s="11">
        <f ca="1">mVlookup(D41&amp;3,[1]!circlePer,"max",FALSE)+10%</f>
        <v>0.23</v>
      </c>
      <c r="F41" s="6">
        <f ca="1">mVlookup(D41&amp;3,[1]!circleValue,"max",FALSE)+1.5</f>
        <v>2.7</v>
      </c>
      <c r="G41" s="6">
        <f ca="1">mVlookup(D41&amp;3,[1]!otherDamage,"max",FALSE)*100%</f>
        <v>0.13</v>
      </c>
      <c r="H41" s="6">
        <f t="shared" si="19"/>
        <v>4</v>
      </c>
      <c r="I41" s="6">
        <f t="shared" si="20"/>
        <v>3.3</v>
      </c>
      <c r="J41" s="12">
        <f>[1]伤害减免!$D41</f>
        <v>0.77600000000000002</v>
      </c>
      <c r="K41" s="6">
        <f t="shared" si="21"/>
        <v>7</v>
      </c>
      <c r="L41" s="6" t="str">
        <f t="shared" si="3"/>
        <v>4.6</v>
      </c>
      <c r="M41" s="6">
        <f>C41*([1]装备!E$10*0.5+[1]装备!E$10*VLOOKUP(C41,[1]!powerDistribution,3,FALSE))</f>
        <v>953.1600000000002</v>
      </c>
      <c r="N41" s="6">
        <f>C41*([1]装备!F$10*0.5+[1]装备!F$10*VLOOKUP(C41,[1]!powerDistribution,3,FALSE))</f>
        <v>576.13224719432162</v>
      </c>
      <c r="O41" s="6">
        <f t="shared" ca="1" si="4"/>
        <v>1159.1448961375368</v>
      </c>
      <c r="P41" s="6">
        <v>100</v>
      </c>
      <c r="Q41" s="6">
        <f t="shared" si="5"/>
        <v>489.34553571428592</v>
      </c>
      <c r="R41" s="6">
        <f t="shared" si="22"/>
        <v>55.250324999999997</v>
      </c>
      <c r="S41" s="6">
        <f t="shared" si="6"/>
        <v>489.34553571428592</v>
      </c>
      <c r="T41" s="6">
        <f t="shared" si="7"/>
        <v>55.250324999999997</v>
      </c>
      <c r="U41" s="6">
        <f>20%</f>
        <v>0.2</v>
      </c>
      <c r="V41" s="6">
        <v>0.2</v>
      </c>
      <c r="W41" s="6">
        <f t="shared" si="8"/>
        <v>0.35999999999999988</v>
      </c>
      <c r="X41" s="12">
        <v>0.1</v>
      </c>
      <c r="Y41" s="12">
        <v>2</v>
      </c>
      <c r="Z41" s="12">
        <v>0.1</v>
      </c>
      <c r="AA41" s="12">
        <v>0.9</v>
      </c>
      <c r="AB41" s="13">
        <f t="shared" si="9"/>
        <v>75.400000000000006</v>
      </c>
      <c r="AC41" s="6">
        <f t="shared" si="10"/>
        <v>118.53711734693881</v>
      </c>
      <c r="AD41" s="6">
        <f t="shared" si="11"/>
        <v>118.53711734693881</v>
      </c>
      <c r="AE41" s="6">
        <f t="shared" si="12"/>
        <v>118.53711734693881</v>
      </c>
      <c r="AF41" s="6">
        <f t="shared" si="13"/>
        <v>118.53711734693881</v>
      </c>
      <c r="AG41" s="6">
        <f t="shared" si="14"/>
        <v>118.53711734693881</v>
      </c>
      <c r="AH41" s="6">
        <f t="shared" si="15"/>
        <v>118.53711734693881</v>
      </c>
      <c r="AI41" s="6">
        <f t="shared" si="16"/>
        <v>118.53711734693881</v>
      </c>
      <c r="AJ41" s="6">
        <f t="shared" si="23"/>
        <v>55.250324999999997</v>
      </c>
      <c r="AK41" s="6">
        <f t="shared" si="23"/>
        <v>55.250324999999997</v>
      </c>
      <c r="AL41" s="6">
        <f t="shared" si="23"/>
        <v>55.250324999999997</v>
      </c>
      <c r="AM41" s="6">
        <f t="shared" si="23"/>
        <v>55.250324999999997</v>
      </c>
      <c r="AN41" s="6">
        <f t="shared" si="23"/>
        <v>55.250324999999997</v>
      </c>
      <c r="AO41" s="6">
        <f t="shared" si="23"/>
        <v>55.250324999999997</v>
      </c>
      <c r="AP41" s="1">
        <f t="shared" si="18"/>
        <v>55.250324999999997</v>
      </c>
    </row>
    <row r="42" spans="3:42" x14ac:dyDescent="0.15">
      <c r="C42" s="6">
        <v>40</v>
      </c>
      <c r="D42" s="6">
        <f t="shared" si="2"/>
        <v>4</v>
      </c>
      <c r="E42" s="11">
        <f ca="1">mVlookup(D42&amp;3,[1]!circlePer,"max",FALSE)+10%</f>
        <v>0.23</v>
      </c>
      <c r="F42" s="6">
        <f ca="1">mVlookup(D42&amp;3,[1]!circleValue,"max",FALSE)+1.5</f>
        <v>2.7</v>
      </c>
      <c r="G42" s="6">
        <f ca="1">mVlookup(D42&amp;3,[1]!otherDamage,"max",FALSE)*100%</f>
        <v>0.13</v>
      </c>
      <c r="H42" s="6">
        <f t="shared" si="19"/>
        <v>4</v>
      </c>
      <c r="I42" s="6">
        <f t="shared" si="20"/>
        <v>3.3</v>
      </c>
      <c r="J42" s="12">
        <f>[1]伤害减免!$D42</f>
        <v>0.77800000000000002</v>
      </c>
      <c r="K42" s="6">
        <f t="shared" si="21"/>
        <v>7</v>
      </c>
      <c r="L42" s="6" t="str">
        <f t="shared" si="3"/>
        <v>4.6</v>
      </c>
      <c r="M42" s="6">
        <f>C42*([1]装备!E$10*0.5+[1]装备!E$10*VLOOKUP(C42,[1]!powerDistribution,3,FALSE))</f>
        <v>982.80000000000018</v>
      </c>
      <c r="N42" s="6">
        <f>C42*([1]装备!F$10*0.5+[1]装备!F$10*VLOOKUP(C42,[1]!powerDistribution,3,FALSE))</f>
        <v>594.04797992213184</v>
      </c>
      <c r="O42" s="6">
        <f t="shared" ca="1" si="4"/>
        <v>1195.1903184396858</v>
      </c>
      <c r="P42" s="6">
        <v>100</v>
      </c>
      <c r="Q42" s="6">
        <f t="shared" si="5"/>
        <v>505.94594594594611</v>
      </c>
      <c r="R42" s="6">
        <f t="shared" si="22"/>
        <v>56.666999999999994</v>
      </c>
      <c r="S42" s="6">
        <f t="shared" si="6"/>
        <v>505.94594594594611</v>
      </c>
      <c r="T42" s="6">
        <f t="shared" si="7"/>
        <v>56.666999999999994</v>
      </c>
      <c r="U42" s="6">
        <f>20%</f>
        <v>0.2</v>
      </c>
      <c r="V42" s="6">
        <v>0.2</v>
      </c>
      <c r="W42" s="6">
        <f t="shared" si="8"/>
        <v>0.35999999999999988</v>
      </c>
      <c r="X42" s="12">
        <v>0.1</v>
      </c>
      <c r="Y42" s="12">
        <v>2</v>
      </c>
      <c r="Z42" s="12">
        <v>0.1</v>
      </c>
      <c r="AA42" s="12">
        <v>0.9</v>
      </c>
      <c r="AB42" s="13">
        <f t="shared" si="9"/>
        <v>77.333333333333343</v>
      </c>
      <c r="AC42" s="6">
        <f t="shared" si="10"/>
        <v>126.48648648648653</v>
      </c>
      <c r="AD42" s="6">
        <f t="shared" si="11"/>
        <v>126.48648648648653</v>
      </c>
      <c r="AE42" s="6">
        <f t="shared" si="12"/>
        <v>126.48648648648653</v>
      </c>
      <c r="AF42" s="6">
        <f t="shared" si="13"/>
        <v>126.48648648648653</v>
      </c>
      <c r="AG42" s="6">
        <f t="shared" si="14"/>
        <v>126.48648648648653</v>
      </c>
      <c r="AH42" s="6">
        <f t="shared" si="15"/>
        <v>126.48648648648653</v>
      </c>
      <c r="AI42" s="6">
        <f t="shared" si="16"/>
        <v>126.48648648648653</v>
      </c>
      <c r="AJ42" s="6">
        <f t="shared" si="23"/>
        <v>56.666999999999994</v>
      </c>
      <c r="AK42" s="6">
        <f t="shared" si="23"/>
        <v>56.666999999999994</v>
      </c>
      <c r="AL42" s="6">
        <f t="shared" si="23"/>
        <v>56.666999999999994</v>
      </c>
      <c r="AM42" s="6">
        <f t="shared" si="23"/>
        <v>56.666999999999994</v>
      </c>
      <c r="AN42" s="6">
        <f t="shared" si="23"/>
        <v>56.666999999999994</v>
      </c>
      <c r="AO42" s="6">
        <f t="shared" si="23"/>
        <v>56.666999999999994</v>
      </c>
      <c r="AP42" s="1">
        <f t="shared" si="18"/>
        <v>56.666999999999994</v>
      </c>
    </row>
    <row r="43" spans="3:42" x14ac:dyDescent="0.15">
      <c r="C43" s="6">
        <v>41</v>
      </c>
      <c r="D43" s="6">
        <f t="shared" si="2"/>
        <v>4</v>
      </c>
      <c r="E43" s="11">
        <f ca="1">mVlookup(D43&amp;3,[1]!circlePer,"max",FALSE)+10%</f>
        <v>0.23</v>
      </c>
      <c r="F43" s="6">
        <f ca="1">mVlookup(D43&amp;3,[1]!circleValue,"max",FALSE)+1.5</f>
        <v>2.7</v>
      </c>
      <c r="G43" s="6">
        <f ca="1">mVlookup(D43&amp;3,[1]!otherDamage,"max",FALSE)*100%</f>
        <v>0.13</v>
      </c>
      <c r="H43" s="6">
        <f t="shared" si="19"/>
        <v>4</v>
      </c>
      <c r="I43" s="6">
        <f t="shared" si="20"/>
        <v>3.3</v>
      </c>
      <c r="J43" s="12">
        <f>[1]伤害减免!$D43</f>
        <v>0.78</v>
      </c>
      <c r="K43" s="6">
        <f t="shared" si="21"/>
        <v>7</v>
      </c>
      <c r="L43" s="6" t="str">
        <f t="shared" si="3"/>
        <v>4.6</v>
      </c>
      <c r="M43" s="6">
        <f>C43*([1]装备!E$10*0.5+[1]装备!E$10*VLOOKUP(C43,[1]!powerDistribution,3,FALSE))</f>
        <v>1012.7000000000002</v>
      </c>
      <c r="N43" s="6">
        <f>C43*([1]装备!F$10*0.5+[1]装备!F$10*VLOOKUP(C43,[1]!powerDistribution,3,FALSE))</f>
        <v>612.12086820018624</v>
      </c>
      <c r="O43" s="6">
        <f t="shared" ca="1" si="4"/>
        <v>1231.5519286567664</v>
      </c>
      <c r="P43" s="6">
        <v>100</v>
      </c>
      <c r="Q43" s="6">
        <f t="shared" si="5"/>
        <v>522.78993506493532</v>
      </c>
      <c r="R43" s="6">
        <f t="shared" si="22"/>
        <v>58.083674999999999</v>
      </c>
      <c r="S43" s="6">
        <f t="shared" si="6"/>
        <v>522.78993506493532</v>
      </c>
      <c r="T43" s="6">
        <f t="shared" si="7"/>
        <v>58.083674999999999</v>
      </c>
      <c r="U43" s="6">
        <f>20%</f>
        <v>0.2</v>
      </c>
      <c r="V43" s="6">
        <v>0.2</v>
      </c>
      <c r="W43" s="6">
        <f t="shared" si="8"/>
        <v>0.35999999999999988</v>
      </c>
      <c r="X43" s="12">
        <v>0.1</v>
      </c>
      <c r="Y43" s="12">
        <v>2</v>
      </c>
      <c r="Z43" s="12">
        <v>0.1</v>
      </c>
      <c r="AA43" s="12">
        <v>0.9</v>
      </c>
      <c r="AB43" s="13">
        <f t="shared" si="9"/>
        <v>79.26666666666668</v>
      </c>
      <c r="AC43" s="6">
        <f t="shared" si="10"/>
        <v>134.80746753246757</v>
      </c>
      <c r="AD43" s="6">
        <f t="shared" si="11"/>
        <v>134.80746753246757</v>
      </c>
      <c r="AE43" s="6">
        <f t="shared" si="12"/>
        <v>134.80746753246757</v>
      </c>
      <c r="AF43" s="6">
        <f t="shared" si="13"/>
        <v>134.80746753246757</v>
      </c>
      <c r="AG43" s="6">
        <f t="shared" si="14"/>
        <v>134.80746753246757</v>
      </c>
      <c r="AH43" s="6">
        <f t="shared" si="15"/>
        <v>134.80746753246757</v>
      </c>
      <c r="AI43" s="6">
        <f t="shared" si="16"/>
        <v>134.80746753246757</v>
      </c>
      <c r="AJ43" s="6">
        <f t="shared" si="23"/>
        <v>58.083674999999999</v>
      </c>
      <c r="AK43" s="6">
        <f t="shared" si="23"/>
        <v>58.083674999999999</v>
      </c>
      <c r="AL43" s="6">
        <f t="shared" si="23"/>
        <v>58.083674999999999</v>
      </c>
      <c r="AM43" s="6">
        <f t="shared" si="23"/>
        <v>58.083674999999999</v>
      </c>
      <c r="AN43" s="6">
        <f t="shared" si="23"/>
        <v>58.083674999999999</v>
      </c>
      <c r="AO43" s="6">
        <f t="shared" si="23"/>
        <v>58.083674999999999</v>
      </c>
      <c r="AP43" s="1">
        <f t="shared" si="18"/>
        <v>58.083674999999999</v>
      </c>
    </row>
    <row r="44" spans="3:42" x14ac:dyDescent="0.15">
      <c r="C44" s="6">
        <v>42</v>
      </c>
      <c r="D44" s="6">
        <f t="shared" si="2"/>
        <v>4</v>
      </c>
      <c r="E44" s="11">
        <f ca="1">mVlookup(D44&amp;3,[1]!circlePer,"max",FALSE)+10%</f>
        <v>0.23</v>
      </c>
      <c r="F44" s="6">
        <f ca="1">mVlookup(D44&amp;3,[1]!circleValue,"max",FALSE)+1.5</f>
        <v>2.7</v>
      </c>
      <c r="G44" s="6">
        <f ca="1">mVlookup(D44&amp;3,[1]!otherDamage,"max",FALSE)*100%</f>
        <v>0.13</v>
      </c>
      <c r="H44" s="6">
        <f t="shared" si="19"/>
        <v>4</v>
      </c>
      <c r="I44" s="6">
        <f t="shared" si="20"/>
        <v>3.3</v>
      </c>
      <c r="J44" s="12">
        <f>[1]伤害减免!$D44</f>
        <v>0.78200000000000003</v>
      </c>
      <c r="K44" s="6">
        <f t="shared" si="21"/>
        <v>7</v>
      </c>
      <c r="L44" s="6" t="str">
        <f t="shared" si="3"/>
        <v>4.6</v>
      </c>
      <c r="M44" s="6">
        <f>C44*([1]装备!E$10*0.5+[1]装备!E$10*VLOOKUP(C44,[1]!powerDistribution,3,FALSE))</f>
        <v>1042.8600000000001</v>
      </c>
      <c r="N44" s="6">
        <f>C44*([1]装备!F$10*0.5+[1]装备!F$10*VLOOKUP(C44,[1]!powerDistribution,3,FALSE))</f>
        <v>630.35091202848446</v>
      </c>
      <c r="O44" s="6">
        <f t="shared" ca="1" si="4"/>
        <v>1268.229726788778</v>
      </c>
      <c r="P44" s="6">
        <v>100</v>
      </c>
      <c r="Q44" s="6">
        <f t="shared" si="5"/>
        <v>539.88165137614692</v>
      </c>
      <c r="R44" s="6">
        <f t="shared" si="22"/>
        <v>59.500349999999997</v>
      </c>
      <c r="S44" s="6">
        <f t="shared" si="6"/>
        <v>539.88165137614692</v>
      </c>
      <c r="T44" s="6">
        <f t="shared" si="7"/>
        <v>59.500349999999997</v>
      </c>
      <c r="U44" s="6">
        <f>20%</f>
        <v>0.2</v>
      </c>
      <c r="V44" s="6">
        <v>0.2</v>
      </c>
      <c r="W44" s="6">
        <f t="shared" si="8"/>
        <v>0.35999999999999988</v>
      </c>
      <c r="X44" s="12">
        <v>0.1</v>
      </c>
      <c r="Y44" s="12">
        <v>2</v>
      </c>
      <c r="Z44" s="12">
        <v>0.1</v>
      </c>
      <c r="AA44" s="12">
        <v>0.9</v>
      </c>
      <c r="AB44" s="13">
        <f t="shared" si="9"/>
        <v>81.200000000000017</v>
      </c>
      <c r="AC44" s="6">
        <f t="shared" si="10"/>
        <v>143.51284403669729</v>
      </c>
      <c r="AD44" s="6">
        <f t="shared" si="11"/>
        <v>143.51284403669729</v>
      </c>
      <c r="AE44" s="6">
        <f t="shared" si="12"/>
        <v>143.51284403669729</v>
      </c>
      <c r="AF44" s="6">
        <f t="shared" si="13"/>
        <v>143.51284403669729</v>
      </c>
      <c r="AG44" s="6">
        <f t="shared" si="14"/>
        <v>143.51284403669729</v>
      </c>
      <c r="AH44" s="6">
        <f t="shared" si="15"/>
        <v>143.51284403669729</v>
      </c>
      <c r="AI44" s="6">
        <f t="shared" si="16"/>
        <v>143.51284403669729</v>
      </c>
      <c r="AJ44" s="6">
        <f t="shared" si="23"/>
        <v>59.500349999999997</v>
      </c>
      <c r="AK44" s="6">
        <f t="shared" si="23"/>
        <v>59.500349999999997</v>
      </c>
      <c r="AL44" s="6">
        <f t="shared" si="23"/>
        <v>59.500349999999997</v>
      </c>
      <c r="AM44" s="6">
        <f t="shared" si="23"/>
        <v>59.500349999999997</v>
      </c>
      <c r="AN44" s="6">
        <f t="shared" si="23"/>
        <v>59.500349999999997</v>
      </c>
      <c r="AO44" s="6">
        <f t="shared" si="23"/>
        <v>59.500349999999997</v>
      </c>
      <c r="AP44" s="1">
        <f t="shared" si="18"/>
        <v>59.500349999999997</v>
      </c>
    </row>
    <row r="45" spans="3:42" x14ac:dyDescent="0.15">
      <c r="C45" s="6">
        <v>43</v>
      </c>
      <c r="D45" s="6">
        <f t="shared" si="2"/>
        <v>4</v>
      </c>
      <c r="E45" s="11">
        <f ca="1">mVlookup(D45&amp;3,[1]!circlePer,"max",FALSE)+10%</f>
        <v>0.23</v>
      </c>
      <c r="F45" s="6">
        <f ca="1">mVlookup(D45&amp;3,[1]!circleValue,"max",FALSE)+1.5</f>
        <v>2.7</v>
      </c>
      <c r="G45" s="6">
        <f ca="1">mVlookup(D45&amp;3,[1]!otherDamage,"max",FALSE)*100%</f>
        <v>0.13</v>
      </c>
      <c r="H45" s="6">
        <f t="shared" si="19"/>
        <v>4</v>
      </c>
      <c r="I45" s="6">
        <f t="shared" si="20"/>
        <v>3.3</v>
      </c>
      <c r="J45" s="12">
        <f>[1]伤害减免!$D45</f>
        <v>0.78400000000000003</v>
      </c>
      <c r="K45" s="6">
        <f t="shared" si="21"/>
        <v>7</v>
      </c>
      <c r="L45" s="6" t="str">
        <f t="shared" si="3"/>
        <v>4.6</v>
      </c>
      <c r="M45" s="6">
        <f>C45*([1]装备!E$10*0.5+[1]装备!E$10*VLOOKUP(C45,[1]!powerDistribution,3,FALSE))</f>
        <v>1073.2800000000002</v>
      </c>
      <c r="N45" s="6">
        <f>C45*([1]装备!F$10*0.5+[1]装备!F$10*VLOOKUP(C45,[1]!powerDistribution,3,FALSE))</f>
        <v>648.73811140702662</v>
      </c>
      <c r="O45" s="6">
        <f t="shared" ca="1" si="4"/>
        <v>1305.2237128357206</v>
      </c>
      <c r="P45" s="6">
        <v>100</v>
      </c>
      <c r="Q45" s="6">
        <f t="shared" si="5"/>
        <v>557.22539682539707</v>
      </c>
      <c r="R45" s="6">
        <f t="shared" si="22"/>
        <v>60.917024999999988</v>
      </c>
      <c r="S45" s="6">
        <f t="shared" si="6"/>
        <v>557.22539682539707</v>
      </c>
      <c r="T45" s="6">
        <f t="shared" si="7"/>
        <v>60.917024999999988</v>
      </c>
      <c r="U45" s="6">
        <f>20%</f>
        <v>0.2</v>
      </c>
      <c r="V45" s="6">
        <v>0.2</v>
      </c>
      <c r="W45" s="6">
        <f t="shared" si="8"/>
        <v>0.35999999999999988</v>
      </c>
      <c r="X45" s="12">
        <v>0.1</v>
      </c>
      <c r="Y45" s="12">
        <v>2</v>
      </c>
      <c r="Z45" s="12">
        <v>0.1</v>
      </c>
      <c r="AA45" s="12">
        <v>0.9</v>
      </c>
      <c r="AB45" s="13">
        <f t="shared" si="9"/>
        <v>83.13333333333334</v>
      </c>
      <c r="AC45" s="6">
        <f t="shared" si="10"/>
        <v>152.61587301587306</v>
      </c>
      <c r="AD45" s="6">
        <f t="shared" si="11"/>
        <v>152.61587301587306</v>
      </c>
      <c r="AE45" s="6">
        <f t="shared" si="12"/>
        <v>152.61587301587306</v>
      </c>
      <c r="AF45" s="6">
        <f t="shared" si="13"/>
        <v>152.61587301587306</v>
      </c>
      <c r="AG45" s="6">
        <f t="shared" si="14"/>
        <v>152.61587301587306</v>
      </c>
      <c r="AH45" s="6">
        <f t="shared" si="15"/>
        <v>152.61587301587306</v>
      </c>
      <c r="AI45" s="6">
        <f t="shared" si="16"/>
        <v>152.61587301587306</v>
      </c>
      <c r="AJ45" s="6">
        <f t="shared" si="23"/>
        <v>60.917024999999988</v>
      </c>
      <c r="AK45" s="6">
        <f t="shared" si="23"/>
        <v>60.917024999999988</v>
      </c>
      <c r="AL45" s="6">
        <f t="shared" si="23"/>
        <v>60.917024999999988</v>
      </c>
      <c r="AM45" s="6">
        <f t="shared" si="23"/>
        <v>60.917024999999988</v>
      </c>
      <c r="AN45" s="6">
        <f t="shared" si="23"/>
        <v>60.917024999999988</v>
      </c>
      <c r="AO45" s="6">
        <f t="shared" si="23"/>
        <v>60.917024999999988</v>
      </c>
      <c r="AP45" s="1">
        <f t="shared" si="18"/>
        <v>60.917024999999988</v>
      </c>
    </row>
    <row r="46" spans="3:42" x14ac:dyDescent="0.15">
      <c r="C46" s="6">
        <v>44</v>
      </c>
      <c r="D46" s="6">
        <f t="shared" si="2"/>
        <v>4</v>
      </c>
      <c r="E46" s="11">
        <f ca="1">mVlookup(D46&amp;3,[1]!circlePer,"max",FALSE)+10%</f>
        <v>0.23</v>
      </c>
      <c r="F46" s="6">
        <f ca="1">mVlookup(D46&amp;3,[1]!circleValue,"max",FALSE)+1.5</f>
        <v>2.7</v>
      </c>
      <c r="G46" s="6">
        <f ca="1">mVlookup(D46&amp;3,[1]!otherDamage,"max",FALSE)*100%</f>
        <v>0.13</v>
      </c>
      <c r="H46" s="6">
        <f t="shared" si="19"/>
        <v>4</v>
      </c>
      <c r="I46" s="6">
        <f t="shared" si="20"/>
        <v>3.3</v>
      </c>
      <c r="J46" s="12">
        <f>[1]伤害减免!$D46</f>
        <v>0.78600000000000003</v>
      </c>
      <c r="K46" s="6">
        <f t="shared" si="21"/>
        <v>7</v>
      </c>
      <c r="L46" s="6" t="str">
        <f t="shared" si="3"/>
        <v>4.6</v>
      </c>
      <c r="M46" s="6">
        <f>C46*([1]装备!E$10*0.5+[1]装备!E$10*VLOOKUP(C46,[1]!powerDistribution,3,FALSE))</f>
        <v>1103.96</v>
      </c>
      <c r="N46" s="6">
        <f>C46*([1]装备!F$10*0.5+[1]装备!F$10*VLOOKUP(C46,[1]!powerDistribution,3,FALSE))</f>
        <v>667.28246633581273</v>
      </c>
      <c r="O46" s="6">
        <f t="shared" ca="1" si="4"/>
        <v>1342.5338867975943</v>
      </c>
      <c r="P46" s="6">
        <v>100</v>
      </c>
      <c r="Q46" s="6">
        <f t="shared" si="5"/>
        <v>574.82563417890526</v>
      </c>
      <c r="R46" s="6">
        <f t="shared" si="22"/>
        <v>62.333699999999993</v>
      </c>
      <c r="S46" s="6">
        <f t="shared" si="6"/>
        <v>574.82563417890526</v>
      </c>
      <c r="T46" s="6">
        <f t="shared" si="7"/>
        <v>62.333699999999993</v>
      </c>
      <c r="U46" s="6">
        <f>20%</f>
        <v>0.2</v>
      </c>
      <c r="V46" s="6">
        <v>0.2</v>
      </c>
      <c r="W46" s="6">
        <f t="shared" si="8"/>
        <v>0.35999999999999988</v>
      </c>
      <c r="X46" s="12">
        <v>0.1</v>
      </c>
      <c r="Y46" s="12">
        <v>2</v>
      </c>
      <c r="Z46" s="12">
        <v>0.1</v>
      </c>
      <c r="AA46" s="12">
        <v>0.9</v>
      </c>
      <c r="AB46" s="13">
        <f t="shared" si="9"/>
        <v>85.066666666666677</v>
      </c>
      <c r="AC46" s="6">
        <f t="shared" si="10"/>
        <v>162.1303070761015</v>
      </c>
      <c r="AD46" s="6">
        <f t="shared" si="11"/>
        <v>162.1303070761015</v>
      </c>
      <c r="AE46" s="6">
        <f t="shared" si="12"/>
        <v>162.1303070761015</v>
      </c>
      <c r="AF46" s="6">
        <f t="shared" si="13"/>
        <v>162.1303070761015</v>
      </c>
      <c r="AG46" s="6">
        <f t="shared" si="14"/>
        <v>162.1303070761015</v>
      </c>
      <c r="AH46" s="6">
        <f t="shared" si="15"/>
        <v>162.1303070761015</v>
      </c>
      <c r="AI46" s="6">
        <f t="shared" si="16"/>
        <v>162.1303070761015</v>
      </c>
      <c r="AJ46" s="6">
        <f t="shared" si="23"/>
        <v>62.333699999999993</v>
      </c>
      <c r="AK46" s="6">
        <f t="shared" si="23"/>
        <v>62.333699999999993</v>
      </c>
      <c r="AL46" s="6">
        <f t="shared" si="23"/>
        <v>62.333699999999993</v>
      </c>
      <c r="AM46" s="6">
        <f t="shared" si="23"/>
        <v>62.333699999999993</v>
      </c>
      <c r="AN46" s="6">
        <f t="shared" si="23"/>
        <v>62.333699999999993</v>
      </c>
      <c r="AO46" s="6">
        <f t="shared" si="23"/>
        <v>62.333699999999993</v>
      </c>
      <c r="AP46" s="1">
        <f t="shared" si="18"/>
        <v>62.333699999999993</v>
      </c>
    </row>
    <row r="47" spans="3:42" x14ac:dyDescent="0.15">
      <c r="C47" s="6">
        <v>45</v>
      </c>
      <c r="D47" s="6">
        <f t="shared" si="2"/>
        <v>5</v>
      </c>
      <c r="E47" s="11">
        <f ca="1">mVlookup(D47&amp;3,[1]!circlePer,"max",FALSE)+10%</f>
        <v>0.24000000000000002</v>
      </c>
      <c r="F47" s="6">
        <f ca="1">mVlookup(D47&amp;3,[1]!circleValue,"max",FALSE)+1.5</f>
        <v>2.8</v>
      </c>
      <c r="G47" s="6">
        <f ca="1">mVlookup(D47&amp;3,[1]!otherDamage,"max",FALSE)*100%</f>
        <v>0.14000000000000001</v>
      </c>
      <c r="H47" s="6">
        <f t="shared" si="19"/>
        <v>4</v>
      </c>
      <c r="I47" s="6">
        <f t="shared" si="20"/>
        <v>3.3</v>
      </c>
      <c r="J47" s="12">
        <f>[1]伤害减免!$D47</f>
        <v>0.78800000000000003</v>
      </c>
      <c r="K47" s="6">
        <f t="shared" si="21"/>
        <v>7</v>
      </c>
      <c r="L47" s="6" t="str">
        <f t="shared" si="3"/>
        <v>4.6</v>
      </c>
      <c r="M47" s="6">
        <f>C47*([1]装备!E$10*0.5+[1]装备!E$10*VLOOKUP(C47,[1]!powerDistribution,3,FALSE))</f>
        <v>1134.9000000000003</v>
      </c>
      <c r="N47" s="6">
        <f>C47*([1]装备!F$10*0.5+[1]装备!F$10*VLOOKUP(C47,[1]!powerDistribution,3,FALSE))</f>
        <v>685.98397681484289</v>
      </c>
      <c r="O47" s="6">
        <f t="shared" ca="1" si="4"/>
        <v>1433.4145567624894</v>
      </c>
      <c r="P47" s="6">
        <v>100</v>
      </c>
      <c r="Q47" s="6">
        <f t="shared" si="5"/>
        <v>592.68699460916469</v>
      </c>
      <c r="R47" s="6">
        <f t="shared" si="22"/>
        <v>63.750374999999991</v>
      </c>
      <c r="S47" s="6">
        <f t="shared" si="6"/>
        <v>592.68699460916469</v>
      </c>
      <c r="T47" s="6">
        <f t="shared" si="7"/>
        <v>63.750374999999991</v>
      </c>
      <c r="U47" s="6">
        <f>20%</f>
        <v>0.2</v>
      </c>
      <c r="V47" s="6">
        <v>0.2</v>
      </c>
      <c r="W47" s="6">
        <f t="shared" si="8"/>
        <v>0.35999999999999988</v>
      </c>
      <c r="X47" s="12">
        <v>0.1</v>
      </c>
      <c r="Y47" s="12">
        <v>2</v>
      </c>
      <c r="Z47" s="12">
        <v>0.1</v>
      </c>
      <c r="AA47" s="12">
        <v>0.9</v>
      </c>
      <c r="AB47" s="13">
        <f t="shared" si="9"/>
        <v>87.000000000000014</v>
      </c>
      <c r="AC47" s="6">
        <f t="shared" si="10"/>
        <v>172.0704177897575</v>
      </c>
      <c r="AD47" s="6">
        <f t="shared" si="11"/>
        <v>172.0704177897575</v>
      </c>
      <c r="AE47" s="6">
        <f t="shared" si="12"/>
        <v>172.0704177897575</v>
      </c>
      <c r="AF47" s="6">
        <f t="shared" si="13"/>
        <v>172.0704177897575</v>
      </c>
      <c r="AG47" s="6">
        <f t="shared" si="14"/>
        <v>172.0704177897575</v>
      </c>
      <c r="AH47" s="6">
        <f t="shared" si="15"/>
        <v>172.0704177897575</v>
      </c>
      <c r="AI47" s="6">
        <f t="shared" si="16"/>
        <v>172.0704177897575</v>
      </c>
      <c r="AJ47" s="6">
        <f t="shared" si="23"/>
        <v>63.750374999999991</v>
      </c>
      <c r="AK47" s="6">
        <f t="shared" si="23"/>
        <v>63.750374999999991</v>
      </c>
      <c r="AL47" s="6">
        <f t="shared" si="23"/>
        <v>63.750374999999991</v>
      </c>
      <c r="AM47" s="6">
        <f t="shared" si="23"/>
        <v>63.750374999999991</v>
      </c>
      <c r="AN47" s="6">
        <f t="shared" si="23"/>
        <v>63.750374999999991</v>
      </c>
      <c r="AO47" s="6">
        <f t="shared" si="23"/>
        <v>63.750374999999991</v>
      </c>
      <c r="AP47" s="1">
        <f t="shared" si="18"/>
        <v>63.750374999999991</v>
      </c>
    </row>
    <row r="48" spans="3:42" x14ac:dyDescent="0.15">
      <c r="C48" s="6">
        <v>46</v>
      </c>
      <c r="D48" s="6">
        <f t="shared" si="2"/>
        <v>5</v>
      </c>
      <c r="E48" s="11">
        <f ca="1">mVlookup(D48&amp;3,[1]!circlePer,"max",FALSE)+10%</f>
        <v>0.24000000000000002</v>
      </c>
      <c r="F48" s="6">
        <f ca="1">mVlookup(D48&amp;3,[1]!circleValue,"max",FALSE)+1.5</f>
        <v>2.8</v>
      </c>
      <c r="G48" s="6">
        <f ca="1">mVlookup(D48&amp;3,[1]!otherDamage,"max",FALSE)*100%</f>
        <v>0.14000000000000001</v>
      </c>
      <c r="H48" s="6">
        <f t="shared" si="19"/>
        <v>4</v>
      </c>
      <c r="I48" s="6">
        <f t="shared" si="20"/>
        <v>3.3</v>
      </c>
      <c r="J48" s="12">
        <f>[1]伤害减免!$D48</f>
        <v>0.79</v>
      </c>
      <c r="K48" s="6">
        <f t="shared" si="21"/>
        <v>7</v>
      </c>
      <c r="L48" s="6" t="str">
        <f t="shared" si="3"/>
        <v>4.6</v>
      </c>
      <c r="M48" s="6">
        <f>C48*([1]装备!E$10*0.5+[1]装备!E$10*VLOOKUP(C48,[1]!powerDistribution,3,FALSE))</f>
        <v>1166.1000000000001</v>
      </c>
      <c r="N48" s="6">
        <f>C48*([1]装备!F$10*0.5+[1]装备!F$10*VLOOKUP(C48,[1]!powerDistribution,3,FALSE))</f>
        <v>704.84264284411688</v>
      </c>
      <c r="O48" s="6">
        <f t="shared" ca="1" si="4"/>
        <v>1472.82114251541</v>
      </c>
      <c r="P48" s="6">
        <v>100</v>
      </c>
      <c r="Q48" s="6">
        <f t="shared" si="5"/>
        <v>610.81428571428592</v>
      </c>
      <c r="R48" s="6">
        <f t="shared" si="22"/>
        <v>65.167049999999989</v>
      </c>
      <c r="S48" s="6">
        <f t="shared" si="6"/>
        <v>610.81428571428592</v>
      </c>
      <c r="T48" s="6">
        <f t="shared" si="7"/>
        <v>65.167049999999989</v>
      </c>
      <c r="U48" s="6">
        <f>20%</f>
        <v>0.2</v>
      </c>
      <c r="V48" s="6">
        <v>0.2</v>
      </c>
      <c r="W48" s="6">
        <f t="shared" si="8"/>
        <v>0.35999999999999988</v>
      </c>
      <c r="X48" s="12">
        <v>0.1</v>
      </c>
      <c r="Y48" s="12">
        <v>2</v>
      </c>
      <c r="Z48" s="12">
        <v>0.1</v>
      </c>
      <c r="AA48" s="12">
        <v>0.9</v>
      </c>
      <c r="AB48" s="13">
        <f t="shared" si="9"/>
        <v>88.933333333333337</v>
      </c>
      <c r="AC48" s="6">
        <f t="shared" si="10"/>
        <v>182.45102040816334</v>
      </c>
      <c r="AD48" s="6">
        <f t="shared" si="11"/>
        <v>182.45102040816334</v>
      </c>
      <c r="AE48" s="6">
        <f t="shared" si="12"/>
        <v>182.45102040816334</v>
      </c>
      <c r="AF48" s="6">
        <f t="shared" si="13"/>
        <v>182.45102040816334</v>
      </c>
      <c r="AG48" s="6">
        <f t="shared" si="14"/>
        <v>182.45102040816334</v>
      </c>
      <c r="AH48" s="6">
        <f t="shared" si="15"/>
        <v>182.45102040816334</v>
      </c>
      <c r="AI48" s="6">
        <f t="shared" si="16"/>
        <v>182.45102040816334</v>
      </c>
      <c r="AJ48" s="6">
        <f t="shared" si="23"/>
        <v>65.167049999999989</v>
      </c>
      <c r="AK48" s="6">
        <f t="shared" si="23"/>
        <v>65.167049999999989</v>
      </c>
      <c r="AL48" s="6">
        <f t="shared" si="23"/>
        <v>65.167049999999989</v>
      </c>
      <c r="AM48" s="6">
        <f t="shared" si="23"/>
        <v>65.167049999999989</v>
      </c>
      <c r="AN48" s="6">
        <f t="shared" si="23"/>
        <v>65.167049999999989</v>
      </c>
      <c r="AO48" s="6">
        <f t="shared" si="23"/>
        <v>65.167049999999989</v>
      </c>
      <c r="AP48" s="1">
        <f t="shared" si="18"/>
        <v>65.167049999999989</v>
      </c>
    </row>
    <row r="49" spans="3:42" x14ac:dyDescent="0.15">
      <c r="C49" s="6">
        <v>47</v>
      </c>
      <c r="D49" s="6">
        <f t="shared" si="2"/>
        <v>5</v>
      </c>
      <c r="E49" s="11">
        <f ca="1">mVlookup(D49&amp;3,[1]!circlePer,"max",FALSE)+10%</f>
        <v>0.24000000000000002</v>
      </c>
      <c r="F49" s="6">
        <f ca="1">mVlookup(D49&amp;3,[1]!circleValue,"max",FALSE)+1.5</f>
        <v>2.8</v>
      </c>
      <c r="G49" s="6">
        <f ca="1">mVlookup(D49&amp;3,[1]!otherDamage,"max",FALSE)*100%</f>
        <v>0.14000000000000001</v>
      </c>
      <c r="H49" s="6">
        <f t="shared" si="19"/>
        <v>4</v>
      </c>
      <c r="I49" s="6">
        <f t="shared" si="20"/>
        <v>3.3</v>
      </c>
      <c r="J49" s="12">
        <f>[1]伤害减免!$D49</f>
        <v>0.79200000000000004</v>
      </c>
      <c r="K49" s="6">
        <f t="shared" si="21"/>
        <v>7</v>
      </c>
      <c r="L49" s="6" t="str">
        <f t="shared" si="3"/>
        <v>4.6</v>
      </c>
      <c r="M49" s="6">
        <f>C49*([1]装备!E$10*0.5+[1]装备!E$10*VLOOKUP(C49,[1]!powerDistribution,3,FALSE))</f>
        <v>1197.5600000000002</v>
      </c>
      <c r="N49" s="6">
        <f>C49*([1]装备!F$10*0.5+[1]装备!F$10*VLOOKUP(C49,[1]!powerDistribution,3,FALSE))</f>
        <v>723.85846442363481</v>
      </c>
      <c r="O49" s="6">
        <f t="shared" ca="1" si="4"/>
        <v>1512.5561164829383</v>
      </c>
      <c r="P49" s="6">
        <v>100</v>
      </c>
      <c r="Q49" s="6">
        <f t="shared" si="5"/>
        <v>629.2125000000002</v>
      </c>
      <c r="R49" s="6">
        <f t="shared" si="22"/>
        <v>66.583724999999987</v>
      </c>
      <c r="S49" s="6">
        <f t="shared" si="6"/>
        <v>629.2125000000002</v>
      </c>
      <c r="T49" s="6">
        <f t="shared" si="7"/>
        <v>66.583724999999987</v>
      </c>
      <c r="U49" s="6">
        <f>20%</f>
        <v>0.2</v>
      </c>
      <c r="V49" s="6">
        <v>0.2</v>
      </c>
      <c r="W49" s="6">
        <f t="shared" si="8"/>
        <v>0.35999999999999988</v>
      </c>
      <c r="X49" s="12">
        <v>0.1</v>
      </c>
      <c r="Y49" s="12">
        <v>2</v>
      </c>
      <c r="Z49" s="12">
        <v>0.1</v>
      </c>
      <c r="AA49" s="12">
        <v>0.9</v>
      </c>
      <c r="AB49" s="13">
        <f t="shared" si="9"/>
        <v>90.866666666666674</v>
      </c>
      <c r="AC49" s="6">
        <f t="shared" si="10"/>
        <v>193.28750000000005</v>
      </c>
      <c r="AD49" s="6">
        <f t="shared" si="11"/>
        <v>193.28750000000005</v>
      </c>
      <c r="AE49" s="6">
        <f t="shared" si="12"/>
        <v>193.28750000000005</v>
      </c>
      <c r="AF49" s="6">
        <f t="shared" si="13"/>
        <v>193.28750000000005</v>
      </c>
      <c r="AG49" s="6">
        <f t="shared" si="14"/>
        <v>193.28750000000005</v>
      </c>
      <c r="AH49" s="6">
        <f t="shared" si="15"/>
        <v>193.28750000000005</v>
      </c>
      <c r="AI49" s="6">
        <f t="shared" si="16"/>
        <v>193.28750000000005</v>
      </c>
      <c r="AJ49" s="6">
        <f t="shared" si="23"/>
        <v>66.583724999999987</v>
      </c>
      <c r="AK49" s="6">
        <f t="shared" si="23"/>
        <v>66.583724999999987</v>
      </c>
      <c r="AL49" s="6">
        <f t="shared" si="23"/>
        <v>66.583724999999987</v>
      </c>
      <c r="AM49" s="6">
        <f t="shared" si="23"/>
        <v>66.583724999999987</v>
      </c>
      <c r="AN49" s="6">
        <f t="shared" si="23"/>
        <v>66.583724999999987</v>
      </c>
      <c r="AO49" s="6">
        <f t="shared" si="23"/>
        <v>66.583724999999987</v>
      </c>
      <c r="AP49" s="1">
        <f t="shared" si="18"/>
        <v>66.583724999999987</v>
      </c>
    </row>
    <row r="50" spans="3:42" x14ac:dyDescent="0.15">
      <c r="C50" s="6">
        <v>48</v>
      </c>
      <c r="D50" s="6">
        <f t="shared" si="2"/>
        <v>5</v>
      </c>
      <c r="E50" s="11">
        <f ca="1">mVlookup(D50&amp;3,[1]!circlePer,"max",FALSE)+10%</f>
        <v>0.24000000000000002</v>
      </c>
      <c r="F50" s="6">
        <f ca="1">mVlookup(D50&amp;3,[1]!circleValue,"max",FALSE)+1.5</f>
        <v>2.8</v>
      </c>
      <c r="G50" s="6">
        <f ca="1">mVlookup(D50&amp;3,[1]!otherDamage,"max",FALSE)*100%</f>
        <v>0.14000000000000001</v>
      </c>
      <c r="H50" s="6">
        <f t="shared" si="19"/>
        <v>4</v>
      </c>
      <c r="I50" s="6">
        <f t="shared" si="20"/>
        <v>3.3</v>
      </c>
      <c r="J50" s="12">
        <f>[1]伤害减免!$D50</f>
        <v>0.79400000000000004</v>
      </c>
      <c r="K50" s="6">
        <f t="shared" si="21"/>
        <v>7</v>
      </c>
      <c r="L50" s="6" t="str">
        <f t="shared" si="3"/>
        <v>4.6</v>
      </c>
      <c r="M50" s="6">
        <f>C50*([1]装备!E$10*0.5+[1]装备!E$10*VLOOKUP(C50,[1]!powerDistribution,3,FALSE))</f>
        <v>1229.2800000000002</v>
      </c>
      <c r="N50" s="6">
        <f>C50*([1]装备!F$10*0.5+[1]装备!F$10*VLOOKUP(C50,[1]!powerDistribution,3,FALSE))</f>
        <v>743.03144155339669</v>
      </c>
      <c r="O50" s="6">
        <f t="shared" ca="1" si="4"/>
        <v>1552.619478665074</v>
      </c>
      <c r="P50" s="6">
        <v>100</v>
      </c>
      <c r="Q50" s="6">
        <f t="shared" si="5"/>
        <v>647.88682385575612</v>
      </c>
      <c r="R50" s="6">
        <f t="shared" si="22"/>
        <v>68.000399999999999</v>
      </c>
      <c r="S50" s="6">
        <f t="shared" si="6"/>
        <v>647.88682385575612</v>
      </c>
      <c r="T50" s="6">
        <f t="shared" si="7"/>
        <v>68.000399999999999</v>
      </c>
      <c r="U50" s="6">
        <f>20%</f>
        <v>0.2</v>
      </c>
      <c r="V50" s="6">
        <v>0.2</v>
      </c>
      <c r="W50" s="6">
        <f t="shared" si="8"/>
        <v>0.35999999999999988</v>
      </c>
      <c r="X50" s="12">
        <v>0.1</v>
      </c>
      <c r="Y50" s="12">
        <v>2</v>
      </c>
      <c r="Z50" s="12">
        <v>0.1</v>
      </c>
      <c r="AA50" s="12">
        <v>0.9</v>
      </c>
      <c r="AB50" s="13">
        <f t="shared" si="9"/>
        <v>92.800000000000011</v>
      </c>
      <c r="AC50" s="6">
        <f t="shared" si="10"/>
        <v>204.59583911234404</v>
      </c>
      <c r="AD50" s="6">
        <f t="shared" si="11"/>
        <v>204.59583911234404</v>
      </c>
      <c r="AE50" s="6">
        <f t="shared" si="12"/>
        <v>204.59583911234404</v>
      </c>
      <c r="AF50" s="6">
        <f t="shared" si="13"/>
        <v>204.59583911234404</v>
      </c>
      <c r="AG50" s="6">
        <f t="shared" si="14"/>
        <v>204.59583911234404</v>
      </c>
      <c r="AH50" s="6">
        <f t="shared" si="15"/>
        <v>204.59583911234404</v>
      </c>
      <c r="AI50" s="6">
        <f t="shared" si="16"/>
        <v>204.59583911234404</v>
      </c>
      <c r="AJ50" s="6">
        <f t="shared" si="23"/>
        <v>68.000399999999999</v>
      </c>
      <c r="AK50" s="6">
        <f t="shared" si="23"/>
        <v>68.000399999999999</v>
      </c>
      <c r="AL50" s="6">
        <f t="shared" si="23"/>
        <v>68.000399999999999</v>
      </c>
      <c r="AM50" s="6">
        <f t="shared" si="23"/>
        <v>68.000399999999999</v>
      </c>
      <c r="AN50" s="6">
        <f t="shared" si="23"/>
        <v>68.000399999999999</v>
      </c>
      <c r="AO50" s="6">
        <f t="shared" si="23"/>
        <v>68.000399999999999</v>
      </c>
      <c r="AP50" s="1">
        <f t="shared" si="18"/>
        <v>68.000399999999999</v>
      </c>
    </row>
    <row r="51" spans="3:42" x14ac:dyDescent="0.15">
      <c r="C51" s="6">
        <v>49</v>
      </c>
      <c r="D51" s="6">
        <f t="shared" si="2"/>
        <v>5</v>
      </c>
      <c r="E51" s="11">
        <f ca="1">mVlookup(D51&amp;3,[1]!circlePer,"max",FALSE)+10%</f>
        <v>0.24000000000000002</v>
      </c>
      <c r="F51" s="6">
        <f ca="1">mVlookup(D51&amp;3,[1]!circleValue,"max",FALSE)+1.5</f>
        <v>2.8</v>
      </c>
      <c r="G51" s="6">
        <f ca="1">mVlookup(D51&amp;3,[1]!otherDamage,"max",FALSE)*100%</f>
        <v>0.14000000000000001</v>
      </c>
      <c r="H51" s="6">
        <f t="shared" si="19"/>
        <v>4</v>
      </c>
      <c r="I51" s="6">
        <f t="shared" si="20"/>
        <v>3.3</v>
      </c>
      <c r="J51" s="12">
        <f>[1]伤害减免!$D51</f>
        <v>0.79600000000000004</v>
      </c>
      <c r="K51" s="6">
        <f t="shared" si="21"/>
        <v>7</v>
      </c>
      <c r="L51" s="6" t="str">
        <f t="shared" si="3"/>
        <v>4.6</v>
      </c>
      <c r="M51" s="6">
        <f>C51*([1]装备!E$10*0.5+[1]装备!E$10*VLOOKUP(C51,[1]!powerDistribution,3,FALSE))</f>
        <v>1261.2600000000002</v>
      </c>
      <c r="N51" s="6">
        <f>C51*([1]装备!F$10*0.5+[1]装备!F$10*VLOOKUP(C51,[1]!powerDistribution,3,FALSE))</f>
        <v>762.36157423340273</v>
      </c>
      <c r="O51" s="6">
        <f t="shared" ca="1" si="4"/>
        <v>1593.0112290618183</v>
      </c>
      <c r="P51" s="6">
        <v>100</v>
      </c>
      <c r="Q51" s="6">
        <f t="shared" si="5"/>
        <v>666.84264705882379</v>
      </c>
      <c r="R51" s="6">
        <f t="shared" si="22"/>
        <v>69.417074999999997</v>
      </c>
      <c r="S51" s="6">
        <f t="shared" si="6"/>
        <v>666.84264705882379</v>
      </c>
      <c r="T51" s="6">
        <f t="shared" si="7"/>
        <v>69.417074999999997</v>
      </c>
      <c r="U51" s="6">
        <f>20%</f>
        <v>0.2</v>
      </c>
      <c r="V51" s="6">
        <v>0.2</v>
      </c>
      <c r="W51" s="6">
        <f t="shared" si="8"/>
        <v>0.35999999999999988</v>
      </c>
      <c r="X51" s="12">
        <v>0.1</v>
      </c>
      <c r="Y51" s="12">
        <v>2</v>
      </c>
      <c r="Z51" s="12">
        <v>0.1</v>
      </c>
      <c r="AA51" s="12">
        <v>0.9</v>
      </c>
      <c r="AB51" s="13">
        <f t="shared" si="9"/>
        <v>94.733333333333348</v>
      </c>
      <c r="AC51" s="6">
        <f t="shared" si="10"/>
        <v>216.3926470588236</v>
      </c>
      <c r="AD51" s="6">
        <f t="shared" si="11"/>
        <v>216.3926470588236</v>
      </c>
      <c r="AE51" s="6">
        <f t="shared" si="12"/>
        <v>216.3926470588236</v>
      </c>
      <c r="AF51" s="6">
        <f t="shared" si="13"/>
        <v>216.3926470588236</v>
      </c>
      <c r="AG51" s="6">
        <f t="shared" si="14"/>
        <v>216.3926470588236</v>
      </c>
      <c r="AH51" s="6">
        <f t="shared" si="15"/>
        <v>216.3926470588236</v>
      </c>
      <c r="AI51" s="6">
        <f t="shared" si="16"/>
        <v>216.3926470588236</v>
      </c>
      <c r="AJ51" s="6">
        <f t="shared" si="23"/>
        <v>69.417074999999997</v>
      </c>
      <c r="AK51" s="6">
        <f t="shared" si="23"/>
        <v>69.417074999999997</v>
      </c>
      <c r="AL51" s="6">
        <f t="shared" si="23"/>
        <v>69.417074999999997</v>
      </c>
      <c r="AM51" s="6">
        <f t="shared" si="23"/>
        <v>69.417074999999997</v>
      </c>
      <c r="AN51" s="6">
        <f t="shared" si="23"/>
        <v>69.417074999999997</v>
      </c>
      <c r="AO51" s="6">
        <f t="shared" si="23"/>
        <v>69.417074999999997</v>
      </c>
      <c r="AP51" s="1">
        <f t="shared" si="18"/>
        <v>69.417074999999997</v>
      </c>
    </row>
    <row r="52" spans="3:42" x14ac:dyDescent="0.15">
      <c r="C52" s="6">
        <v>50</v>
      </c>
      <c r="D52" s="6">
        <f t="shared" si="2"/>
        <v>5</v>
      </c>
      <c r="E52" s="11">
        <f ca="1">mVlookup(D52&amp;3,[1]!circlePer,"max",FALSE)+10%</f>
        <v>0.24000000000000002</v>
      </c>
      <c r="F52" s="6">
        <f ca="1">mVlookup(D52&amp;3,[1]!circleValue,"max",FALSE)+1.5</f>
        <v>2.8</v>
      </c>
      <c r="G52" s="6">
        <f ca="1">mVlookup(D52&amp;3,[1]!otherDamage,"max",FALSE)*100%</f>
        <v>0.14000000000000001</v>
      </c>
      <c r="H52" s="6">
        <f t="shared" si="19"/>
        <v>4</v>
      </c>
      <c r="I52" s="6">
        <f t="shared" si="20"/>
        <v>3.3</v>
      </c>
      <c r="J52" s="12">
        <f>[1]伤害减免!$D52</f>
        <v>0.79800000000000004</v>
      </c>
      <c r="K52" s="6">
        <f t="shared" si="21"/>
        <v>7</v>
      </c>
      <c r="L52" s="6" t="str">
        <f t="shared" si="3"/>
        <v>4.6</v>
      </c>
      <c r="M52" s="6">
        <f>C52*([1]装备!E$10*0.5+[1]装备!E$10*VLOOKUP(C52,[1]!powerDistribution,3,FALSE))</f>
        <v>1293.5000000000002</v>
      </c>
      <c r="N52" s="6">
        <f>C52*([1]装备!F$10*0.5+[1]装备!F$10*VLOOKUP(C52,[1]!powerDistribution,3,FALSE))</f>
        <v>781.84886246365249</v>
      </c>
      <c r="O52" s="6">
        <f t="shared" ca="1" si="4"/>
        <v>1633.7313676731696</v>
      </c>
      <c r="P52" s="6">
        <v>100</v>
      </c>
      <c r="Q52" s="6">
        <f t="shared" si="5"/>
        <v>686.08557284299877</v>
      </c>
      <c r="R52" s="6">
        <f t="shared" si="22"/>
        <v>70.833749999999995</v>
      </c>
      <c r="S52" s="6">
        <f t="shared" si="6"/>
        <v>686.08557284299877</v>
      </c>
      <c r="T52" s="6">
        <f t="shared" si="7"/>
        <v>70.833749999999995</v>
      </c>
      <c r="U52" s="6">
        <f>20%</f>
        <v>0.2</v>
      </c>
      <c r="V52" s="6">
        <v>0.2</v>
      </c>
      <c r="W52" s="6">
        <f t="shared" si="8"/>
        <v>0.35999999999999988</v>
      </c>
      <c r="X52" s="12">
        <v>0.1</v>
      </c>
      <c r="Y52" s="12">
        <v>2</v>
      </c>
      <c r="Z52" s="12">
        <v>0.1</v>
      </c>
      <c r="AA52" s="12">
        <v>0.9</v>
      </c>
      <c r="AB52" s="13">
        <f t="shared" si="9"/>
        <v>96.666666666666686</v>
      </c>
      <c r="AC52" s="6">
        <f t="shared" si="10"/>
        <v>228.69519094766628</v>
      </c>
      <c r="AD52" s="6">
        <f t="shared" si="11"/>
        <v>228.69519094766628</v>
      </c>
      <c r="AE52" s="6">
        <f t="shared" si="12"/>
        <v>228.69519094766628</v>
      </c>
      <c r="AF52" s="6">
        <f t="shared" si="13"/>
        <v>228.69519094766628</v>
      </c>
      <c r="AG52" s="6">
        <f t="shared" si="14"/>
        <v>228.69519094766628</v>
      </c>
      <c r="AH52" s="6">
        <f t="shared" si="15"/>
        <v>228.69519094766628</v>
      </c>
      <c r="AI52" s="6">
        <f t="shared" si="16"/>
        <v>228.69519094766628</v>
      </c>
      <c r="AJ52" s="6">
        <f t="shared" si="23"/>
        <v>70.833749999999995</v>
      </c>
      <c r="AK52" s="6">
        <f t="shared" si="23"/>
        <v>70.833749999999995</v>
      </c>
      <c r="AL52" s="6">
        <f t="shared" si="23"/>
        <v>70.833749999999995</v>
      </c>
      <c r="AM52" s="6">
        <f t="shared" si="23"/>
        <v>70.833749999999995</v>
      </c>
      <c r="AN52" s="6">
        <f t="shared" si="23"/>
        <v>70.833749999999995</v>
      </c>
      <c r="AO52" s="6">
        <f t="shared" si="23"/>
        <v>70.833749999999995</v>
      </c>
      <c r="AP52" s="1">
        <f t="shared" si="18"/>
        <v>70.833749999999995</v>
      </c>
    </row>
    <row r="53" spans="3:42" x14ac:dyDescent="0.15">
      <c r="C53" s="6">
        <v>51</v>
      </c>
      <c r="D53" s="6">
        <f t="shared" si="2"/>
        <v>5</v>
      </c>
      <c r="E53" s="11">
        <f ca="1">mVlookup(D53&amp;3,[1]!circlePer,"max",FALSE)+10%</f>
        <v>0.24000000000000002</v>
      </c>
      <c r="F53" s="6">
        <f ca="1">mVlookup(D53&amp;3,[1]!circleValue,"max",FALSE)+1.5</f>
        <v>2.8</v>
      </c>
      <c r="G53" s="6">
        <f ca="1">mVlookup(D53&amp;3,[1]!otherDamage,"max",FALSE)*100%</f>
        <v>0.14000000000000001</v>
      </c>
      <c r="H53" s="6">
        <f t="shared" si="19"/>
        <v>4</v>
      </c>
      <c r="I53" s="6">
        <f t="shared" si="20"/>
        <v>3.3</v>
      </c>
      <c r="J53" s="12">
        <f>[1]伤害减免!$D53</f>
        <v>0.8</v>
      </c>
      <c r="K53" s="6">
        <f t="shared" si="21"/>
        <v>7</v>
      </c>
      <c r="L53" s="6" t="str">
        <f t="shared" si="3"/>
        <v>4.6</v>
      </c>
      <c r="M53" s="6">
        <f>C53*([1]装备!E$10*0.5+[1]装备!E$10*VLOOKUP(C53,[1]!powerDistribution,3,FALSE))</f>
        <v>1326.0000000000005</v>
      </c>
      <c r="N53" s="6">
        <f>C53*([1]装备!F$10*0.5+[1]装备!F$10*VLOOKUP(C53,[1]!powerDistribution,3,FALSE))</f>
        <v>801.49330624414631</v>
      </c>
      <c r="O53" s="6">
        <f t="shared" ca="1" si="4"/>
        <v>1674.7798944991282</v>
      </c>
      <c r="P53" s="6">
        <v>100</v>
      </c>
      <c r="Q53" s="6">
        <f t="shared" si="5"/>
        <v>705.62142857142896</v>
      </c>
      <c r="R53" s="6">
        <f t="shared" si="22"/>
        <v>72.250425000000007</v>
      </c>
      <c r="S53" s="6">
        <f t="shared" si="6"/>
        <v>705.62142857142896</v>
      </c>
      <c r="T53" s="6">
        <f t="shared" si="7"/>
        <v>72.250425000000007</v>
      </c>
      <c r="U53" s="6">
        <f>20%</f>
        <v>0.2</v>
      </c>
      <c r="V53" s="6">
        <v>0.2</v>
      </c>
      <c r="W53" s="6">
        <f t="shared" si="8"/>
        <v>0.35999999999999988</v>
      </c>
      <c r="X53" s="12">
        <v>0.1</v>
      </c>
      <c r="Y53" s="12">
        <v>2</v>
      </c>
      <c r="Z53" s="12">
        <v>0.1</v>
      </c>
      <c r="AA53" s="12">
        <v>0.9</v>
      </c>
      <c r="AB53" s="13">
        <f t="shared" si="9"/>
        <v>98.600000000000009</v>
      </c>
      <c r="AC53" s="6">
        <f t="shared" si="10"/>
        <v>241.52142857142871</v>
      </c>
      <c r="AD53" s="6">
        <f t="shared" si="11"/>
        <v>241.52142857142871</v>
      </c>
      <c r="AE53" s="6">
        <f t="shared" si="12"/>
        <v>241.52142857142871</v>
      </c>
      <c r="AF53" s="6">
        <f t="shared" si="13"/>
        <v>241.52142857142871</v>
      </c>
      <c r="AG53" s="6">
        <f t="shared" si="14"/>
        <v>241.52142857142871</v>
      </c>
      <c r="AH53" s="6">
        <f t="shared" si="15"/>
        <v>241.52142857142871</v>
      </c>
      <c r="AI53" s="6">
        <f t="shared" si="16"/>
        <v>241.52142857142871</v>
      </c>
      <c r="AJ53" s="6">
        <f t="shared" si="23"/>
        <v>72.250425000000007</v>
      </c>
      <c r="AK53" s="6">
        <f t="shared" si="23"/>
        <v>72.250425000000007</v>
      </c>
      <c r="AL53" s="6">
        <f t="shared" si="23"/>
        <v>72.250425000000007</v>
      </c>
      <c r="AM53" s="6">
        <f t="shared" si="23"/>
        <v>72.250425000000007</v>
      </c>
      <c r="AN53" s="6">
        <f t="shared" si="23"/>
        <v>72.250425000000007</v>
      </c>
      <c r="AO53" s="6">
        <f t="shared" si="23"/>
        <v>72.250425000000007</v>
      </c>
      <c r="AP53" s="1">
        <f t="shared" si="18"/>
        <v>72.250425000000007</v>
      </c>
    </row>
    <row r="54" spans="3:42" x14ac:dyDescent="0.15">
      <c r="C54" s="6">
        <v>52</v>
      </c>
      <c r="D54" s="6">
        <f t="shared" si="2"/>
        <v>5</v>
      </c>
      <c r="E54" s="11">
        <f ca="1">mVlookup(D54&amp;3,[1]!circlePer,"max",FALSE)+10%</f>
        <v>0.24000000000000002</v>
      </c>
      <c r="F54" s="6">
        <f ca="1">mVlookup(D54&amp;3,[1]!circleValue,"max",FALSE)+1.5</f>
        <v>2.8</v>
      </c>
      <c r="G54" s="6">
        <f ca="1">mVlookup(D54&amp;3,[1]!otherDamage,"max",FALSE)*100%</f>
        <v>0.14000000000000001</v>
      </c>
      <c r="H54" s="6">
        <f t="shared" si="19"/>
        <v>4</v>
      </c>
      <c r="I54" s="6">
        <f t="shared" si="20"/>
        <v>3.3</v>
      </c>
      <c r="J54" s="12">
        <f>[1]伤害减免!$D54</f>
        <v>0.80200000000000005</v>
      </c>
      <c r="K54" s="6">
        <f t="shared" si="21"/>
        <v>7</v>
      </c>
      <c r="L54" s="6" t="str">
        <f t="shared" si="3"/>
        <v>4.6</v>
      </c>
      <c r="M54" s="6">
        <f>C54*([1]装备!E$10*0.5+[1]装备!E$10*VLOOKUP(C54,[1]!powerDistribution,3,FALSE))</f>
        <v>1358.7600000000002</v>
      </c>
      <c r="N54" s="6">
        <f>C54*([1]装备!F$10*0.5+[1]装备!F$10*VLOOKUP(C54,[1]!powerDistribution,3,FALSE))</f>
        <v>821.29490557488396</v>
      </c>
      <c r="O54" s="6">
        <f t="shared" ca="1" si="4"/>
        <v>1716.1568095396949</v>
      </c>
      <c r="P54" s="6">
        <v>100</v>
      </c>
      <c r="Q54" s="6">
        <f t="shared" si="5"/>
        <v>725.45627705627726</v>
      </c>
      <c r="R54" s="6">
        <f t="shared" si="22"/>
        <v>73.667099999999991</v>
      </c>
      <c r="S54" s="6">
        <f t="shared" si="6"/>
        <v>725.45627705627726</v>
      </c>
      <c r="T54" s="6">
        <f t="shared" si="7"/>
        <v>73.667099999999991</v>
      </c>
      <c r="U54" s="6">
        <f>20%</f>
        <v>0.2</v>
      </c>
      <c r="V54" s="6">
        <v>0.2</v>
      </c>
      <c r="W54" s="6">
        <f t="shared" si="8"/>
        <v>0.35999999999999988</v>
      </c>
      <c r="X54" s="12">
        <v>0.1</v>
      </c>
      <c r="Y54" s="12">
        <v>2</v>
      </c>
      <c r="Z54" s="12">
        <v>0.1</v>
      </c>
      <c r="AA54" s="12">
        <v>0.9</v>
      </c>
      <c r="AB54" s="13">
        <f t="shared" si="9"/>
        <v>100.53333333333335</v>
      </c>
      <c r="AC54" s="6">
        <f t="shared" si="10"/>
        <v>254.89004329004339</v>
      </c>
      <c r="AD54" s="6">
        <f t="shared" si="11"/>
        <v>254.89004329004339</v>
      </c>
      <c r="AE54" s="6">
        <f t="shared" si="12"/>
        <v>254.89004329004339</v>
      </c>
      <c r="AF54" s="6">
        <f t="shared" si="13"/>
        <v>254.89004329004339</v>
      </c>
      <c r="AG54" s="6">
        <f t="shared" si="14"/>
        <v>254.89004329004339</v>
      </c>
      <c r="AH54" s="6">
        <f t="shared" si="15"/>
        <v>254.89004329004339</v>
      </c>
      <c r="AI54" s="6">
        <f t="shared" si="16"/>
        <v>254.89004329004339</v>
      </c>
      <c r="AJ54" s="6">
        <f t="shared" si="23"/>
        <v>73.667099999999991</v>
      </c>
      <c r="AK54" s="6">
        <f t="shared" si="23"/>
        <v>73.667099999999991</v>
      </c>
      <c r="AL54" s="6">
        <f t="shared" si="23"/>
        <v>73.667099999999991</v>
      </c>
      <c r="AM54" s="6">
        <f t="shared" si="23"/>
        <v>73.667099999999991</v>
      </c>
      <c r="AN54" s="6">
        <f t="shared" si="23"/>
        <v>73.667099999999991</v>
      </c>
      <c r="AO54" s="6">
        <f t="shared" si="23"/>
        <v>73.667099999999991</v>
      </c>
      <c r="AP54" s="1">
        <f t="shared" si="18"/>
        <v>73.667099999999991</v>
      </c>
    </row>
    <row r="55" spans="3:42" x14ac:dyDescent="0.15">
      <c r="C55" s="6">
        <v>53</v>
      </c>
      <c r="D55" s="6">
        <f t="shared" si="2"/>
        <v>5</v>
      </c>
      <c r="E55" s="11">
        <f ca="1">mVlookup(D55&amp;3,[1]!circlePer,"max",FALSE)+10%</f>
        <v>0.24000000000000002</v>
      </c>
      <c r="F55" s="6">
        <f ca="1">mVlookup(D55&amp;3,[1]!circleValue,"max",FALSE)+1.5</f>
        <v>2.8</v>
      </c>
      <c r="G55" s="6">
        <f ca="1">mVlookup(D55&amp;3,[1]!otherDamage,"max",FALSE)*100%</f>
        <v>0.14000000000000001</v>
      </c>
      <c r="H55" s="6">
        <f t="shared" si="19"/>
        <v>4</v>
      </c>
      <c r="I55" s="6">
        <f t="shared" si="20"/>
        <v>3.3</v>
      </c>
      <c r="J55" s="12">
        <f>[1]伤害减免!$D55</f>
        <v>0.80400000000000005</v>
      </c>
      <c r="K55" s="6">
        <f t="shared" si="21"/>
        <v>7</v>
      </c>
      <c r="L55" s="6" t="str">
        <f t="shared" si="3"/>
        <v>4.6</v>
      </c>
      <c r="M55" s="6">
        <f>C55*([1]装备!E$10*0.5+[1]装备!E$10*VLOOKUP(C55,[1]!powerDistribution,3,FALSE))</f>
        <v>1391.7800000000002</v>
      </c>
      <c r="N55" s="6">
        <f>C55*([1]装备!F$10*0.5+[1]装备!F$10*VLOOKUP(C55,[1]!powerDistribution,3,FALSE))</f>
        <v>841.25366045586577</v>
      </c>
      <c r="O55" s="6">
        <f t="shared" ca="1" si="4"/>
        <v>1757.8621127948695</v>
      </c>
      <c r="P55" s="6">
        <v>100</v>
      </c>
      <c r="Q55" s="6">
        <f t="shared" si="5"/>
        <v>745.59642857142887</v>
      </c>
      <c r="R55" s="6">
        <f t="shared" si="22"/>
        <v>75.083775000000003</v>
      </c>
      <c r="S55" s="6">
        <f t="shared" si="6"/>
        <v>745.59642857142887</v>
      </c>
      <c r="T55" s="6">
        <f t="shared" si="7"/>
        <v>75.083775000000003</v>
      </c>
      <c r="U55" s="6">
        <f>20%</f>
        <v>0.2</v>
      </c>
      <c r="V55" s="6">
        <v>0.2</v>
      </c>
      <c r="W55" s="6">
        <f t="shared" si="8"/>
        <v>0.35999999999999988</v>
      </c>
      <c r="X55" s="12">
        <v>0.1</v>
      </c>
      <c r="Y55" s="12">
        <v>2</v>
      </c>
      <c r="Z55" s="12">
        <v>0.1</v>
      </c>
      <c r="AA55" s="12">
        <v>0.9</v>
      </c>
      <c r="AB55" s="13">
        <f t="shared" si="9"/>
        <v>102.46666666666668</v>
      </c>
      <c r="AC55" s="6">
        <f t="shared" si="10"/>
        <v>268.82048104956277</v>
      </c>
      <c r="AD55" s="6">
        <f t="shared" si="11"/>
        <v>268.82048104956277</v>
      </c>
      <c r="AE55" s="6">
        <f t="shared" si="12"/>
        <v>268.82048104956277</v>
      </c>
      <c r="AF55" s="6">
        <f t="shared" si="13"/>
        <v>268.82048104956277</v>
      </c>
      <c r="AG55" s="6">
        <f t="shared" si="14"/>
        <v>268.82048104956277</v>
      </c>
      <c r="AH55" s="6">
        <f t="shared" si="15"/>
        <v>268.82048104956277</v>
      </c>
      <c r="AI55" s="6">
        <f t="shared" si="16"/>
        <v>268.82048104956277</v>
      </c>
      <c r="AJ55" s="6">
        <f t="shared" si="23"/>
        <v>75.083775000000003</v>
      </c>
      <c r="AK55" s="6">
        <f t="shared" si="23"/>
        <v>75.083775000000003</v>
      </c>
      <c r="AL55" s="6">
        <f t="shared" si="23"/>
        <v>75.083775000000003</v>
      </c>
      <c r="AM55" s="6">
        <f t="shared" si="23"/>
        <v>75.083775000000003</v>
      </c>
      <c r="AN55" s="6">
        <f t="shared" si="23"/>
        <v>75.083775000000003</v>
      </c>
      <c r="AO55" s="6">
        <f t="shared" si="23"/>
        <v>75.083775000000003</v>
      </c>
      <c r="AP55" s="1">
        <f t="shared" si="18"/>
        <v>75.083775000000003</v>
      </c>
    </row>
    <row r="56" spans="3:42" x14ac:dyDescent="0.15">
      <c r="C56" s="6">
        <v>54</v>
      </c>
      <c r="D56" s="6">
        <f t="shared" si="2"/>
        <v>5</v>
      </c>
      <c r="E56" s="11">
        <f ca="1">mVlookup(D56&amp;3,[1]!circlePer,"max",FALSE)+10%</f>
        <v>0.24000000000000002</v>
      </c>
      <c r="F56" s="6">
        <f ca="1">mVlookup(D56&amp;3,[1]!circleValue,"max",FALSE)+1.5</f>
        <v>2.8</v>
      </c>
      <c r="G56" s="6">
        <f ca="1">mVlookup(D56&amp;3,[1]!otherDamage,"max",FALSE)*100%</f>
        <v>0.14000000000000001</v>
      </c>
      <c r="H56" s="6">
        <f t="shared" si="19"/>
        <v>4</v>
      </c>
      <c r="I56" s="6">
        <f t="shared" si="20"/>
        <v>3.3</v>
      </c>
      <c r="J56" s="12">
        <f>[1]伤害减免!$D56</f>
        <v>0.80600000000000005</v>
      </c>
      <c r="K56" s="6">
        <f t="shared" si="21"/>
        <v>7</v>
      </c>
      <c r="L56" s="6" t="str">
        <f t="shared" si="3"/>
        <v>4.6</v>
      </c>
      <c r="M56" s="6">
        <f>C56*([1]装备!E$10*0.5+[1]装备!E$10*VLOOKUP(C56,[1]!powerDistribution,3,FALSE))</f>
        <v>1425.0600000000004</v>
      </c>
      <c r="N56" s="6">
        <f>C56*([1]装备!F$10*0.5+[1]装备!F$10*VLOOKUP(C56,[1]!powerDistribution,3,FALSE))</f>
        <v>861.3695708870913</v>
      </c>
      <c r="O56" s="6">
        <f t="shared" ca="1" si="4"/>
        <v>1799.8958042646516</v>
      </c>
      <c r="P56" s="6">
        <v>100</v>
      </c>
      <c r="Q56" s="6">
        <f t="shared" si="5"/>
        <v>766.04845360824777</v>
      </c>
      <c r="R56" s="6">
        <f t="shared" si="22"/>
        <v>76.500450000000001</v>
      </c>
      <c r="S56" s="6">
        <f t="shared" si="6"/>
        <v>766.04845360824777</v>
      </c>
      <c r="T56" s="6">
        <f t="shared" si="7"/>
        <v>76.500450000000001</v>
      </c>
      <c r="U56" s="6">
        <f>20%</f>
        <v>0.2</v>
      </c>
      <c r="V56" s="6">
        <v>0.2</v>
      </c>
      <c r="W56" s="6">
        <f t="shared" si="8"/>
        <v>0.35999999999999988</v>
      </c>
      <c r="X56" s="12">
        <v>0.1</v>
      </c>
      <c r="Y56" s="12">
        <v>2</v>
      </c>
      <c r="Z56" s="12">
        <v>0.1</v>
      </c>
      <c r="AA56" s="12">
        <v>0.9</v>
      </c>
      <c r="AB56" s="13">
        <f t="shared" si="9"/>
        <v>104.4</v>
      </c>
      <c r="AC56" s="6">
        <f t="shared" si="10"/>
        <v>283.33298969072177</v>
      </c>
      <c r="AD56" s="6">
        <f t="shared" si="11"/>
        <v>283.33298969072177</v>
      </c>
      <c r="AE56" s="6">
        <f t="shared" si="12"/>
        <v>283.33298969072177</v>
      </c>
      <c r="AF56" s="6">
        <f t="shared" si="13"/>
        <v>283.33298969072177</v>
      </c>
      <c r="AG56" s="6">
        <f t="shared" si="14"/>
        <v>283.33298969072177</v>
      </c>
      <c r="AH56" s="6">
        <f t="shared" si="15"/>
        <v>283.33298969072177</v>
      </c>
      <c r="AI56" s="6">
        <f t="shared" si="16"/>
        <v>283.33298969072177</v>
      </c>
      <c r="AJ56" s="6">
        <f t="shared" si="23"/>
        <v>76.500450000000001</v>
      </c>
      <c r="AK56" s="6">
        <f t="shared" si="23"/>
        <v>76.500450000000001</v>
      </c>
      <c r="AL56" s="6">
        <f t="shared" si="23"/>
        <v>76.500450000000001</v>
      </c>
      <c r="AM56" s="6">
        <f t="shared" si="23"/>
        <v>76.500450000000001</v>
      </c>
      <c r="AN56" s="6">
        <f t="shared" si="23"/>
        <v>76.500450000000001</v>
      </c>
      <c r="AO56" s="6">
        <f t="shared" si="23"/>
        <v>76.500450000000001</v>
      </c>
      <c r="AP56" s="1">
        <f t="shared" si="18"/>
        <v>76.500450000000001</v>
      </c>
    </row>
    <row r="57" spans="3:42" x14ac:dyDescent="0.15">
      <c r="C57" s="6">
        <v>55</v>
      </c>
      <c r="D57" s="6">
        <f t="shared" si="2"/>
        <v>5</v>
      </c>
      <c r="E57" s="11">
        <f ca="1">mVlookup(D57&amp;3,[1]!circlePer,"max",FALSE)+10%</f>
        <v>0.24000000000000002</v>
      </c>
      <c r="F57" s="6">
        <f ca="1">mVlookup(D57&amp;3,[1]!circleValue,"max",FALSE)+1.5</f>
        <v>2.8</v>
      </c>
      <c r="G57" s="6">
        <f ca="1">mVlookup(D57&amp;3,[1]!otherDamage,"max",FALSE)*100%</f>
        <v>0.14000000000000001</v>
      </c>
      <c r="H57" s="6">
        <f t="shared" si="19"/>
        <v>4</v>
      </c>
      <c r="I57" s="6">
        <f t="shared" si="20"/>
        <v>3.3</v>
      </c>
      <c r="J57" s="12">
        <f>[1]伤害减免!$D57</f>
        <v>0.80800000000000005</v>
      </c>
      <c r="K57" s="6">
        <f t="shared" si="21"/>
        <v>7</v>
      </c>
      <c r="L57" s="6" t="str">
        <f t="shared" si="3"/>
        <v>4.6</v>
      </c>
      <c r="M57" s="6">
        <f>C57*([1]装备!E$10*0.5+[1]装备!E$10*VLOOKUP(C57,[1]!powerDistribution,3,FALSE))</f>
        <v>1458.6000000000004</v>
      </c>
      <c r="N57" s="6">
        <f>C57*([1]装备!F$10*0.5+[1]装备!F$10*VLOOKUP(C57,[1]!powerDistribution,3,FALSE))</f>
        <v>881.64263686856088</v>
      </c>
      <c r="O57" s="6">
        <f t="shared" ca="1" si="4"/>
        <v>1842.2578839490413</v>
      </c>
      <c r="P57" s="6">
        <v>100</v>
      </c>
      <c r="Q57" s="6">
        <f t="shared" si="5"/>
        <v>786.8191964285719</v>
      </c>
      <c r="R57" s="6">
        <f t="shared" si="22"/>
        <v>77.917124999999984</v>
      </c>
      <c r="S57" s="6">
        <f t="shared" si="6"/>
        <v>786.8191964285719</v>
      </c>
      <c r="T57" s="6">
        <f t="shared" si="7"/>
        <v>77.917124999999984</v>
      </c>
      <c r="U57" s="6">
        <f>20%</f>
        <v>0.2</v>
      </c>
      <c r="V57" s="6">
        <v>0.2</v>
      </c>
      <c r="W57" s="6">
        <f t="shared" si="8"/>
        <v>0.35999999999999988</v>
      </c>
      <c r="X57" s="12">
        <v>0.1</v>
      </c>
      <c r="Y57" s="12">
        <v>2</v>
      </c>
      <c r="Z57" s="12">
        <v>0.1</v>
      </c>
      <c r="AA57" s="12">
        <v>0.9</v>
      </c>
      <c r="AB57" s="13">
        <f t="shared" si="9"/>
        <v>106.33333333333334</v>
      </c>
      <c r="AC57" s="6">
        <f t="shared" si="10"/>
        <v>298.44866071428589</v>
      </c>
      <c r="AD57" s="6">
        <f t="shared" si="11"/>
        <v>298.44866071428589</v>
      </c>
      <c r="AE57" s="6">
        <f t="shared" si="12"/>
        <v>298.44866071428589</v>
      </c>
      <c r="AF57" s="6">
        <f t="shared" si="13"/>
        <v>298.44866071428589</v>
      </c>
      <c r="AG57" s="6">
        <f t="shared" si="14"/>
        <v>298.44866071428589</v>
      </c>
      <c r="AH57" s="6">
        <f t="shared" si="15"/>
        <v>298.44866071428589</v>
      </c>
      <c r="AI57" s="6">
        <f t="shared" si="16"/>
        <v>298.44866071428589</v>
      </c>
      <c r="AJ57" s="6">
        <f t="shared" si="23"/>
        <v>77.917124999999984</v>
      </c>
      <c r="AK57" s="6">
        <f t="shared" si="23"/>
        <v>77.917124999999984</v>
      </c>
      <c r="AL57" s="6">
        <f t="shared" si="23"/>
        <v>77.917124999999984</v>
      </c>
      <c r="AM57" s="6">
        <f t="shared" si="23"/>
        <v>77.917124999999984</v>
      </c>
      <c r="AN57" s="6">
        <f t="shared" si="23"/>
        <v>77.917124999999984</v>
      </c>
      <c r="AO57" s="6">
        <f t="shared" si="23"/>
        <v>77.917124999999984</v>
      </c>
      <c r="AP57" s="1">
        <f t="shared" si="18"/>
        <v>77.917124999999984</v>
      </c>
    </row>
    <row r="58" spans="3:42" x14ac:dyDescent="0.15">
      <c r="C58" s="6">
        <v>56</v>
      </c>
      <c r="D58" s="6">
        <f t="shared" si="2"/>
        <v>6</v>
      </c>
      <c r="E58" s="11">
        <f ca="1">mVlookup(D58&amp;3,[1]!circlePer,"max",FALSE)+10%</f>
        <v>0.25</v>
      </c>
      <c r="F58" s="6">
        <f ca="1">mVlookup(D58&amp;3,[1]!circleValue,"max",FALSE)+1.5</f>
        <v>2.9</v>
      </c>
      <c r="G58" s="6">
        <f ca="1">mVlookup(D58&amp;3,[1]!otherDamage,"max",FALSE)*100%</f>
        <v>0.15</v>
      </c>
      <c r="H58" s="6">
        <f t="shared" si="19"/>
        <v>4</v>
      </c>
      <c r="I58" s="6">
        <f t="shared" si="20"/>
        <v>3.3</v>
      </c>
      <c r="J58" s="12">
        <f>[1]伤害减免!$D58</f>
        <v>0.81</v>
      </c>
      <c r="K58" s="6">
        <f t="shared" si="21"/>
        <v>7</v>
      </c>
      <c r="L58" s="6" t="str">
        <f t="shared" si="3"/>
        <v>4.6</v>
      </c>
      <c r="M58" s="6">
        <f>C58*([1]装备!E$10*0.5+[1]装备!E$10*VLOOKUP(C58,[1]!powerDistribution,3,FALSE))</f>
        <v>1492.4000000000003</v>
      </c>
      <c r="N58" s="6">
        <f>C58*([1]装备!F$10*0.5+[1]装备!F$10*VLOOKUP(C58,[1]!powerDistribution,3,FALSE))</f>
        <v>902.07285840027441</v>
      </c>
      <c r="O58" s="6">
        <f t="shared" ca="1" si="4"/>
        <v>1958.5805901586759</v>
      </c>
      <c r="P58" s="6">
        <v>100</v>
      </c>
      <c r="Q58" s="6">
        <f t="shared" si="5"/>
        <v>807.91578947368453</v>
      </c>
      <c r="R58" s="6">
        <f t="shared" si="22"/>
        <v>79.333799999999997</v>
      </c>
      <c r="S58" s="6">
        <f t="shared" si="6"/>
        <v>807.91578947368453</v>
      </c>
      <c r="T58" s="6">
        <f t="shared" si="7"/>
        <v>79.333799999999997</v>
      </c>
      <c r="U58" s="6">
        <f>20%</f>
        <v>0.2</v>
      </c>
      <c r="V58" s="6">
        <v>0.2</v>
      </c>
      <c r="W58" s="6">
        <f t="shared" si="8"/>
        <v>0.35999999999999988</v>
      </c>
      <c r="X58" s="12">
        <v>0.1</v>
      </c>
      <c r="Y58" s="12">
        <v>2</v>
      </c>
      <c r="Z58" s="12">
        <v>0.1</v>
      </c>
      <c r="AA58" s="12">
        <v>0.9</v>
      </c>
      <c r="AB58" s="13">
        <f t="shared" si="9"/>
        <v>108.26666666666668</v>
      </c>
      <c r="AC58" s="6">
        <f t="shared" si="10"/>
        <v>314.18947368421072</v>
      </c>
      <c r="AD58" s="6">
        <f t="shared" si="11"/>
        <v>314.18947368421072</v>
      </c>
      <c r="AE58" s="6">
        <f t="shared" si="12"/>
        <v>314.18947368421072</v>
      </c>
      <c r="AF58" s="6">
        <f t="shared" si="13"/>
        <v>314.18947368421072</v>
      </c>
      <c r="AG58" s="6">
        <f t="shared" si="14"/>
        <v>314.18947368421072</v>
      </c>
      <c r="AH58" s="6">
        <f t="shared" si="15"/>
        <v>314.18947368421072</v>
      </c>
      <c r="AI58" s="6">
        <f t="shared" si="16"/>
        <v>314.18947368421072</v>
      </c>
      <c r="AJ58" s="6">
        <f t="shared" si="23"/>
        <v>79.333799999999997</v>
      </c>
      <c r="AK58" s="6">
        <f t="shared" si="23"/>
        <v>79.333799999999997</v>
      </c>
      <c r="AL58" s="6">
        <f t="shared" si="23"/>
        <v>79.333799999999997</v>
      </c>
      <c r="AM58" s="6">
        <f t="shared" si="23"/>
        <v>79.333799999999997</v>
      </c>
      <c r="AN58" s="6">
        <f t="shared" si="23"/>
        <v>79.333799999999997</v>
      </c>
      <c r="AO58" s="6">
        <f t="shared" si="23"/>
        <v>79.333799999999997</v>
      </c>
      <c r="AP58" s="1">
        <f t="shared" si="18"/>
        <v>79.333799999999997</v>
      </c>
    </row>
    <row r="59" spans="3:42" x14ac:dyDescent="0.15">
      <c r="C59" s="6">
        <v>57</v>
      </c>
      <c r="D59" s="6">
        <f t="shared" si="2"/>
        <v>6</v>
      </c>
      <c r="E59" s="11">
        <f ca="1">mVlookup(D59&amp;3,[1]!circlePer,"max",FALSE)+10%</f>
        <v>0.25</v>
      </c>
      <c r="F59" s="6">
        <f ca="1">mVlookup(D59&amp;3,[1]!circleValue,"max",FALSE)+1.5</f>
        <v>2.9</v>
      </c>
      <c r="G59" s="6">
        <f ca="1">mVlookup(D59&amp;3,[1]!otherDamage,"max",FALSE)*100%</f>
        <v>0.15</v>
      </c>
      <c r="H59" s="6">
        <f t="shared" si="19"/>
        <v>4</v>
      </c>
      <c r="I59" s="6">
        <f t="shared" si="20"/>
        <v>3.3</v>
      </c>
      <c r="J59" s="12">
        <f>[1]伤害减免!$D59</f>
        <v>0.81200000000000006</v>
      </c>
      <c r="K59" s="6">
        <f t="shared" si="21"/>
        <v>7</v>
      </c>
      <c r="L59" s="6" t="str">
        <f t="shared" si="3"/>
        <v>4.6</v>
      </c>
      <c r="M59" s="6">
        <f>C59*([1]装备!E$10*0.5+[1]装备!E$10*VLOOKUP(C59,[1]!powerDistribution,3,FALSE))</f>
        <v>1526.4600000000005</v>
      </c>
      <c r="N59" s="6">
        <f>C59*([1]装备!F$10*0.5+[1]装备!F$10*VLOOKUP(C59,[1]!powerDistribution,3,FALSE))</f>
        <v>922.66023548223188</v>
      </c>
      <c r="O59" s="6">
        <f t="shared" ca="1" si="4"/>
        <v>2003.2799032790219</v>
      </c>
      <c r="P59" s="6">
        <v>100</v>
      </c>
      <c r="Q59" s="6">
        <f t="shared" si="5"/>
        <v>829.34566869300954</v>
      </c>
      <c r="R59" s="6">
        <f t="shared" si="22"/>
        <v>80.750474999999994</v>
      </c>
      <c r="S59" s="6">
        <f t="shared" si="6"/>
        <v>829.34566869300954</v>
      </c>
      <c r="T59" s="6">
        <f t="shared" si="7"/>
        <v>80.750474999999994</v>
      </c>
      <c r="U59" s="6">
        <f>20%</f>
        <v>0.2</v>
      </c>
      <c r="V59" s="6">
        <v>0.2</v>
      </c>
      <c r="W59" s="6">
        <f t="shared" si="8"/>
        <v>0.35999999999999988</v>
      </c>
      <c r="X59" s="12">
        <v>0.1</v>
      </c>
      <c r="Y59" s="12">
        <v>2</v>
      </c>
      <c r="Z59" s="12">
        <v>0.1</v>
      </c>
      <c r="AA59" s="12">
        <v>0.9</v>
      </c>
      <c r="AB59" s="13">
        <f t="shared" si="9"/>
        <v>110.20000000000002</v>
      </c>
      <c r="AC59" s="6">
        <f t="shared" si="10"/>
        <v>330.57834346504575</v>
      </c>
      <c r="AD59" s="6">
        <f t="shared" si="11"/>
        <v>330.57834346504575</v>
      </c>
      <c r="AE59" s="6">
        <f t="shared" si="12"/>
        <v>330.57834346504575</v>
      </c>
      <c r="AF59" s="6">
        <f t="shared" si="13"/>
        <v>330.57834346504575</v>
      </c>
      <c r="AG59" s="6">
        <f t="shared" si="14"/>
        <v>330.57834346504575</v>
      </c>
      <c r="AH59" s="6">
        <f t="shared" si="15"/>
        <v>330.57834346504575</v>
      </c>
      <c r="AI59" s="6">
        <f t="shared" si="16"/>
        <v>330.57834346504575</v>
      </c>
      <c r="AJ59" s="6">
        <f t="shared" si="23"/>
        <v>80.750474999999994</v>
      </c>
      <c r="AK59" s="6">
        <f t="shared" si="23"/>
        <v>80.750474999999994</v>
      </c>
      <c r="AL59" s="6">
        <f t="shared" si="23"/>
        <v>80.750474999999994</v>
      </c>
      <c r="AM59" s="6">
        <f t="shared" si="23"/>
        <v>80.750474999999994</v>
      </c>
      <c r="AN59" s="6">
        <f t="shared" si="23"/>
        <v>80.750474999999994</v>
      </c>
      <c r="AO59" s="6">
        <f t="shared" si="23"/>
        <v>80.750474999999994</v>
      </c>
      <c r="AP59" s="1">
        <f t="shared" si="18"/>
        <v>80.750474999999994</v>
      </c>
    </row>
    <row r="60" spans="3:42" x14ac:dyDescent="0.15">
      <c r="C60" s="6">
        <v>58</v>
      </c>
      <c r="D60" s="6">
        <f t="shared" si="2"/>
        <v>6</v>
      </c>
      <c r="E60" s="11">
        <f ca="1">mVlookup(D60&amp;3,[1]!circlePer,"max",FALSE)+10%</f>
        <v>0.25</v>
      </c>
      <c r="F60" s="6">
        <f ca="1">mVlookup(D60&amp;3,[1]!circleValue,"max",FALSE)+1.5</f>
        <v>2.9</v>
      </c>
      <c r="G60" s="6">
        <f ca="1">mVlookup(D60&amp;3,[1]!otherDamage,"max",FALSE)*100%</f>
        <v>0.15</v>
      </c>
      <c r="H60" s="6">
        <f t="shared" si="19"/>
        <v>4</v>
      </c>
      <c r="I60" s="6">
        <f t="shared" si="20"/>
        <v>3.3</v>
      </c>
      <c r="J60" s="12">
        <f>[1]伤害减免!$D60</f>
        <v>0.81400000000000006</v>
      </c>
      <c r="K60" s="6">
        <f t="shared" si="21"/>
        <v>7</v>
      </c>
      <c r="L60" s="6" t="str">
        <f t="shared" si="3"/>
        <v>4.6</v>
      </c>
      <c r="M60" s="6">
        <f>C60*([1]装备!E$10*0.5+[1]装备!E$10*VLOOKUP(C60,[1]!powerDistribution,3,FALSE))</f>
        <v>1560.7800000000004</v>
      </c>
      <c r="N60" s="6">
        <f>C60*([1]装备!F$10*0.5+[1]装备!F$10*VLOOKUP(C60,[1]!powerDistribution,3,FALSE))</f>
        <v>943.4047681144333</v>
      </c>
      <c r="O60" s="6">
        <f t="shared" ca="1" si="4"/>
        <v>2048.3204325300576</v>
      </c>
      <c r="P60" s="6">
        <v>100</v>
      </c>
      <c r="Q60" s="6">
        <f t="shared" si="5"/>
        <v>851.11658986175166</v>
      </c>
      <c r="R60" s="6">
        <f t="shared" si="22"/>
        <v>82.167150000000007</v>
      </c>
      <c r="S60" s="6">
        <f t="shared" si="6"/>
        <v>851.11658986175166</v>
      </c>
      <c r="T60" s="6">
        <f t="shared" si="7"/>
        <v>82.167150000000007</v>
      </c>
      <c r="U60" s="6">
        <f>20%</f>
        <v>0.2</v>
      </c>
      <c r="V60" s="6">
        <v>0.2</v>
      </c>
      <c r="W60" s="6">
        <f t="shared" si="8"/>
        <v>0.35999999999999988</v>
      </c>
      <c r="X60" s="12">
        <v>0.1</v>
      </c>
      <c r="Y60" s="12">
        <v>2</v>
      </c>
      <c r="Z60" s="12">
        <v>0.1</v>
      </c>
      <c r="AA60" s="12">
        <v>0.9</v>
      </c>
      <c r="AB60" s="13">
        <f t="shared" si="9"/>
        <v>112.13333333333335</v>
      </c>
      <c r="AC60" s="6">
        <f t="shared" si="10"/>
        <v>347.63917050691265</v>
      </c>
      <c r="AD60" s="6">
        <f t="shared" si="11"/>
        <v>347.63917050691265</v>
      </c>
      <c r="AE60" s="6">
        <f t="shared" si="12"/>
        <v>347.63917050691265</v>
      </c>
      <c r="AF60" s="6">
        <f t="shared" si="13"/>
        <v>347.63917050691265</v>
      </c>
      <c r="AG60" s="6">
        <f t="shared" si="14"/>
        <v>347.63917050691265</v>
      </c>
      <c r="AH60" s="6">
        <f t="shared" si="15"/>
        <v>347.63917050691265</v>
      </c>
      <c r="AI60" s="6">
        <f t="shared" si="16"/>
        <v>347.63917050691265</v>
      </c>
      <c r="AJ60" s="6">
        <f t="shared" si="23"/>
        <v>82.167150000000007</v>
      </c>
      <c r="AK60" s="6">
        <f t="shared" si="23"/>
        <v>82.167150000000007</v>
      </c>
      <c r="AL60" s="6">
        <f t="shared" si="23"/>
        <v>82.167150000000007</v>
      </c>
      <c r="AM60" s="6">
        <f t="shared" si="23"/>
        <v>82.167150000000007</v>
      </c>
      <c r="AN60" s="6">
        <f t="shared" si="23"/>
        <v>82.167150000000007</v>
      </c>
      <c r="AO60" s="6">
        <f t="shared" si="23"/>
        <v>82.167150000000007</v>
      </c>
      <c r="AP60" s="1">
        <f t="shared" si="18"/>
        <v>82.167150000000007</v>
      </c>
    </row>
    <row r="61" spans="3:42" x14ac:dyDescent="0.15">
      <c r="C61" s="6">
        <v>59</v>
      </c>
      <c r="D61" s="6">
        <f t="shared" si="2"/>
        <v>6</v>
      </c>
      <c r="E61" s="11">
        <f ca="1">mVlookup(D61&amp;3,[1]!circlePer,"max",FALSE)+10%</f>
        <v>0.25</v>
      </c>
      <c r="F61" s="6">
        <f ca="1">mVlookup(D61&amp;3,[1]!circleValue,"max",FALSE)+1.5</f>
        <v>2.9</v>
      </c>
      <c r="G61" s="6">
        <f ca="1">mVlookup(D61&amp;3,[1]!otherDamage,"max",FALSE)*100%</f>
        <v>0.15</v>
      </c>
      <c r="H61" s="6">
        <f t="shared" si="19"/>
        <v>4</v>
      </c>
      <c r="I61" s="6">
        <f t="shared" si="20"/>
        <v>3.3</v>
      </c>
      <c r="J61" s="12">
        <f>[1]伤害减免!$D61</f>
        <v>0.81600000000000006</v>
      </c>
      <c r="K61" s="6">
        <f t="shared" si="21"/>
        <v>7</v>
      </c>
      <c r="L61" s="6" t="str">
        <f t="shared" si="3"/>
        <v>4.6</v>
      </c>
      <c r="M61" s="6">
        <f>C61*([1]装备!E$10*0.5+[1]装备!E$10*VLOOKUP(C61,[1]!powerDistribution,3,FALSE))</f>
        <v>1595.3600000000004</v>
      </c>
      <c r="N61" s="6">
        <f>C61*([1]装备!F$10*0.5+[1]装备!F$10*VLOOKUP(C61,[1]!powerDistribution,3,FALSE))</f>
        <v>964.30645629687865</v>
      </c>
      <c r="O61" s="6">
        <f t="shared" ca="1" si="4"/>
        <v>2093.7021779117836</v>
      </c>
      <c r="P61" s="6">
        <v>100</v>
      </c>
      <c r="Q61" s="6">
        <f t="shared" si="5"/>
        <v>873.23664596273329</v>
      </c>
      <c r="R61" s="6">
        <f t="shared" si="22"/>
        <v>83.58382499999999</v>
      </c>
      <c r="S61" s="6">
        <f t="shared" si="6"/>
        <v>873.23664596273329</v>
      </c>
      <c r="T61" s="6">
        <f t="shared" si="7"/>
        <v>83.58382499999999</v>
      </c>
      <c r="U61" s="6">
        <f>20%</f>
        <v>0.2</v>
      </c>
      <c r="V61" s="6">
        <v>0.2</v>
      </c>
      <c r="W61" s="6">
        <f t="shared" si="8"/>
        <v>0.35999999999999988</v>
      </c>
      <c r="X61" s="12">
        <v>0.1</v>
      </c>
      <c r="Y61" s="12">
        <v>2</v>
      </c>
      <c r="Z61" s="12">
        <v>0.1</v>
      </c>
      <c r="AA61" s="12">
        <v>0.9</v>
      </c>
      <c r="AB61" s="13">
        <f t="shared" si="9"/>
        <v>114.06666666666668</v>
      </c>
      <c r="AC61" s="6">
        <f t="shared" si="10"/>
        <v>365.39689440993806</v>
      </c>
      <c r="AD61" s="6">
        <f t="shared" si="11"/>
        <v>365.39689440993806</v>
      </c>
      <c r="AE61" s="6">
        <f t="shared" si="12"/>
        <v>365.39689440993806</v>
      </c>
      <c r="AF61" s="6">
        <f t="shared" si="13"/>
        <v>365.39689440993806</v>
      </c>
      <c r="AG61" s="6">
        <f t="shared" si="14"/>
        <v>365.39689440993806</v>
      </c>
      <c r="AH61" s="6">
        <f t="shared" si="15"/>
        <v>365.39689440993806</v>
      </c>
      <c r="AI61" s="6">
        <f t="shared" si="16"/>
        <v>365.39689440993806</v>
      </c>
      <c r="AJ61" s="6">
        <f t="shared" si="23"/>
        <v>83.58382499999999</v>
      </c>
      <c r="AK61" s="6">
        <f t="shared" si="23"/>
        <v>83.58382499999999</v>
      </c>
      <c r="AL61" s="6">
        <f t="shared" si="23"/>
        <v>83.58382499999999</v>
      </c>
      <c r="AM61" s="6">
        <f t="shared" si="23"/>
        <v>83.58382499999999</v>
      </c>
      <c r="AN61" s="6">
        <f t="shared" si="23"/>
        <v>83.58382499999999</v>
      </c>
      <c r="AO61" s="6">
        <f t="shared" si="23"/>
        <v>83.58382499999999</v>
      </c>
      <c r="AP61" s="1">
        <f t="shared" si="18"/>
        <v>83.58382499999999</v>
      </c>
    </row>
    <row r="62" spans="3:42" x14ac:dyDescent="0.15">
      <c r="C62" s="6">
        <v>60</v>
      </c>
      <c r="D62" s="6">
        <f t="shared" si="2"/>
        <v>6</v>
      </c>
      <c r="E62" s="11">
        <f ca="1">mVlookup(D62&amp;3,[1]!circlePer,"max",FALSE)+10%</f>
        <v>0.25</v>
      </c>
      <c r="F62" s="6">
        <f ca="1">mVlookup(D62&amp;3,[1]!circleValue,"max",FALSE)+1.5</f>
        <v>2.9</v>
      </c>
      <c r="G62" s="6">
        <f ca="1">mVlookup(D62&amp;3,[1]!otherDamage,"max",FALSE)*100%</f>
        <v>0.15</v>
      </c>
      <c r="H62" s="6">
        <f t="shared" si="19"/>
        <v>4</v>
      </c>
      <c r="I62" s="6">
        <f t="shared" si="20"/>
        <v>3.3</v>
      </c>
      <c r="J62" s="12">
        <f>[1]伤害减免!$D62</f>
        <v>0.81800000000000006</v>
      </c>
      <c r="K62" s="6">
        <f t="shared" si="21"/>
        <v>7</v>
      </c>
      <c r="L62" s="6" t="str">
        <f t="shared" si="3"/>
        <v>4.6</v>
      </c>
      <c r="M62" s="6">
        <f>C62*([1]装备!E$10*0.5+[1]装备!E$10*VLOOKUP(C62,[1]!powerDistribution,3,FALSE))</f>
        <v>1630.2000000000003</v>
      </c>
      <c r="N62" s="6">
        <f>C62*([1]装备!F$10*0.5+[1]装备!F$10*VLOOKUP(C62,[1]!powerDistribution,3,FALSE))</f>
        <v>985.36530002956817</v>
      </c>
      <c r="O62" s="6">
        <f t="shared" ca="1" si="4"/>
        <v>2139.4251394241987</v>
      </c>
      <c r="P62" s="6">
        <v>100</v>
      </c>
      <c r="Q62" s="6">
        <f t="shared" si="5"/>
        <v>895.71428571428601</v>
      </c>
      <c r="R62" s="6">
        <f t="shared" si="22"/>
        <v>85.000499999999988</v>
      </c>
      <c r="S62" s="6">
        <f t="shared" si="6"/>
        <v>895.71428571428601</v>
      </c>
      <c r="T62" s="6">
        <f t="shared" si="7"/>
        <v>85.000499999999988</v>
      </c>
      <c r="U62" s="6">
        <f>20%</f>
        <v>0.2</v>
      </c>
      <c r="V62" s="6">
        <v>0.2</v>
      </c>
      <c r="W62" s="6">
        <f t="shared" si="8"/>
        <v>0.35999999999999988</v>
      </c>
      <c r="X62" s="12">
        <v>0.1</v>
      </c>
      <c r="Y62" s="12">
        <v>2</v>
      </c>
      <c r="Z62" s="12">
        <v>0.1</v>
      </c>
      <c r="AA62" s="12">
        <v>0.9</v>
      </c>
      <c r="AB62" s="13">
        <f t="shared" si="9"/>
        <v>116.00000000000001</v>
      </c>
      <c r="AC62" s="6">
        <f t="shared" si="10"/>
        <v>383.8775510204083</v>
      </c>
      <c r="AD62" s="6">
        <f t="shared" si="11"/>
        <v>383.8775510204083</v>
      </c>
      <c r="AE62" s="6">
        <f t="shared" si="12"/>
        <v>383.8775510204083</v>
      </c>
      <c r="AF62" s="6">
        <f t="shared" si="13"/>
        <v>383.8775510204083</v>
      </c>
      <c r="AG62" s="6">
        <f t="shared" si="14"/>
        <v>383.8775510204083</v>
      </c>
      <c r="AH62" s="6">
        <f t="shared" si="15"/>
        <v>383.8775510204083</v>
      </c>
      <c r="AI62" s="6">
        <f t="shared" si="16"/>
        <v>383.8775510204083</v>
      </c>
      <c r="AJ62" s="6">
        <f t="shared" si="23"/>
        <v>85.000499999999988</v>
      </c>
      <c r="AK62" s="6">
        <f t="shared" si="23"/>
        <v>85.000499999999988</v>
      </c>
      <c r="AL62" s="6">
        <f t="shared" si="23"/>
        <v>85.000499999999988</v>
      </c>
      <c r="AM62" s="6">
        <f t="shared" si="23"/>
        <v>85.000499999999988</v>
      </c>
      <c r="AN62" s="6">
        <f t="shared" si="23"/>
        <v>85.000499999999988</v>
      </c>
      <c r="AO62" s="6">
        <f t="shared" si="23"/>
        <v>85.000499999999988</v>
      </c>
      <c r="AP62" s="1">
        <f t="shared" si="18"/>
        <v>85.000499999999988</v>
      </c>
    </row>
    <row r="63" spans="3:42" x14ac:dyDescent="0.15">
      <c r="C63" s="6">
        <v>61</v>
      </c>
      <c r="D63" s="6">
        <f t="shared" si="2"/>
        <v>6</v>
      </c>
      <c r="E63" s="11">
        <f ca="1">mVlookup(D63&amp;3,[1]!circlePer,"max",FALSE)+10%</f>
        <v>0.25</v>
      </c>
      <c r="F63" s="6">
        <f ca="1">mVlookup(D63&amp;3,[1]!circleValue,"max",FALSE)+1.5</f>
        <v>2.9</v>
      </c>
      <c r="G63" s="6">
        <f ca="1">mVlookup(D63&amp;3,[1]!otherDamage,"max",FALSE)*100%</f>
        <v>0.15</v>
      </c>
      <c r="H63" s="6">
        <f t="shared" si="19"/>
        <v>4</v>
      </c>
      <c r="I63" s="6">
        <f t="shared" si="20"/>
        <v>3.3</v>
      </c>
      <c r="J63" s="12">
        <f>[1]伤害减免!$D63</f>
        <v>0.82000000000000006</v>
      </c>
      <c r="K63" s="6">
        <f t="shared" si="21"/>
        <v>7</v>
      </c>
      <c r="L63" s="6" t="str">
        <f t="shared" si="3"/>
        <v>4.6</v>
      </c>
      <c r="M63" s="6">
        <f>C63*([1]装备!E$10*0.5+[1]装备!E$10*VLOOKUP(C63,[1]!powerDistribution,3,FALSE))</f>
        <v>1665.3000000000004</v>
      </c>
      <c r="N63" s="6">
        <f>C63*([1]装备!F$10*0.5+[1]装备!F$10*VLOOKUP(C63,[1]!powerDistribution,3,FALSE))</f>
        <v>1006.5812993125014</v>
      </c>
      <c r="O63" s="6">
        <f t="shared" ca="1" si="4"/>
        <v>2185.4893170673031</v>
      </c>
      <c r="P63" s="6">
        <v>100</v>
      </c>
      <c r="Q63" s="6">
        <f t="shared" si="5"/>
        <v>918.55833333333385</v>
      </c>
      <c r="R63" s="6">
        <f t="shared" si="22"/>
        <v>86.417175</v>
      </c>
      <c r="S63" s="6">
        <f t="shared" si="6"/>
        <v>918.55833333333385</v>
      </c>
      <c r="T63" s="6">
        <f t="shared" si="7"/>
        <v>86.417175</v>
      </c>
      <c r="U63" s="6">
        <f>20%</f>
        <v>0.2</v>
      </c>
      <c r="V63" s="6">
        <v>0.2</v>
      </c>
      <c r="W63" s="6">
        <f t="shared" si="8"/>
        <v>0.35999999999999988</v>
      </c>
      <c r="X63" s="12">
        <v>0.1</v>
      </c>
      <c r="Y63" s="12">
        <v>2</v>
      </c>
      <c r="Z63" s="12">
        <v>0.1</v>
      </c>
      <c r="AA63" s="12">
        <v>0.9</v>
      </c>
      <c r="AB63" s="13">
        <f t="shared" si="9"/>
        <v>117.93333333333335</v>
      </c>
      <c r="AC63" s="6">
        <f t="shared" si="10"/>
        <v>403.10833333333358</v>
      </c>
      <c r="AD63" s="6">
        <f t="shared" si="11"/>
        <v>403.10833333333358</v>
      </c>
      <c r="AE63" s="6">
        <f t="shared" si="12"/>
        <v>403.10833333333358</v>
      </c>
      <c r="AF63" s="6">
        <f t="shared" si="13"/>
        <v>403.10833333333358</v>
      </c>
      <c r="AG63" s="6">
        <f t="shared" si="14"/>
        <v>403.10833333333358</v>
      </c>
      <c r="AH63" s="6">
        <f t="shared" si="15"/>
        <v>403.10833333333358</v>
      </c>
      <c r="AI63" s="6">
        <f t="shared" si="16"/>
        <v>403.10833333333358</v>
      </c>
      <c r="AJ63" s="6">
        <f t="shared" si="23"/>
        <v>86.417175</v>
      </c>
      <c r="AK63" s="6">
        <f t="shared" si="23"/>
        <v>86.417175</v>
      </c>
      <c r="AL63" s="6">
        <f t="shared" si="23"/>
        <v>86.417175</v>
      </c>
      <c r="AM63" s="6">
        <f t="shared" si="23"/>
        <v>86.417175</v>
      </c>
      <c r="AN63" s="6">
        <f t="shared" si="23"/>
        <v>86.417175</v>
      </c>
      <c r="AO63" s="6">
        <f t="shared" si="23"/>
        <v>86.417175</v>
      </c>
      <c r="AP63" s="1">
        <f t="shared" si="18"/>
        <v>86.417175</v>
      </c>
    </row>
    <row r="64" spans="3:42" x14ac:dyDescent="0.15">
      <c r="C64" s="6">
        <v>62</v>
      </c>
      <c r="D64" s="6">
        <f t="shared" si="2"/>
        <v>6</v>
      </c>
      <c r="E64" s="11">
        <f ca="1">mVlookup(D64&amp;3,[1]!circlePer,"max",FALSE)+10%</f>
        <v>0.25</v>
      </c>
      <c r="F64" s="6">
        <f ca="1">mVlookup(D64&amp;3,[1]!circleValue,"max",FALSE)+1.5</f>
        <v>2.9</v>
      </c>
      <c r="G64" s="6">
        <f ca="1">mVlookup(D64&amp;3,[1]!otherDamage,"max",FALSE)*100%</f>
        <v>0.15</v>
      </c>
      <c r="H64" s="6">
        <f t="shared" si="19"/>
        <v>4</v>
      </c>
      <c r="I64" s="6">
        <f t="shared" si="20"/>
        <v>3.3</v>
      </c>
      <c r="J64" s="12">
        <f>[1]伤害减免!$D64</f>
        <v>0.82200000000000006</v>
      </c>
      <c r="K64" s="6">
        <f t="shared" si="21"/>
        <v>7</v>
      </c>
      <c r="L64" s="6" t="str">
        <f t="shared" si="3"/>
        <v>4.6</v>
      </c>
      <c r="M64" s="6">
        <f>C64*([1]装备!E$10*0.5+[1]装备!E$10*VLOOKUP(C64,[1]!powerDistribution,3,FALSE))</f>
        <v>1700.6600000000003</v>
      </c>
      <c r="N64" s="6">
        <f>C64*([1]装备!F$10*0.5+[1]装备!F$10*VLOOKUP(C64,[1]!powerDistribution,3,FALSE))</f>
        <v>1027.9544541456787</v>
      </c>
      <c r="O64" s="6">
        <f t="shared" ca="1" si="4"/>
        <v>2231.894710841098</v>
      </c>
      <c r="P64" s="6">
        <v>100</v>
      </c>
      <c r="Q64" s="6">
        <f t="shared" si="5"/>
        <v>941.77800963081904</v>
      </c>
      <c r="R64" s="6">
        <f t="shared" si="22"/>
        <v>87.833849999999984</v>
      </c>
      <c r="S64" s="6">
        <f t="shared" si="6"/>
        <v>941.77800963081904</v>
      </c>
      <c r="T64" s="6">
        <f t="shared" si="7"/>
        <v>87.833849999999984</v>
      </c>
      <c r="U64" s="6">
        <f>20%</f>
        <v>0.2</v>
      </c>
      <c r="V64" s="6">
        <v>0.2</v>
      </c>
      <c r="W64" s="6">
        <f t="shared" si="8"/>
        <v>0.35999999999999988</v>
      </c>
      <c r="X64" s="12">
        <v>0.1</v>
      </c>
      <c r="Y64" s="12">
        <v>2</v>
      </c>
      <c r="Z64" s="12">
        <v>0.1</v>
      </c>
      <c r="AA64" s="12">
        <v>0.9</v>
      </c>
      <c r="AB64" s="13">
        <f t="shared" si="9"/>
        <v>119.86666666666667</v>
      </c>
      <c r="AC64" s="6">
        <f t="shared" si="10"/>
        <v>423.11765650080281</v>
      </c>
      <c r="AD64" s="6">
        <f t="shared" si="11"/>
        <v>423.11765650080281</v>
      </c>
      <c r="AE64" s="6">
        <f t="shared" si="12"/>
        <v>423.11765650080281</v>
      </c>
      <c r="AF64" s="6">
        <f t="shared" si="13"/>
        <v>423.11765650080281</v>
      </c>
      <c r="AG64" s="6">
        <f t="shared" si="14"/>
        <v>423.11765650080281</v>
      </c>
      <c r="AH64" s="6">
        <f t="shared" si="15"/>
        <v>423.11765650080281</v>
      </c>
      <c r="AI64" s="6">
        <f t="shared" si="16"/>
        <v>423.11765650080281</v>
      </c>
      <c r="AJ64" s="6">
        <f t="shared" si="23"/>
        <v>87.833849999999984</v>
      </c>
      <c r="AK64" s="6">
        <f t="shared" si="23"/>
        <v>87.833849999999984</v>
      </c>
      <c r="AL64" s="6">
        <f t="shared" si="23"/>
        <v>87.833849999999984</v>
      </c>
      <c r="AM64" s="6">
        <f t="shared" si="23"/>
        <v>87.833849999999984</v>
      </c>
      <c r="AN64" s="6">
        <f t="shared" si="23"/>
        <v>87.833849999999984</v>
      </c>
      <c r="AO64" s="6">
        <f t="shared" si="23"/>
        <v>87.833849999999984</v>
      </c>
      <c r="AP64" s="1">
        <f t="shared" si="18"/>
        <v>87.833849999999984</v>
      </c>
    </row>
    <row r="65" spans="3:42" x14ac:dyDescent="0.15">
      <c r="C65" s="6">
        <v>63</v>
      </c>
      <c r="D65" s="6">
        <f t="shared" si="2"/>
        <v>6</v>
      </c>
      <c r="E65" s="11">
        <f ca="1">mVlookup(D65&amp;3,[1]!circlePer,"max",FALSE)+10%</f>
        <v>0.25</v>
      </c>
      <c r="F65" s="6">
        <f ca="1">mVlookup(D65&amp;3,[1]!circleValue,"max",FALSE)+1.5</f>
        <v>2.9</v>
      </c>
      <c r="G65" s="6">
        <f ca="1">mVlookup(D65&amp;3,[1]!otherDamage,"max",FALSE)*100%</f>
        <v>0.15</v>
      </c>
      <c r="H65" s="6">
        <f t="shared" si="19"/>
        <v>4</v>
      </c>
      <c r="I65" s="6">
        <f t="shared" si="20"/>
        <v>3.3</v>
      </c>
      <c r="J65" s="12">
        <f>[1]伤害减免!$D65</f>
        <v>0.82400000000000007</v>
      </c>
      <c r="K65" s="6">
        <f t="shared" si="21"/>
        <v>7</v>
      </c>
      <c r="L65" s="6" t="str">
        <f t="shared" si="3"/>
        <v>4.6</v>
      </c>
      <c r="M65" s="6">
        <f>C65*([1]装备!E$10*0.5+[1]装备!E$10*VLOOKUP(C65,[1]!powerDistribution,3,FALSE))</f>
        <v>1736.2800000000004</v>
      </c>
      <c r="N65" s="6">
        <f>C65*([1]装备!F$10*0.5+[1]装备!F$10*VLOOKUP(C65,[1]!powerDistribution,3,FALSE))</f>
        <v>1049.4847645290997</v>
      </c>
      <c r="O65" s="6">
        <f t="shared" ca="1" si="4"/>
        <v>2278.6413207455817</v>
      </c>
      <c r="P65" s="6">
        <v>100</v>
      </c>
      <c r="Q65" s="6">
        <f t="shared" si="5"/>
        <v>965.38295454545516</v>
      </c>
      <c r="R65" s="6">
        <f t="shared" si="22"/>
        <v>89.250524999999996</v>
      </c>
      <c r="S65" s="6">
        <f t="shared" si="6"/>
        <v>965.38295454545516</v>
      </c>
      <c r="T65" s="6">
        <f t="shared" si="7"/>
        <v>89.250524999999996</v>
      </c>
      <c r="U65" s="6">
        <f>20%</f>
        <v>0.2</v>
      </c>
      <c r="V65" s="6">
        <v>0.2</v>
      </c>
      <c r="W65" s="6">
        <f t="shared" si="8"/>
        <v>0.35999999999999988</v>
      </c>
      <c r="X65" s="12">
        <v>0.1</v>
      </c>
      <c r="Y65" s="12">
        <v>2</v>
      </c>
      <c r="Z65" s="12">
        <v>0.1</v>
      </c>
      <c r="AA65" s="12">
        <v>0.9</v>
      </c>
      <c r="AB65" s="13">
        <f t="shared" si="9"/>
        <v>121.80000000000001</v>
      </c>
      <c r="AC65" s="6">
        <f t="shared" si="10"/>
        <v>443.93522727272756</v>
      </c>
      <c r="AD65" s="6">
        <f t="shared" si="11"/>
        <v>443.93522727272756</v>
      </c>
      <c r="AE65" s="6">
        <f t="shared" si="12"/>
        <v>443.93522727272756</v>
      </c>
      <c r="AF65" s="6">
        <f t="shared" si="13"/>
        <v>443.93522727272756</v>
      </c>
      <c r="AG65" s="6">
        <f t="shared" si="14"/>
        <v>443.93522727272756</v>
      </c>
      <c r="AH65" s="6">
        <f t="shared" si="15"/>
        <v>443.93522727272756</v>
      </c>
      <c r="AI65" s="6">
        <f t="shared" si="16"/>
        <v>443.93522727272756</v>
      </c>
      <c r="AJ65" s="6">
        <f t="shared" si="23"/>
        <v>89.250524999999996</v>
      </c>
      <c r="AK65" s="6">
        <f t="shared" si="23"/>
        <v>89.250524999999996</v>
      </c>
      <c r="AL65" s="6">
        <f t="shared" si="23"/>
        <v>89.250524999999996</v>
      </c>
      <c r="AM65" s="6">
        <f t="shared" si="23"/>
        <v>89.250524999999996</v>
      </c>
      <c r="AN65" s="6">
        <f t="shared" si="23"/>
        <v>89.250524999999996</v>
      </c>
      <c r="AO65" s="6">
        <f t="shared" si="23"/>
        <v>89.250524999999996</v>
      </c>
      <c r="AP65" s="1">
        <f t="shared" si="18"/>
        <v>89.250524999999996</v>
      </c>
    </row>
    <row r="66" spans="3:42" x14ac:dyDescent="0.15">
      <c r="C66" s="6">
        <v>64</v>
      </c>
      <c r="D66" s="6">
        <f t="shared" si="2"/>
        <v>6</v>
      </c>
      <c r="E66" s="11">
        <f ca="1">mVlookup(D66&amp;3,[1]!circlePer,"max",FALSE)+10%</f>
        <v>0.25</v>
      </c>
      <c r="F66" s="6">
        <f ca="1">mVlookup(D66&amp;3,[1]!circleValue,"max",FALSE)+1.5</f>
        <v>2.9</v>
      </c>
      <c r="G66" s="6">
        <f ca="1">mVlookup(D66&amp;3,[1]!otherDamage,"max",FALSE)*100%</f>
        <v>0.15</v>
      </c>
      <c r="H66" s="6">
        <f t="shared" si="19"/>
        <v>4</v>
      </c>
      <c r="I66" s="6">
        <f t="shared" si="20"/>
        <v>3.3</v>
      </c>
      <c r="J66" s="12">
        <f>[1]伤害减免!$D66</f>
        <v>0.82600000000000007</v>
      </c>
      <c r="K66" s="6">
        <f t="shared" si="21"/>
        <v>7</v>
      </c>
      <c r="L66" s="6" t="str">
        <f t="shared" si="3"/>
        <v>4.6</v>
      </c>
      <c r="M66" s="6">
        <f>C66*([1]装备!E$10*0.5+[1]装备!E$10*VLOOKUP(C66,[1]!powerDistribution,3,FALSE))</f>
        <v>1772.1600000000005</v>
      </c>
      <c r="N66" s="6">
        <f>C66*([1]装备!F$10*0.5+[1]装备!F$10*VLOOKUP(C66,[1]!powerDistribution,3,FALSE))</f>
        <v>1071.1722304627649</v>
      </c>
      <c r="O66" s="6">
        <f t="shared" ca="1" si="4"/>
        <v>2325.7291467807549</v>
      </c>
      <c r="P66" s="6">
        <v>100</v>
      </c>
      <c r="Q66" s="6">
        <f t="shared" si="5"/>
        <v>989.38325123152788</v>
      </c>
      <c r="R66" s="6">
        <f t="shared" si="22"/>
        <v>90.667199999999994</v>
      </c>
      <c r="S66" s="6">
        <f t="shared" si="6"/>
        <v>989.38325123152788</v>
      </c>
      <c r="T66" s="6">
        <f t="shared" si="7"/>
        <v>90.667199999999994</v>
      </c>
      <c r="U66" s="6">
        <f>20%</f>
        <v>0.2</v>
      </c>
      <c r="V66" s="6">
        <v>0.2</v>
      </c>
      <c r="W66" s="6">
        <f t="shared" si="8"/>
        <v>0.35999999999999988</v>
      </c>
      <c r="X66" s="12">
        <v>0.1</v>
      </c>
      <c r="Y66" s="12">
        <v>2</v>
      </c>
      <c r="Z66" s="12">
        <v>0.1</v>
      </c>
      <c r="AA66" s="12">
        <v>0.9</v>
      </c>
      <c r="AB66" s="13">
        <f t="shared" si="9"/>
        <v>123.73333333333335</v>
      </c>
      <c r="AC66" s="6">
        <f t="shared" si="10"/>
        <v>465.59211822660131</v>
      </c>
      <c r="AD66" s="6">
        <f t="shared" si="11"/>
        <v>465.59211822660131</v>
      </c>
      <c r="AE66" s="6">
        <f t="shared" si="12"/>
        <v>465.59211822660131</v>
      </c>
      <c r="AF66" s="6">
        <f t="shared" si="13"/>
        <v>465.59211822660131</v>
      </c>
      <c r="AG66" s="6">
        <f t="shared" si="14"/>
        <v>465.59211822660131</v>
      </c>
      <c r="AH66" s="6">
        <f t="shared" si="15"/>
        <v>465.59211822660131</v>
      </c>
      <c r="AI66" s="6">
        <f t="shared" si="16"/>
        <v>465.59211822660131</v>
      </c>
      <c r="AJ66" s="6">
        <f t="shared" si="23"/>
        <v>90.667199999999994</v>
      </c>
      <c r="AK66" s="6">
        <f t="shared" si="23"/>
        <v>90.667199999999994</v>
      </c>
      <c r="AL66" s="6">
        <f t="shared" si="23"/>
        <v>90.667199999999994</v>
      </c>
      <c r="AM66" s="6">
        <f t="shared" si="23"/>
        <v>90.667199999999994</v>
      </c>
      <c r="AN66" s="6">
        <f t="shared" si="23"/>
        <v>90.667199999999994</v>
      </c>
      <c r="AO66" s="6">
        <f t="shared" si="23"/>
        <v>90.667199999999994</v>
      </c>
      <c r="AP66" s="1">
        <f t="shared" si="18"/>
        <v>90.667199999999994</v>
      </c>
    </row>
    <row r="67" spans="3:42" x14ac:dyDescent="0.15">
      <c r="C67" s="6">
        <v>65</v>
      </c>
      <c r="D67" s="6">
        <f t="shared" si="2"/>
        <v>6</v>
      </c>
      <c r="E67" s="11">
        <f ca="1">mVlookup(D67&amp;3,[1]!circlePer,"max",FALSE)+10%</f>
        <v>0.25</v>
      </c>
      <c r="F67" s="6">
        <f ca="1">mVlookup(D67&amp;3,[1]!circleValue,"max",FALSE)+1.5</f>
        <v>2.9</v>
      </c>
      <c r="G67" s="6">
        <f ca="1">mVlookup(D67&amp;3,[1]!otherDamage,"max",FALSE)*100%</f>
        <v>0.15</v>
      </c>
      <c r="H67" s="6">
        <f t="shared" si="19"/>
        <v>4</v>
      </c>
      <c r="I67" s="6">
        <f t="shared" si="20"/>
        <v>3.3</v>
      </c>
      <c r="J67" s="12">
        <f>[1]伤害减免!$D67</f>
        <v>0.82800000000000007</v>
      </c>
      <c r="K67" s="6">
        <f t="shared" si="21"/>
        <v>7</v>
      </c>
      <c r="L67" s="6" t="str">
        <f t="shared" si="3"/>
        <v>4.6</v>
      </c>
      <c r="M67" s="6">
        <f>C67*([1]装备!E$10*0.5+[1]装备!E$10*VLOOKUP(C67,[1]!powerDistribution,3,FALSE))</f>
        <v>1808.3000000000004</v>
      </c>
      <c r="N67" s="6">
        <f>C67*([1]装备!F$10*0.5+[1]装备!F$10*VLOOKUP(C67,[1]!powerDistribution,3,FALSE))</f>
        <v>1093.016851946674</v>
      </c>
      <c r="O67" s="6">
        <f t="shared" ca="1" si="4"/>
        <v>2373.1581889466188</v>
      </c>
      <c r="P67" s="6">
        <v>100</v>
      </c>
      <c r="Q67" s="6">
        <f t="shared" si="5"/>
        <v>1013.7894518272432</v>
      </c>
      <c r="R67" s="6">
        <f t="shared" ref="R67:R101" si="24">U67*C67*5.6667/(1-U67)</f>
        <v>92.083874999999978</v>
      </c>
      <c r="S67" s="6">
        <f t="shared" si="6"/>
        <v>1013.7894518272432</v>
      </c>
      <c r="T67" s="6">
        <f t="shared" si="7"/>
        <v>92.083874999999978</v>
      </c>
      <c r="U67" s="6">
        <f>20%</f>
        <v>0.2</v>
      </c>
      <c r="V67" s="6">
        <v>0.2</v>
      </c>
      <c r="W67" s="6">
        <f t="shared" si="8"/>
        <v>0.35999999999999988</v>
      </c>
      <c r="X67" s="12">
        <v>0.1</v>
      </c>
      <c r="Y67" s="12">
        <v>2</v>
      </c>
      <c r="Z67" s="12">
        <v>0.1</v>
      </c>
      <c r="AA67" s="12">
        <v>0.9</v>
      </c>
      <c r="AB67" s="13">
        <f t="shared" si="9"/>
        <v>125.66666666666669</v>
      </c>
      <c r="AC67" s="6">
        <f t="shared" si="10"/>
        <v>488.12084717608008</v>
      </c>
      <c r="AD67" s="6">
        <f t="shared" si="11"/>
        <v>488.12084717608008</v>
      </c>
      <c r="AE67" s="6">
        <f t="shared" si="12"/>
        <v>488.12084717608008</v>
      </c>
      <c r="AF67" s="6">
        <f t="shared" si="13"/>
        <v>488.12084717608008</v>
      </c>
      <c r="AG67" s="6">
        <f t="shared" si="14"/>
        <v>488.12084717608008</v>
      </c>
      <c r="AH67" s="6">
        <f t="shared" si="15"/>
        <v>488.12084717608008</v>
      </c>
      <c r="AI67" s="6">
        <f t="shared" si="16"/>
        <v>488.12084717608008</v>
      </c>
      <c r="AJ67" s="6">
        <f t="shared" si="23"/>
        <v>92.083874999999978</v>
      </c>
      <c r="AK67" s="6">
        <f t="shared" si="23"/>
        <v>92.083874999999978</v>
      </c>
      <c r="AL67" s="6">
        <f t="shared" si="23"/>
        <v>92.083874999999978</v>
      </c>
      <c r="AM67" s="6">
        <f t="shared" si="23"/>
        <v>92.083874999999978</v>
      </c>
      <c r="AN67" s="6">
        <f t="shared" si="23"/>
        <v>92.083874999999978</v>
      </c>
      <c r="AO67" s="6">
        <f t="shared" si="23"/>
        <v>92.083874999999978</v>
      </c>
      <c r="AP67" s="1">
        <f t="shared" si="18"/>
        <v>92.083874999999978</v>
      </c>
    </row>
    <row r="68" spans="3:42" x14ac:dyDescent="0.15">
      <c r="C68" s="6">
        <v>66</v>
      </c>
      <c r="D68" s="6">
        <f t="shared" ref="D68:D101" si="25">ROUNDUP(C68/(100/9),0)</f>
        <v>6</v>
      </c>
      <c r="E68" s="11">
        <f ca="1">mVlookup(D68&amp;3,[1]!circlePer,"max",FALSE)+10%</f>
        <v>0.25</v>
      </c>
      <c r="F68" s="6">
        <f ca="1">mVlookup(D68&amp;3,[1]!circleValue,"max",FALSE)+1.5</f>
        <v>2.9</v>
      </c>
      <c r="G68" s="6">
        <f ca="1">mVlookup(D68&amp;3,[1]!otherDamage,"max",FALSE)*100%</f>
        <v>0.15</v>
      </c>
      <c r="H68" s="6">
        <f t="shared" si="19"/>
        <v>4</v>
      </c>
      <c r="I68" s="6">
        <f t="shared" si="20"/>
        <v>3.3</v>
      </c>
      <c r="J68" s="12">
        <f>[1]伤害减免!$D68</f>
        <v>0.83000000000000007</v>
      </c>
      <c r="K68" s="6">
        <f t="shared" si="21"/>
        <v>7</v>
      </c>
      <c r="L68" s="6" t="str">
        <f t="shared" ref="L68:L101" si="26">MID(K68/1.5,1,3)</f>
        <v>4.6</v>
      </c>
      <c r="M68" s="6">
        <f>C68*([1]装备!E$10*0.5+[1]装备!E$10*VLOOKUP(C68,[1]!powerDistribution,3,FALSE))</f>
        <v>1844.7000000000005</v>
      </c>
      <c r="N68" s="6">
        <f>C68*([1]装备!F$10*0.5+[1]装备!F$10*VLOOKUP(C68,[1]!powerDistribution,3,FALSE))</f>
        <v>1115.0186289808269</v>
      </c>
      <c r="O68" s="6">
        <f t="shared" ref="O68:O101" ca="1" si="27">H68*(N68/2*(1-U68)*(1-V68)*(1+E68*(F68-1))*(1+G68))</f>
        <v>2420.9284472431718</v>
      </c>
      <c r="P68" s="6">
        <v>100</v>
      </c>
      <c r="Q68" s="6">
        <f t="shared" ref="Q68:Q101" si="28">M68/(K68*(1-J68))*baseAtkRevise(C68)</f>
        <v>1038.6126050420175</v>
      </c>
      <c r="R68" s="6">
        <f t="shared" si="24"/>
        <v>93.50054999999999</v>
      </c>
      <c r="S68" s="6">
        <f t="shared" ref="S68:S101" si="29">Q68</f>
        <v>1038.6126050420175</v>
      </c>
      <c r="T68" s="6">
        <f t="shared" ref="T68:T101" si="30">R68</f>
        <v>93.50054999999999</v>
      </c>
      <c r="U68" s="6">
        <f>20%</f>
        <v>0.2</v>
      </c>
      <c r="V68" s="6">
        <v>0.2</v>
      </c>
      <c r="W68" s="6">
        <f t="shared" ref="W68:W101" si="31">1-(1-U68)*(1-V68)</f>
        <v>0.35999999999999988</v>
      </c>
      <c r="X68" s="12">
        <v>0.1</v>
      </c>
      <c r="Y68" s="12">
        <v>2</v>
      </c>
      <c r="Z68" s="12">
        <v>0.1</v>
      </c>
      <c r="AA68" s="12">
        <v>0.9</v>
      </c>
      <c r="AB68" s="13">
        <f t="shared" ref="AB68:AB101" si="32">(0.2/0.3*2+0.6)*C68</f>
        <v>127.60000000000002</v>
      </c>
      <c r="AC68" s="6">
        <f t="shared" ref="AC68:AC101" si="33">M68/(K68*(1-J68))*natureAtkRevise(C68)</f>
        <v>511.55546218487439</v>
      </c>
      <c r="AD68" s="6">
        <f t="shared" ref="AD68:AD101" si="34">M68/(K68*(1-J68))*natureAtkRevise(C68)</f>
        <v>511.55546218487439</v>
      </c>
      <c r="AE68" s="6">
        <f t="shared" ref="AE68:AE101" si="35">M68/(K68*(1-J68))*natureAtkRevise(C68)</f>
        <v>511.55546218487439</v>
      </c>
      <c r="AF68" s="6">
        <f t="shared" ref="AF68:AF101" si="36">M68/(K68*(1-J68))*natureAtkRevise(C68)</f>
        <v>511.55546218487439</v>
      </c>
      <c r="AG68" s="6">
        <f t="shared" ref="AG68:AG101" si="37">M68/(K68*(1-J68))*natureAtkRevise(C68)</f>
        <v>511.55546218487439</v>
      </c>
      <c r="AH68" s="6">
        <f t="shared" ref="AH68:AH101" si="38">M68/(K68*(1-J68))*natureAtkRevise(C68)</f>
        <v>511.55546218487439</v>
      </c>
      <c r="AI68" s="6">
        <f t="shared" ref="AI68:AI101" si="39">M68/(K68*(1-J68))*natureAtkRevise(C68)</f>
        <v>511.55546218487439</v>
      </c>
      <c r="AJ68" s="6">
        <f t="shared" ref="AJ68:AO101" si="40">$T68</f>
        <v>93.50054999999999</v>
      </c>
      <c r="AK68" s="6">
        <f t="shared" si="40"/>
        <v>93.50054999999999</v>
      </c>
      <c r="AL68" s="6">
        <f t="shared" si="40"/>
        <v>93.50054999999999</v>
      </c>
      <c r="AM68" s="6">
        <f t="shared" si="40"/>
        <v>93.50054999999999</v>
      </c>
      <c r="AN68" s="6">
        <f t="shared" si="40"/>
        <v>93.50054999999999</v>
      </c>
      <c r="AO68" s="6">
        <f t="shared" si="40"/>
        <v>93.50054999999999</v>
      </c>
      <c r="AP68" s="1">
        <f t="shared" ref="AP68:AP101" si="41">AO68</f>
        <v>93.50054999999999</v>
      </c>
    </row>
    <row r="69" spans="3:42" x14ac:dyDescent="0.15">
      <c r="C69" s="6">
        <v>67</v>
      </c>
      <c r="D69" s="6">
        <f t="shared" si="25"/>
        <v>7</v>
      </c>
      <c r="E69" s="11">
        <f ca="1">mVlookup(D69&amp;3,[1]!circlePer,"max",FALSE)+10%</f>
        <v>0.26</v>
      </c>
      <c r="F69" s="6">
        <f ca="1">mVlookup(D69&amp;3,[1]!circleValue,"max",FALSE)+1.5</f>
        <v>3</v>
      </c>
      <c r="G69" s="6">
        <f ca="1">mVlookup(D69&amp;3,[1]!otherDamage,"max",FALSE)*100%</f>
        <v>0.16</v>
      </c>
      <c r="H69" s="6">
        <f t="shared" ref="H69:H101" si="42">IF(H68+0.2&gt;4,4,H68+0.2)</f>
        <v>4</v>
      </c>
      <c r="I69" s="6">
        <f t="shared" ref="I69:I101" si="43">IF(I68+0.2&gt;3.3,3.3,I68+0.2)</f>
        <v>3.3</v>
      </c>
      <c r="J69" s="12">
        <f>[1]伤害减免!$D69</f>
        <v>0.83200000000000007</v>
      </c>
      <c r="K69" s="6">
        <f t="shared" ref="K69:K101" si="44">IF(K68-0.2&lt;7,7,K68-0.2)</f>
        <v>7</v>
      </c>
      <c r="L69" s="6" t="str">
        <f t="shared" si="26"/>
        <v>4.6</v>
      </c>
      <c r="M69" s="6">
        <f>C69*([1]装备!E$10*0.5+[1]装备!E$10*VLOOKUP(C69,[1]!powerDistribution,3,FALSE))</f>
        <v>1881.3600000000006</v>
      </c>
      <c r="N69" s="6">
        <f>C69*([1]装备!F$10*0.5+[1]装备!F$10*VLOOKUP(C69,[1]!powerDistribution,3,FALSE))</f>
        <v>1137.1775615652239</v>
      </c>
      <c r="O69" s="6">
        <f t="shared" ca="1" si="27"/>
        <v>2566.4914899863074</v>
      </c>
      <c r="P69" s="6">
        <v>100</v>
      </c>
      <c r="Q69" s="6">
        <f t="shared" si="28"/>
        <v>1063.8642857142866</v>
      </c>
      <c r="R69" s="6">
        <f t="shared" si="24"/>
        <v>94.917224999999988</v>
      </c>
      <c r="S69" s="6">
        <f t="shared" si="29"/>
        <v>1063.8642857142866</v>
      </c>
      <c r="T69" s="6">
        <f t="shared" si="30"/>
        <v>94.917224999999988</v>
      </c>
      <c r="U69" s="6">
        <f>20%</f>
        <v>0.2</v>
      </c>
      <c r="V69" s="6">
        <v>0.2</v>
      </c>
      <c r="W69" s="6">
        <f t="shared" si="31"/>
        <v>0.35999999999999988</v>
      </c>
      <c r="X69" s="12">
        <v>0.1</v>
      </c>
      <c r="Y69" s="12">
        <v>2</v>
      </c>
      <c r="Z69" s="12">
        <v>0.1</v>
      </c>
      <c r="AA69" s="12">
        <v>0.9</v>
      </c>
      <c r="AB69" s="13">
        <f t="shared" si="32"/>
        <v>129.53333333333336</v>
      </c>
      <c r="AC69" s="6">
        <f t="shared" si="33"/>
        <v>535.93163265306168</v>
      </c>
      <c r="AD69" s="6">
        <f t="shared" si="34"/>
        <v>535.93163265306168</v>
      </c>
      <c r="AE69" s="6">
        <f t="shared" si="35"/>
        <v>535.93163265306168</v>
      </c>
      <c r="AF69" s="6">
        <f t="shared" si="36"/>
        <v>535.93163265306168</v>
      </c>
      <c r="AG69" s="6">
        <f t="shared" si="37"/>
        <v>535.93163265306168</v>
      </c>
      <c r="AH69" s="6">
        <f t="shared" si="38"/>
        <v>535.93163265306168</v>
      </c>
      <c r="AI69" s="6">
        <f t="shared" si="39"/>
        <v>535.93163265306168</v>
      </c>
      <c r="AJ69" s="6">
        <f t="shared" si="40"/>
        <v>94.917224999999988</v>
      </c>
      <c r="AK69" s="6">
        <f t="shared" si="40"/>
        <v>94.917224999999988</v>
      </c>
      <c r="AL69" s="6">
        <f t="shared" si="40"/>
        <v>94.917224999999988</v>
      </c>
      <c r="AM69" s="6">
        <f t="shared" si="40"/>
        <v>94.917224999999988</v>
      </c>
      <c r="AN69" s="6">
        <f t="shared" si="40"/>
        <v>94.917224999999988</v>
      </c>
      <c r="AO69" s="6">
        <f t="shared" si="40"/>
        <v>94.917224999999988</v>
      </c>
      <c r="AP69" s="1">
        <f t="shared" si="41"/>
        <v>94.917224999999988</v>
      </c>
    </row>
    <row r="70" spans="3:42" x14ac:dyDescent="0.15">
      <c r="C70" s="6">
        <v>68</v>
      </c>
      <c r="D70" s="6">
        <f t="shared" si="25"/>
        <v>7</v>
      </c>
      <c r="E70" s="11">
        <f ca="1">mVlookup(D70&amp;3,[1]!circlePer,"max",FALSE)+10%</f>
        <v>0.26</v>
      </c>
      <c r="F70" s="6">
        <f ca="1">mVlookup(D70&amp;3,[1]!circleValue,"max",FALSE)+1.5</f>
        <v>3</v>
      </c>
      <c r="G70" s="6">
        <f ca="1">mVlookup(D70&amp;3,[1]!otherDamage,"max",FALSE)*100%</f>
        <v>0.16</v>
      </c>
      <c r="H70" s="6">
        <f t="shared" si="42"/>
        <v>4</v>
      </c>
      <c r="I70" s="6">
        <f t="shared" si="43"/>
        <v>3.3</v>
      </c>
      <c r="J70" s="12">
        <f>[1]伤害减免!$D70</f>
        <v>0.83400000000000007</v>
      </c>
      <c r="K70" s="6">
        <f t="shared" si="44"/>
        <v>7</v>
      </c>
      <c r="L70" s="6" t="str">
        <f t="shared" si="26"/>
        <v>4.6</v>
      </c>
      <c r="M70" s="6">
        <f>C70*([1]装备!E$10*0.5+[1]装备!E$10*VLOOKUP(C70,[1]!powerDistribution,3,FALSE))</f>
        <v>1918.2800000000007</v>
      </c>
      <c r="N70" s="6">
        <f>C70*([1]装备!F$10*0.5+[1]装备!F$10*VLOOKUP(C70,[1]!powerDistribution,3,FALSE))</f>
        <v>1159.493649699865</v>
      </c>
      <c r="O70" s="6">
        <f t="shared" ca="1" si="27"/>
        <v>2616.8565800330261</v>
      </c>
      <c r="P70" s="6">
        <v>100</v>
      </c>
      <c r="Q70" s="6">
        <f t="shared" si="28"/>
        <v>1089.5566265060249</v>
      </c>
      <c r="R70" s="6">
        <f t="shared" si="24"/>
        <v>96.3339</v>
      </c>
      <c r="S70" s="6">
        <f t="shared" si="29"/>
        <v>1089.5566265060249</v>
      </c>
      <c r="T70" s="6">
        <f t="shared" si="30"/>
        <v>96.3339</v>
      </c>
      <c r="U70" s="6">
        <f>20%</f>
        <v>0.2</v>
      </c>
      <c r="V70" s="6">
        <v>0.2</v>
      </c>
      <c r="W70" s="6">
        <f t="shared" si="31"/>
        <v>0.35999999999999988</v>
      </c>
      <c r="X70" s="12">
        <v>0.1</v>
      </c>
      <c r="Y70" s="12">
        <v>2</v>
      </c>
      <c r="Z70" s="12">
        <v>0.1</v>
      </c>
      <c r="AA70" s="12">
        <v>0.9</v>
      </c>
      <c r="AB70" s="13">
        <f t="shared" si="32"/>
        <v>131.4666666666667</v>
      </c>
      <c r="AC70" s="6">
        <f t="shared" si="33"/>
        <v>561.28674698795226</v>
      </c>
      <c r="AD70" s="6">
        <f t="shared" si="34"/>
        <v>561.28674698795226</v>
      </c>
      <c r="AE70" s="6">
        <f t="shared" si="35"/>
        <v>561.28674698795226</v>
      </c>
      <c r="AF70" s="6">
        <f t="shared" si="36"/>
        <v>561.28674698795226</v>
      </c>
      <c r="AG70" s="6">
        <f t="shared" si="37"/>
        <v>561.28674698795226</v>
      </c>
      <c r="AH70" s="6">
        <f t="shared" si="38"/>
        <v>561.28674698795226</v>
      </c>
      <c r="AI70" s="6">
        <f t="shared" si="39"/>
        <v>561.28674698795226</v>
      </c>
      <c r="AJ70" s="6">
        <f t="shared" si="40"/>
        <v>96.3339</v>
      </c>
      <c r="AK70" s="6">
        <f t="shared" si="40"/>
        <v>96.3339</v>
      </c>
      <c r="AL70" s="6">
        <f t="shared" si="40"/>
        <v>96.3339</v>
      </c>
      <c r="AM70" s="6">
        <f t="shared" si="40"/>
        <v>96.3339</v>
      </c>
      <c r="AN70" s="6">
        <f t="shared" si="40"/>
        <v>96.3339</v>
      </c>
      <c r="AO70" s="6">
        <f t="shared" si="40"/>
        <v>96.3339</v>
      </c>
      <c r="AP70" s="1">
        <f t="shared" si="41"/>
        <v>96.3339</v>
      </c>
    </row>
    <row r="71" spans="3:42" x14ac:dyDescent="0.15">
      <c r="C71" s="6">
        <v>69</v>
      </c>
      <c r="D71" s="6">
        <f t="shared" si="25"/>
        <v>7</v>
      </c>
      <c r="E71" s="11">
        <f ca="1">mVlookup(D71&amp;3,[1]!circlePer,"max",FALSE)+10%</f>
        <v>0.26</v>
      </c>
      <c r="F71" s="6">
        <f ca="1">mVlookup(D71&amp;3,[1]!circleValue,"max",FALSE)+1.5</f>
        <v>3</v>
      </c>
      <c r="G71" s="6">
        <f ca="1">mVlookup(D71&amp;3,[1]!otherDamage,"max",FALSE)*100%</f>
        <v>0.16</v>
      </c>
      <c r="H71" s="6">
        <f t="shared" si="42"/>
        <v>4</v>
      </c>
      <c r="I71" s="6">
        <f t="shared" si="43"/>
        <v>3.3</v>
      </c>
      <c r="J71" s="12">
        <f>[1]伤害减免!$D71</f>
        <v>0.83600000000000008</v>
      </c>
      <c r="K71" s="6">
        <f t="shared" si="44"/>
        <v>7</v>
      </c>
      <c r="L71" s="6" t="str">
        <f t="shared" si="26"/>
        <v>4.6</v>
      </c>
      <c r="M71" s="6">
        <f>C71*([1]装备!E$10*0.5+[1]装备!E$10*VLOOKUP(C71,[1]!powerDistribution,3,FALSE))</f>
        <v>1955.4600000000005</v>
      </c>
      <c r="N71" s="6">
        <f>C71*([1]装备!F$10*0.5+[1]装备!F$10*VLOOKUP(C71,[1]!powerDistribution,3,FALSE))</f>
        <v>1181.9668933847499</v>
      </c>
      <c r="O71" s="6">
        <f t="shared" ca="1" si="27"/>
        <v>2667.5763538124688</v>
      </c>
      <c r="P71" s="6">
        <v>100</v>
      </c>
      <c r="Q71" s="6">
        <f t="shared" si="28"/>
        <v>1115.702351916377</v>
      </c>
      <c r="R71" s="6">
        <f t="shared" si="24"/>
        <v>97.750574999999984</v>
      </c>
      <c r="S71" s="6">
        <f t="shared" si="29"/>
        <v>1115.702351916377</v>
      </c>
      <c r="T71" s="6">
        <f t="shared" si="30"/>
        <v>97.750574999999984</v>
      </c>
      <c r="U71" s="6">
        <f>20%</f>
        <v>0.2</v>
      </c>
      <c r="V71" s="6">
        <v>0.2</v>
      </c>
      <c r="W71" s="6">
        <f t="shared" si="31"/>
        <v>0.35999999999999988</v>
      </c>
      <c r="X71" s="12">
        <v>0.1</v>
      </c>
      <c r="Y71" s="12">
        <v>2</v>
      </c>
      <c r="Z71" s="12">
        <v>0.1</v>
      </c>
      <c r="AA71" s="12">
        <v>0.9</v>
      </c>
      <c r="AB71" s="13">
        <f t="shared" si="32"/>
        <v>133.4</v>
      </c>
      <c r="AC71" s="6">
        <f t="shared" si="33"/>
        <v>587.66001742160313</v>
      </c>
      <c r="AD71" s="6">
        <f t="shared" si="34"/>
        <v>587.66001742160313</v>
      </c>
      <c r="AE71" s="6">
        <f t="shared" si="35"/>
        <v>587.66001742160313</v>
      </c>
      <c r="AF71" s="6">
        <f t="shared" si="36"/>
        <v>587.66001742160313</v>
      </c>
      <c r="AG71" s="6">
        <f t="shared" si="37"/>
        <v>587.66001742160313</v>
      </c>
      <c r="AH71" s="6">
        <f t="shared" si="38"/>
        <v>587.66001742160313</v>
      </c>
      <c r="AI71" s="6">
        <f t="shared" si="39"/>
        <v>587.66001742160313</v>
      </c>
      <c r="AJ71" s="6">
        <f t="shared" si="40"/>
        <v>97.750574999999984</v>
      </c>
      <c r="AK71" s="6">
        <f t="shared" si="40"/>
        <v>97.750574999999984</v>
      </c>
      <c r="AL71" s="6">
        <f t="shared" si="40"/>
        <v>97.750574999999984</v>
      </c>
      <c r="AM71" s="6">
        <f t="shared" si="40"/>
        <v>97.750574999999984</v>
      </c>
      <c r="AN71" s="6">
        <f t="shared" si="40"/>
        <v>97.750574999999984</v>
      </c>
      <c r="AO71" s="6">
        <f t="shared" si="40"/>
        <v>97.750574999999984</v>
      </c>
      <c r="AP71" s="1">
        <f t="shared" si="41"/>
        <v>97.750574999999984</v>
      </c>
    </row>
    <row r="72" spans="3:42" x14ac:dyDescent="0.15">
      <c r="C72" s="6">
        <v>70</v>
      </c>
      <c r="D72" s="6">
        <f t="shared" si="25"/>
        <v>7</v>
      </c>
      <c r="E72" s="11">
        <f ca="1">mVlookup(D72&amp;3,[1]!circlePer,"max",FALSE)+10%</f>
        <v>0.26</v>
      </c>
      <c r="F72" s="6">
        <f ca="1">mVlookup(D72&amp;3,[1]!circleValue,"max",FALSE)+1.5</f>
        <v>3</v>
      </c>
      <c r="G72" s="6">
        <f ca="1">mVlookup(D72&amp;3,[1]!otherDamage,"max",FALSE)*100%</f>
        <v>0.16</v>
      </c>
      <c r="H72" s="6">
        <f t="shared" si="42"/>
        <v>4</v>
      </c>
      <c r="I72" s="6">
        <f t="shared" si="43"/>
        <v>3.3</v>
      </c>
      <c r="J72" s="12">
        <f>[1]伤害减免!$D72</f>
        <v>0.83800000000000008</v>
      </c>
      <c r="K72" s="6">
        <f t="shared" si="44"/>
        <v>7</v>
      </c>
      <c r="L72" s="6" t="str">
        <f t="shared" si="26"/>
        <v>4.6</v>
      </c>
      <c r="M72" s="6">
        <f>C72*([1]装备!E$10*0.5+[1]装备!E$10*VLOOKUP(C72,[1]!powerDistribution,3,FALSE))</f>
        <v>1992.9000000000008</v>
      </c>
      <c r="N72" s="6">
        <f>C72*([1]装备!F$10*0.5+[1]装备!F$10*VLOOKUP(C72,[1]!powerDistribution,3,FALSE))</f>
        <v>1204.5972926198788</v>
      </c>
      <c r="O72" s="6">
        <f t="shared" ca="1" si="27"/>
        <v>2718.6508113246346</v>
      </c>
      <c r="P72" s="6">
        <v>100</v>
      </c>
      <c r="Q72" s="6">
        <f t="shared" si="28"/>
        <v>1142.3148148148159</v>
      </c>
      <c r="R72" s="6">
        <f t="shared" si="24"/>
        <v>99.167249999999996</v>
      </c>
      <c r="S72" s="6">
        <f t="shared" si="29"/>
        <v>1142.3148148148159</v>
      </c>
      <c r="T72" s="6">
        <f t="shared" si="30"/>
        <v>99.167249999999996</v>
      </c>
      <c r="U72" s="6">
        <f>20%</f>
        <v>0.2</v>
      </c>
      <c r="V72" s="6">
        <v>0.2</v>
      </c>
      <c r="W72" s="6">
        <f t="shared" si="31"/>
        <v>0.35999999999999988</v>
      </c>
      <c r="X72" s="12">
        <v>0.1</v>
      </c>
      <c r="Y72" s="12">
        <v>2</v>
      </c>
      <c r="Z72" s="12">
        <v>0.1</v>
      </c>
      <c r="AA72" s="12">
        <v>0.9</v>
      </c>
      <c r="AB72" s="13">
        <f t="shared" si="32"/>
        <v>135.33333333333334</v>
      </c>
      <c r="AC72" s="6">
        <f t="shared" si="33"/>
        <v>615.09259259259306</v>
      </c>
      <c r="AD72" s="6">
        <f t="shared" si="34"/>
        <v>615.09259259259306</v>
      </c>
      <c r="AE72" s="6">
        <f t="shared" si="35"/>
        <v>615.09259259259306</v>
      </c>
      <c r="AF72" s="6">
        <f t="shared" si="36"/>
        <v>615.09259259259306</v>
      </c>
      <c r="AG72" s="6">
        <f t="shared" si="37"/>
        <v>615.09259259259306</v>
      </c>
      <c r="AH72" s="6">
        <f t="shared" si="38"/>
        <v>615.09259259259306</v>
      </c>
      <c r="AI72" s="6">
        <f t="shared" si="39"/>
        <v>615.09259259259306</v>
      </c>
      <c r="AJ72" s="6">
        <f t="shared" si="40"/>
        <v>99.167249999999996</v>
      </c>
      <c r="AK72" s="6">
        <f t="shared" si="40"/>
        <v>99.167249999999996</v>
      </c>
      <c r="AL72" s="6">
        <f t="shared" si="40"/>
        <v>99.167249999999996</v>
      </c>
      <c r="AM72" s="6">
        <f t="shared" si="40"/>
        <v>99.167249999999996</v>
      </c>
      <c r="AN72" s="6">
        <f t="shared" si="40"/>
        <v>99.167249999999996</v>
      </c>
      <c r="AO72" s="6">
        <f t="shared" si="40"/>
        <v>99.167249999999996</v>
      </c>
      <c r="AP72" s="1">
        <f t="shared" si="41"/>
        <v>99.167249999999996</v>
      </c>
    </row>
    <row r="73" spans="3:42" x14ac:dyDescent="0.15">
      <c r="C73" s="6">
        <v>71</v>
      </c>
      <c r="D73" s="6">
        <f t="shared" si="25"/>
        <v>7</v>
      </c>
      <c r="E73" s="11">
        <f ca="1">mVlookup(D73&amp;3,[1]!circlePer,"max",FALSE)+10%</f>
        <v>0.26</v>
      </c>
      <c r="F73" s="6">
        <f ca="1">mVlookup(D73&amp;3,[1]!circleValue,"max",FALSE)+1.5</f>
        <v>3</v>
      </c>
      <c r="G73" s="6">
        <f ca="1">mVlookup(D73&amp;3,[1]!otherDamage,"max",FALSE)*100%</f>
        <v>0.16</v>
      </c>
      <c r="H73" s="6">
        <f t="shared" si="42"/>
        <v>4</v>
      </c>
      <c r="I73" s="6">
        <f t="shared" si="43"/>
        <v>3.3</v>
      </c>
      <c r="J73" s="12">
        <f>[1]伤害减免!$D73</f>
        <v>0.84000000000000008</v>
      </c>
      <c r="K73" s="6">
        <f t="shared" si="44"/>
        <v>7</v>
      </c>
      <c r="L73" s="6" t="str">
        <f t="shared" si="26"/>
        <v>4.6</v>
      </c>
      <c r="M73" s="6">
        <f>C73*([1]装备!E$10*0.5+[1]装备!E$10*VLOOKUP(C73,[1]!powerDistribution,3,FALSE))</f>
        <v>2030.6000000000006</v>
      </c>
      <c r="N73" s="6">
        <f>C73*([1]装备!F$10*0.5+[1]装备!F$10*VLOOKUP(C73,[1]!powerDistribution,3,FALSE))</f>
        <v>1227.3848474052515</v>
      </c>
      <c r="O73" s="6">
        <f t="shared" ca="1" si="27"/>
        <v>2770.0799525695229</v>
      </c>
      <c r="P73" s="6">
        <v>100</v>
      </c>
      <c r="Q73" s="6">
        <f t="shared" si="28"/>
        <v>1169.4080357142868</v>
      </c>
      <c r="R73" s="6">
        <f t="shared" si="24"/>
        <v>100.58392499999999</v>
      </c>
      <c r="S73" s="6">
        <f t="shared" si="29"/>
        <v>1169.4080357142868</v>
      </c>
      <c r="T73" s="6">
        <f t="shared" si="30"/>
        <v>100.58392499999999</v>
      </c>
      <c r="U73" s="6">
        <f>20%</f>
        <v>0.2</v>
      </c>
      <c r="V73" s="6">
        <v>0.2</v>
      </c>
      <c r="W73" s="6">
        <f t="shared" si="31"/>
        <v>0.35999999999999988</v>
      </c>
      <c r="X73" s="12">
        <v>0.1</v>
      </c>
      <c r="Y73" s="12">
        <v>2</v>
      </c>
      <c r="Z73" s="12">
        <v>0.1</v>
      </c>
      <c r="AA73" s="12">
        <v>0.9</v>
      </c>
      <c r="AB73" s="13">
        <f t="shared" si="32"/>
        <v>137.26666666666668</v>
      </c>
      <c r="AC73" s="6">
        <f t="shared" si="33"/>
        <v>643.6276785714291</v>
      </c>
      <c r="AD73" s="6">
        <f t="shared" si="34"/>
        <v>643.6276785714291</v>
      </c>
      <c r="AE73" s="6">
        <f t="shared" si="35"/>
        <v>643.6276785714291</v>
      </c>
      <c r="AF73" s="6">
        <f t="shared" si="36"/>
        <v>643.6276785714291</v>
      </c>
      <c r="AG73" s="6">
        <f t="shared" si="37"/>
        <v>643.6276785714291</v>
      </c>
      <c r="AH73" s="6">
        <f t="shared" si="38"/>
        <v>643.6276785714291</v>
      </c>
      <c r="AI73" s="6">
        <f t="shared" si="39"/>
        <v>643.6276785714291</v>
      </c>
      <c r="AJ73" s="6">
        <f t="shared" si="40"/>
        <v>100.58392499999999</v>
      </c>
      <c r="AK73" s="6">
        <f t="shared" si="40"/>
        <v>100.58392499999999</v>
      </c>
      <c r="AL73" s="6">
        <f t="shared" si="40"/>
        <v>100.58392499999999</v>
      </c>
      <c r="AM73" s="6">
        <f t="shared" si="40"/>
        <v>100.58392499999999</v>
      </c>
      <c r="AN73" s="6">
        <f t="shared" si="40"/>
        <v>100.58392499999999</v>
      </c>
      <c r="AO73" s="6">
        <f t="shared" si="40"/>
        <v>100.58392499999999</v>
      </c>
      <c r="AP73" s="1">
        <f t="shared" si="41"/>
        <v>100.58392499999999</v>
      </c>
    </row>
    <row r="74" spans="3:42" x14ac:dyDescent="0.15">
      <c r="C74" s="6">
        <v>72</v>
      </c>
      <c r="D74" s="6">
        <f t="shared" si="25"/>
        <v>7</v>
      </c>
      <c r="E74" s="11">
        <f ca="1">mVlookup(D74&amp;3,[1]!circlePer,"max",FALSE)+10%</f>
        <v>0.26</v>
      </c>
      <c r="F74" s="6">
        <f ca="1">mVlookup(D74&amp;3,[1]!circleValue,"max",FALSE)+1.5</f>
        <v>3</v>
      </c>
      <c r="G74" s="6">
        <f ca="1">mVlookup(D74&amp;3,[1]!otherDamage,"max",FALSE)*100%</f>
        <v>0.16</v>
      </c>
      <c r="H74" s="6">
        <f t="shared" si="42"/>
        <v>4</v>
      </c>
      <c r="I74" s="6">
        <f t="shared" si="43"/>
        <v>3.3</v>
      </c>
      <c r="J74" s="12">
        <f>[1]伤害减免!$D74</f>
        <v>0.84200000000000008</v>
      </c>
      <c r="K74" s="6">
        <f t="shared" si="44"/>
        <v>7</v>
      </c>
      <c r="L74" s="6" t="str">
        <f t="shared" si="26"/>
        <v>4.6</v>
      </c>
      <c r="M74" s="6">
        <f>C74*([1]装备!E$10*0.5+[1]装备!E$10*VLOOKUP(C74,[1]!powerDistribution,3,FALSE))</f>
        <v>2068.5600000000004</v>
      </c>
      <c r="N74" s="6">
        <f>C74*([1]装备!F$10*0.5+[1]装备!F$10*VLOOKUP(C74,[1]!powerDistribution,3,FALSE))</f>
        <v>1250.3295577408683</v>
      </c>
      <c r="O74" s="6">
        <f t="shared" ca="1" si="27"/>
        <v>2821.8637775471343</v>
      </c>
      <c r="P74" s="6">
        <v>100</v>
      </c>
      <c r="Q74" s="6">
        <f t="shared" si="28"/>
        <v>1196.9967450271256</v>
      </c>
      <c r="R74" s="6">
        <f t="shared" si="24"/>
        <v>102.00059999999998</v>
      </c>
      <c r="S74" s="6">
        <f t="shared" si="29"/>
        <v>1196.9967450271256</v>
      </c>
      <c r="T74" s="6">
        <f t="shared" si="30"/>
        <v>102.00059999999998</v>
      </c>
      <c r="U74" s="6">
        <f>20%</f>
        <v>0.2</v>
      </c>
      <c r="V74" s="6">
        <v>0.2</v>
      </c>
      <c r="W74" s="6">
        <f t="shared" si="31"/>
        <v>0.35999999999999988</v>
      </c>
      <c r="X74" s="12">
        <v>0.1</v>
      </c>
      <c r="Y74" s="12">
        <v>2</v>
      </c>
      <c r="Z74" s="12">
        <v>0.1</v>
      </c>
      <c r="AA74" s="12">
        <v>0.9</v>
      </c>
      <c r="AB74" s="13">
        <f t="shared" si="32"/>
        <v>139.20000000000002</v>
      </c>
      <c r="AC74" s="6">
        <f t="shared" si="33"/>
        <v>673.31066907775812</v>
      </c>
      <c r="AD74" s="6">
        <f t="shared" si="34"/>
        <v>673.31066907775812</v>
      </c>
      <c r="AE74" s="6">
        <f t="shared" si="35"/>
        <v>673.31066907775812</v>
      </c>
      <c r="AF74" s="6">
        <f t="shared" si="36"/>
        <v>673.31066907775812</v>
      </c>
      <c r="AG74" s="6">
        <f t="shared" si="37"/>
        <v>673.31066907775812</v>
      </c>
      <c r="AH74" s="6">
        <f t="shared" si="38"/>
        <v>673.31066907775812</v>
      </c>
      <c r="AI74" s="6">
        <f t="shared" si="39"/>
        <v>673.31066907775812</v>
      </c>
      <c r="AJ74" s="6">
        <f t="shared" si="40"/>
        <v>102.00059999999998</v>
      </c>
      <c r="AK74" s="6">
        <f t="shared" si="40"/>
        <v>102.00059999999998</v>
      </c>
      <c r="AL74" s="6">
        <f t="shared" si="40"/>
        <v>102.00059999999998</v>
      </c>
      <c r="AM74" s="6">
        <f t="shared" si="40"/>
        <v>102.00059999999998</v>
      </c>
      <c r="AN74" s="6">
        <f t="shared" si="40"/>
        <v>102.00059999999998</v>
      </c>
      <c r="AO74" s="6">
        <f t="shared" si="40"/>
        <v>102.00059999999998</v>
      </c>
      <c r="AP74" s="1">
        <f t="shared" si="41"/>
        <v>102.00059999999998</v>
      </c>
    </row>
    <row r="75" spans="3:42" x14ac:dyDescent="0.15">
      <c r="C75" s="6">
        <v>73</v>
      </c>
      <c r="D75" s="6">
        <f t="shared" si="25"/>
        <v>7</v>
      </c>
      <c r="E75" s="11">
        <f ca="1">mVlookup(D75&amp;3,[1]!circlePer,"max",FALSE)+10%</f>
        <v>0.26</v>
      </c>
      <c r="F75" s="6">
        <f ca="1">mVlookup(D75&amp;3,[1]!circleValue,"max",FALSE)+1.5</f>
        <v>3</v>
      </c>
      <c r="G75" s="6">
        <f ca="1">mVlookup(D75&amp;3,[1]!otherDamage,"max",FALSE)*100%</f>
        <v>0.16</v>
      </c>
      <c r="H75" s="6">
        <f t="shared" si="42"/>
        <v>4</v>
      </c>
      <c r="I75" s="6">
        <f t="shared" si="43"/>
        <v>3.3</v>
      </c>
      <c r="J75" s="12">
        <f>[1]伤害减免!$D75</f>
        <v>0.84400000000000008</v>
      </c>
      <c r="K75" s="6">
        <f t="shared" si="44"/>
        <v>7</v>
      </c>
      <c r="L75" s="6" t="str">
        <f t="shared" si="26"/>
        <v>4.6</v>
      </c>
      <c r="M75" s="6">
        <f>C75*([1]装备!E$10*0.5+[1]装备!E$10*VLOOKUP(C75,[1]!powerDistribution,3,FALSE))</f>
        <v>2106.7800000000007</v>
      </c>
      <c r="N75" s="6">
        <f>C75*([1]装备!F$10*0.5+[1]装备!F$10*VLOOKUP(C75,[1]!powerDistribution,3,FALSE))</f>
        <v>1273.4314236267289</v>
      </c>
      <c r="O75" s="6">
        <f t="shared" ca="1" si="27"/>
        <v>2874.0022862574701</v>
      </c>
      <c r="P75" s="6">
        <v>100</v>
      </c>
      <c r="Q75" s="6">
        <f t="shared" si="28"/>
        <v>1225.0964285714297</v>
      </c>
      <c r="R75" s="6">
        <f t="shared" si="24"/>
        <v>103.417275</v>
      </c>
      <c r="S75" s="6">
        <f t="shared" si="29"/>
        <v>1225.0964285714297</v>
      </c>
      <c r="T75" s="6">
        <f t="shared" si="30"/>
        <v>103.417275</v>
      </c>
      <c r="U75" s="6">
        <f>20%</f>
        <v>0.2</v>
      </c>
      <c r="V75" s="6">
        <v>0.2</v>
      </c>
      <c r="W75" s="6">
        <f t="shared" si="31"/>
        <v>0.35999999999999988</v>
      </c>
      <c r="X75" s="12">
        <v>0.1</v>
      </c>
      <c r="Y75" s="12">
        <v>2</v>
      </c>
      <c r="Z75" s="12">
        <v>0.1</v>
      </c>
      <c r="AA75" s="12">
        <v>0.9</v>
      </c>
      <c r="AB75" s="13">
        <f t="shared" si="32"/>
        <v>141.13333333333335</v>
      </c>
      <c r="AC75" s="6">
        <f t="shared" si="33"/>
        <v>704.18928571428626</v>
      </c>
      <c r="AD75" s="6">
        <f t="shared" si="34"/>
        <v>704.18928571428626</v>
      </c>
      <c r="AE75" s="6">
        <f t="shared" si="35"/>
        <v>704.18928571428626</v>
      </c>
      <c r="AF75" s="6">
        <f t="shared" si="36"/>
        <v>704.18928571428626</v>
      </c>
      <c r="AG75" s="6">
        <f t="shared" si="37"/>
        <v>704.18928571428626</v>
      </c>
      <c r="AH75" s="6">
        <f t="shared" si="38"/>
        <v>704.18928571428626</v>
      </c>
      <c r="AI75" s="6">
        <f t="shared" si="39"/>
        <v>704.18928571428626</v>
      </c>
      <c r="AJ75" s="6">
        <f t="shared" si="40"/>
        <v>103.417275</v>
      </c>
      <c r="AK75" s="6">
        <f t="shared" si="40"/>
        <v>103.417275</v>
      </c>
      <c r="AL75" s="6">
        <f t="shared" si="40"/>
        <v>103.417275</v>
      </c>
      <c r="AM75" s="6">
        <f t="shared" si="40"/>
        <v>103.417275</v>
      </c>
      <c r="AN75" s="6">
        <f t="shared" si="40"/>
        <v>103.417275</v>
      </c>
      <c r="AO75" s="6">
        <f t="shared" si="40"/>
        <v>103.417275</v>
      </c>
      <c r="AP75" s="1">
        <f t="shared" si="41"/>
        <v>103.417275</v>
      </c>
    </row>
    <row r="76" spans="3:42" x14ac:dyDescent="0.15">
      <c r="C76" s="6">
        <v>74</v>
      </c>
      <c r="D76" s="6">
        <f t="shared" si="25"/>
        <v>7</v>
      </c>
      <c r="E76" s="11">
        <f ca="1">mVlookup(D76&amp;3,[1]!circlePer,"max",FALSE)+10%</f>
        <v>0.26</v>
      </c>
      <c r="F76" s="6">
        <f ca="1">mVlookup(D76&amp;3,[1]!circleValue,"max",FALSE)+1.5</f>
        <v>3</v>
      </c>
      <c r="G76" s="6">
        <f ca="1">mVlookup(D76&amp;3,[1]!otherDamage,"max",FALSE)*100%</f>
        <v>0.16</v>
      </c>
      <c r="H76" s="6">
        <f t="shared" si="42"/>
        <v>4</v>
      </c>
      <c r="I76" s="6">
        <f t="shared" si="43"/>
        <v>3.3</v>
      </c>
      <c r="J76" s="12">
        <f>[1]伤害减免!$D76</f>
        <v>0.84600000000000009</v>
      </c>
      <c r="K76" s="6">
        <f t="shared" si="44"/>
        <v>7</v>
      </c>
      <c r="L76" s="6" t="str">
        <f t="shared" si="26"/>
        <v>4.6</v>
      </c>
      <c r="M76" s="6">
        <f>C76*([1]装备!E$10*0.5+[1]装备!E$10*VLOOKUP(C76,[1]!powerDistribution,3,FALSE))</f>
        <v>2145.2600000000007</v>
      </c>
      <c r="N76" s="6">
        <f>C76*([1]装备!F$10*0.5+[1]装备!F$10*VLOOKUP(C76,[1]!powerDistribution,3,FALSE))</f>
        <v>1296.6904450628335</v>
      </c>
      <c r="O76" s="6">
        <f t="shared" ca="1" si="27"/>
        <v>2926.495478700529</v>
      </c>
      <c r="P76" s="6">
        <v>100</v>
      </c>
      <c r="Q76" s="6">
        <f t="shared" si="28"/>
        <v>1253.7233766233778</v>
      </c>
      <c r="R76" s="6">
        <f t="shared" si="24"/>
        <v>104.83394999999999</v>
      </c>
      <c r="S76" s="6">
        <f t="shared" si="29"/>
        <v>1253.7233766233778</v>
      </c>
      <c r="T76" s="6">
        <f t="shared" si="30"/>
        <v>104.83394999999999</v>
      </c>
      <c r="U76" s="6">
        <f>20%</f>
        <v>0.2</v>
      </c>
      <c r="V76" s="6">
        <v>0.2</v>
      </c>
      <c r="W76" s="6">
        <f t="shared" si="31"/>
        <v>0.35999999999999988</v>
      </c>
      <c r="X76" s="12">
        <v>0.1</v>
      </c>
      <c r="Y76" s="12">
        <v>2</v>
      </c>
      <c r="Z76" s="12">
        <v>0.1</v>
      </c>
      <c r="AA76" s="12">
        <v>0.9</v>
      </c>
      <c r="AB76" s="13">
        <f t="shared" si="32"/>
        <v>143.06666666666669</v>
      </c>
      <c r="AC76" s="6">
        <f t="shared" si="33"/>
        <v>736.31372912801555</v>
      </c>
      <c r="AD76" s="6">
        <f t="shared" si="34"/>
        <v>736.31372912801555</v>
      </c>
      <c r="AE76" s="6">
        <f t="shared" si="35"/>
        <v>736.31372912801555</v>
      </c>
      <c r="AF76" s="6">
        <f t="shared" si="36"/>
        <v>736.31372912801555</v>
      </c>
      <c r="AG76" s="6">
        <f t="shared" si="37"/>
        <v>736.31372912801555</v>
      </c>
      <c r="AH76" s="6">
        <f t="shared" si="38"/>
        <v>736.31372912801555</v>
      </c>
      <c r="AI76" s="6">
        <f t="shared" si="39"/>
        <v>736.31372912801555</v>
      </c>
      <c r="AJ76" s="6">
        <f t="shared" si="40"/>
        <v>104.83394999999999</v>
      </c>
      <c r="AK76" s="6">
        <f t="shared" si="40"/>
        <v>104.83394999999999</v>
      </c>
      <c r="AL76" s="6">
        <f t="shared" si="40"/>
        <v>104.83394999999999</v>
      </c>
      <c r="AM76" s="6">
        <f t="shared" si="40"/>
        <v>104.83394999999999</v>
      </c>
      <c r="AN76" s="6">
        <f t="shared" si="40"/>
        <v>104.83394999999999</v>
      </c>
      <c r="AO76" s="6">
        <f t="shared" si="40"/>
        <v>104.83394999999999</v>
      </c>
      <c r="AP76" s="1">
        <f t="shared" si="41"/>
        <v>104.83394999999999</v>
      </c>
    </row>
    <row r="77" spans="3:42" x14ac:dyDescent="0.15">
      <c r="C77" s="6">
        <v>75</v>
      </c>
      <c r="D77" s="6">
        <f t="shared" si="25"/>
        <v>7</v>
      </c>
      <c r="E77" s="11">
        <f ca="1">mVlookup(D77&amp;3,[1]!circlePer,"max",FALSE)+10%</f>
        <v>0.26</v>
      </c>
      <c r="F77" s="6">
        <f ca="1">mVlookup(D77&amp;3,[1]!circleValue,"max",FALSE)+1.5</f>
        <v>3</v>
      </c>
      <c r="G77" s="6">
        <f ca="1">mVlookup(D77&amp;3,[1]!otherDamage,"max",FALSE)*100%</f>
        <v>0.16</v>
      </c>
      <c r="H77" s="6">
        <f t="shared" si="42"/>
        <v>4</v>
      </c>
      <c r="I77" s="6">
        <f t="shared" si="43"/>
        <v>3.3</v>
      </c>
      <c r="J77" s="12">
        <f>[1]伤害减免!$D77</f>
        <v>0.84800000000000009</v>
      </c>
      <c r="K77" s="6">
        <f t="shared" si="44"/>
        <v>7</v>
      </c>
      <c r="L77" s="6" t="str">
        <f t="shared" si="26"/>
        <v>4.6</v>
      </c>
      <c r="M77" s="6">
        <f>C77*([1]装备!E$10*0.5+[1]装备!E$10*VLOOKUP(C77,[1]!powerDistribution,3,FALSE))</f>
        <v>2184.0000000000005</v>
      </c>
      <c r="N77" s="6">
        <f>C77*([1]装备!F$10*0.5+[1]装备!F$10*VLOOKUP(C77,[1]!powerDistribution,3,FALSE))</f>
        <v>1320.1066220491821</v>
      </c>
      <c r="O77" s="6">
        <f t="shared" ca="1" si="27"/>
        <v>2979.3433548763114</v>
      </c>
      <c r="P77" s="6">
        <v>100</v>
      </c>
      <c r="Q77" s="6">
        <f t="shared" si="28"/>
        <v>1282.8947368421063</v>
      </c>
      <c r="R77" s="6">
        <f t="shared" si="24"/>
        <v>106.25062499999999</v>
      </c>
      <c r="S77" s="6">
        <f t="shared" si="29"/>
        <v>1282.8947368421063</v>
      </c>
      <c r="T77" s="6">
        <f t="shared" si="30"/>
        <v>106.25062499999999</v>
      </c>
      <c r="U77" s="6">
        <f>20%</f>
        <v>0.2</v>
      </c>
      <c r="V77" s="6">
        <v>0.2</v>
      </c>
      <c r="W77" s="6">
        <f t="shared" si="31"/>
        <v>0.35999999999999988</v>
      </c>
      <c r="X77" s="12">
        <v>0.1</v>
      </c>
      <c r="Y77" s="12">
        <v>2</v>
      </c>
      <c r="Z77" s="12">
        <v>0.1</v>
      </c>
      <c r="AA77" s="12">
        <v>0.9</v>
      </c>
      <c r="AB77" s="13">
        <f t="shared" si="32"/>
        <v>145.00000000000003</v>
      </c>
      <c r="AC77" s="6">
        <f t="shared" si="33"/>
        <v>769.7368421052638</v>
      </c>
      <c r="AD77" s="6">
        <f t="shared" si="34"/>
        <v>769.7368421052638</v>
      </c>
      <c r="AE77" s="6">
        <f t="shared" si="35"/>
        <v>769.7368421052638</v>
      </c>
      <c r="AF77" s="6">
        <f t="shared" si="36"/>
        <v>769.7368421052638</v>
      </c>
      <c r="AG77" s="6">
        <f t="shared" si="37"/>
        <v>769.7368421052638</v>
      </c>
      <c r="AH77" s="6">
        <f t="shared" si="38"/>
        <v>769.7368421052638</v>
      </c>
      <c r="AI77" s="6">
        <f t="shared" si="39"/>
        <v>769.7368421052638</v>
      </c>
      <c r="AJ77" s="6">
        <f t="shared" si="40"/>
        <v>106.25062499999999</v>
      </c>
      <c r="AK77" s="6">
        <f t="shared" si="40"/>
        <v>106.25062499999999</v>
      </c>
      <c r="AL77" s="6">
        <f t="shared" si="40"/>
        <v>106.25062499999999</v>
      </c>
      <c r="AM77" s="6">
        <f t="shared" si="40"/>
        <v>106.25062499999999</v>
      </c>
      <c r="AN77" s="6">
        <f t="shared" si="40"/>
        <v>106.25062499999999</v>
      </c>
      <c r="AO77" s="6">
        <f t="shared" si="40"/>
        <v>106.25062499999999</v>
      </c>
      <c r="AP77" s="1">
        <f t="shared" si="41"/>
        <v>106.25062499999999</v>
      </c>
    </row>
    <row r="78" spans="3:42" x14ac:dyDescent="0.15">
      <c r="C78" s="6">
        <v>76</v>
      </c>
      <c r="D78" s="6">
        <f t="shared" si="25"/>
        <v>7</v>
      </c>
      <c r="E78" s="11">
        <f ca="1">mVlookup(D78&amp;3,[1]!circlePer,"max",FALSE)+10%</f>
        <v>0.26</v>
      </c>
      <c r="F78" s="6">
        <f ca="1">mVlookup(D78&amp;3,[1]!circleValue,"max",FALSE)+1.5</f>
        <v>3</v>
      </c>
      <c r="G78" s="6">
        <f ca="1">mVlookup(D78&amp;3,[1]!otherDamage,"max",FALSE)*100%</f>
        <v>0.16</v>
      </c>
      <c r="H78" s="6">
        <f t="shared" si="42"/>
        <v>4</v>
      </c>
      <c r="I78" s="6">
        <f t="shared" si="43"/>
        <v>3.3</v>
      </c>
      <c r="J78" s="12">
        <f>[1]伤害减免!$D78</f>
        <v>0.85000000000000009</v>
      </c>
      <c r="K78" s="6">
        <f t="shared" si="44"/>
        <v>7</v>
      </c>
      <c r="L78" s="6" t="str">
        <f t="shared" si="26"/>
        <v>4.6</v>
      </c>
      <c r="M78" s="6">
        <f>C78*([1]装备!E$10*0.5+[1]装备!E$10*VLOOKUP(C78,[1]!powerDistribution,3,FALSE))</f>
        <v>2223.0000000000005</v>
      </c>
      <c r="N78" s="6">
        <f>C78*([1]装备!F$10*0.5+[1]装备!F$10*VLOOKUP(C78,[1]!powerDistribution,3,FALSE))</f>
        <v>1343.6799545857748</v>
      </c>
      <c r="O78" s="6">
        <f t="shared" ca="1" si="27"/>
        <v>3032.5459147848173</v>
      </c>
      <c r="P78" s="6">
        <v>100</v>
      </c>
      <c r="Q78" s="6">
        <f t="shared" si="28"/>
        <v>1312.6285714285723</v>
      </c>
      <c r="R78" s="6">
        <f t="shared" si="24"/>
        <v>107.6673</v>
      </c>
      <c r="S78" s="6">
        <f t="shared" si="29"/>
        <v>1312.6285714285723</v>
      </c>
      <c r="T78" s="6">
        <f t="shared" si="30"/>
        <v>107.6673</v>
      </c>
      <c r="U78" s="6">
        <f>20%</f>
        <v>0.2</v>
      </c>
      <c r="V78" s="6">
        <v>0.2</v>
      </c>
      <c r="W78" s="6">
        <f t="shared" si="31"/>
        <v>0.35999999999999988</v>
      </c>
      <c r="X78" s="12">
        <v>0.1</v>
      </c>
      <c r="Y78" s="12">
        <v>2</v>
      </c>
      <c r="Z78" s="12">
        <v>0.1</v>
      </c>
      <c r="AA78" s="12">
        <v>0.9</v>
      </c>
      <c r="AB78" s="13">
        <f t="shared" si="32"/>
        <v>146.93333333333334</v>
      </c>
      <c r="AC78" s="6">
        <f t="shared" si="33"/>
        <v>804.5142857142863</v>
      </c>
      <c r="AD78" s="6">
        <f t="shared" si="34"/>
        <v>804.5142857142863</v>
      </c>
      <c r="AE78" s="6">
        <f t="shared" si="35"/>
        <v>804.5142857142863</v>
      </c>
      <c r="AF78" s="6">
        <f t="shared" si="36"/>
        <v>804.5142857142863</v>
      </c>
      <c r="AG78" s="6">
        <f t="shared" si="37"/>
        <v>804.5142857142863</v>
      </c>
      <c r="AH78" s="6">
        <f t="shared" si="38"/>
        <v>804.5142857142863</v>
      </c>
      <c r="AI78" s="6">
        <f t="shared" si="39"/>
        <v>804.5142857142863</v>
      </c>
      <c r="AJ78" s="6">
        <f t="shared" si="40"/>
        <v>107.6673</v>
      </c>
      <c r="AK78" s="6">
        <f t="shared" si="40"/>
        <v>107.6673</v>
      </c>
      <c r="AL78" s="6">
        <f t="shared" si="40"/>
        <v>107.6673</v>
      </c>
      <c r="AM78" s="6">
        <f t="shared" si="40"/>
        <v>107.6673</v>
      </c>
      <c r="AN78" s="6">
        <f t="shared" si="40"/>
        <v>107.6673</v>
      </c>
      <c r="AO78" s="6">
        <f t="shared" si="40"/>
        <v>107.6673</v>
      </c>
      <c r="AP78" s="1">
        <f t="shared" si="41"/>
        <v>107.6673</v>
      </c>
    </row>
    <row r="79" spans="3:42" x14ac:dyDescent="0.15">
      <c r="C79" s="6">
        <v>77</v>
      </c>
      <c r="D79" s="6">
        <f t="shared" si="25"/>
        <v>7</v>
      </c>
      <c r="E79" s="11">
        <f ca="1">mVlookup(D79&amp;3,[1]!circlePer,"max",FALSE)+10%</f>
        <v>0.26</v>
      </c>
      <c r="F79" s="6">
        <f ca="1">mVlookup(D79&amp;3,[1]!circleValue,"max",FALSE)+1.5</f>
        <v>3</v>
      </c>
      <c r="G79" s="6">
        <f ca="1">mVlookup(D79&amp;3,[1]!otherDamage,"max",FALSE)*100%</f>
        <v>0.16</v>
      </c>
      <c r="H79" s="6">
        <f t="shared" si="42"/>
        <v>4</v>
      </c>
      <c r="I79" s="6">
        <f t="shared" si="43"/>
        <v>3.3</v>
      </c>
      <c r="J79" s="12">
        <f>[1]伤害减免!$D79</f>
        <v>0.85200000000000009</v>
      </c>
      <c r="K79" s="6">
        <f t="shared" si="44"/>
        <v>7</v>
      </c>
      <c r="L79" s="6" t="str">
        <f t="shared" si="26"/>
        <v>4.6</v>
      </c>
      <c r="M79" s="6">
        <f>C79*([1]装备!E$10*0.5+[1]装备!E$10*VLOOKUP(C79,[1]!powerDistribution,3,FALSE))</f>
        <v>2262.2600000000007</v>
      </c>
      <c r="N79" s="6">
        <f>C79*([1]装备!F$10*0.5+[1]装备!F$10*VLOOKUP(C79,[1]!powerDistribution,3,FALSE))</f>
        <v>1367.4104426726112</v>
      </c>
      <c r="O79" s="6">
        <f t="shared" ca="1" si="27"/>
        <v>3086.1031584260454</v>
      </c>
      <c r="P79" s="6">
        <v>100</v>
      </c>
      <c r="Q79" s="6">
        <f t="shared" si="28"/>
        <v>1342.9439189189202</v>
      </c>
      <c r="R79" s="6">
        <f t="shared" si="24"/>
        <v>109.083975</v>
      </c>
      <c r="S79" s="6">
        <f t="shared" si="29"/>
        <v>1342.9439189189202</v>
      </c>
      <c r="T79" s="6">
        <f t="shared" si="30"/>
        <v>109.083975</v>
      </c>
      <c r="U79" s="6">
        <f>20%</f>
        <v>0.2</v>
      </c>
      <c r="V79" s="6">
        <v>0.2</v>
      </c>
      <c r="W79" s="6">
        <f t="shared" si="31"/>
        <v>0.35999999999999988</v>
      </c>
      <c r="X79" s="12">
        <v>0.1</v>
      </c>
      <c r="Y79" s="12">
        <v>2</v>
      </c>
      <c r="Z79" s="12">
        <v>0.1</v>
      </c>
      <c r="AA79" s="12">
        <v>0.9</v>
      </c>
      <c r="AB79" s="13">
        <f t="shared" si="32"/>
        <v>148.86666666666667</v>
      </c>
      <c r="AC79" s="6">
        <f t="shared" si="33"/>
        <v>840.7047297297305</v>
      </c>
      <c r="AD79" s="6">
        <f t="shared" si="34"/>
        <v>840.7047297297305</v>
      </c>
      <c r="AE79" s="6">
        <f t="shared" si="35"/>
        <v>840.7047297297305</v>
      </c>
      <c r="AF79" s="6">
        <f t="shared" si="36"/>
        <v>840.7047297297305</v>
      </c>
      <c r="AG79" s="6">
        <f t="shared" si="37"/>
        <v>840.7047297297305</v>
      </c>
      <c r="AH79" s="6">
        <f t="shared" si="38"/>
        <v>840.7047297297305</v>
      </c>
      <c r="AI79" s="6">
        <f t="shared" si="39"/>
        <v>840.7047297297305</v>
      </c>
      <c r="AJ79" s="6">
        <f t="shared" si="40"/>
        <v>109.083975</v>
      </c>
      <c r="AK79" s="6">
        <f t="shared" si="40"/>
        <v>109.083975</v>
      </c>
      <c r="AL79" s="6">
        <f t="shared" si="40"/>
        <v>109.083975</v>
      </c>
      <c r="AM79" s="6">
        <f t="shared" si="40"/>
        <v>109.083975</v>
      </c>
      <c r="AN79" s="6">
        <f t="shared" si="40"/>
        <v>109.083975</v>
      </c>
      <c r="AO79" s="6">
        <f t="shared" si="40"/>
        <v>109.083975</v>
      </c>
      <c r="AP79" s="1">
        <f t="shared" si="41"/>
        <v>109.083975</v>
      </c>
    </row>
    <row r="80" spans="3:42" x14ac:dyDescent="0.15">
      <c r="C80" s="6">
        <v>78</v>
      </c>
      <c r="D80" s="6">
        <f t="shared" si="25"/>
        <v>8</v>
      </c>
      <c r="E80" s="11">
        <f ca="1">mVlookup(D80&amp;3,[1]!circlePer,"max",FALSE)+10%</f>
        <v>0.27</v>
      </c>
      <c r="F80" s="6">
        <f ca="1">mVlookup(D80&amp;3,[1]!circleValue,"max",FALSE)+1.5</f>
        <v>3.1</v>
      </c>
      <c r="G80" s="6">
        <f ca="1">mVlookup(D80&amp;3,[1]!otherDamage,"max",FALSE)*100%</f>
        <v>0.17</v>
      </c>
      <c r="H80" s="6">
        <f t="shared" si="42"/>
        <v>4</v>
      </c>
      <c r="I80" s="6">
        <f t="shared" si="43"/>
        <v>3.3</v>
      </c>
      <c r="J80" s="12">
        <f>[1]伤害减免!$D80</f>
        <v>0.85400000000000009</v>
      </c>
      <c r="K80" s="6">
        <f t="shared" si="44"/>
        <v>7</v>
      </c>
      <c r="L80" s="6" t="str">
        <f t="shared" si="26"/>
        <v>4.6</v>
      </c>
      <c r="M80" s="6">
        <f>C80*([1]装备!E$10*0.5+[1]装备!E$10*VLOOKUP(C80,[1]!powerDistribution,3,FALSE))</f>
        <v>2301.7800000000007</v>
      </c>
      <c r="N80" s="6">
        <f>C80*([1]装备!F$10*0.5+[1]装备!F$10*VLOOKUP(C80,[1]!powerDistribution,3,FALSE))</f>
        <v>1391.2980863096916</v>
      </c>
      <c r="O80" s="6">
        <f t="shared" ca="1" si="27"/>
        <v>3265.013758027937</v>
      </c>
      <c r="P80" s="6">
        <v>100</v>
      </c>
      <c r="Q80" s="6">
        <f t="shared" si="28"/>
        <v>1373.8608610567528</v>
      </c>
      <c r="R80" s="6">
        <f t="shared" si="24"/>
        <v>110.50064999999999</v>
      </c>
      <c r="S80" s="6">
        <f t="shared" si="29"/>
        <v>1373.8608610567528</v>
      </c>
      <c r="T80" s="6">
        <f t="shared" si="30"/>
        <v>110.50064999999999</v>
      </c>
      <c r="U80" s="6">
        <f>20%</f>
        <v>0.2</v>
      </c>
      <c r="V80" s="6">
        <v>0.2</v>
      </c>
      <c r="W80" s="6">
        <f t="shared" si="31"/>
        <v>0.35999999999999988</v>
      </c>
      <c r="X80" s="12">
        <v>0.1</v>
      </c>
      <c r="Y80" s="12">
        <v>2</v>
      </c>
      <c r="Z80" s="12">
        <v>0.1</v>
      </c>
      <c r="AA80" s="12">
        <v>0.9</v>
      </c>
      <c r="AB80" s="13">
        <f t="shared" si="32"/>
        <v>150.80000000000001</v>
      </c>
      <c r="AC80" s="6">
        <f t="shared" si="33"/>
        <v>878.37005870841574</v>
      </c>
      <c r="AD80" s="6">
        <f t="shared" si="34"/>
        <v>878.37005870841574</v>
      </c>
      <c r="AE80" s="6">
        <f t="shared" si="35"/>
        <v>878.37005870841574</v>
      </c>
      <c r="AF80" s="6">
        <f t="shared" si="36"/>
        <v>878.37005870841574</v>
      </c>
      <c r="AG80" s="6">
        <f t="shared" si="37"/>
        <v>878.37005870841574</v>
      </c>
      <c r="AH80" s="6">
        <f t="shared" si="38"/>
        <v>878.37005870841574</v>
      </c>
      <c r="AI80" s="6">
        <f t="shared" si="39"/>
        <v>878.37005870841574</v>
      </c>
      <c r="AJ80" s="6">
        <f t="shared" si="40"/>
        <v>110.50064999999999</v>
      </c>
      <c r="AK80" s="6">
        <f t="shared" si="40"/>
        <v>110.50064999999999</v>
      </c>
      <c r="AL80" s="6">
        <f t="shared" si="40"/>
        <v>110.50064999999999</v>
      </c>
      <c r="AM80" s="6">
        <f t="shared" si="40"/>
        <v>110.50064999999999</v>
      </c>
      <c r="AN80" s="6">
        <f t="shared" si="40"/>
        <v>110.50064999999999</v>
      </c>
      <c r="AO80" s="6">
        <f t="shared" si="40"/>
        <v>110.50064999999999</v>
      </c>
      <c r="AP80" s="1">
        <f t="shared" si="41"/>
        <v>110.50064999999999</v>
      </c>
    </row>
    <row r="81" spans="3:42" x14ac:dyDescent="0.15">
      <c r="C81" s="6">
        <v>79</v>
      </c>
      <c r="D81" s="6">
        <f t="shared" si="25"/>
        <v>8</v>
      </c>
      <c r="E81" s="11">
        <f ca="1">mVlookup(D81&amp;3,[1]!circlePer,"max",FALSE)+10%</f>
        <v>0.27</v>
      </c>
      <c r="F81" s="6">
        <f ca="1">mVlookup(D81&amp;3,[1]!circleValue,"max",FALSE)+1.5</f>
        <v>3.1</v>
      </c>
      <c r="G81" s="6">
        <f ca="1">mVlookup(D81&amp;3,[1]!otherDamage,"max",FALSE)*100%</f>
        <v>0.17</v>
      </c>
      <c r="H81" s="6">
        <f t="shared" si="42"/>
        <v>4</v>
      </c>
      <c r="I81" s="6">
        <f t="shared" si="43"/>
        <v>3.3</v>
      </c>
      <c r="J81" s="12">
        <f>[1]伤害减免!$D81</f>
        <v>0.85600000000000009</v>
      </c>
      <c r="K81" s="6">
        <f t="shared" si="44"/>
        <v>7</v>
      </c>
      <c r="L81" s="6" t="str">
        <f t="shared" si="26"/>
        <v>4.6</v>
      </c>
      <c r="M81" s="6">
        <f>C81*([1]装备!E$10*0.5+[1]装备!E$10*VLOOKUP(C81,[1]!powerDistribution,3,FALSE))</f>
        <v>2341.5600000000004</v>
      </c>
      <c r="N81" s="6">
        <f>C81*([1]装备!F$10*0.5+[1]装备!F$10*VLOOKUP(C81,[1]!powerDistribution,3,FALSE))</f>
        <v>1415.3428854970161</v>
      </c>
      <c r="O81" s="6">
        <f t="shared" ca="1" si="27"/>
        <v>3321.4406308369598</v>
      </c>
      <c r="P81" s="6">
        <v>100</v>
      </c>
      <c r="Q81" s="6">
        <f t="shared" si="28"/>
        <v>1405.4005952380962</v>
      </c>
      <c r="R81" s="6">
        <f t="shared" si="24"/>
        <v>111.91732500000001</v>
      </c>
      <c r="S81" s="6">
        <f t="shared" si="29"/>
        <v>1405.4005952380962</v>
      </c>
      <c r="T81" s="6">
        <f t="shared" si="30"/>
        <v>111.91732500000001</v>
      </c>
      <c r="U81" s="6">
        <f>20%</f>
        <v>0.2</v>
      </c>
      <c r="V81" s="6">
        <v>0.2</v>
      </c>
      <c r="W81" s="6">
        <f t="shared" si="31"/>
        <v>0.35999999999999988</v>
      </c>
      <c r="X81" s="12">
        <v>0.1</v>
      </c>
      <c r="Y81" s="12">
        <v>2</v>
      </c>
      <c r="Z81" s="12">
        <v>0.1</v>
      </c>
      <c r="AA81" s="12">
        <v>0.9</v>
      </c>
      <c r="AB81" s="13">
        <f t="shared" si="32"/>
        <v>152.73333333333335</v>
      </c>
      <c r="AC81" s="6">
        <f t="shared" si="33"/>
        <v>917.57559523809596</v>
      </c>
      <c r="AD81" s="6">
        <f t="shared" si="34"/>
        <v>917.57559523809596</v>
      </c>
      <c r="AE81" s="6">
        <f t="shared" si="35"/>
        <v>917.57559523809596</v>
      </c>
      <c r="AF81" s="6">
        <f t="shared" si="36"/>
        <v>917.57559523809596</v>
      </c>
      <c r="AG81" s="6">
        <f t="shared" si="37"/>
        <v>917.57559523809596</v>
      </c>
      <c r="AH81" s="6">
        <f t="shared" si="38"/>
        <v>917.57559523809596</v>
      </c>
      <c r="AI81" s="6">
        <f t="shared" si="39"/>
        <v>917.57559523809596</v>
      </c>
      <c r="AJ81" s="6">
        <f t="shared" si="40"/>
        <v>111.91732500000001</v>
      </c>
      <c r="AK81" s="6">
        <f t="shared" si="40"/>
        <v>111.91732500000001</v>
      </c>
      <c r="AL81" s="6">
        <f t="shared" si="40"/>
        <v>111.91732500000001</v>
      </c>
      <c r="AM81" s="6">
        <f t="shared" si="40"/>
        <v>111.91732500000001</v>
      </c>
      <c r="AN81" s="6">
        <f t="shared" si="40"/>
        <v>111.91732500000001</v>
      </c>
      <c r="AO81" s="6">
        <f t="shared" si="40"/>
        <v>111.91732500000001</v>
      </c>
      <c r="AP81" s="1">
        <f t="shared" si="41"/>
        <v>111.91732500000001</v>
      </c>
    </row>
    <row r="82" spans="3:42" x14ac:dyDescent="0.15">
      <c r="C82" s="6">
        <v>80</v>
      </c>
      <c r="D82" s="6">
        <f t="shared" si="25"/>
        <v>8</v>
      </c>
      <c r="E82" s="11">
        <f ca="1">mVlookup(D82&amp;3,[1]!circlePer,"max",FALSE)+10%</f>
        <v>0.27</v>
      </c>
      <c r="F82" s="6">
        <f ca="1">mVlookup(D82&amp;3,[1]!circleValue,"max",FALSE)+1.5</f>
        <v>3.1</v>
      </c>
      <c r="G82" s="6">
        <f ca="1">mVlookup(D82&amp;3,[1]!otherDamage,"max",FALSE)*100%</f>
        <v>0.17</v>
      </c>
      <c r="H82" s="6">
        <f t="shared" si="42"/>
        <v>4</v>
      </c>
      <c r="I82" s="6">
        <f t="shared" si="43"/>
        <v>3.3</v>
      </c>
      <c r="J82" s="12">
        <f>[1]伤害减免!$D82</f>
        <v>0.8580000000000001</v>
      </c>
      <c r="K82" s="6">
        <f t="shared" si="44"/>
        <v>7</v>
      </c>
      <c r="L82" s="6" t="str">
        <f t="shared" si="26"/>
        <v>4.6</v>
      </c>
      <c r="M82" s="6">
        <f>C82*([1]装备!E$10*0.5+[1]装备!E$10*VLOOKUP(C82,[1]!powerDistribution,3,FALSE))</f>
        <v>2381.6000000000008</v>
      </c>
      <c r="N82" s="6">
        <f>C82*([1]装备!F$10*0.5+[1]装备!F$10*VLOOKUP(C82,[1]!powerDistribution,3,FALSE))</f>
        <v>1439.5448402345844</v>
      </c>
      <c r="O82" s="6">
        <f t="shared" ca="1" si="27"/>
        <v>3378.2363067362362</v>
      </c>
      <c r="P82" s="6">
        <v>100</v>
      </c>
      <c r="Q82" s="6">
        <f t="shared" si="28"/>
        <v>1437.5855130784723</v>
      </c>
      <c r="R82" s="6">
        <f t="shared" si="24"/>
        <v>113.33399999999999</v>
      </c>
      <c r="S82" s="6">
        <f t="shared" si="29"/>
        <v>1437.5855130784723</v>
      </c>
      <c r="T82" s="6">
        <f t="shared" si="30"/>
        <v>113.33399999999999</v>
      </c>
      <c r="U82" s="6">
        <f>20%</f>
        <v>0.2</v>
      </c>
      <c r="V82" s="6">
        <v>0.2</v>
      </c>
      <c r="W82" s="6">
        <f t="shared" si="31"/>
        <v>0.35999999999999988</v>
      </c>
      <c r="X82" s="12">
        <v>0.1</v>
      </c>
      <c r="Y82" s="12">
        <v>2</v>
      </c>
      <c r="Z82" s="12">
        <v>0.1</v>
      </c>
      <c r="AA82" s="12">
        <v>0.9</v>
      </c>
      <c r="AB82" s="13">
        <f t="shared" si="32"/>
        <v>154.66666666666669</v>
      </c>
      <c r="AC82" s="6">
        <f t="shared" si="33"/>
        <v>958.39034205231496</v>
      </c>
      <c r="AD82" s="6">
        <f t="shared" si="34"/>
        <v>958.39034205231496</v>
      </c>
      <c r="AE82" s="6">
        <f t="shared" si="35"/>
        <v>958.39034205231496</v>
      </c>
      <c r="AF82" s="6">
        <f t="shared" si="36"/>
        <v>958.39034205231496</v>
      </c>
      <c r="AG82" s="6">
        <f t="shared" si="37"/>
        <v>958.39034205231496</v>
      </c>
      <c r="AH82" s="6">
        <f t="shared" si="38"/>
        <v>958.39034205231496</v>
      </c>
      <c r="AI82" s="6">
        <f t="shared" si="39"/>
        <v>958.39034205231496</v>
      </c>
      <c r="AJ82" s="6">
        <f t="shared" si="40"/>
        <v>113.33399999999999</v>
      </c>
      <c r="AK82" s="6">
        <f t="shared" si="40"/>
        <v>113.33399999999999</v>
      </c>
      <c r="AL82" s="6">
        <f t="shared" si="40"/>
        <v>113.33399999999999</v>
      </c>
      <c r="AM82" s="6">
        <f t="shared" si="40"/>
        <v>113.33399999999999</v>
      </c>
      <c r="AN82" s="6">
        <f t="shared" si="40"/>
        <v>113.33399999999999</v>
      </c>
      <c r="AO82" s="6">
        <f t="shared" si="40"/>
        <v>113.33399999999999</v>
      </c>
      <c r="AP82" s="1">
        <f t="shared" si="41"/>
        <v>113.33399999999999</v>
      </c>
    </row>
    <row r="83" spans="3:42" x14ac:dyDescent="0.15">
      <c r="C83" s="6">
        <v>81</v>
      </c>
      <c r="D83" s="6">
        <f t="shared" si="25"/>
        <v>8</v>
      </c>
      <c r="E83" s="11">
        <f ca="1">mVlookup(D83&amp;3,[1]!circlePer,"max",FALSE)+10%</f>
        <v>0.27</v>
      </c>
      <c r="F83" s="6">
        <f ca="1">mVlookup(D83&amp;3,[1]!circleValue,"max",FALSE)+1.5</f>
        <v>3.1</v>
      </c>
      <c r="G83" s="6">
        <f ca="1">mVlookup(D83&amp;3,[1]!otherDamage,"max",FALSE)*100%</f>
        <v>0.17</v>
      </c>
      <c r="H83" s="6">
        <f t="shared" si="42"/>
        <v>4</v>
      </c>
      <c r="I83" s="6">
        <f t="shared" si="43"/>
        <v>3.3</v>
      </c>
      <c r="J83" s="12">
        <f>[1]伤害减免!$D83</f>
        <v>0.8600000000000001</v>
      </c>
      <c r="K83" s="6">
        <f t="shared" si="44"/>
        <v>7</v>
      </c>
      <c r="L83" s="6" t="str">
        <f t="shared" si="26"/>
        <v>4.6</v>
      </c>
      <c r="M83" s="6">
        <f>C83*([1]装备!E$10*0.5+[1]装备!E$10*VLOOKUP(C83,[1]!powerDistribution,3,FALSE))</f>
        <v>2421.9000000000005</v>
      </c>
      <c r="N83" s="6">
        <f>C83*([1]装备!F$10*0.5+[1]装备!F$10*VLOOKUP(C83,[1]!powerDistribution,3,FALSE))</f>
        <v>1463.9039505223966</v>
      </c>
      <c r="O83" s="6">
        <f t="shared" ca="1" si="27"/>
        <v>3435.4007857257689</v>
      </c>
      <c r="P83" s="6">
        <v>100</v>
      </c>
      <c r="Q83" s="6">
        <f t="shared" si="28"/>
        <v>1470.4392857142871</v>
      </c>
      <c r="R83" s="6">
        <f t="shared" si="24"/>
        <v>114.75067499999997</v>
      </c>
      <c r="S83" s="6">
        <f t="shared" si="29"/>
        <v>1470.4392857142871</v>
      </c>
      <c r="T83" s="6">
        <f t="shared" si="30"/>
        <v>114.75067499999997</v>
      </c>
      <c r="U83" s="6">
        <f>20%</f>
        <v>0.2</v>
      </c>
      <c r="V83" s="6">
        <v>0.2</v>
      </c>
      <c r="W83" s="6">
        <f t="shared" si="31"/>
        <v>0.35999999999999988</v>
      </c>
      <c r="X83" s="12">
        <v>0.1</v>
      </c>
      <c r="Y83" s="12">
        <v>2</v>
      </c>
      <c r="Z83" s="12">
        <v>0.1</v>
      </c>
      <c r="AA83" s="12">
        <v>0.9</v>
      </c>
      <c r="AB83" s="13">
        <f t="shared" si="32"/>
        <v>156.60000000000002</v>
      </c>
      <c r="AC83" s="6">
        <f t="shared" si="33"/>
        <v>1000.8872448979602</v>
      </c>
      <c r="AD83" s="6">
        <f t="shared" si="34"/>
        <v>1000.8872448979602</v>
      </c>
      <c r="AE83" s="6">
        <f t="shared" si="35"/>
        <v>1000.8872448979602</v>
      </c>
      <c r="AF83" s="6">
        <f t="shared" si="36"/>
        <v>1000.8872448979602</v>
      </c>
      <c r="AG83" s="6">
        <f t="shared" si="37"/>
        <v>1000.8872448979602</v>
      </c>
      <c r="AH83" s="6">
        <f t="shared" si="38"/>
        <v>1000.8872448979602</v>
      </c>
      <c r="AI83" s="6">
        <f t="shared" si="39"/>
        <v>1000.8872448979602</v>
      </c>
      <c r="AJ83" s="6">
        <f t="shared" si="40"/>
        <v>114.75067499999997</v>
      </c>
      <c r="AK83" s="6">
        <f t="shared" si="40"/>
        <v>114.75067499999997</v>
      </c>
      <c r="AL83" s="6">
        <f t="shared" si="40"/>
        <v>114.75067499999997</v>
      </c>
      <c r="AM83" s="6">
        <f t="shared" si="40"/>
        <v>114.75067499999997</v>
      </c>
      <c r="AN83" s="6">
        <f t="shared" si="40"/>
        <v>114.75067499999997</v>
      </c>
      <c r="AO83" s="6">
        <f t="shared" si="40"/>
        <v>114.75067499999997</v>
      </c>
      <c r="AP83" s="1">
        <f t="shared" si="41"/>
        <v>114.75067499999997</v>
      </c>
    </row>
    <row r="84" spans="3:42" x14ac:dyDescent="0.15">
      <c r="C84" s="6">
        <v>82</v>
      </c>
      <c r="D84" s="6">
        <f t="shared" si="25"/>
        <v>8</v>
      </c>
      <c r="E84" s="11">
        <f ca="1">mVlookup(D84&amp;3,[1]!circlePer,"max",FALSE)+10%</f>
        <v>0.27</v>
      </c>
      <c r="F84" s="6">
        <f ca="1">mVlookup(D84&amp;3,[1]!circleValue,"max",FALSE)+1.5</f>
        <v>3.1</v>
      </c>
      <c r="G84" s="6">
        <f ca="1">mVlookup(D84&amp;3,[1]!otherDamage,"max",FALSE)*100%</f>
        <v>0.17</v>
      </c>
      <c r="H84" s="6">
        <f t="shared" si="42"/>
        <v>4</v>
      </c>
      <c r="I84" s="6">
        <f t="shared" si="43"/>
        <v>3.3</v>
      </c>
      <c r="J84" s="12">
        <f>[1]伤害减免!$D84</f>
        <v>0.8620000000000001</v>
      </c>
      <c r="K84" s="6">
        <f t="shared" si="44"/>
        <v>7</v>
      </c>
      <c r="L84" s="6" t="str">
        <f t="shared" si="26"/>
        <v>4.6</v>
      </c>
      <c r="M84" s="6">
        <f>C84*([1]装备!E$10*0.5+[1]装备!E$10*VLOOKUP(C84,[1]!powerDistribution,3,FALSE))</f>
        <v>2462.4600000000005</v>
      </c>
      <c r="N84" s="6">
        <f>C84*([1]装备!F$10*0.5+[1]装备!F$10*VLOOKUP(C84,[1]!powerDistribution,3,FALSE))</f>
        <v>1488.4202163604527</v>
      </c>
      <c r="O84" s="6">
        <f t="shared" ca="1" si="27"/>
        <v>3492.9340678055555</v>
      </c>
      <c r="P84" s="6">
        <v>100</v>
      </c>
      <c r="Q84" s="6">
        <f t="shared" si="28"/>
        <v>1503.9869565217405</v>
      </c>
      <c r="R84" s="6">
        <f t="shared" si="24"/>
        <v>116.16735</v>
      </c>
      <c r="S84" s="6">
        <f t="shared" si="29"/>
        <v>1503.9869565217405</v>
      </c>
      <c r="T84" s="6">
        <f t="shared" si="30"/>
        <v>116.16735</v>
      </c>
      <c r="U84" s="6">
        <f>20%</f>
        <v>0.2</v>
      </c>
      <c r="V84" s="6">
        <v>0.2</v>
      </c>
      <c r="W84" s="6">
        <f t="shared" si="31"/>
        <v>0.35999999999999988</v>
      </c>
      <c r="X84" s="12">
        <v>0.1</v>
      </c>
      <c r="Y84" s="12">
        <v>2</v>
      </c>
      <c r="Z84" s="12">
        <v>0.1</v>
      </c>
      <c r="AA84" s="12">
        <v>0.9</v>
      </c>
      <c r="AB84" s="13">
        <f t="shared" si="32"/>
        <v>158.53333333333336</v>
      </c>
      <c r="AC84" s="6">
        <f t="shared" si="33"/>
        <v>1045.1434782608706</v>
      </c>
      <c r="AD84" s="6">
        <f t="shared" si="34"/>
        <v>1045.1434782608706</v>
      </c>
      <c r="AE84" s="6">
        <f t="shared" si="35"/>
        <v>1045.1434782608706</v>
      </c>
      <c r="AF84" s="6">
        <f t="shared" si="36"/>
        <v>1045.1434782608706</v>
      </c>
      <c r="AG84" s="6">
        <f t="shared" si="37"/>
        <v>1045.1434782608706</v>
      </c>
      <c r="AH84" s="6">
        <f t="shared" si="38"/>
        <v>1045.1434782608706</v>
      </c>
      <c r="AI84" s="6">
        <f t="shared" si="39"/>
        <v>1045.1434782608706</v>
      </c>
      <c r="AJ84" s="6">
        <f t="shared" si="40"/>
        <v>116.16735</v>
      </c>
      <c r="AK84" s="6">
        <f t="shared" si="40"/>
        <v>116.16735</v>
      </c>
      <c r="AL84" s="6">
        <f t="shared" si="40"/>
        <v>116.16735</v>
      </c>
      <c r="AM84" s="6">
        <f t="shared" si="40"/>
        <v>116.16735</v>
      </c>
      <c r="AN84" s="6">
        <f t="shared" si="40"/>
        <v>116.16735</v>
      </c>
      <c r="AO84" s="6">
        <f t="shared" si="40"/>
        <v>116.16735</v>
      </c>
      <c r="AP84" s="1">
        <f t="shared" si="41"/>
        <v>116.16735</v>
      </c>
    </row>
    <row r="85" spans="3:42" x14ac:dyDescent="0.15">
      <c r="C85" s="6">
        <v>83</v>
      </c>
      <c r="D85" s="6">
        <f t="shared" si="25"/>
        <v>8</v>
      </c>
      <c r="E85" s="11">
        <f ca="1">mVlookup(D85&amp;3,[1]!circlePer,"max",FALSE)+10%</f>
        <v>0.27</v>
      </c>
      <c r="F85" s="6">
        <f ca="1">mVlookup(D85&amp;3,[1]!circleValue,"max",FALSE)+1.5</f>
        <v>3.1</v>
      </c>
      <c r="G85" s="6">
        <f ca="1">mVlookup(D85&amp;3,[1]!otherDamage,"max",FALSE)*100%</f>
        <v>0.17</v>
      </c>
      <c r="H85" s="6">
        <f t="shared" si="42"/>
        <v>4</v>
      </c>
      <c r="I85" s="6">
        <f t="shared" si="43"/>
        <v>3.3</v>
      </c>
      <c r="J85" s="12">
        <f>[1]伤害减免!$D85</f>
        <v>0.8640000000000001</v>
      </c>
      <c r="K85" s="6">
        <f t="shared" si="44"/>
        <v>7</v>
      </c>
      <c r="L85" s="6" t="str">
        <f t="shared" si="26"/>
        <v>4.6</v>
      </c>
      <c r="M85" s="6">
        <f>C85*([1]装备!E$10*0.5+[1]装备!E$10*VLOOKUP(C85,[1]!powerDistribution,3,FALSE))</f>
        <v>2503.2800000000011</v>
      </c>
      <c r="N85" s="6">
        <f>C85*([1]装备!F$10*0.5+[1]装备!F$10*VLOOKUP(C85,[1]!powerDistribution,3,FALSE))</f>
        <v>1513.0936377487531</v>
      </c>
      <c r="O85" s="6">
        <f t="shared" ca="1" si="27"/>
        <v>3550.8361529755994</v>
      </c>
      <c r="P85" s="6">
        <v>100</v>
      </c>
      <c r="Q85" s="6">
        <f t="shared" si="28"/>
        <v>1538.2550420168084</v>
      </c>
      <c r="R85" s="6">
        <f t="shared" si="24"/>
        <v>117.584025</v>
      </c>
      <c r="S85" s="6">
        <f t="shared" si="29"/>
        <v>1538.2550420168084</v>
      </c>
      <c r="T85" s="6">
        <f t="shared" si="30"/>
        <v>117.584025</v>
      </c>
      <c r="U85" s="6">
        <f>20%</f>
        <v>0.2</v>
      </c>
      <c r="V85" s="6">
        <v>0.2</v>
      </c>
      <c r="W85" s="6">
        <f t="shared" si="31"/>
        <v>0.35999999999999988</v>
      </c>
      <c r="X85" s="12">
        <v>0.1</v>
      </c>
      <c r="Y85" s="12">
        <v>2</v>
      </c>
      <c r="Z85" s="12">
        <v>0.1</v>
      </c>
      <c r="AA85" s="12">
        <v>0.9</v>
      </c>
      <c r="AB85" s="13">
        <f t="shared" si="32"/>
        <v>160.4666666666667</v>
      </c>
      <c r="AC85" s="6">
        <f t="shared" si="33"/>
        <v>1091.2407563025222</v>
      </c>
      <c r="AD85" s="6">
        <f t="shared" si="34"/>
        <v>1091.2407563025222</v>
      </c>
      <c r="AE85" s="6">
        <f t="shared" si="35"/>
        <v>1091.2407563025222</v>
      </c>
      <c r="AF85" s="6">
        <f t="shared" si="36"/>
        <v>1091.2407563025222</v>
      </c>
      <c r="AG85" s="6">
        <f t="shared" si="37"/>
        <v>1091.2407563025222</v>
      </c>
      <c r="AH85" s="6">
        <f t="shared" si="38"/>
        <v>1091.2407563025222</v>
      </c>
      <c r="AI85" s="6">
        <f t="shared" si="39"/>
        <v>1091.2407563025222</v>
      </c>
      <c r="AJ85" s="6">
        <f t="shared" si="40"/>
        <v>117.584025</v>
      </c>
      <c r="AK85" s="6">
        <f t="shared" si="40"/>
        <v>117.584025</v>
      </c>
      <c r="AL85" s="6">
        <f t="shared" si="40"/>
        <v>117.584025</v>
      </c>
      <c r="AM85" s="6">
        <f t="shared" si="40"/>
        <v>117.584025</v>
      </c>
      <c r="AN85" s="6">
        <f t="shared" si="40"/>
        <v>117.584025</v>
      </c>
      <c r="AO85" s="6">
        <f t="shared" si="40"/>
        <v>117.584025</v>
      </c>
      <c r="AP85" s="1">
        <f t="shared" si="41"/>
        <v>117.584025</v>
      </c>
    </row>
    <row r="86" spans="3:42" x14ac:dyDescent="0.15">
      <c r="C86" s="6">
        <v>84</v>
      </c>
      <c r="D86" s="6">
        <f t="shared" si="25"/>
        <v>8</v>
      </c>
      <c r="E86" s="11">
        <f ca="1">mVlookup(D86&amp;3,[1]!circlePer,"max",FALSE)+10%</f>
        <v>0.27</v>
      </c>
      <c r="F86" s="6">
        <f ca="1">mVlookup(D86&amp;3,[1]!circleValue,"max",FALSE)+1.5</f>
        <v>3.1</v>
      </c>
      <c r="G86" s="6">
        <f ca="1">mVlookup(D86&amp;3,[1]!otherDamage,"max",FALSE)*100%</f>
        <v>0.17</v>
      </c>
      <c r="H86" s="6">
        <f t="shared" si="42"/>
        <v>4</v>
      </c>
      <c r="I86" s="6">
        <f t="shared" si="43"/>
        <v>3.3</v>
      </c>
      <c r="J86" s="12">
        <f>[1]伤害减免!$D86</f>
        <v>0.8660000000000001</v>
      </c>
      <c r="K86" s="6">
        <f t="shared" si="44"/>
        <v>7</v>
      </c>
      <c r="L86" s="6" t="str">
        <f t="shared" si="26"/>
        <v>4.6</v>
      </c>
      <c r="M86" s="6">
        <f>C86*([1]装备!E$10*0.5+[1]装备!E$10*VLOOKUP(C86,[1]!powerDistribution,3,FALSE))</f>
        <v>2544.360000000001</v>
      </c>
      <c r="N86" s="6">
        <f>C86*([1]装备!F$10*0.5+[1]装备!F$10*VLOOKUP(C86,[1]!powerDistribution,3,FALSE))</f>
        <v>1537.9242146872973</v>
      </c>
      <c r="O86" s="6">
        <f t="shared" ca="1" si="27"/>
        <v>3609.1070412358972</v>
      </c>
      <c r="P86" s="6">
        <v>100</v>
      </c>
      <c r="Q86" s="6">
        <f t="shared" si="28"/>
        <v>1573.2716417910465</v>
      </c>
      <c r="R86" s="6">
        <f t="shared" si="24"/>
        <v>119.00069999999999</v>
      </c>
      <c r="S86" s="6">
        <f t="shared" si="29"/>
        <v>1573.2716417910465</v>
      </c>
      <c r="T86" s="6">
        <f t="shared" si="30"/>
        <v>119.00069999999999</v>
      </c>
      <c r="U86" s="6">
        <f>20%</f>
        <v>0.2</v>
      </c>
      <c r="V86" s="6">
        <v>0.2</v>
      </c>
      <c r="W86" s="6">
        <f t="shared" si="31"/>
        <v>0.35999999999999988</v>
      </c>
      <c r="X86" s="12">
        <v>0.1</v>
      </c>
      <c r="Y86" s="12">
        <v>2</v>
      </c>
      <c r="Z86" s="12">
        <v>0.1</v>
      </c>
      <c r="AA86" s="12">
        <v>0.9</v>
      </c>
      <c r="AB86" s="13">
        <f t="shared" si="32"/>
        <v>162.40000000000003</v>
      </c>
      <c r="AC86" s="6">
        <f t="shared" si="33"/>
        <v>1139.2656716417923</v>
      </c>
      <c r="AD86" s="6">
        <f t="shared" si="34"/>
        <v>1139.2656716417923</v>
      </c>
      <c r="AE86" s="6">
        <f t="shared" si="35"/>
        <v>1139.2656716417923</v>
      </c>
      <c r="AF86" s="6">
        <f t="shared" si="36"/>
        <v>1139.2656716417923</v>
      </c>
      <c r="AG86" s="6">
        <f t="shared" si="37"/>
        <v>1139.2656716417923</v>
      </c>
      <c r="AH86" s="6">
        <f t="shared" si="38"/>
        <v>1139.2656716417923</v>
      </c>
      <c r="AI86" s="6">
        <f t="shared" si="39"/>
        <v>1139.2656716417923</v>
      </c>
      <c r="AJ86" s="6">
        <f t="shared" si="40"/>
        <v>119.00069999999999</v>
      </c>
      <c r="AK86" s="6">
        <f t="shared" si="40"/>
        <v>119.00069999999999</v>
      </c>
      <c r="AL86" s="6">
        <f t="shared" si="40"/>
        <v>119.00069999999999</v>
      </c>
      <c r="AM86" s="6">
        <f t="shared" si="40"/>
        <v>119.00069999999999</v>
      </c>
      <c r="AN86" s="6">
        <f t="shared" si="40"/>
        <v>119.00069999999999</v>
      </c>
      <c r="AO86" s="6">
        <f t="shared" si="40"/>
        <v>119.00069999999999</v>
      </c>
      <c r="AP86" s="1">
        <f t="shared" si="41"/>
        <v>119.00069999999999</v>
      </c>
    </row>
    <row r="87" spans="3:42" x14ac:dyDescent="0.15">
      <c r="C87" s="6">
        <v>85</v>
      </c>
      <c r="D87" s="6">
        <f t="shared" si="25"/>
        <v>8</v>
      </c>
      <c r="E87" s="11">
        <f ca="1">mVlookup(D87&amp;3,[1]!circlePer,"max",FALSE)+10%</f>
        <v>0.27</v>
      </c>
      <c r="F87" s="6">
        <f ca="1">mVlookup(D87&amp;3,[1]!circleValue,"max",FALSE)+1.5</f>
        <v>3.1</v>
      </c>
      <c r="G87" s="6">
        <f ca="1">mVlookup(D87&amp;3,[1]!otherDamage,"max",FALSE)*100%</f>
        <v>0.17</v>
      </c>
      <c r="H87" s="6">
        <f t="shared" si="42"/>
        <v>4</v>
      </c>
      <c r="I87" s="6">
        <f t="shared" si="43"/>
        <v>3.3</v>
      </c>
      <c r="J87" s="12">
        <f>[1]伤害减免!$D87</f>
        <v>0.8680000000000001</v>
      </c>
      <c r="K87" s="6">
        <f t="shared" si="44"/>
        <v>7</v>
      </c>
      <c r="L87" s="6" t="str">
        <f t="shared" si="26"/>
        <v>4.6</v>
      </c>
      <c r="M87" s="6">
        <f>C87*([1]装备!E$10*0.5+[1]装备!E$10*VLOOKUP(C87,[1]!powerDistribution,3,FALSE))</f>
        <v>2585.7000000000007</v>
      </c>
      <c r="N87" s="6">
        <f>C87*([1]装备!F$10*0.5+[1]装备!F$10*VLOOKUP(C87,[1]!powerDistribution,3,FALSE))</f>
        <v>1562.9119471760855</v>
      </c>
      <c r="O87" s="6">
        <f t="shared" ca="1" si="27"/>
        <v>3667.7467325864495</v>
      </c>
      <c r="P87" s="6">
        <v>100</v>
      </c>
      <c r="Q87" s="6">
        <f t="shared" si="28"/>
        <v>1609.0665584415601</v>
      </c>
      <c r="R87" s="6">
        <f t="shared" si="24"/>
        <v>120.41737499999999</v>
      </c>
      <c r="S87" s="6">
        <f t="shared" si="29"/>
        <v>1609.0665584415601</v>
      </c>
      <c r="T87" s="6">
        <f t="shared" si="30"/>
        <v>120.41737499999999</v>
      </c>
      <c r="U87" s="6">
        <f>20%</f>
        <v>0.2</v>
      </c>
      <c r="V87" s="6">
        <v>0.2</v>
      </c>
      <c r="W87" s="6">
        <f t="shared" si="31"/>
        <v>0.35999999999999988</v>
      </c>
      <c r="X87" s="12">
        <v>0.1</v>
      </c>
      <c r="Y87" s="12">
        <v>2</v>
      </c>
      <c r="Z87" s="12">
        <v>0.1</v>
      </c>
      <c r="AA87" s="12">
        <v>0.9</v>
      </c>
      <c r="AB87" s="13">
        <f t="shared" si="32"/>
        <v>164.33333333333334</v>
      </c>
      <c r="AC87" s="6">
        <f t="shared" si="33"/>
        <v>1189.3100649350663</v>
      </c>
      <c r="AD87" s="6">
        <f t="shared" si="34"/>
        <v>1189.3100649350663</v>
      </c>
      <c r="AE87" s="6">
        <f t="shared" si="35"/>
        <v>1189.3100649350663</v>
      </c>
      <c r="AF87" s="6">
        <f t="shared" si="36"/>
        <v>1189.3100649350663</v>
      </c>
      <c r="AG87" s="6">
        <f t="shared" si="37"/>
        <v>1189.3100649350663</v>
      </c>
      <c r="AH87" s="6">
        <f t="shared" si="38"/>
        <v>1189.3100649350663</v>
      </c>
      <c r="AI87" s="6">
        <f t="shared" si="39"/>
        <v>1189.3100649350663</v>
      </c>
      <c r="AJ87" s="6">
        <f t="shared" si="40"/>
        <v>120.41737499999999</v>
      </c>
      <c r="AK87" s="6">
        <f t="shared" si="40"/>
        <v>120.41737499999999</v>
      </c>
      <c r="AL87" s="6">
        <f t="shared" si="40"/>
        <v>120.41737499999999</v>
      </c>
      <c r="AM87" s="6">
        <f t="shared" si="40"/>
        <v>120.41737499999999</v>
      </c>
      <c r="AN87" s="6">
        <f t="shared" si="40"/>
        <v>120.41737499999999</v>
      </c>
      <c r="AO87" s="6">
        <f t="shared" si="40"/>
        <v>120.41737499999999</v>
      </c>
      <c r="AP87" s="1">
        <f t="shared" si="41"/>
        <v>120.41737499999999</v>
      </c>
    </row>
    <row r="88" spans="3:42" x14ac:dyDescent="0.15">
      <c r="C88" s="6">
        <v>86</v>
      </c>
      <c r="D88" s="6">
        <f t="shared" si="25"/>
        <v>8</v>
      </c>
      <c r="E88" s="11">
        <f ca="1">mVlookup(D88&amp;3,[1]!circlePer,"max",FALSE)+10%</f>
        <v>0.27</v>
      </c>
      <c r="F88" s="6">
        <f ca="1">mVlookup(D88&amp;3,[1]!circleValue,"max",FALSE)+1.5</f>
        <v>3.1</v>
      </c>
      <c r="G88" s="6">
        <f ca="1">mVlookup(D88&amp;3,[1]!otherDamage,"max",FALSE)*100%</f>
        <v>0.17</v>
      </c>
      <c r="H88" s="6">
        <f t="shared" si="42"/>
        <v>4</v>
      </c>
      <c r="I88" s="6">
        <f t="shared" si="43"/>
        <v>3.3</v>
      </c>
      <c r="J88" s="12">
        <f>[1]伤害减免!$D88</f>
        <v>0.87000000000000011</v>
      </c>
      <c r="K88" s="6">
        <f t="shared" si="44"/>
        <v>7</v>
      </c>
      <c r="L88" s="6" t="str">
        <f t="shared" si="26"/>
        <v>4.6</v>
      </c>
      <c r="M88" s="6">
        <f>C88*([1]装备!E$10*0.5+[1]装备!E$10*VLOOKUP(C88,[1]!powerDistribution,3,FALSE))</f>
        <v>2627.3000000000011</v>
      </c>
      <c r="N88" s="6">
        <f>C88*([1]装备!F$10*0.5+[1]装备!F$10*VLOOKUP(C88,[1]!powerDistribution,3,FALSE))</f>
        <v>1588.0568352151174</v>
      </c>
      <c r="O88" s="6">
        <f t="shared" ca="1" si="27"/>
        <v>3726.7552270272568</v>
      </c>
      <c r="P88" s="6">
        <v>100</v>
      </c>
      <c r="Q88" s="6">
        <f t="shared" si="28"/>
        <v>1645.6714285714304</v>
      </c>
      <c r="R88" s="6">
        <f t="shared" si="24"/>
        <v>121.83404999999998</v>
      </c>
      <c r="S88" s="6">
        <f t="shared" si="29"/>
        <v>1645.6714285714304</v>
      </c>
      <c r="T88" s="6">
        <f t="shared" si="30"/>
        <v>121.83404999999998</v>
      </c>
      <c r="U88" s="6">
        <f>20%</f>
        <v>0.2</v>
      </c>
      <c r="V88" s="6">
        <v>0.2</v>
      </c>
      <c r="W88" s="6">
        <f t="shared" si="31"/>
        <v>0.35999999999999988</v>
      </c>
      <c r="X88" s="12">
        <v>0.1</v>
      </c>
      <c r="Y88" s="12">
        <v>2</v>
      </c>
      <c r="Z88" s="12">
        <v>0.1</v>
      </c>
      <c r="AA88" s="12">
        <v>0.9</v>
      </c>
      <c r="AB88" s="13">
        <f t="shared" si="32"/>
        <v>166.26666666666668</v>
      </c>
      <c r="AC88" s="6">
        <f t="shared" si="33"/>
        <v>1241.4714285714299</v>
      </c>
      <c r="AD88" s="6">
        <f t="shared" si="34"/>
        <v>1241.4714285714299</v>
      </c>
      <c r="AE88" s="6">
        <f t="shared" si="35"/>
        <v>1241.4714285714299</v>
      </c>
      <c r="AF88" s="6">
        <f t="shared" si="36"/>
        <v>1241.4714285714299</v>
      </c>
      <c r="AG88" s="6">
        <f t="shared" si="37"/>
        <v>1241.4714285714299</v>
      </c>
      <c r="AH88" s="6">
        <f t="shared" si="38"/>
        <v>1241.4714285714299</v>
      </c>
      <c r="AI88" s="6">
        <f t="shared" si="39"/>
        <v>1241.4714285714299</v>
      </c>
      <c r="AJ88" s="6">
        <f t="shared" si="40"/>
        <v>121.83404999999998</v>
      </c>
      <c r="AK88" s="6">
        <f t="shared" si="40"/>
        <v>121.83404999999998</v>
      </c>
      <c r="AL88" s="6">
        <f t="shared" si="40"/>
        <v>121.83404999999998</v>
      </c>
      <c r="AM88" s="6">
        <f t="shared" si="40"/>
        <v>121.83404999999998</v>
      </c>
      <c r="AN88" s="6">
        <f t="shared" si="40"/>
        <v>121.83404999999998</v>
      </c>
      <c r="AO88" s="6">
        <f t="shared" si="40"/>
        <v>121.83404999999998</v>
      </c>
      <c r="AP88" s="1">
        <f t="shared" si="41"/>
        <v>121.83404999999998</v>
      </c>
    </row>
    <row r="89" spans="3:42" x14ac:dyDescent="0.15">
      <c r="C89" s="6">
        <v>87</v>
      </c>
      <c r="D89" s="6">
        <f t="shared" si="25"/>
        <v>8</v>
      </c>
      <c r="E89" s="11">
        <f ca="1">mVlookup(D89&amp;3,[1]!circlePer,"max",FALSE)+10%</f>
        <v>0.27</v>
      </c>
      <c r="F89" s="6">
        <f ca="1">mVlookup(D89&amp;3,[1]!circleValue,"max",FALSE)+1.5</f>
        <v>3.1</v>
      </c>
      <c r="G89" s="6">
        <f ca="1">mVlookup(D89&amp;3,[1]!otherDamage,"max",FALSE)*100%</f>
        <v>0.17</v>
      </c>
      <c r="H89" s="6">
        <f t="shared" si="42"/>
        <v>4</v>
      </c>
      <c r="I89" s="6">
        <f t="shared" si="43"/>
        <v>3.3</v>
      </c>
      <c r="J89" s="12">
        <f>[1]伤害减免!$D89</f>
        <v>0.87200000000000011</v>
      </c>
      <c r="K89" s="6">
        <f t="shared" si="44"/>
        <v>7</v>
      </c>
      <c r="L89" s="6" t="str">
        <f t="shared" si="26"/>
        <v>4.6</v>
      </c>
      <c r="M89" s="6">
        <f>C89*([1]装备!E$10*0.5+[1]装备!E$10*VLOOKUP(C89,[1]!powerDistribution,3,FALSE))</f>
        <v>2669.1600000000008</v>
      </c>
      <c r="N89" s="6">
        <f>C89*([1]装备!F$10*0.5+[1]装备!F$10*VLOOKUP(C89,[1]!powerDistribution,3,FALSE))</f>
        <v>1613.3588788043935</v>
      </c>
      <c r="O89" s="6">
        <f t="shared" ca="1" si="27"/>
        <v>3786.1325245583203</v>
      </c>
      <c r="P89" s="6">
        <v>100</v>
      </c>
      <c r="Q89" s="6">
        <f t="shared" si="28"/>
        <v>1683.1198660714304</v>
      </c>
      <c r="R89" s="6">
        <f t="shared" si="24"/>
        <v>123.250725</v>
      </c>
      <c r="S89" s="6">
        <f t="shared" si="29"/>
        <v>1683.1198660714304</v>
      </c>
      <c r="T89" s="6">
        <f t="shared" si="30"/>
        <v>123.250725</v>
      </c>
      <c r="U89" s="6">
        <f>20%</f>
        <v>0.2</v>
      </c>
      <c r="V89" s="6">
        <v>0.2</v>
      </c>
      <c r="W89" s="6">
        <f t="shared" si="31"/>
        <v>0.35999999999999988</v>
      </c>
      <c r="X89" s="12">
        <v>0.1</v>
      </c>
      <c r="Y89" s="12">
        <v>2</v>
      </c>
      <c r="Z89" s="12">
        <v>0.1</v>
      </c>
      <c r="AA89" s="12">
        <v>0.9</v>
      </c>
      <c r="AB89" s="13">
        <f t="shared" si="32"/>
        <v>168.20000000000002</v>
      </c>
      <c r="AC89" s="6">
        <f t="shared" si="33"/>
        <v>1295.8533482142873</v>
      </c>
      <c r="AD89" s="6">
        <f t="shared" si="34"/>
        <v>1295.8533482142873</v>
      </c>
      <c r="AE89" s="6">
        <f t="shared" si="35"/>
        <v>1295.8533482142873</v>
      </c>
      <c r="AF89" s="6">
        <f t="shared" si="36"/>
        <v>1295.8533482142873</v>
      </c>
      <c r="AG89" s="6">
        <f t="shared" si="37"/>
        <v>1295.8533482142873</v>
      </c>
      <c r="AH89" s="6">
        <f t="shared" si="38"/>
        <v>1295.8533482142873</v>
      </c>
      <c r="AI89" s="6">
        <f t="shared" si="39"/>
        <v>1295.8533482142873</v>
      </c>
      <c r="AJ89" s="6">
        <f t="shared" si="40"/>
        <v>123.250725</v>
      </c>
      <c r="AK89" s="6">
        <f t="shared" si="40"/>
        <v>123.250725</v>
      </c>
      <c r="AL89" s="6">
        <f t="shared" si="40"/>
        <v>123.250725</v>
      </c>
      <c r="AM89" s="6">
        <f t="shared" si="40"/>
        <v>123.250725</v>
      </c>
      <c r="AN89" s="6">
        <f t="shared" si="40"/>
        <v>123.250725</v>
      </c>
      <c r="AO89" s="6">
        <f t="shared" si="40"/>
        <v>123.250725</v>
      </c>
      <c r="AP89" s="1">
        <f t="shared" si="41"/>
        <v>123.250725</v>
      </c>
    </row>
    <row r="90" spans="3:42" x14ac:dyDescent="0.15">
      <c r="C90" s="6">
        <v>88</v>
      </c>
      <c r="D90" s="6">
        <f t="shared" si="25"/>
        <v>8</v>
      </c>
      <c r="E90" s="11">
        <f ca="1">mVlookup(D90&amp;3,[1]!circlePer,"max",FALSE)+10%</f>
        <v>0.27</v>
      </c>
      <c r="F90" s="6">
        <f ca="1">mVlookup(D90&amp;3,[1]!circleValue,"max",FALSE)+1.5</f>
        <v>3.1</v>
      </c>
      <c r="G90" s="6">
        <f ca="1">mVlookup(D90&amp;3,[1]!otherDamage,"max",FALSE)*100%</f>
        <v>0.17</v>
      </c>
      <c r="H90" s="6">
        <f t="shared" si="42"/>
        <v>4</v>
      </c>
      <c r="I90" s="6">
        <f t="shared" si="43"/>
        <v>3.3</v>
      </c>
      <c r="J90" s="12">
        <f>[1]伤害减免!$D90</f>
        <v>0.87400000000000011</v>
      </c>
      <c r="K90" s="6">
        <f t="shared" si="44"/>
        <v>7</v>
      </c>
      <c r="L90" s="6" t="str">
        <f t="shared" si="26"/>
        <v>4.6</v>
      </c>
      <c r="M90" s="6">
        <f>C90*([1]装备!E$10*0.5+[1]装备!E$10*VLOOKUP(C90,[1]!powerDistribution,3,FALSE))</f>
        <v>2711.2800000000007</v>
      </c>
      <c r="N90" s="6">
        <f>C90*([1]装备!F$10*0.5+[1]装备!F$10*VLOOKUP(C90,[1]!powerDistribution,3,FALSE))</f>
        <v>1638.8180779439133</v>
      </c>
      <c r="O90" s="6">
        <f t="shared" ca="1" si="27"/>
        <v>3845.8786251796378</v>
      </c>
      <c r="P90" s="6">
        <v>100</v>
      </c>
      <c r="Q90" s="6">
        <f t="shared" si="28"/>
        <v>1721.4476190476212</v>
      </c>
      <c r="R90" s="6">
        <f t="shared" si="24"/>
        <v>124.66739999999999</v>
      </c>
      <c r="S90" s="6">
        <f t="shared" si="29"/>
        <v>1721.4476190476212</v>
      </c>
      <c r="T90" s="6">
        <f t="shared" si="30"/>
        <v>124.66739999999999</v>
      </c>
      <c r="U90" s="6">
        <f>20%</f>
        <v>0.2</v>
      </c>
      <c r="V90" s="6">
        <v>0.2</v>
      </c>
      <c r="W90" s="6">
        <f t="shared" si="31"/>
        <v>0.35999999999999988</v>
      </c>
      <c r="X90" s="12">
        <v>0.1</v>
      </c>
      <c r="Y90" s="12">
        <v>2</v>
      </c>
      <c r="Z90" s="12">
        <v>0.1</v>
      </c>
      <c r="AA90" s="12">
        <v>0.9</v>
      </c>
      <c r="AB90" s="13">
        <f t="shared" si="32"/>
        <v>170.13333333333335</v>
      </c>
      <c r="AC90" s="6">
        <f t="shared" si="33"/>
        <v>1352.5659863945593</v>
      </c>
      <c r="AD90" s="6">
        <f t="shared" si="34"/>
        <v>1352.5659863945593</v>
      </c>
      <c r="AE90" s="6">
        <f t="shared" si="35"/>
        <v>1352.5659863945593</v>
      </c>
      <c r="AF90" s="6">
        <f t="shared" si="36"/>
        <v>1352.5659863945593</v>
      </c>
      <c r="AG90" s="6">
        <f t="shared" si="37"/>
        <v>1352.5659863945593</v>
      </c>
      <c r="AH90" s="6">
        <f t="shared" si="38"/>
        <v>1352.5659863945593</v>
      </c>
      <c r="AI90" s="6">
        <f t="shared" si="39"/>
        <v>1352.5659863945593</v>
      </c>
      <c r="AJ90" s="6">
        <f t="shared" si="40"/>
        <v>124.66739999999999</v>
      </c>
      <c r="AK90" s="6">
        <f t="shared" si="40"/>
        <v>124.66739999999999</v>
      </c>
      <c r="AL90" s="6">
        <f t="shared" si="40"/>
        <v>124.66739999999999</v>
      </c>
      <c r="AM90" s="6">
        <f t="shared" si="40"/>
        <v>124.66739999999999</v>
      </c>
      <c r="AN90" s="6">
        <f t="shared" si="40"/>
        <v>124.66739999999999</v>
      </c>
      <c r="AO90" s="6">
        <f t="shared" si="40"/>
        <v>124.66739999999999</v>
      </c>
      <c r="AP90" s="1">
        <f t="shared" si="41"/>
        <v>124.66739999999999</v>
      </c>
    </row>
    <row r="91" spans="3:42" x14ac:dyDescent="0.15">
      <c r="C91" s="6">
        <v>89</v>
      </c>
      <c r="D91" s="6">
        <f t="shared" si="25"/>
        <v>9</v>
      </c>
      <c r="E91" s="11">
        <f ca="1">mVlookup(D91&amp;3,[1]!circlePer,"max",FALSE)+10%</f>
        <v>0.28000000000000003</v>
      </c>
      <c r="F91" s="6">
        <f ca="1">mVlookup(D91&amp;3,[1]!circleValue,"max",FALSE)+1.5</f>
        <v>3.2</v>
      </c>
      <c r="G91" s="6">
        <f ca="1">mVlookup(D91&amp;3,[1]!otherDamage,"max",FALSE)*100%</f>
        <v>0.18</v>
      </c>
      <c r="H91" s="6">
        <f t="shared" si="42"/>
        <v>4</v>
      </c>
      <c r="I91" s="6">
        <f t="shared" si="43"/>
        <v>3.3</v>
      </c>
      <c r="J91" s="12">
        <f>[1]伤害减免!$D91</f>
        <v>0.87600000000000011</v>
      </c>
      <c r="K91" s="6">
        <f t="shared" si="44"/>
        <v>7</v>
      </c>
      <c r="L91" s="6" t="str">
        <f t="shared" si="26"/>
        <v>4.6</v>
      </c>
      <c r="M91" s="6">
        <f>C91*([1]装备!E$10*0.5+[1]装备!E$10*VLOOKUP(C91,[1]!powerDistribution,3,FALSE))</f>
        <v>2753.6600000000012</v>
      </c>
      <c r="N91" s="6">
        <f>C91*([1]装备!F$10*0.5+[1]装备!F$10*VLOOKUP(C91,[1]!powerDistribution,3,FALSE))</f>
        <v>1664.4344326336773</v>
      </c>
      <c r="O91" s="6">
        <f t="shared" ca="1" si="27"/>
        <v>4062.5622155526489</v>
      </c>
      <c r="P91" s="6">
        <v>100</v>
      </c>
      <c r="Q91" s="6">
        <f t="shared" si="28"/>
        <v>1760.6927419354863</v>
      </c>
      <c r="R91" s="6">
        <f t="shared" si="24"/>
        <v>126.084075</v>
      </c>
      <c r="S91" s="6">
        <f t="shared" si="29"/>
        <v>1760.6927419354863</v>
      </c>
      <c r="T91" s="6">
        <f t="shared" si="30"/>
        <v>126.084075</v>
      </c>
      <c r="U91" s="6">
        <f>20%</f>
        <v>0.2</v>
      </c>
      <c r="V91" s="6">
        <v>0.2</v>
      </c>
      <c r="W91" s="6">
        <f t="shared" si="31"/>
        <v>0.35999999999999988</v>
      </c>
      <c r="X91" s="12">
        <v>0.1</v>
      </c>
      <c r="Y91" s="12">
        <v>2</v>
      </c>
      <c r="Z91" s="12">
        <v>0.1</v>
      </c>
      <c r="AA91" s="12">
        <v>0.9</v>
      </c>
      <c r="AB91" s="13">
        <f t="shared" si="32"/>
        <v>172.06666666666669</v>
      </c>
      <c r="AC91" s="6">
        <f t="shared" si="33"/>
        <v>1411.7266129032278</v>
      </c>
      <c r="AD91" s="6">
        <f t="shared" si="34"/>
        <v>1411.7266129032278</v>
      </c>
      <c r="AE91" s="6">
        <f t="shared" si="35"/>
        <v>1411.7266129032278</v>
      </c>
      <c r="AF91" s="6">
        <f t="shared" si="36"/>
        <v>1411.7266129032278</v>
      </c>
      <c r="AG91" s="6">
        <f t="shared" si="37"/>
        <v>1411.7266129032278</v>
      </c>
      <c r="AH91" s="6">
        <f t="shared" si="38"/>
        <v>1411.7266129032278</v>
      </c>
      <c r="AI91" s="6">
        <f t="shared" si="39"/>
        <v>1411.7266129032278</v>
      </c>
      <c r="AJ91" s="6">
        <f t="shared" si="40"/>
        <v>126.084075</v>
      </c>
      <c r="AK91" s="6">
        <f t="shared" si="40"/>
        <v>126.084075</v>
      </c>
      <c r="AL91" s="6">
        <f t="shared" si="40"/>
        <v>126.084075</v>
      </c>
      <c r="AM91" s="6">
        <f t="shared" si="40"/>
        <v>126.084075</v>
      </c>
      <c r="AN91" s="6">
        <f t="shared" si="40"/>
        <v>126.084075</v>
      </c>
      <c r="AO91" s="6">
        <f t="shared" si="40"/>
        <v>126.084075</v>
      </c>
      <c r="AP91" s="1">
        <f t="shared" si="41"/>
        <v>126.084075</v>
      </c>
    </row>
    <row r="92" spans="3:42" x14ac:dyDescent="0.15">
      <c r="C92" s="6">
        <v>90</v>
      </c>
      <c r="D92" s="6">
        <f t="shared" si="25"/>
        <v>9</v>
      </c>
      <c r="E92" s="11">
        <f ca="1">mVlookup(D92&amp;3,[1]!circlePer,"max",FALSE)+10%</f>
        <v>0.28000000000000003</v>
      </c>
      <c r="F92" s="6">
        <f ca="1">mVlookup(D92&amp;3,[1]!circleValue,"max",FALSE)+1.5</f>
        <v>3.2</v>
      </c>
      <c r="G92" s="6">
        <f ca="1">mVlookup(D92&amp;3,[1]!otherDamage,"max",FALSE)*100%</f>
        <v>0.18</v>
      </c>
      <c r="H92" s="6">
        <f t="shared" si="42"/>
        <v>4</v>
      </c>
      <c r="I92" s="6">
        <f t="shared" si="43"/>
        <v>3.3</v>
      </c>
      <c r="J92" s="12">
        <f>[1]伤害减免!$D92</f>
        <v>0.87800000000000011</v>
      </c>
      <c r="K92" s="6">
        <f t="shared" si="44"/>
        <v>7</v>
      </c>
      <c r="L92" s="6" t="str">
        <f t="shared" si="26"/>
        <v>4.6</v>
      </c>
      <c r="M92" s="6">
        <f>C92*([1]装备!E$10*0.5+[1]装备!E$10*VLOOKUP(C92,[1]!powerDistribution,3,FALSE))</f>
        <v>2796.3000000000011</v>
      </c>
      <c r="N92" s="6">
        <f>C92*([1]装备!F$10*0.5+[1]装备!F$10*VLOOKUP(C92,[1]!powerDistribution,3,FALSE))</f>
        <v>1690.2079428736849</v>
      </c>
      <c r="O92" s="6">
        <f t="shared" ca="1" si="27"/>
        <v>4125.4703642969253</v>
      </c>
      <c r="P92" s="6">
        <v>100</v>
      </c>
      <c r="Q92" s="6">
        <f t="shared" si="28"/>
        <v>1800.8957845433281</v>
      </c>
      <c r="R92" s="6">
        <f t="shared" si="24"/>
        <v>127.50074999999998</v>
      </c>
      <c r="S92" s="6">
        <f t="shared" si="29"/>
        <v>1800.8957845433281</v>
      </c>
      <c r="T92" s="6">
        <f t="shared" si="30"/>
        <v>127.50074999999998</v>
      </c>
      <c r="U92" s="6">
        <f>20%</f>
        <v>0.2</v>
      </c>
      <c r="V92" s="6">
        <v>0.2</v>
      </c>
      <c r="W92" s="6">
        <f t="shared" si="31"/>
        <v>0.35999999999999988</v>
      </c>
      <c r="X92" s="12">
        <v>0.1</v>
      </c>
      <c r="Y92" s="12">
        <v>2</v>
      </c>
      <c r="Z92" s="12">
        <v>0.1</v>
      </c>
      <c r="AA92" s="12">
        <v>0.9</v>
      </c>
      <c r="AB92" s="13">
        <f t="shared" si="32"/>
        <v>174.00000000000003</v>
      </c>
      <c r="AC92" s="6">
        <f t="shared" si="33"/>
        <v>1473.4601873536321</v>
      </c>
      <c r="AD92" s="6">
        <f t="shared" si="34"/>
        <v>1473.4601873536321</v>
      </c>
      <c r="AE92" s="6">
        <f t="shared" si="35"/>
        <v>1473.4601873536321</v>
      </c>
      <c r="AF92" s="6">
        <f t="shared" si="36"/>
        <v>1473.4601873536321</v>
      </c>
      <c r="AG92" s="6">
        <f t="shared" si="37"/>
        <v>1473.4601873536321</v>
      </c>
      <c r="AH92" s="6">
        <f t="shared" si="38"/>
        <v>1473.4601873536321</v>
      </c>
      <c r="AI92" s="6">
        <f t="shared" si="39"/>
        <v>1473.4601873536321</v>
      </c>
      <c r="AJ92" s="6">
        <f t="shared" si="40"/>
        <v>127.50074999999998</v>
      </c>
      <c r="AK92" s="6">
        <f t="shared" si="40"/>
        <v>127.50074999999998</v>
      </c>
      <c r="AL92" s="6">
        <f t="shared" si="40"/>
        <v>127.50074999999998</v>
      </c>
      <c r="AM92" s="6">
        <f t="shared" si="40"/>
        <v>127.50074999999998</v>
      </c>
      <c r="AN92" s="6">
        <f t="shared" si="40"/>
        <v>127.50074999999998</v>
      </c>
      <c r="AO92" s="6">
        <f t="shared" si="40"/>
        <v>127.50074999999998</v>
      </c>
      <c r="AP92" s="1">
        <f t="shared" si="41"/>
        <v>127.50074999999998</v>
      </c>
    </row>
    <row r="93" spans="3:42" x14ac:dyDescent="0.15">
      <c r="C93" s="6">
        <v>91</v>
      </c>
      <c r="D93" s="6">
        <f t="shared" si="25"/>
        <v>9</v>
      </c>
      <c r="E93" s="11">
        <f ca="1">mVlookup(D93&amp;3,[1]!circlePer,"max",FALSE)+10%</f>
        <v>0.28000000000000003</v>
      </c>
      <c r="F93" s="6">
        <f ca="1">mVlookup(D93&amp;3,[1]!circleValue,"max",FALSE)+1.5</f>
        <v>3.2</v>
      </c>
      <c r="G93" s="6">
        <f ca="1">mVlookup(D93&amp;3,[1]!otherDamage,"max",FALSE)*100%</f>
        <v>0.18</v>
      </c>
      <c r="H93" s="6">
        <f t="shared" si="42"/>
        <v>4</v>
      </c>
      <c r="I93" s="6">
        <f t="shared" si="43"/>
        <v>3.3</v>
      </c>
      <c r="J93" s="12">
        <f>[1]伤害减免!$D93</f>
        <v>0.88000000000000012</v>
      </c>
      <c r="K93" s="6">
        <f t="shared" si="44"/>
        <v>7</v>
      </c>
      <c r="L93" s="6" t="str">
        <f t="shared" si="26"/>
        <v>4.6</v>
      </c>
      <c r="M93" s="6">
        <f>C93*([1]装备!E$10*0.5+[1]装备!E$10*VLOOKUP(C93,[1]!powerDistribution,3,FALSE))</f>
        <v>2839.2000000000007</v>
      </c>
      <c r="N93" s="6">
        <f>C93*([1]装备!F$10*0.5+[1]装备!F$10*VLOOKUP(C93,[1]!powerDistribution,3,FALSE))</f>
        <v>1716.1386086639368</v>
      </c>
      <c r="O93" s="6">
        <f t="shared" ca="1" si="27"/>
        <v>4188.7620993140326</v>
      </c>
      <c r="P93" s="6">
        <v>100</v>
      </c>
      <c r="Q93" s="6">
        <f t="shared" si="28"/>
        <v>1842.1000000000024</v>
      </c>
      <c r="R93" s="6">
        <f t="shared" si="24"/>
        <v>128.91742499999998</v>
      </c>
      <c r="S93" s="6">
        <f t="shared" si="29"/>
        <v>1842.1000000000024</v>
      </c>
      <c r="T93" s="6">
        <f t="shared" si="30"/>
        <v>128.91742499999998</v>
      </c>
      <c r="U93" s="6">
        <f>20%</f>
        <v>0.2</v>
      </c>
      <c r="V93" s="6">
        <v>0.2</v>
      </c>
      <c r="W93" s="6">
        <f t="shared" si="31"/>
        <v>0.35999999999999988</v>
      </c>
      <c r="X93" s="12">
        <v>0.1</v>
      </c>
      <c r="Y93" s="12">
        <v>2</v>
      </c>
      <c r="Z93" s="12">
        <v>0.1</v>
      </c>
      <c r="AA93" s="12">
        <v>0.9</v>
      </c>
      <c r="AB93" s="13">
        <f t="shared" si="32"/>
        <v>175.93333333333337</v>
      </c>
      <c r="AC93" s="6">
        <f t="shared" si="33"/>
        <v>1537.9000000000019</v>
      </c>
      <c r="AD93" s="6">
        <f t="shared" si="34"/>
        <v>1537.9000000000019</v>
      </c>
      <c r="AE93" s="6">
        <f t="shared" si="35"/>
        <v>1537.9000000000019</v>
      </c>
      <c r="AF93" s="6">
        <f t="shared" si="36"/>
        <v>1537.9000000000019</v>
      </c>
      <c r="AG93" s="6">
        <f t="shared" si="37"/>
        <v>1537.9000000000019</v>
      </c>
      <c r="AH93" s="6">
        <f t="shared" si="38"/>
        <v>1537.9000000000019</v>
      </c>
      <c r="AI93" s="6">
        <f t="shared" si="39"/>
        <v>1537.9000000000019</v>
      </c>
      <c r="AJ93" s="6">
        <f t="shared" si="40"/>
        <v>128.91742499999998</v>
      </c>
      <c r="AK93" s="6">
        <f t="shared" si="40"/>
        <v>128.91742499999998</v>
      </c>
      <c r="AL93" s="6">
        <f t="shared" si="40"/>
        <v>128.91742499999998</v>
      </c>
      <c r="AM93" s="6">
        <f t="shared" si="40"/>
        <v>128.91742499999998</v>
      </c>
      <c r="AN93" s="6">
        <f t="shared" si="40"/>
        <v>128.91742499999998</v>
      </c>
      <c r="AO93" s="6">
        <f t="shared" si="40"/>
        <v>128.91742499999998</v>
      </c>
      <c r="AP93" s="1">
        <f t="shared" si="41"/>
        <v>128.91742499999998</v>
      </c>
    </row>
    <row r="94" spans="3:42" x14ac:dyDescent="0.15">
      <c r="C94" s="6">
        <v>92</v>
      </c>
      <c r="D94" s="6">
        <f t="shared" si="25"/>
        <v>9</v>
      </c>
      <c r="E94" s="11">
        <f ca="1">mVlookup(D94&amp;3,[1]!circlePer,"max",FALSE)+10%</f>
        <v>0.28000000000000003</v>
      </c>
      <c r="F94" s="6">
        <f ca="1">mVlookup(D94&amp;3,[1]!circleValue,"max",FALSE)+1.5</f>
        <v>3.2</v>
      </c>
      <c r="G94" s="6">
        <f ca="1">mVlookup(D94&amp;3,[1]!otherDamage,"max",FALSE)*100%</f>
        <v>0.18</v>
      </c>
      <c r="H94" s="6">
        <f t="shared" si="42"/>
        <v>4</v>
      </c>
      <c r="I94" s="6">
        <f t="shared" si="43"/>
        <v>3.3</v>
      </c>
      <c r="J94" s="12">
        <f>[1]伤害减免!$D94</f>
        <v>0.88200000000000012</v>
      </c>
      <c r="K94" s="6">
        <f t="shared" si="44"/>
        <v>7</v>
      </c>
      <c r="L94" s="6" t="str">
        <f t="shared" si="26"/>
        <v>4.6</v>
      </c>
      <c r="M94" s="6">
        <f>C94*([1]装备!E$10*0.5+[1]装备!E$10*VLOOKUP(C94,[1]!powerDistribution,3,FALSE))</f>
        <v>2882.360000000001</v>
      </c>
      <c r="N94" s="6">
        <f>C94*([1]装备!F$10*0.5+[1]装备!F$10*VLOOKUP(C94,[1]!powerDistribution,3,FALSE))</f>
        <v>1742.2264300044328</v>
      </c>
      <c r="O94" s="6">
        <f t="shared" ca="1" si="27"/>
        <v>4252.437420603972</v>
      </c>
      <c r="P94" s="6">
        <v>100</v>
      </c>
      <c r="Q94" s="6">
        <f t="shared" si="28"/>
        <v>1884.3515738498816</v>
      </c>
      <c r="R94" s="6">
        <f t="shared" si="24"/>
        <v>130.33409999999998</v>
      </c>
      <c r="S94" s="6">
        <f t="shared" si="29"/>
        <v>1884.3515738498816</v>
      </c>
      <c r="T94" s="6">
        <f t="shared" si="30"/>
        <v>130.33409999999998</v>
      </c>
      <c r="U94" s="6">
        <f>20%</f>
        <v>0.2</v>
      </c>
      <c r="V94" s="6">
        <v>0.2</v>
      </c>
      <c r="W94" s="6">
        <f t="shared" si="31"/>
        <v>0.35999999999999988</v>
      </c>
      <c r="X94" s="12">
        <v>0.1</v>
      </c>
      <c r="Y94" s="12">
        <v>2</v>
      </c>
      <c r="Z94" s="12">
        <v>0.1</v>
      </c>
      <c r="AA94" s="12">
        <v>0.9</v>
      </c>
      <c r="AB94" s="13">
        <f t="shared" si="32"/>
        <v>177.86666666666667</v>
      </c>
      <c r="AC94" s="6">
        <f t="shared" si="33"/>
        <v>1605.1883777239732</v>
      </c>
      <c r="AD94" s="6">
        <f t="shared" si="34"/>
        <v>1605.1883777239732</v>
      </c>
      <c r="AE94" s="6">
        <f t="shared" si="35"/>
        <v>1605.1883777239732</v>
      </c>
      <c r="AF94" s="6">
        <f t="shared" si="36"/>
        <v>1605.1883777239732</v>
      </c>
      <c r="AG94" s="6">
        <f t="shared" si="37"/>
        <v>1605.1883777239732</v>
      </c>
      <c r="AH94" s="6">
        <f t="shared" si="38"/>
        <v>1605.1883777239732</v>
      </c>
      <c r="AI94" s="6">
        <f t="shared" si="39"/>
        <v>1605.1883777239732</v>
      </c>
      <c r="AJ94" s="6">
        <f t="shared" si="40"/>
        <v>130.33409999999998</v>
      </c>
      <c r="AK94" s="6">
        <f t="shared" si="40"/>
        <v>130.33409999999998</v>
      </c>
      <c r="AL94" s="6">
        <f t="shared" si="40"/>
        <v>130.33409999999998</v>
      </c>
      <c r="AM94" s="6">
        <f t="shared" si="40"/>
        <v>130.33409999999998</v>
      </c>
      <c r="AN94" s="6">
        <f t="shared" si="40"/>
        <v>130.33409999999998</v>
      </c>
      <c r="AO94" s="6">
        <f t="shared" si="40"/>
        <v>130.33409999999998</v>
      </c>
      <c r="AP94" s="1">
        <f t="shared" si="41"/>
        <v>130.33409999999998</v>
      </c>
    </row>
    <row r="95" spans="3:42" x14ac:dyDescent="0.15">
      <c r="C95" s="6">
        <v>93</v>
      </c>
      <c r="D95" s="6">
        <f t="shared" si="25"/>
        <v>9</v>
      </c>
      <c r="E95" s="11">
        <f ca="1">mVlookup(D95&amp;3,[1]!circlePer,"max",FALSE)+10%</f>
        <v>0.28000000000000003</v>
      </c>
      <c r="F95" s="6">
        <f ca="1">mVlookup(D95&amp;3,[1]!circleValue,"max",FALSE)+1.5</f>
        <v>3.2</v>
      </c>
      <c r="G95" s="6">
        <f ca="1">mVlookup(D95&amp;3,[1]!otherDamage,"max",FALSE)*100%</f>
        <v>0.18</v>
      </c>
      <c r="H95" s="6">
        <f t="shared" si="42"/>
        <v>4</v>
      </c>
      <c r="I95" s="6">
        <f t="shared" si="43"/>
        <v>3.3</v>
      </c>
      <c r="J95" s="12">
        <f>[1]伤害减免!$D95</f>
        <v>0.88400000000000012</v>
      </c>
      <c r="K95" s="6">
        <f t="shared" si="44"/>
        <v>7</v>
      </c>
      <c r="L95" s="6" t="str">
        <f t="shared" si="26"/>
        <v>4.6</v>
      </c>
      <c r="M95" s="6">
        <f>C95*([1]装备!E$10*0.5+[1]装备!E$10*VLOOKUP(C95,[1]!powerDistribution,3,FALSE))</f>
        <v>2925.7800000000011</v>
      </c>
      <c r="N95" s="6">
        <f>C95*([1]装备!F$10*0.5+[1]装备!F$10*VLOOKUP(C95,[1]!powerDistribution,3,FALSE))</f>
        <v>1768.4714068951723</v>
      </c>
      <c r="O95" s="6">
        <f t="shared" ca="1" si="27"/>
        <v>4316.4963281667406</v>
      </c>
      <c r="P95" s="6">
        <v>100</v>
      </c>
      <c r="Q95" s="6">
        <f t="shared" si="28"/>
        <v>1927.6998768472934</v>
      </c>
      <c r="R95" s="6">
        <f t="shared" si="24"/>
        <v>131.750775</v>
      </c>
      <c r="S95" s="6">
        <f t="shared" si="29"/>
        <v>1927.6998768472934</v>
      </c>
      <c r="T95" s="6">
        <f t="shared" si="30"/>
        <v>131.750775</v>
      </c>
      <c r="U95" s="6">
        <f>20%</f>
        <v>0.2</v>
      </c>
      <c r="V95" s="6">
        <v>0.2</v>
      </c>
      <c r="W95" s="6">
        <f t="shared" si="31"/>
        <v>0.35999999999999988</v>
      </c>
      <c r="X95" s="12">
        <v>0.1</v>
      </c>
      <c r="Y95" s="12">
        <v>2</v>
      </c>
      <c r="Z95" s="12">
        <v>0.1</v>
      </c>
      <c r="AA95" s="12">
        <v>0.9</v>
      </c>
      <c r="AB95" s="13">
        <f t="shared" si="32"/>
        <v>179.8</v>
      </c>
      <c r="AC95" s="6">
        <f t="shared" si="33"/>
        <v>1675.4774630541897</v>
      </c>
      <c r="AD95" s="6">
        <f t="shared" si="34"/>
        <v>1675.4774630541897</v>
      </c>
      <c r="AE95" s="6">
        <f t="shared" si="35"/>
        <v>1675.4774630541897</v>
      </c>
      <c r="AF95" s="6">
        <f t="shared" si="36"/>
        <v>1675.4774630541897</v>
      </c>
      <c r="AG95" s="6">
        <f t="shared" si="37"/>
        <v>1675.4774630541897</v>
      </c>
      <c r="AH95" s="6">
        <f t="shared" si="38"/>
        <v>1675.4774630541897</v>
      </c>
      <c r="AI95" s="6">
        <f t="shared" si="39"/>
        <v>1675.4774630541897</v>
      </c>
      <c r="AJ95" s="6">
        <f t="shared" si="40"/>
        <v>131.750775</v>
      </c>
      <c r="AK95" s="6">
        <f t="shared" si="40"/>
        <v>131.750775</v>
      </c>
      <c r="AL95" s="6">
        <f t="shared" si="40"/>
        <v>131.750775</v>
      </c>
      <c r="AM95" s="6">
        <f t="shared" si="40"/>
        <v>131.750775</v>
      </c>
      <c r="AN95" s="6">
        <f t="shared" si="40"/>
        <v>131.750775</v>
      </c>
      <c r="AO95" s="6">
        <f t="shared" si="40"/>
        <v>131.750775</v>
      </c>
      <c r="AP95" s="1">
        <f t="shared" si="41"/>
        <v>131.750775</v>
      </c>
    </row>
    <row r="96" spans="3:42" x14ac:dyDescent="0.15">
      <c r="C96" s="6">
        <v>94</v>
      </c>
      <c r="D96" s="6">
        <f t="shared" si="25"/>
        <v>9</v>
      </c>
      <c r="E96" s="11">
        <f ca="1">mVlookup(D96&amp;3,[1]!circlePer,"max",FALSE)+10%</f>
        <v>0.28000000000000003</v>
      </c>
      <c r="F96" s="6">
        <f ca="1">mVlookup(D96&amp;3,[1]!circleValue,"max",FALSE)+1.5</f>
        <v>3.2</v>
      </c>
      <c r="G96" s="6">
        <f ca="1">mVlookup(D96&amp;3,[1]!otherDamage,"max",FALSE)*100%</f>
        <v>0.18</v>
      </c>
      <c r="H96" s="6">
        <f t="shared" si="42"/>
        <v>4</v>
      </c>
      <c r="I96" s="6">
        <f t="shared" si="43"/>
        <v>3.3</v>
      </c>
      <c r="J96" s="12">
        <f>[1]伤害减免!$D96</f>
        <v>0.88600000000000012</v>
      </c>
      <c r="K96" s="6">
        <f t="shared" si="44"/>
        <v>7</v>
      </c>
      <c r="L96" s="6" t="str">
        <f t="shared" si="26"/>
        <v>4.6</v>
      </c>
      <c r="M96" s="6">
        <f>C96*([1]装备!E$10*0.5+[1]装备!E$10*VLOOKUP(C96,[1]!powerDistribution,3,FALSE))</f>
        <v>2969.4600000000009</v>
      </c>
      <c r="N96" s="6">
        <f>C96*([1]装备!F$10*0.5+[1]装备!F$10*VLOOKUP(C96,[1]!powerDistribution,3,FALSE))</f>
        <v>1794.873539336156</v>
      </c>
      <c r="O96" s="6">
        <f t="shared" ca="1" si="27"/>
        <v>4380.938822002342</v>
      </c>
      <c r="P96" s="6">
        <v>100</v>
      </c>
      <c r="Q96" s="6">
        <f t="shared" si="28"/>
        <v>1972.1977443609051</v>
      </c>
      <c r="R96" s="6">
        <f t="shared" si="24"/>
        <v>133.16744999999997</v>
      </c>
      <c r="S96" s="6">
        <f t="shared" si="29"/>
        <v>1972.1977443609051</v>
      </c>
      <c r="T96" s="6">
        <f t="shared" si="30"/>
        <v>133.16744999999997</v>
      </c>
      <c r="U96" s="6">
        <f>20%</f>
        <v>0.2</v>
      </c>
      <c r="V96" s="6">
        <v>0.2</v>
      </c>
      <c r="W96" s="6">
        <f t="shared" si="31"/>
        <v>0.35999999999999988</v>
      </c>
      <c r="X96" s="12">
        <v>0.1</v>
      </c>
      <c r="Y96" s="12">
        <v>2</v>
      </c>
      <c r="Z96" s="12">
        <v>0.1</v>
      </c>
      <c r="AA96" s="12">
        <v>0.9</v>
      </c>
      <c r="AB96" s="13">
        <f t="shared" si="32"/>
        <v>181.73333333333335</v>
      </c>
      <c r="AC96" s="6">
        <f t="shared" si="33"/>
        <v>1748.9300751879721</v>
      </c>
      <c r="AD96" s="6">
        <f t="shared" si="34"/>
        <v>1748.9300751879721</v>
      </c>
      <c r="AE96" s="6">
        <f t="shared" si="35"/>
        <v>1748.9300751879721</v>
      </c>
      <c r="AF96" s="6">
        <f t="shared" si="36"/>
        <v>1748.9300751879721</v>
      </c>
      <c r="AG96" s="6">
        <f t="shared" si="37"/>
        <v>1748.9300751879721</v>
      </c>
      <c r="AH96" s="6">
        <f t="shared" si="38"/>
        <v>1748.9300751879721</v>
      </c>
      <c r="AI96" s="6">
        <f t="shared" si="39"/>
        <v>1748.9300751879721</v>
      </c>
      <c r="AJ96" s="6">
        <f t="shared" si="40"/>
        <v>133.16744999999997</v>
      </c>
      <c r="AK96" s="6">
        <f t="shared" si="40"/>
        <v>133.16744999999997</v>
      </c>
      <c r="AL96" s="6">
        <f t="shared" si="40"/>
        <v>133.16744999999997</v>
      </c>
      <c r="AM96" s="6">
        <f t="shared" si="40"/>
        <v>133.16744999999997</v>
      </c>
      <c r="AN96" s="6">
        <f t="shared" si="40"/>
        <v>133.16744999999997</v>
      </c>
      <c r="AO96" s="6">
        <f t="shared" si="40"/>
        <v>133.16744999999997</v>
      </c>
      <c r="AP96" s="1">
        <f t="shared" si="41"/>
        <v>133.16744999999997</v>
      </c>
    </row>
    <row r="97" spans="3:42" x14ac:dyDescent="0.15">
      <c r="C97" s="6">
        <v>95</v>
      </c>
      <c r="D97" s="6">
        <f t="shared" si="25"/>
        <v>9</v>
      </c>
      <c r="E97" s="11">
        <f ca="1">mVlookup(D97&amp;3,[1]!circlePer,"max",FALSE)+10%</f>
        <v>0.28000000000000003</v>
      </c>
      <c r="F97" s="6">
        <f ca="1">mVlookup(D97&amp;3,[1]!circleValue,"max",FALSE)+1.5</f>
        <v>3.2</v>
      </c>
      <c r="G97" s="6">
        <f ca="1">mVlookup(D97&amp;3,[1]!otherDamage,"max",FALSE)*100%</f>
        <v>0.18</v>
      </c>
      <c r="H97" s="6">
        <f t="shared" si="42"/>
        <v>4</v>
      </c>
      <c r="I97" s="6">
        <f t="shared" si="43"/>
        <v>3.3</v>
      </c>
      <c r="J97" s="12">
        <f>[1]伤害减免!$D97</f>
        <v>0.88800000000000012</v>
      </c>
      <c r="K97" s="6">
        <f t="shared" si="44"/>
        <v>7</v>
      </c>
      <c r="L97" s="6" t="str">
        <f t="shared" si="26"/>
        <v>4.6</v>
      </c>
      <c r="M97" s="6">
        <f>C97*([1]装备!E$10*0.5+[1]装备!E$10*VLOOKUP(C97,[1]!powerDistribution,3,FALSE))</f>
        <v>3013.400000000001</v>
      </c>
      <c r="N97" s="6">
        <f>C97*([1]装备!F$10*0.5+[1]装备!F$10*VLOOKUP(C97,[1]!powerDistribution,3,FALSE))</f>
        <v>1821.4328273273836</v>
      </c>
      <c r="O97" s="6">
        <f t="shared" ca="1" si="27"/>
        <v>4445.7649021107736</v>
      </c>
      <c r="P97" s="6">
        <v>100</v>
      </c>
      <c r="Q97" s="6">
        <f t="shared" si="28"/>
        <v>2017.9017857142887</v>
      </c>
      <c r="R97" s="6">
        <f t="shared" si="24"/>
        <v>134.584125</v>
      </c>
      <c r="S97" s="6">
        <f t="shared" si="29"/>
        <v>2017.9017857142887</v>
      </c>
      <c r="T97" s="6">
        <f t="shared" si="30"/>
        <v>134.584125</v>
      </c>
      <c r="U97" s="6">
        <f>20%</f>
        <v>0.2</v>
      </c>
      <c r="V97" s="6">
        <v>0.2</v>
      </c>
      <c r="W97" s="6">
        <f t="shared" si="31"/>
        <v>0.35999999999999988</v>
      </c>
      <c r="X97" s="12">
        <v>0.1</v>
      </c>
      <c r="Y97" s="12">
        <v>2</v>
      </c>
      <c r="Z97" s="12">
        <v>0.1</v>
      </c>
      <c r="AA97" s="12">
        <v>0.9</v>
      </c>
      <c r="AB97" s="13">
        <f t="shared" si="32"/>
        <v>183.66666666666669</v>
      </c>
      <c r="AC97" s="6">
        <f t="shared" si="33"/>
        <v>1825.7206632653085</v>
      </c>
      <c r="AD97" s="6">
        <f t="shared" si="34"/>
        <v>1825.7206632653085</v>
      </c>
      <c r="AE97" s="6">
        <f t="shared" si="35"/>
        <v>1825.7206632653085</v>
      </c>
      <c r="AF97" s="6">
        <f t="shared" si="36"/>
        <v>1825.7206632653085</v>
      </c>
      <c r="AG97" s="6">
        <f t="shared" si="37"/>
        <v>1825.7206632653085</v>
      </c>
      <c r="AH97" s="6">
        <f t="shared" si="38"/>
        <v>1825.7206632653085</v>
      </c>
      <c r="AI97" s="6">
        <f t="shared" si="39"/>
        <v>1825.7206632653085</v>
      </c>
      <c r="AJ97" s="6">
        <f t="shared" si="40"/>
        <v>134.584125</v>
      </c>
      <c r="AK97" s="6">
        <f t="shared" si="40"/>
        <v>134.584125</v>
      </c>
      <c r="AL97" s="6">
        <f t="shared" si="40"/>
        <v>134.584125</v>
      </c>
      <c r="AM97" s="6">
        <f t="shared" si="40"/>
        <v>134.584125</v>
      </c>
      <c r="AN97" s="6">
        <f t="shared" si="40"/>
        <v>134.584125</v>
      </c>
      <c r="AO97" s="6">
        <f t="shared" si="40"/>
        <v>134.584125</v>
      </c>
      <c r="AP97" s="1">
        <f t="shared" si="41"/>
        <v>134.584125</v>
      </c>
    </row>
    <row r="98" spans="3:42" x14ac:dyDescent="0.15">
      <c r="C98" s="6">
        <v>96</v>
      </c>
      <c r="D98" s="6">
        <f t="shared" si="25"/>
        <v>9</v>
      </c>
      <c r="E98" s="11">
        <f ca="1">mVlookup(D98&amp;3,[1]!circlePer,"max",FALSE)+10%</f>
        <v>0.28000000000000003</v>
      </c>
      <c r="F98" s="6">
        <f ca="1">mVlookup(D98&amp;3,[1]!circleValue,"max",FALSE)+1.5</f>
        <v>3.2</v>
      </c>
      <c r="G98" s="6">
        <f ca="1">mVlookup(D98&amp;3,[1]!otherDamage,"max",FALSE)*100%</f>
        <v>0.18</v>
      </c>
      <c r="H98" s="6">
        <f t="shared" si="42"/>
        <v>4</v>
      </c>
      <c r="I98" s="6">
        <f t="shared" si="43"/>
        <v>3.3</v>
      </c>
      <c r="J98" s="12">
        <f>[1]伤害减免!$D98</f>
        <v>0.89000000000000012</v>
      </c>
      <c r="K98" s="6">
        <f t="shared" si="44"/>
        <v>7</v>
      </c>
      <c r="L98" s="6" t="str">
        <f t="shared" si="26"/>
        <v>4.6</v>
      </c>
      <c r="M98" s="6">
        <f>C98*([1]装备!E$10*0.5+[1]装备!E$10*VLOOKUP(C98,[1]!powerDistribution,3,FALSE))</f>
        <v>3057.6000000000013</v>
      </c>
      <c r="N98" s="6">
        <f>C98*([1]装备!F$10*0.5+[1]装备!F$10*VLOOKUP(C98,[1]!powerDistribution,3,FALSE))</f>
        <v>1848.1492708688552</v>
      </c>
      <c r="O98" s="6">
        <f t="shared" ca="1" si="27"/>
        <v>4510.9745684920354</v>
      </c>
      <c r="P98" s="6">
        <v>100</v>
      </c>
      <c r="Q98" s="6">
        <f t="shared" si="28"/>
        <v>2064.8727272727306</v>
      </c>
      <c r="R98" s="6">
        <f t="shared" si="24"/>
        <v>136.0008</v>
      </c>
      <c r="S98" s="6">
        <f t="shared" si="29"/>
        <v>2064.8727272727306</v>
      </c>
      <c r="T98" s="6">
        <f t="shared" si="30"/>
        <v>136.0008</v>
      </c>
      <c r="U98" s="6">
        <f>20%</f>
        <v>0.2</v>
      </c>
      <c r="V98" s="6">
        <v>0.2</v>
      </c>
      <c r="W98" s="6">
        <f t="shared" si="31"/>
        <v>0.35999999999999988</v>
      </c>
      <c r="X98" s="12">
        <v>0.1</v>
      </c>
      <c r="Y98" s="12">
        <v>2</v>
      </c>
      <c r="Z98" s="12">
        <v>0.1</v>
      </c>
      <c r="AA98" s="12">
        <v>0.9</v>
      </c>
      <c r="AB98" s="13">
        <f t="shared" si="32"/>
        <v>185.60000000000002</v>
      </c>
      <c r="AC98" s="6">
        <f t="shared" si="33"/>
        <v>1906.0363636363663</v>
      </c>
      <c r="AD98" s="6">
        <f t="shared" si="34"/>
        <v>1906.0363636363663</v>
      </c>
      <c r="AE98" s="6">
        <f t="shared" si="35"/>
        <v>1906.0363636363663</v>
      </c>
      <c r="AF98" s="6">
        <f t="shared" si="36"/>
        <v>1906.0363636363663</v>
      </c>
      <c r="AG98" s="6">
        <f t="shared" si="37"/>
        <v>1906.0363636363663</v>
      </c>
      <c r="AH98" s="6">
        <f t="shared" si="38"/>
        <v>1906.0363636363663</v>
      </c>
      <c r="AI98" s="6">
        <f t="shared" si="39"/>
        <v>1906.0363636363663</v>
      </c>
      <c r="AJ98" s="6">
        <f t="shared" si="40"/>
        <v>136.0008</v>
      </c>
      <c r="AK98" s="6">
        <f t="shared" si="40"/>
        <v>136.0008</v>
      </c>
      <c r="AL98" s="6">
        <f t="shared" si="40"/>
        <v>136.0008</v>
      </c>
      <c r="AM98" s="6">
        <f t="shared" si="40"/>
        <v>136.0008</v>
      </c>
      <c r="AN98" s="6">
        <f t="shared" si="40"/>
        <v>136.0008</v>
      </c>
      <c r="AO98" s="6">
        <f t="shared" si="40"/>
        <v>136.0008</v>
      </c>
      <c r="AP98" s="1">
        <f t="shared" si="41"/>
        <v>136.0008</v>
      </c>
    </row>
    <row r="99" spans="3:42" x14ac:dyDescent="0.15">
      <c r="C99" s="6">
        <v>97</v>
      </c>
      <c r="D99" s="6">
        <f t="shared" si="25"/>
        <v>9</v>
      </c>
      <c r="E99" s="11">
        <f ca="1">mVlookup(D99&amp;3,[1]!circlePer,"max",FALSE)+10%</f>
        <v>0.28000000000000003</v>
      </c>
      <c r="F99" s="6">
        <f ca="1">mVlookup(D99&amp;3,[1]!circleValue,"max",FALSE)+1.5</f>
        <v>3.2</v>
      </c>
      <c r="G99" s="6">
        <f ca="1">mVlookup(D99&amp;3,[1]!otherDamage,"max",FALSE)*100%</f>
        <v>0.18</v>
      </c>
      <c r="H99" s="6">
        <f t="shared" si="42"/>
        <v>4</v>
      </c>
      <c r="I99" s="6">
        <f t="shared" si="43"/>
        <v>3.3</v>
      </c>
      <c r="J99" s="12">
        <f>[1]伤害减免!$D99</f>
        <v>0.89200000000000013</v>
      </c>
      <c r="K99" s="6">
        <f t="shared" si="44"/>
        <v>7</v>
      </c>
      <c r="L99" s="6" t="str">
        <f t="shared" si="26"/>
        <v>4.6</v>
      </c>
      <c r="M99" s="6">
        <f>C99*([1]装备!E$10*0.5+[1]装备!E$10*VLOOKUP(C99,[1]!powerDistribution,3,FALSE))</f>
        <v>3102.0600000000009</v>
      </c>
      <c r="N99" s="6">
        <f>C99*([1]装备!F$10*0.5+[1]装备!F$10*VLOOKUP(C99,[1]!powerDistribution,3,FALSE))</f>
        <v>1875.0228699605705</v>
      </c>
      <c r="O99" s="6">
        <f t="shared" ca="1" si="27"/>
        <v>4576.5678211461282</v>
      </c>
      <c r="P99" s="6">
        <v>100</v>
      </c>
      <c r="Q99" s="6">
        <f t="shared" si="28"/>
        <v>2113.175793650797</v>
      </c>
      <c r="R99" s="6">
        <f t="shared" si="24"/>
        <v>137.417475</v>
      </c>
      <c r="S99" s="6">
        <f t="shared" si="29"/>
        <v>2113.175793650797</v>
      </c>
      <c r="T99" s="6">
        <f t="shared" si="30"/>
        <v>137.417475</v>
      </c>
      <c r="U99" s="6">
        <f>20%</f>
        <v>0.2</v>
      </c>
      <c r="V99" s="6">
        <v>0.2</v>
      </c>
      <c r="W99" s="6">
        <f t="shared" si="31"/>
        <v>0.35999999999999988</v>
      </c>
      <c r="X99" s="12">
        <v>0.1</v>
      </c>
      <c r="Y99" s="12">
        <v>2</v>
      </c>
      <c r="Z99" s="12">
        <v>0.1</v>
      </c>
      <c r="AA99" s="12">
        <v>0.9</v>
      </c>
      <c r="AB99" s="13">
        <f t="shared" si="32"/>
        <v>187.53333333333336</v>
      </c>
      <c r="AC99" s="6">
        <f t="shared" si="33"/>
        <v>1990.0781746031776</v>
      </c>
      <c r="AD99" s="6">
        <f t="shared" si="34"/>
        <v>1990.0781746031776</v>
      </c>
      <c r="AE99" s="6">
        <f t="shared" si="35"/>
        <v>1990.0781746031776</v>
      </c>
      <c r="AF99" s="6">
        <f t="shared" si="36"/>
        <v>1990.0781746031776</v>
      </c>
      <c r="AG99" s="6">
        <f t="shared" si="37"/>
        <v>1990.0781746031776</v>
      </c>
      <c r="AH99" s="6">
        <f t="shared" si="38"/>
        <v>1990.0781746031776</v>
      </c>
      <c r="AI99" s="6">
        <f t="shared" si="39"/>
        <v>1990.0781746031776</v>
      </c>
      <c r="AJ99" s="6">
        <f t="shared" si="40"/>
        <v>137.417475</v>
      </c>
      <c r="AK99" s="6">
        <f t="shared" si="40"/>
        <v>137.417475</v>
      </c>
      <c r="AL99" s="6">
        <f t="shared" si="40"/>
        <v>137.417475</v>
      </c>
      <c r="AM99" s="6">
        <f t="shared" si="40"/>
        <v>137.417475</v>
      </c>
      <c r="AN99" s="6">
        <f t="shared" si="40"/>
        <v>137.417475</v>
      </c>
      <c r="AO99" s="6">
        <f t="shared" si="40"/>
        <v>137.417475</v>
      </c>
      <c r="AP99" s="1">
        <f t="shared" si="41"/>
        <v>137.417475</v>
      </c>
    </row>
    <row r="100" spans="3:42" x14ac:dyDescent="0.15">
      <c r="C100" s="6">
        <v>98</v>
      </c>
      <c r="D100" s="6">
        <f t="shared" si="25"/>
        <v>9</v>
      </c>
      <c r="E100" s="11">
        <f ca="1">mVlookup(D100&amp;3,[1]!circlePer,"max",FALSE)+10%</f>
        <v>0.28000000000000003</v>
      </c>
      <c r="F100" s="6">
        <f ca="1">mVlookup(D100&amp;3,[1]!circleValue,"max",FALSE)+1.5</f>
        <v>3.2</v>
      </c>
      <c r="G100" s="6">
        <f ca="1">mVlookup(D100&amp;3,[1]!otherDamage,"max",FALSE)*100%</f>
        <v>0.18</v>
      </c>
      <c r="H100" s="6">
        <f t="shared" si="42"/>
        <v>4</v>
      </c>
      <c r="I100" s="6">
        <f t="shared" si="43"/>
        <v>3.3</v>
      </c>
      <c r="J100" s="12">
        <f>[1]伤害减免!$D100</f>
        <v>0.89400000000000013</v>
      </c>
      <c r="K100" s="6">
        <f t="shared" si="44"/>
        <v>7</v>
      </c>
      <c r="L100" s="6" t="str">
        <f t="shared" si="26"/>
        <v>4.6</v>
      </c>
      <c r="M100" s="6">
        <f>C100*([1]装备!E$10*0.5+[1]装备!E$10*VLOOKUP(C100,[1]!powerDistribution,3,FALSE))</f>
        <v>3146.7800000000016</v>
      </c>
      <c r="N100" s="6">
        <f>C100*([1]装备!F$10*0.5+[1]装备!F$10*VLOOKUP(C100,[1]!powerDistribution,3,FALSE))</f>
        <v>1902.0536246025299</v>
      </c>
      <c r="O100" s="6">
        <f t="shared" ca="1" si="27"/>
        <v>4642.5446600730529</v>
      </c>
      <c r="P100" s="6">
        <v>100</v>
      </c>
      <c r="Q100" s="6">
        <f t="shared" si="28"/>
        <v>2162.8811320754753</v>
      </c>
      <c r="R100" s="6">
        <f t="shared" si="24"/>
        <v>138.83414999999999</v>
      </c>
      <c r="S100" s="6">
        <f t="shared" si="29"/>
        <v>2162.8811320754753</v>
      </c>
      <c r="T100" s="6">
        <f t="shared" si="30"/>
        <v>138.83414999999999</v>
      </c>
      <c r="U100" s="6">
        <f>20%</f>
        <v>0.2</v>
      </c>
      <c r="V100" s="6">
        <v>0.2</v>
      </c>
      <c r="W100" s="6">
        <f t="shared" si="31"/>
        <v>0.35999999999999988</v>
      </c>
      <c r="X100" s="12">
        <v>0.1</v>
      </c>
      <c r="Y100" s="12">
        <v>2</v>
      </c>
      <c r="Z100" s="12">
        <v>0.1</v>
      </c>
      <c r="AA100" s="12">
        <v>0.9</v>
      </c>
      <c r="AB100" s="13">
        <f t="shared" si="32"/>
        <v>189.4666666666667</v>
      </c>
      <c r="AC100" s="6">
        <f t="shared" si="33"/>
        <v>2078.0622641509467</v>
      </c>
      <c r="AD100" s="6">
        <f t="shared" si="34"/>
        <v>2078.0622641509467</v>
      </c>
      <c r="AE100" s="6">
        <f t="shared" si="35"/>
        <v>2078.0622641509467</v>
      </c>
      <c r="AF100" s="6">
        <f t="shared" si="36"/>
        <v>2078.0622641509467</v>
      </c>
      <c r="AG100" s="6">
        <f t="shared" si="37"/>
        <v>2078.0622641509467</v>
      </c>
      <c r="AH100" s="6">
        <f t="shared" si="38"/>
        <v>2078.0622641509467</v>
      </c>
      <c r="AI100" s="6">
        <f t="shared" si="39"/>
        <v>2078.0622641509467</v>
      </c>
      <c r="AJ100" s="6">
        <f t="shared" si="40"/>
        <v>138.83414999999999</v>
      </c>
      <c r="AK100" s="6">
        <f t="shared" si="40"/>
        <v>138.83414999999999</v>
      </c>
      <c r="AL100" s="6">
        <f t="shared" si="40"/>
        <v>138.83414999999999</v>
      </c>
      <c r="AM100" s="6">
        <f t="shared" si="40"/>
        <v>138.83414999999999</v>
      </c>
      <c r="AN100" s="6">
        <f t="shared" si="40"/>
        <v>138.83414999999999</v>
      </c>
      <c r="AO100" s="6">
        <f t="shared" si="40"/>
        <v>138.83414999999999</v>
      </c>
      <c r="AP100" s="1">
        <f t="shared" si="41"/>
        <v>138.83414999999999</v>
      </c>
    </row>
    <row r="101" spans="3:42" x14ac:dyDescent="0.15">
      <c r="C101" s="6">
        <v>99</v>
      </c>
      <c r="D101" s="6">
        <f t="shared" si="25"/>
        <v>9</v>
      </c>
      <c r="E101" s="11">
        <f ca="1">mVlookup(D101&amp;3,[1]!circlePer,"max",FALSE)+10%</f>
        <v>0.28000000000000003</v>
      </c>
      <c r="F101" s="6">
        <f ca="1">mVlookup(D101&amp;3,[1]!circleValue,"max",FALSE)+1.5</f>
        <v>3.2</v>
      </c>
      <c r="G101" s="6">
        <f ca="1">mVlookup(D101&amp;3,[1]!otherDamage,"max",FALSE)*100%</f>
        <v>0.18</v>
      </c>
      <c r="H101" s="6">
        <f t="shared" si="42"/>
        <v>4</v>
      </c>
      <c r="I101" s="6">
        <f t="shared" si="43"/>
        <v>3.3</v>
      </c>
      <c r="J101" s="12">
        <f>[1]伤害减免!$D101</f>
        <v>0.89600000000000013</v>
      </c>
      <c r="K101" s="6">
        <f t="shared" si="44"/>
        <v>7</v>
      </c>
      <c r="L101" s="6" t="str">
        <f t="shared" si="26"/>
        <v>4.6</v>
      </c>
      <c r="M101" s="6">
        <f>C101*([1]装备!E$10*0.5+[1]装备!E$10*VLOOKUP(C101,[1]!powerDistribution,3,FALSE))</f>
        <v>3191.7600000000011</v>
      </c>
      <c r="N101" s="6">
        <f>C101*([1]装备!F$10*0.5+[1]装备!F$10*VLOOKUP(C101,[1]!powerDistribution,3,FALSE))</f>
        <v>1929.2415347947333</v>
      </c>
      <c r="O101" s="6">
        <f t="shared" ca="1" si="27"/>
        <v>4708.9050852728087</v>
      </c>
      <c r="P101" s="6">
        <v>100</v>
      </c>
      <c r="Q101" s="6">
        <f t="shared" si="28"/>
        <v>2214.0642857142893</v>
      </c>
      <c r="R101" s="6">
        <f t="shared" si="24"/>
        <v>140.25082499999999</v>
      </c>
      <c r="S101" s="6">
        <f t="shared" si="29"/>
        <v>2214.0642857142893</v>
      </c>
      <c r="T101" s="6">
        <f t="shared" si="30"/>
        <v>140.25082499999999</v>
      </c>
      <c r="U101" s="6">
        <f>20%</f>
        <v>0.2</v>
      </c>
      <c r="V101" s="6">
        <v>0.2</v>
      </c>
      <c r="W101" s="6">
        <f t="shared" si="31"/>
        <v>0.35999999999999988</v>
      </c>
      <c r="X101" s="12">
        <v>0.1</v>
      </c>
      <c r="Y101" s="12">
        <v>2</v>
      </c>
      <c r="Z101" s="12">
        <v>0.1</v>
      </c>
      <c r="AA101" s="12">
        <v>0.9</v>
      </c>
      <c r="AB101" s="13">
        <f t="shared" si="32"/>
        <v>191.40000000000003</v>
      </c>
      <c r="AC101" s="6">
        <f t="shared" si="33"/>
        <v>2170.2214285714317</v>
      </c>
      <c r="AD101" s="6">
        <f t="shared" si="34"/>
        <v>2170.2214285714317</v>
      </c>
      <c r="AE101" s="6">
        <f t="shared" si="35"/>
        <v>2170.2214285714317</v>
      </c>
      <c r="AF101" s="6">
        <f t="shared" si="36"/>
        <v>2170.2214285714317</v>
      </c>
      <c r="AG101" s="6">
        <f t="shared" si="37"/>
        <v>2170.2214285714317</v>
      </c>
      <c r="AH101" s="6">
        <f t="shared" si="38"/>
        <v>2170.2214285714317</v>
      </c>
      <c r="AI101" s="6">
        <f t="shared" si="39"/>
        <v>2170.2214285714317</v>
      </c>
      <c r="AJ101" s="6">
        <f t="shared" si="40"/>
        <v>140.25082499999999</v>
      </c>
      <c r="AK101" s="6">
        <f t="shared" si="40"/>
        <v>140.25082499999999</v>
      </c>
      <c r="AL101" s="6">
        <f t="shared" si="40"/>
        <v>140.25082499999999</v>
      </c>
      <c r="AM101" s="6">
        <f t="shared" si="40"/>
        <v>140.25082499999999</v>
      </c>
      <c r="AN101" s="6">
        <f t="shared" si="40"/>
        <v>140.25082499999999</v>
      </c>
      <c r="AO101" s="6">
        <f t="shared" si="40"/>
        <v>140.25082499999999</v>
      </c>
      <c r="AP101" s="1">
        <f t="shared" si="41"/>
        <v>140.25082499999999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I1091"/>
  <sheetViews>
    <sheetView workbookViewId="0">
      <selection activeCell="H21" sqref="H21"/>
    </sheetView>
  </sheetViews>
  <sheetFormatPr defaultRowHeight="12.75" x14ac:dyDescent="0.15"/>
  <cols>
    <col min="1" max="4" width="9" style="1"/>
    <col min="5" max="5" width="2.875" style="1" customWidth="1"/>
    <col min="6" max="6" width="9" style="1"/>
    <col min="7" max="7" width="2.25" style="1" customWidth="1"/>
    <col min="8" max="13" width="9" style="1"/>
    <col min="14" max="14" width="13.625" style="1" customWidth="1"/>
    <col min="15" max="16384" width="9" style="1"/>
  </cols>
  <sheetData>
    <row r="1" spans="2:35" x14ac:dyDescent="0.15">
      <c r="H1" s="1">
        <f ca="1">MAX(H3:H1091)</f>
        <v>8652.6130941887877</v>
      </c>
      <c r="I1" s="1">
        <f t="shared" ref="I1:AI1" ca="1" si="0">MAX(I3:I1091)</f>
        <v>150</v>
      </c>
      <c r="J1" s="1">
        <f t="shared" ca="1" si="0"/>
        <v>3321.0964285714344</v>
      </c>
      <c r="K1" s="1">
        <f t="shared" ca="1" si="0"/>
        <v>210.3762375</v>
      </c>
      <c r="L1" s="1">
        <f t="shared" ca="1" si="0"/>
        <v>3321.0964285714344</v>
      </c>
      <c r="M1" s="1">
        <f t="shared" ca="1" si="0"/>
        <v>210.3762375</v>
      </c>
      <c r="N1" s="1">
        <f t="shared" ca="1" si="0"/>
        <v>0.2</v>
      </c>
      <c r="O1" s="1">
        <f t="shared" ca="1" si="0"/>
        <v>0.2</v>
      </c>
      <c r="P1" s="1">
        <f t="shared" ca="1" si="0"/>
        <v>0.36</v>
      </c>
      <c r="Q1" s="1">
        <f t="shared" ca="1" si="0"/>
        <v>0.12</v>
      </c>
      <c r="R1" s="1">
        <f t="shared" ca="1" si="0"/>
        <v>3</v>
      </c>
      <c r="S1" s="1">
        <f t="shared" ca="1" si="0"/>
        <v>0.15000000000000002</v>
      </c>
      <c r="T1" s="1">
        <f t="shared" ca="1" si="0"/>
        <v>1.1700000000000002</v>
      </c>
      <c r="U1" s="1">
        <f t="shared" ca="1" si="0"/>
        <v>248.82000000000002</v>
      </c>
      <c r="V1" s="1">
        <f t="shared" ca="1" si="0"/>
        <v>2170.2214285714299</v>
      </c>
      <c r="W1" s="1">
        <f t="shared" ca="1" si="0"/>
        <v>3255.3321428571448</v>
      </c>
      <c r="X1" s="1">
        <f t="shared" ca="1" si="0"/>
        <v>3255.3321428571448</v>
      </c>
      <c r="Y1" s="1">
        <f t="shared" ca="1" si="0"/>
        <v>3255.3321428571448</v>
      </c>
      <c r="Z1" s="1">
        <f t="shared" ca="1" si="0"/>
        <v>3255.3321428571448</v>
      </c>
      <c r="AA1" s="1">
        <f t="shared" ca="1" si="0"/>
        <v>3255.3321428571448</v>
      </c>
      <c r="AB1" s="1">
        <f t="shared" ca="1" si="0"/>
        <v>3255.3321428571448</v>
      </c>
      <c r="AC1" s="1">
        <f t="shared" ca="1" si="0"/>
        <v>210.3762375</v>
      </c>
      <c r="AD1" s="1">
        <f t="shared" ca="1" si="0"/>
        <v>210.3762375</v>
      </c>
      <c r="AE1" s="1">
        <f t="shared" ca="1" si="0"/>
        <v>210.3762375</v>
      </c>
      <c r="AF1" s="1">
        <f t="shared" ca="1" si="0"/>
        <v>210.3762375</v>
      </c>
      <c r="AG1" s="1">
        <f t="shared" ca="1" si="0"/>
        <v>210.3762375</v>
      </c>
      <c r="AH1" s="1">
        <f t="shared" ca="1" si="0"/>
        <v>210.3762375</v>
      </c>
      <c r="AI1" s="1">
        <f t="shared" ca="1" si="0"/>
        <v>210.3762375</v>
      </c>
    </row>
    <row r="2" spans="2:35" x14ac:dyDescent="0.15">
      <c r="B2" s="10" t="s">
        <v>103</v>
      </c>
      <c r="C2" s="10" t="s">
        <v>47</v>
      </c>
      <c r="D2" s="10" t="s">
        <v>104</v>
      </c>
      <c r="E2" s="10" t="s">
        <v>105</v>
      </c>
      <c r="F2" s="10" t="s">
        <v>89</v>
      </c>
      <c r="G2" s="10" t="s">
        <v>106</v>
      </c>
      <c r="H2" s="10" t="s">
        <v>30</v>
      </c>
      <c r="I2" s="10" t="s">
        <v>59</v>
      </c>
      <c r="J2" s="10" t="s">
        <v>60</v>
      </c>
      <c r="K2" s="10" t="s">
        <v>61</v>
      </c>
      <c r="L2" s="10" t="s">
        <v>62</v>
      </c>
      <c r="M2" s="10" t="s">
        <v>63</v>
      </c>
      <c r="N2" s="10" t="s">
        <v>79</v>
      </c>
      <c r="O2" s="7" t="s">
        <v>80</v>
      </c>
      <c r="P2" s="7" t="s">
        <v>81</v>
      </c>
      <c r="Q2" s="7" t="s">
        <v>87</v>
      </c>
      <c r="R2" s="7" t="s">
        <v>88</v>
      </c>
      <c r="S2" s="7" t="s">
        <v>76</v>
      </c>
      <c r="T2" s="7" t="s">
        <v>31</v>
      </c>
      <c r="U2" s="7" t="s">
        <v>77</v>
      </c>
      <c r="V2" s="7" t="s">
        <v>64</v>
      </c>
      <c r="W2" s="7" t="s">
        <v>65</v>
      </c>
      <c r="X2" s="7" t="s">
        <v>66</v>
      </c>
      <c r="Y2" s="7" t="s">
        <v>67</v>
      </c>
      <c r="Z2" s="7" t="s">
        <v>68</v>
      </c>
      <c r="AA2" s="7" t="s">
        <v>69</v>
      </c>
      <c r="AB2" s="7" t="s">
        <v>107</v>
      </c>
      <c r="AC2" s="7" t="s">
        <v>70</v>
      </c>
      <c r="AD2" s="7" t="s">
        <v>71</v>
      </c>
      <c r="AE2" s="7" t="s">
        <v>72</v>
      </c>
      <c r="AF2" s="7" t="s">
        <v>73</v>
      </c>
      <c r="AG2" s="7" t="s">
        <v>74</v>
      </c>
      <c r="AH2" s="7" t="s">
        <v>75</v>
      </c>
      <c r="AI2" s="7" t="s">
        <v>102</v>
      </c>
    </row>
    <row r="3" spans="2:35" x14ac:dyDescent="0.15">
      <c r="B3" s="1" t="str">
        <f>D3&amp;C3</f>
        <v>飞行系1</v>
      </c>
      <c r="C3" s="1">
        <v>1</v>
      </c>
      <c r="D3" s="14" t="s">
        <v>90</v>
      </c>
      <c r="E3" s="14">
        <v>1</v>
      </c>
      <c r="F3" s="1" t="str">
        <f t="shared" ref="F3:F66" si="1">VLOOKUP(E3,monsterType,4,FALSE)</f>
        <v>冷却</v>
      </c>
      <c r="H3" s="1">
        <f t="shared" ref="H3:H66" ca="1" si="2">mVlookup(C3,monsterBaseDate,H$2,FALSE)*(1+mVlookup(E3,monsterType,H$2,FALSE))*(1+mVlookup(C3,monsterHpRevise,D3,FALSE))</f>
        <v>10.328055568154927</v>
      </c>
      <c r="I3" s="1">
        <f t="shared" ref="I3:R12" ca="1" si="3">mVlookup($C3,monsterBaseDate,I$2,FALSE)*(1+mVlookup($E3,monsterType,I$2,FALSE))</f>
        <v>100</v>
      </c>
      <c r="J3" s="1">
        <f t="shared" ca="1" si="3"/>
        <v>9.7012499999999999</v>
      </c>
      <c r="K3" s="1">
        <f t="shared" ca="1" si="3"/>
        <v>1.4166749999999999</v>
      </c>
      <c r="L3" s="1">
        <f t="shared" ca="1" si="3"/>
        <v>8.0843749999999996</v>
      </c>
      <c r="M3" s="1">
        <f t="shared" ca="1" si="3"/>
        <v>1.4166749999999999</v>
      </c>
      <c r="N3" s="1">
        <f t="shared" ca="1" si="3"/>
        <v>0.2</v>
      </c>
      <c r="O3" s="1">
        <f t="shared" ca="1" si="3"/>
        <v>0.2</v>
      </c>
      <c r="P3" s="1">
        <f t="shared" ca="1" si="3"/>
        <v>0.36</v>
      </c>
      <c r="Q3" s="1">
        <f t="shared" ca="1" si="3"/>
        <v>0.12</v>
      </c>
      <c r="R3" s="1">
        <f t="shared" ca="1" si="3"/>
        <v>2.2000000000000002</v>
      </c>
      <c r="S3" s="1">
        <f t="shared" ref="S3:AI18" ca="1" si="4">mVlookup($C3,monsterBaseDate,S$2,FALSE)*(1+mVlookup($E3,monsterType,S$2,FALSE))</f>
        <v>0.15000000000000002</v>
      </c>
      <c r="T3" s="1">
        <f t="shared" ca="1" si="4"/>
        <v>0.9</v>
      </c>
      <c r="U3" s="1">
        <f t="shared" ca="1" si="4"/>
        <v>2.5133333333333292</v>
      </c>
      <c r="V3" s="1">
        <f t="shared" ca="1" si="4"/>
        <v>0</v>
      </c>
      <c r="W3" s="1">
        <f t="shared" ca="1" si="4"/>
        <v>0</v>
      </c>
      <c r="X3" s="1">
        <f t="shared" ca="1" si="4"/>
        <v>4.0625000000000001E-2</v>
      </c>
      <c r="Y3" s="1">
        <f t="shared" ca="1" si="4"/>
        <v>0</v>
      </c>
      <c r="Z3" s="1">
        <f t="shared" ca="1" si="4"/>
        <v>0</v>
      </c>
      <c r="AA3" s="1">
        <f t="shared" ca="1" si="4"/>
        <v>0</v>
      </c>
      <c r="AB3" s="1">
        <f t="shared" ca="1" si="4"/>
        <v>0</v>
      </c>
      <c r="AC3" s="1">
        <f t="shared" ca="1" si="4"/>
        <v>1.4166749999999999</v>
      </c>
      <c r="AD3" s="1">
        <f t="shared" ca="1" si="4"/>
        <v>1.4166749999999999</v>
      </c>
      <c r="AE3" s="1">
        <f t="shared" ca="1" si="4"/>
        <v>1.8416774999999999</v>
      </c>
      <c r="AF3" s="1">
        <f t="shared" ca="1" si="4"/>
        <v>1.4166749999999999</v>
      </c>
      <c r="AG3" s="1">
        <f t="shared" ca="1" si="4"/>
        <v>1.4166749999999999</v>
      </c>
      <c r="AH3" s="1">
        <f t="shared" ca="1" si="4"/>
        <v>1.4166749999999999</v>
      </c>
      <c r="AI3" s="1">
        <f t="shared" ca="1" si="4"/>
        <v>1.4166749999999999</v>
      </c>
    </row>
    <row r="4" spans="2:35" x14ac:dyDescent="0.15">
      <c r="B4" s="1" t="str">
        <f t="shared" ref="B4:B67" si="5">D4&amp;C4</f>
        <v>飞行系2</v>
      </c>
      <c r="C4" s="1">
        <v>2</v>
      </c>
      <c r="D4" s="14" t="s">
        <v>90</v>
      </c>
      <c r="E4" s="14">
        <v>1</v>
      </c>
      <c r="F4" s="1" t="str">
        <f t="shared" si="1"/>
        <v>冷却</v>
      </c>
      <c r="H4" s="1">
        <f t="shared" ca="1" si="2"/>
        <v>22.684165684238536</v>
      </c>
      <c r="I4" s="1">
        <f t="shared" ca="1" si="3"/>
        <v>100</v>
      </c>
      <c r="J4" s="1">
        <f t="shared" ca="1" si="3"/>
        <v>20.065771812080516</v>
      </c>
      <c r="K4" s="1">
        <f t="shared" ca="1" si="3"/>
        <v>2.8333499999999998</v>
      </c>
      <c r="L4" s="1">
        <f t="shared" ca="1" si="3"/>
        <v>16.721476510067099</v>
      </c>
      <c r="M4" s="1">
        <f t="shared" ca="1" si="3"/>
        <v>2.8333499999999998</v>
      </c>
      <c r="N4" s="1">
        <f t="shared" ca="1" si="3"/>
        <v>0.2</v>
      </c>
      <c r="O4" s="1">
        <f t="shared" ca="1" si="3"/>
        <v>0.2</v>
      </c>
      <c r="P4" s="1">
        <f t="shared" ca="1" si="3"/>
        <v>0.36</v>
      </c>
      <c r="Q4" s="1">
        <f t="shared" ca="1" si="3"/>
        <v>0.12</v>
      </c>
      <c r="R4" s="1">
        <f t="shared" ca="1" si="3"/>
        <v>2.2000000000000002</v>
      </c>
      <c r="S4" s="1">
        <f t="shared" ca="1" si="4"/>
        <v>0.15000000000000002</v>
      </c>
      <c r="T4" s="1">
        <f t="shared" ca="1" si="4"/>
        <v>0.9</v>
      </c>
      <c r="U4" s="1">
        <f t="shared" ca="1" si="4"/>
        <v>5.0266666666666708</v>
      </c>
      <c r="V4" s="1">
        <f t="shared" ca="1" si="4"/>
        <v>0</v>
      </c>
      <c r="W4" s="1">
        <f t="shared" ca="1" si="4"/>
        <v>0</v>
      </c>
      <c r="X4" s="1">
        <f t="shared" ca="1" si="4"/>
        <v>0.16890380313199099</v>
      </c>
      <c r="Y4" s="1">
        <f t="shared" ca="1" si="4"/>
        <v>0</v>
      </c>
      <c r="Z4" s="1">
        <f t="shared" ca="1" si="4"/>
        <v>0</v>
      </c>
      <c r="AA4" s="1">
        <f t="shared" ca="1" si="4"/>
        <v>0</v>
      </c>
      <c r="AB4" s="1">
        <f t="shared" ca="1" si="4"/>
        <v>0</v>
      </c>
      <c r="AC4" s="1">
        <f t="shared" ca="1" si="4"/>
        <v>2.8333499999999998</v>
      </c>
      <c r="AD4" s="1">
        <f t="shared" ca="1" si="4"/>
        <v>2.8333499999999998</v>
      </c>
      <c r="AE4" s="1">
        <f t="shared" ca="1" si="4"/>
        <v>3.6833549999999997</v>
      </c>
      <c r="AF4" s="1">
        <f t="shared" ca="1" si="4"/>
        <v>2.8333499999999998</v>
      </c>
      <c r="AG4" s="1">
        <f t="shared" ca="1" si="4"/>
        <v>2.8333499999999998</v>
      </c>
      <c r="AH4" s="1">
        <f t="shared" ca="1" si="4"/>
        <v>2.8333499999999998</v>
      </c>
      <c r="AI4" s="1">
        <f t="shared" ca="1" si="4"/>
        <v>2.8333499999999998</v>
      </c>
    </row>
    <row r="5" spans="2:35" x14ac:dyDescent="0.15">
      <c r="B5" s="1" t="str">
        <f t="shared" si="5"/>
        <v>飞行系3</v>
      </c>
      <c r="C5" s="1">
        <v>3</v>
      </c>
      <c r="D5" s="14" t="s">
        <v>90</v>
      </c>
      <c r="E5" s="14">
        <v>1</v>
      </c>
      <c r="F5" s="1" t="str">
        <f t="shared" si="1"/>
        <v>冷却</v>
      </c>
      <c r="H5" s="1">
        <f t="shared" ca="1" si="2"/>
        <v>37.105886913953164</v>
      </c>
      <c r="I5" s="1">
        <f t="shared" ca="1" si="3"/>
        <v>100</v>
      </c>
      <c r="J5" s="1">
        <f t="shared" ca="1" si="3"/>
        <v>31.147297297297317</v>
      </c>
      <c r="K5" s="1">
        <f t="shared" ca="1" si="3"/>
        <v>4.2500249999999999</v>
      </c>
      <c r="L5" s="1">
        <f t="shared" ca="1" si="3"/>
        <v>25.956081081081098</v>
      </c>
      <c r="M5" s="1">
        <f t="shared" ca="1" si="3"/>
        <v>4.2500249999999999</v>
      </c>
      <c r="N5" s="1">
        <f t="shared" ca="1" si="3"/>
        <v>0.2</v>
      </c>
      <c r="O5" s="1">
        <f t="shared" ca="1" si="3"/>
        <v>0.2</v>
      </c>
      <c r="P5" s="1">
        <f t="shared" ca="1" si="3"/>
        <v>0.36</v>
      </c>
      <c r="Q5" s="1">
        <f t="shared" ca="1" si="3"/>
        <v>0.12</v>
      </c>
      <c r="R5" s="1">
        <f t="shared" ca="1" si="3"/>
        <v>2.2000000000000002</v>
      </c>
      <c r="S5" s="1">
        <f t="shared" ca="1" si="4"/>
        <v>0.15000000000000002</v>
      </c>
      <c r="T5" s="1">
        <f t="shared" ca="1" si="4"/>
        <v>0.9</v>
      </c>
      <c r="U5" s="1">
        <f t="shared" ca="1" si="4"/>
        <v>7.54</v>
      </c>
      <c r="V5" s="1">
        <f t="shared" ca="1" si="4"/>
        <v>0</v>
      </c>
      <c r="W5" s="1">
        <f t="shared" ca="1" si="4"/>
        <v>0</v>
      </c>
      <c r="X5" s="1">
        <f t="shared" ca="1" si="4"/>
        <v>0.39527027027027001</v>
      </c>
      <c r="Y5" s="1">
        <f t="shared" ca="1" si="4"/>
        <v>0</v>
      </c>
      <c r="Z5" s="1">
        <f t="shared" ca="1" si="4"/>
        <v>0</v>
      </c>
      <c r="AA5" s="1">
        <f t="shared" ca="1" si="4"/>
        <v>0</v>
      </c>
      <c r="AB5" s="1">
        <f t="shared" ca="1" si="4"/>
        <v>0</v>
      </c>
      <c r="AC5" s="1">
        <f t="shared" ca="1" si="4"/>
        <v>4.2500249999999999</v>
      </c>
      <c r="AD5" s="1">
        <f t="shared" ca="1" si="4"/>
        <v>4.2500249999999999</v>
      </c>
      <c r="AE5" s="1">
        <f t="shared" ca="1" si="4"/>
        <v>5.5250325</v>
      </c>
      <c r="AF5" s="1">
        <f t="shared" ca="1" si="4"/>
        <v>4.2500249999999999</v>
      </c>
      <c r="AG5" s="1">
        <f t="shared" ca="1" si="4"/>
        <v>4.2500249999999999</v>
      </c>
      <c r="AH5" s="1">
        <f t="shared" ca="1" si="4"/>
        <v>4.2500249999999999</v>
      </c>
      <c r="AI5" s="1">
        <f t="shared" ca="1" si="4"/>
        <v>4.2500249999999999</v>
      </c>
    </row>
    <row r="6" spans="2:35" x14ac:dyDescent="0.15">
      <c r="B6" s="1" t="str">
        <f t="shared" si="5"/>
        <v>飞行系4</v>
      </c>
      <c r="C6" s="1">
        <v>4</v>
      </c>
      <c r="D6" s="14" t="s">
        <v>90</v>
      </c>
      <c r="E6" s="14">
        <v>1</v>
      </c>
      <c r="F6" s="1" t="str">
        <f t="shared" si="1"/>
        <v>冷却</v>
      </c>
      <c r="H6" s="1">
        <f t="shared" ca="1" si="2"/>
        <v>53.630775823001073</v>
      </c>
      <c r="I6" s="1">
        <f t="shared" ca="1" si="3"/>
        <v>100</v>
      </c>
      <c r="J6" s="1">
        <f t="shared" ca="1" si="3"/>
        <v>43.005405405405362</v>
      </c>
      <c r="K6" s="1">
        <f t="shared" ca="1" si="3"/>
        <v>5.6666999999999996</v>
      </c>
      <c r="L6" s="1">
        <f t="shared" ca="1" si="3"/>
        <v>35.837837837837803</v>
      </c>
      <c r="M6" s="1">
        <f t="shared" ca="1" si="3"/>
        <v>5.6666999999999996</v>
      </c>
      <c r="N6" s="1">
        <f t="shared" ca="1" si="3"/>
        <v>0.2</v>
      </c>
      <c r="O6" s="1">
        <f t="shared" ca="1" si="3"/>
        <v>0.2</v>
      </c>
      <c r="P6" s="1">
        <f t="shared" ca="1" si="3"/>
        <v>0.36</v>
      </c>
      <c r="Q6" s="1">
        <f t="shared" ca="1" si="3"/>
        <v>0.12</v>
      </c>
      <c r="R6" s="1">
        <f t="shared" ca="1" si="3"/>
        <v>2.2000000000000002</v>
      </c>
      <c r="S6" s="1">
        <f t="shared" ca="1" si="4"/>
        <v>0.15000000000000002</v>
      </c>
      <c r="T6" s="1">
        <f t="shared" ca="1" si="4"/>
        <v>0.9</v>
      </c>
      <c r="U6" s="1">
        <f t="shared" ca="1" si="4"/>
        <v>10.053333333333329</v>
      </c>
      <c r="V6" s="1">
        <f t="shared" ca="1" si="4"/>
        <v>0</v>
      </c>
      <c r="W6" s="1">
        <f t="shared" ca="1" si="4"/>
        <v>0</v>
      </c>
      <c r="X6" s="1">
        <f t="shared" ca="1" si="4"/>
        <v>0.73138444567016003</v>
      </c>
      <c r="Y6" s="1">
        <f t="shared" ca="1" si="4"/>
        <v>0</v>
      </c>
      <c r="Z6" s="1">
        <f t="shared" ca="1" si="4"/>
        <v>0</v>
      </c>
      <c r="AA6" s="1">
        <f t="shared" ca="1" si="4"/>
        <v>0</v>
      </c>
      <c r="AB6" s="1">
        <f t="shared" ca="1" si="4"/>
        <v>0</v>
      </c>
      <c r="AC6" s="1">
        <f t="shared" ca="1" si="4"/>
        <v>5.6666999999999996</v>
      </c>
      <c r="AD6" s="1">
        <f t="shared" ca="1" si="4"/>
        <v>5.6666999999999996</v>
      </c>
      <c r="AE6" s="1">
        <f t="shared" ca="1" si="4"/>
        <v>7.3667099999999994</v>
      </c>
      <c r="AF6" s="1">
        <f t="shared" ca="1" si="4"/>
        <v>5.6666999999999996</v>
      </c>
      <c r="AG6" s="1">
        <f t="shared" ca="1" si="4"/>
        <v>5.6666999999999996</v>
      </c>
      <c r="AH6" s="1">
        <f t="shared" ca="1" si="4"/>
        <v>5.6666999999999996</v>
      </c>
      <c r="AI6" s="1">
        <f t="shared" ca="1" si="4"/>
        <v>5.6666999999999996</v>
      </c>
    </row>
    <row r="7" spans="2:35" x14ac:dyDescent="0.15">
      <c r="B7" s="1" t="str">
        <f t="shared" si="5"/>
        <v>飞行系5</v>
      </c>
      <c r="C7" s="1">
        <v>5</v>
      </c>
      <c r="D7" s="14" t="s">
        <v>90</v>
      </c>
      <c r="E7" s="14">
        <v>1</v>
      </c>
      <c r="F7" s="1" t="str">
        <f t="shared" si="1"/>
        <v>冷却</v>
      </c>
      <c r="H7" s="1">
        <f t="shared" ca="1" si="2"/>
        <v>72.296388977084845</v>
      </c>
      <c r="I7" s="1">
        <f t="shared" ca="1" si="3"/>
        <v>100</v>
      </c>
      <c r="J7" s="1">
        <f t="shared" ca="1" si="3"/>
        <v>55.706335616438395</v>
      </c>
      <c r="K7" s="1">
        <f t="shared" ca="1" si="3"/>
        <v>7.0833750000000002</v>
      </c>
      <c r="L7" s="1">
        <f t="shared" ca="1" si="3"/>
        <v>46.421946347031998</v>
      </c>
      <c r="M7" s="1">
        <f t="shared" ca="1" si="3"/>
        <v>7.0833750000000002</v>
      </c>
      <c r="N7" s="1">
        <f t="shared" ca="1" si="3"/>
        <v>0.2</v>
      </c>
      <c r="O7" s="1">
        <f t="shared" ca="1" si="3"/>
        <v>0.2</v>
      </c>
      <c r="P7" s="1">
        <f t="shared" ca="1" si="3"/>
        <v>0.36</v>
      </c>
      <c r="Q7" s="1">
        <f t="shared" ca="1" si="3"/>
        <v>0.12</v>
      </c>
      <c r="R7" s="1">
        <f t="shared" ca="1" si="3"/>
        <v>2.2000000000000002</v>
      </c>
      <c r="S7" s="1">
        <f t="shared" ca="1" si="4"/>
        <v>0.15000000000000002</v>
      </c>
      <c r="T7" s="1">
        <f t="shared" ca="1" si="4"/>
        <v>0.9</v>
      </c>
      <c r="U7" s="1">
        <f t="shared" ca="1" si="4"/>
        <v>12.566666666666672</v>
      </c>
      <c r="V7" s="1">
        <f t="shared" ca="1" si="4"/>
        <v>0</v>
      </c>
      <c r="W7" s="1">
        <f t="shared" ca="1" si="4"/>
        <v>0</v>
      </c>
      <c r="X7" s="1">
        <f t="shared" ca="1" si="4"/>
        <v>1.1903063165905601</v>
      </c>
      <c r="Y7" s="1">
        <f t="shared" ca="1" si="4"/>
        <v>0</v>
      </c>
      <c r="Z7" s="1">
        <f t="shared" ca="1" si="4"/>
        <v>0</v>
      </c>
      <c r="AA7" s="1">
        <f t="shared" ca="1" si="4"/>
        <v>0</v>
      </c>
      <c r="AB7" s="1">
        <f t="shared" ca="1" si="4"/>
        <v>0</v>
      </c>
      <c r="AC7" s="1">
        <f t="shared" ca="1" si="4"/>
        <v>7.0833750000000002</v>
      </c>
      <c r="AD7" s="1">
        <f t="shared" ca="1" si="4"/>
        <v>7.0833750000000002</v>
      </c>
      <c r="AE7" s="1">
        <f t="shared" ca="1" si="4"/>
        <v>9.2083875000000006</v>
      </c>
      <c r="AF7" s="1">
        <f t="shared" ca="1" si="4"/>
        <v>7.0833750000000002</v>
      </c>
      <c r="AG7" s="1">
        <f t="shared" ca="1" si="4"/>
        <v>7.0833750000000002</v>
      </c>
      <c r="AH7" s="1">
        <f t="shared" ca="1" si="4"/>
        <v>7.0833750000000002</v>
      </c>
      <c r="AI7" s="1">
        <f t="shared" ca="1" si="4"/>
        <v>7.0833750000000002</v>
      </c>
    </row>
    <row r="8" spans="2:35" x14ac:dyDescent="0.15">
      <c r="B8" s="1" t="str">
        <f t="shared" si="5"/>
        <v>飞行系6</v>
      </c>
      <c r="C8" s="1">
        <v>6</v>
      </c>
      <c r="D8" s="14" t="s">
        <v>90</v>
      </c>
      <c r="E8" s="14">
        <v>1</v>
      </c>
      <c r="F8" s="1" t="str">
        <f t="shared" si="1"/>
        <v>冷却</v>
      </c>
      <c r="H8" s="1">
        <f t="shared" ca="1" si="2"/>
        <v>93.140282941906307</v>
      </c>
      <c r="I8" s="1">
        <f t="shared" ca="1" si="3"/>
        <v>100</v>
      </c>
      <c r="J8" s="1">
        <f t="shared" ca="1" si="3"/>
        <v>69.32394088669956</v>
      </c>
      <c r="K8" s="1">
        <f t="shared" ca="1" si="3"/>
        <v>8.5000499999999999</v>
      </c>
      <c r="L8" s="1">
        <f t="shared" ca="1" si="3"/>
        <v>57.7699507389163</v>
      </c>
      <c r="M8" s="1">
        <f t="shared" ca="1" si="3"/>
        <v>8.5000499999999999</v>
      </c>
      <c r="N8" s="1">
        <f t="shared" ca="1" si="3"/>
        <v>0.2</v>
      </c>
      <c r="O8" s="1">
        <f t="shared" ca="1" si="3"/>
        <v>0.2</v>
      </c>
      <c r="P8" s="1">
        <f t="shared" ca="1" si="3"/>
        <v>0.36</v>
      </c>
      <c r="Q8" s="1">
        <f t="shared" ca="1" si="3"/>
        <v>0.12</v>
      </c>
      <c r="R8" s="1">
        <f t="shared" ca="1" si="3"/>
        <v>2.2000000000000002</v>
      </c>
      <c r="S8" s="1">
        <f t="shared" ca="1" si="4"/>
        <v>0.15000000000000002</v>
      </c>
      <c r="T8" s="1">
        <f t="shared" ca="1" si="4"/>
        <v>0.9</v>
      </c>
      <c r="U8" s="1">
        <f t="shared" ca="1" si="4"/>
        <v>15.08</v>
      </c>
      <c r="V8" s="1">
        <f t="shared" ca="1" si="4"/>
        <v>0</v>
      </c>
      <c r="W8" s="1">
        <f t="shared" ca="1" si="4"/>
        <v>0</v>
      </c>
      <c r="X8" s="1">
        <f t="shared" ca="1" si="4"/>
        <v>1.7866995073891601</v>
      </c>
      <c r="Y8" s="1">
        <f t="shared" ca="1" si="4"/>
        <v>0</v>
      </c>
      <c r="Z8" s="1">
        <f t="shared" ca="1" si="4"/>
        <v>0</v>
      </c>
      <c r="AA8" s="1">
        <f t="shared" ca="1" si="4"/>
        <v>0</v>
      </c>
      <c r="AB8" s="1">
        <f t="shared" ca="1" si="4"/>
        <v>0</v>
      </c>
      <c r="AC8" s="1">
        <f t="shared" ca="1" si="4"/>
        <v>8.5000499999999999</v>
      </c>
      <c r="AD8" s="1">
        <f t="shared" ca="1" si="4"/>
        <v>8.5000499999999999</v>
      </c>
      <c r="AE8" s="1">
        <f t="shared" ca="1" si="4"/>
        <v>11.050065</v>
      </c>
      <c r="AF8" s="1">
        <f t="shared" ca="1" si="4"/>
        <v>8.5000499999999999</v>
      </c>
      <c r="AG8" s="1">
        <f t="shared" ca="1" si="4"/>
        <v>8.5000499999999999</v>
      </c>
      <c r="AH8" s="1">
        <f t="shared" ca="1" si="4"/>
        <v>8.5000499999999999</v>
      </c>
      <c r="AI8" s="1">
        <f t="shared" ca="1" si="4"/>
        <v>8.5000499999999999</v>
      </c>
    </row>
    <row r="9" spans="2:35" x14ac:dyDescent="0.15">
      <c r="B9" s="1" t="str">
        <f t="shared" si="5"/>
        <v>飞行系7</v>
      </c>
      <c r="C9" s="1">
        <v>7</v>
      </c>
      <c r="D9" s="14" t="s">
        <v>90</v>
      </c>
      <c r="E9" s="14">
        <v>1</v>
      </c>
      <c r="F9" s="1" t="str">
        <f t="shared" si="1"/>
        <v>冷却</v>
      </c>
      <c r="H9" s="1">
        <f t="shared" ca="1" si="2"/>
        <v>116.20001428316901</v>
      </c>
      <c r="I9" s="1">
        <f t="shared" ca="1" si="3"/>
        <v>100</v>
      </c>
      <c r="J9" s="1">
        <f t="shared" ca="1" si="3"/>
        <v>81.542499999999961</v>
      </c>
      <c r="K9" s="1">
        <f t="shared" ca="1" si="3"/>
        <v>9.9167249999999996</v>
      </c>
      <c r="L9" s="1">
        <f t="shared" ca="1" si="3"/>
        <v>67.952083333333306</v>
      </c>
      <c r="M9" s="1">
        <f t="shared" ca="1" si="3"/>
        <v>9.9167249999999996</v>
      </c>
      <c r="N9" s="1">
        <f t="shared" ca="1" si="3"/>
        <v>0.2</v>
      </c>
      <c r="O9" s="1">
        <f t="shared" ca="1" si="3"/>
        <v>0.2</v>
      </c>
      <c r="P9" s="1">
        <f t="shared" ca="1" si="3"/>
        <v>0.36</v>
      </c>
      <c r="Q9" s="1">
        <f t="shared" ca="1" si="3"/>
        <v>0.12</v>
      </c>
      <c r="R9" s="1">
        <f t="shared" ca="1" si="3"/>
        <v>2.2000000000000002</v>
      </c>
      <c r="S9" s="1">
        <f t="shared" ca="1" si="4"/>
        <v>0.15000000000000002</v>
      </c>
      <c r="T9" s="1">
        <f t="shared" ca="1" si="4"/>
        <v>0.9</v>
      </c>
      <c r="U9" s="1">
        <f t="shared" ca="1" si="4"/>
        <v>17.593333333333291</v>
      </c>
      <c r="V9" s="1">
        <f t="shared" ca="1" si="4"/>
        <v>0</v>
      </c>
      <c r="W9" s="1">
        <f t="shared" ca="1" si="4"/>
        <v>0</v>
      </c>
      <c r="X9" s="1">
        <f t="shared" ca="1" si="4"/>
        <v>2.46458333333333</v>
      </c>
      <c r="Y9" s="1">
        <f t="shared" ca="1" si="4"/>
        <v>0</v>
      </c>
      <c r="Z9" s="1">
        <f t="shared" ca="1" si="4"/>
        <v>0</v>
      </c>
      <c r="AA9" s="1">
        <f t="shared" ca="1" si="4"/>
        <v>0</v>
      </c>
      <c r="AB9" s="1">
        <f t="shared" ca="1" si="4"/>
        <v>0</v>
      </c>
      <c r="AC9" s="1">
        <f t="shared" ca="1" si="4"/>
        <v>9.9167249999999996</v>
      </c>
      <c r="AD9" s="1">
        <f t="shared" ca="1" si="4"/>
        <v>9.9167249999999996</v>
      </c>
      <c r="AE9" s="1">
        <f t="shared" ca="1" si="4"/>
        <v>12.891742499999999</v>
      </c>
      <c r="AF9" s="1">
        <f t="shared" ca="1" si="4"/>
        <v>9.9167249999999996</v>
      </c>
      <c r="AG9" s="1">
        <f t="shared" ca="1" si="4"/>
        <v>9.9167249999999996</v>
      </c>
      <c r="AH9" s="1">
        <f t="shared" ca="1" si="4"/>
        <v>9.9167249999999996</v>
      </c>
      <c r="AI9" s="1">
        <f t="shared" ca="1" si="4"/>
        <v>9.9167249999999996</v>
      </c>
    </row>
    <row r="10" spans="2:35" x14ac:dyDescent="0.15">
      <c r="B10" s="1" t="str">
        <f t="shared" si="5"/>
        <v>飞行系8</v>
      </c>
      <c r="C10" s="1">
        <v>8</v>
      </c>
      <c r="D10" s="14" t="s">
        <v>90</v>
      </c>
      <c r="E10" s="14">
        <v>1</v>
      </c>
      <c r="F10" s="1" t="str">
        <f t="shared" si="1"/>
        <v>冷却</v>
      </c>
      <c r="H10" s="1">
        <f t="shared" ca="1" si="2"/>
        <v>141.51313956657472</v>
      </c>
      <c r="I10" s="1">
        <f t="shared" ca="1" si="3"/>
        <v>100</v>
      </c>
      <c r="J10" s="1">
        <f t="shared" ca="1" si="3"/>
        <v>93.955324675324675</v>
      </c>
      <c r="K10" s="1">
        <f t="shared" ca="1" si="3"/>
        <v>11.333399999999999</v>
      </c>
      <c r="L10" s="1">
        <f t="shared" ca="1" si="3"/>
        <v>78.296103896103901</v>
      </c>
      <c r="M10" s="1">
        <f t="shared" ca="1" si="3"/>
        <v>11.333399999999999</v>
      </c>
      <c r="N10" s="1">
        <f t="shared" ca="1" si="3"/>
        <v>0.2</v>
      </c>
      <c r="O10" s="1">
        <f t="shared" ca="1" si="3"/>
        <v>0.2</v>
      </c>
      <c r="P10" s="1">
        <f t="shared" ca="1" si="3"/>
        <v>0.36</v>
      </c>
      <c r="Q10" s="1">
        <f t="shared" ca="1" si="3"/>
        <v>0.12</v>
      </c>
      <c r="R10" s="1">
        <f t="shared" ca="1" si="3"/>
        <v>2.2000000000000002</v>
      </c>
      <c r="S10" s="1">
        <f t="shared" ca="1" si="4"/>
        <v>0.15000000000000002</v>
      </c>
      <c r="T10" s="1">
        <f t="shared" ca="1" si="4"/>
        <v>0.9</v>
      </c>
      <c r="U10" s="1">
        <f t="shared" ca="1" si="4"/>
        <v>20.106666666666712</v>
      </c>
      <c r="V10" s="1">
        <f t="shared" ca="1" si="4"/>
        <v>0</v>
      </c>
      <c r="W10" s="1">
        <f t="shared" ca="1" si="4"/>
        <v>0</v>
      </c>
      <c r="X10" s="1">
        <f t="shared" ca="1" si="4"/>
        <v>3.2623376623376599</v>
      </c>
      <c r="Y10" s="1">
        <f t="shared" ca="1" si="4"/>
        <v>0</v>
      </c>
      <c r="Z10" s="1">
        <f t="shared" ca="1" si="4"/>
        <v>0</v>
      </c>
      <c r="AA10" s="1">
        <f t="shared" ca="1" si="4"/>
        <v>0</v>
      </c>
      <c r="AB10" s="1">
        <f t="shared" ca="1" si="4"/>
        <v>0</v>
      </c>
      <c r="AC10" s="1">
        <f t="shared" ca="1" si="4"/>
        <v>11.333399999999999</v>
      </c>
      <c r="AD10" s="1">
        <f t="shared" ca="1" si="4"/>
        <v>11.333399999999999</v>
      </c>
      <c r="AE10" s="1">
        <f t="shared" ca="1" si="4"/>
        <v>14.733419999999999</v>
      </c>
      <c r="AF10" s="1">
        <f t="shared" ca="1" si="4"/>
        <v>11.333399999999999</v>
      </c>
      <c r="AG10" s="1">
        <f t="shared" ca="1" si="4"/>
        <v>11.333399999999999</v>
      </c>
      <c r="AH10" s="1">
        <f t="shared" ca="1" si="4"/>
        <v>11.333399999999999</v>
      </c>
      <c r="AI10" s="1">
        <f t="shared" ca="1" si="4"/>
        <v>11.333399999999999</v>
      </c>
    </row>
    <row r="11" spans="2:35" x14ac:dyDescent="0.15">
      <c r="B11" s="1" t="str">
        <f t="shared" si="5"/>
        <v>飞行系9</v>
      </c>
      <c r="C11" s="1">
        <v>9</v>
      </c>
      <c r="D11" s="14" t="s">
        <v>90</v>
      </c>
      <c r="E11" s="14">
        <v>1</v>
      </c>
      <c r="F11" s="1" t="str">
        <f t="shared" si="1"/>
        <v>冷却</v>
      </c>
      <c r="H11" s="1">
        <f t="shared" ca="1" si="2"/>
        <v>169.11721535782513</v>
      </c>
      <c r="I11" s="1">
        <f t="shared" ca="1" si="3"/>
        <v>100</v>
      </c>
      <c r="J11" s="1">
        <f t="shared" ca="1" si="3"/>
        <v>106.56416498993964</v>
      </c>
      <c r="K11" s="1">
        <f t="shared" ca="1" si="3"/>
        <v>12.750075000000001</v>
      </c>
      <c r="L11" s="1">
        <f t="shared" ca="1" si="3"/>
        <v>88.803470824949699</v>
      </c>
      <c r="M11" s="1">
        <f t="shared" ca="1" si="3"/>
        <v>12.750075000000001</v>
      </c>
      <c r="N11" s="1">
        <f t="shared" ca="1" si="3"/>
        <v>0.2</v>
      </c>
      <c r="O11" s="1">
        <f t="shared" ca="1" si="3"/>
        <v>0.2</v>
      </c>
      <c r="P11" s="1">
        <f t="shared" ca="1" si="3"/>
        <v>0.36</v>
      </c>
      <c r="Q11" s="1">
        <f t="shared" ca="1" si="3"/>
        <v>0.12</v>
      </c>
      <c r="R11" s="1">
        <f t="shared" ca="1" si="3"/>
        <v>2.2000000000000002</v>
      </c>
      <c r="S11" s="1">
        <f t="shared" ca="1" si="4"/>
        <v>0.15000000000000002</v>
      </c>
      <c r="T11" s="1">
        <f t="shared" ca="1" si="4"/>
        <v>0.9</v>
      </c>
      <c r="U11" s="1">
        <f t="shared" ca="1" si="4"/>
        <v>22.619999999999997</v>
      </c>
      <c r="V11" s="1">
        <f t="shared" ca="1" si="4"/>
        <v>0</v>
      </c>
      <c r="W11" s="1">
        <f t="shared" ca="1" si="4"/>
        <v>0</v>
      </c>
      <c r="X11" s="1">
        <f t="shared" ca="1" si="4"/>
        <v>4.18445674044266</v>
      </c>
      <c r="Y11" s="1">
        <f t="shared" ca="1" si="4"/>
        <v>0</v>
      </c>
      <c r="Z11" s="1">
        <f t="shared" ca="1" si="4"/>
        <v>0</v>
      </c>
      <c r="AA11" s="1">
        <f t="shared" ca="1" si="4"/>
        <v>0</v>
      </c>
      <c r="AB11" s="1">
        <f t="shared" ca="1" si="4"/>
        <v>0</v>
      </c>
      <c r="AC11" s="1">
        <f t="shared" ca="1" si="4"/>
        <v>12.750075000000001</v>
      </c>
      <c r="AD11" s="1">
        <f t="shared" ca="1" si="4"/>
        <v>12.750075000000001</v>
      </c>
      <c r="AE11" s="1">
        <f t="shared" ca="1" si="4"/>
        <v>16.575097500000002</v>
      </c>
      <c r="AF11" s="1">
        <f t="shared" ca="1" si="4"/>
        <v>12.750075000000001</v>
      </c>
      <c r="AG11" s="1">
        <f t="shared" ca="1" si="4"/>
        <v>12.750075000000001</v>
      </c>
      <c r="AH11" s="1">
        <f t="shared" ca="1" si="4"/>
        <v>12.750075000000001</v>
      </c>
      <c r="AI11" s="1">
        <f t="shared" ca="1" si="4"/>
        <v>12.750075000000001</v>
      </c>
    </row>
    <row r="12" spans="2:35" x14ac:dyDescent="0.15">
      <c r="B12" s="1" t="str">
        <f t="shared" si="5"/>
        <v>飞行系10</v>
      </c>
      <c r="C12" s="1">
        <v>10</v>
      </c>
      <c r="D12" s="14" t="s">
        <v>90</v>
      </c>
      <c r="E12" s="14">
        <v>1</v>
      </c>
      <c r="F12" s="1" t="str">
        <f t="shared" si="1"/>
        <v>冷却</v>
      </c>
      <c r="H12" s="1">
        <f t="shared" ca="1" si="2"/>
        <v>199.04979822262283</v>
      </c>
      <c r="I12" s="1">
        <f t="shared" ca="1" si="3"/>
        <v>100</v>
      </c>
      <c r="J12" s="1">
        <f t="shared" ca="1" si="3"/>
        <v>119.370820668693</v>
      </c>
      <c r="K12" s="1">
        <f t="shared" ca="1" si="3"/>
        <v>14.16675</v>
      </c>
      <c r="L12" s="1">
        <f t="shared" ca="1" si="3"/>
        <v>99.4756838905775</v>
      </c>
      <c r="M12" s="1">
        <f t="shared" ca="1" si="3"/>
        <v>14.16675</v>
      </c>
      <c r="N12" s="1">
        <f t="shared" ca="1" si="3"/>
        <v>0.2</v>
      </c>
      <c r="O12" s="1">
        <f t="shared" ca="1" si="3"/>
        <v>0.2</v>
      </c>
      <c r="P12" s="1">
        <f t="shared" ca="1" si="3"/>
        <v>0.36</v>
      </c>
      <c r="Q12" s="1">
        <f t="shared" ca="1" si="3"/>
        <v>0.12</v>
      </c>
      <c r="R12" s="1">
        <f t="shared" ca="1" si="3"/>
        <v>2.2000000000000002</v>
      </c>
      <c r="S12" s="1">
        <f t="shared" ca="1" si="4"/>
        <v>0.15000000000000002</v>
      </c>
      <c r="T12" s="1">
        <f t="shared" ca="1" si="4"/>
        <v>0.9</v>
      </c>
      <c r="U12" s="1">
        <f t="shared" ca="1" si="4"/>
        <v>25.13333333333329</v>
      </c>
      <c r="V12" s="1">
        <f t="shared" ca="1" si="4"/>
        <v>0</v>
      </c>
      <c r="W12" s="1">
        <f t="shared" ca="1" si="4"/>
        <v>0</v>
      </c>
      <c r="X12" s="1">
        <f t="shared" ca="1" si="4"/>
        <v>5.2355623100304003</v>
      </c>
      <c r="Y12" s="1">
        <f t="shared" ca="1" si="4"/>
        <v>0</v>
      </c>
      <c r="Z12" s="1">
        <f t="shared" ca="1" si="4"/>
        <v>0</v>
      </c>
      <c r="AA12" s="1">
        <f t="shared" ca="1" si="4"/>
        <v>0</v>
      </c>
      <c r="AB12" s="1">
        <f t="shared" ca="1" si="4"/>
        <v>0</v>
      </c>
      <c r="AC12" s="1">
        <f t="shared" ca="1" si="4"/>
        <v>14.16675</v>
      </c>
      <c r="AD12" s="1">
        <f t="shared" ca="1" si="4"/>
        <v>14.16675</v>
      </c>
      <c r="AE12" s="1">
        <f t="shared" ca="1" si="4"/>
        <v>18.416775000000001</v>
      </c>
      <c r="AF12" s="1">
        <f t="shared" ca="1" si="4"/>
        <v>14.16675</v>
      </c>
      <c r="AG12" s="1">
        <f t="shared" ca="1" si="4"/>
        <v>14.16675</v>
      </c>
      <c r="AH12" s="1">
        <f t="shared" ca="1" si="4"/>
        <v>14.16675</v>
      </c>
      <c r="AI12" s="1">
        <f t="shared" ca="1" si="4"/>
        <v>14.16675</v>
      </c>
    </row>
    <row r="13" spans="2:35" x14ac:dyDescent="0.15">
      <c r="B13" s="1" t="str">
        <f t="shared" si="5"/>
        <v>飞行系11</v>
      </c>
      <c r="C13" s="1">
        <v>11</v>
      </c>
      <c r="D13" s="14" t="s">
        <v>90</v>
      </c>
      <c r="E13" s="14">
        <v>1</v>
      </c>
      <c r="F13" s="1" t="str">
        <f t="shared" si="1"/>
        <v>冷却</v>
      </c>
      <c r="H13" s="1">
        <f t="shared" ca="1" si="2"/>
        <v>220.33185212063927</v>
      </c>
      <c r="I13" s="1">
        <f t="shared" ref="I13:R22" ca="1" si="6">mVlookup($C13,monsterBaseDate,I$2,FALSE)*(1+mVlookup($E13,monsterType,I$2,FALSE))</f>
        <v>100</v>
      </c>
      <c r="J13" s="1">
        <f t="shared" ca="1" si="6"/>
        <v>132.37714285714318</v>
      </c>
      <c r="K13" s="1">
        <f t="shared" ca="1" si="6"/>
        <v>15.583425</v>
      </c>
      <c r="L13" s="1">
        <f t="shared" ca="1" si="6"/>
        <v>110.314285714286</v>
      </c>
      <c r="M13" s="1">
        <f t="shared" ca="1" si="6"/>
        <v>15.583425</v>
      </c>
      <c r="N13" s="1">
        <f t="shared" ca="1" si="6"/>
        <v>0.2</v>
      </c>
      <c r="O13" s="1">
        <f t="shared" ca="1" si="6"/>
        <v>0.2</v>
      </c>
      <c r="P13" s="1">
        <f t="shared" ca="1" si="6"/>
        <v>0.36</v>
      </c>
      <c r="Q13" s="1">
        <f t="shared" ca="1" si="6"/>
        <v>0.12</v>
      </c>
      <c r="R13" s="1">
        <f t="shared" ca="1" si="6"/>
        <v>2.2000000000000002</v>
      </c>
      <c r="S13" s="1">
        <f t="shared" ref="S13:AH28" ca="1" si="7">mVlookup($C13,monsterBaseDate,S$2,FALSE)*(1+mVlookup($E13,monsterType,S$2,FALSE))</f>
        <v>0.15000000000000002</v>
      </c>
      <c r="T13" s="1">
        <f t="shared" ca="1" si="7"/>
        <v>0.9</v>
      </c>
      <c r="U13" s="1">
        <f t="shared" ca="1" si="7"/>
        <v>27.646666666666711</v>
      </c>
      <c r="V13" s="1">
        <f t="shared" ca="1" si="7"/>
        <v>0</v>
      </c>
      <c r="W13" s="1">
        <f t="shared" ca="1" si="7"/>
        <v>0</v>
      </c>
      <c r="X13" s="1">
        <f t="shared" ca="1" si="7"/>
        <v>6.4204081632653098</v>
      </c>
      <c r="Y13" s="1">
        <f t="shared" ca="1" si="7"/>
        <v>0</v>
      </c>
      <c r="Z13" s="1">
        <f t="shared" ca="1" si="7"/>
        <v>0</v>
      </c>
      <c r="AA13" s="1">
        <f t="shared" ca="1" si="7"/>
        <v>0</v>
      </c>
      <c r="AB13" s="1">
        <f t="shared" ca="1" si="4"/>
        <v>0</v>
      </c>
      <c r="AC13" s="1">
        <f t="shared" ca="1" si="7"/>
        <v>15.583425</v>
      </c>
      <c r="AD13" s="1">
        <f t="shared" ca="1" si="7"/>
        <v>15.583425</v>
      </c>
      <c r="AE13" s="1">
        <f t="shared" ca="1" si="7"/>
        <v>20.258452500000001</v>
      </c>
      <c r="AF13" s="1">
        <f t="shared" ca="1" si="7"/>
        <v>15.583425</v>
      </c>
      <c r="AG13" s="1">
        <f t="shared" ca="1" si="7"/>
        <v>15.583425</v>
      </c>
      <c r="AH13" s="1">
        <f t="shared" ca="1" si="7"/>
        <v>15.583425</v>
      </c>
      <c r="AI13" s="1">
        <f t="shared" ca="1" si="4"/>
        <v>15.583425</v>
      </c>
    </row>
    <row r="14" spans="2:35" x14ac:dyDescent="0.15">
      <c r="B14" s="1" t="str">
        <f t="shared" si="5"/>
        <v>飞行系12</v>
      </c>
      <c r="C14" s="1">
        <v>12</v>
      </c>
      <c r="D14" s="14" t="s">
        <v>90</v>
      </c>
      <c r="E14" s="14">
        <v>1</v>
      </c>
      <c r="F14" s="1" t="str">
        <f t="shared" si="1"/>
        <v>冷却</v>
      </c>
      <c r="H14" s="1">
        <f t="shared" ca="1" si="2"/>
        <v>254.14031324834076</v>
      </c>
      <c r="I14" s="1">
        <f t="shared" ca="1" si="6"/>
        <v>100</v>
      </c>
      <c r="J14" s="1">
        <f t="shared" ca="1" si="6"/>
        <v>145.58503597122359</v>
      </c>
      <c r="K14" s="1">
        <f t="shared" ca="1" si="6"/>
        <v>17.0001</v>
      </c>
      <c r="L14" s="1">
        <f t="shared" ca="1" si="6"/>
        <v>121.320863309353</v>
      </c>
      <c r="M14" s="1">
        <f t="shared" ca="1" si="6"/>
        <v>17.0001</v>
      </c>
      <c r="N14" s="1">
        <f t="shared" ca="1" si="6"/>
        <v>0.2</v>
      </c>
      <c r="O14" s="1">
        <f t="shared" ca="1" si="6"/>
        <v>0.2</v>
      </c>
      <c r="P14" s="1">
        <f t="shared" ca="1" si="6"/>
        <v>0.36</v>
      </c>
      <c r="Q14" s="1">
        <f t="shared" ca="1" si="6"/>
        <v>0.12</v>
      </c>
      <c r="R14" s="1">
        <f t="shared" ca="1" si="6"/>
        <v>2.2000000000000002</v>
      </c>
      <c r="S14" s="1">
        <f t="shared" ca="1" si="7"/>
        <v>0.15000000000000002</v>
      </c>
      <c r="T14" s="1">
        <f t="shared" ca="1" si="7"/>
        <v>0.9</v>
      </c>
      <c r="U14" s="1">
        <f t="shared" ca="1" si="7"/>
        <v>30.16</v>
      </c>
      <c r="V14" s="1">
        <f t="shared" ca="1" si="7"/>
        <v>0</v>
      </c>
      <c r="W14" s="1">
        <f t="shared" ca="1" si="7"/>
        <v>0</v>
      </c>
      <c r="X14" s="1">
        <f t="shared" ca="1" si="7"/>
        <v>7.7438848920863297</v>
      </c>
      <c r="Y14" s="1">
        <f t="shared" ca="1" si="7"/>
        <v>0</v>
      </c>
      <c r="Z14" s="1">
        <f t="shared" ca="1" si="7"/>
        <v>0</v>
      </c>
      <c r="AA14" s="1">
        <f t="shared" ca="1" si="7"/>
        <v>0</v>
      </c>
      <c r="AB14" s="1">
        <f t="shared" ca="1" si="4"/>
        <v>0</v>
      </c>
      <c r="AC14" s="1">
        <f t="shared" ca="1" si="7"/>
        <v>17.0001</v>
      </c>
      <c r="AD14" s="1">
        <f t="shared" ca="1" si="7"/>
        <v>17.0001</v>
      </c>
      <c r="AE14" s="1">
        <f t="shared" ca="1" si="7"/>
        <v>22.10013</v>
      </c>
      <c r="AF14" s="1">
        <f t="shared" ca="1" si="7"/>
        <v>17.0001</v>
      </c>
      <c r="AG14" s="1">
        <f t="shared" ca="1" si="7"/>
        <v>17.0001</v>
      </c>
      <c r="AH14" s="1">
        <f t="shared" ca="1" si="7"/>
        <v>17.0001</v>
      </c>
      <c r="AI14" s="1">
        <f t="shared" ca="1" si="4"/>
        <v>17.0001</v>
      </c>
    </row>
    <row r="15" spans="2:35" x14ac:dyDescent="0.15">
      <c r="B15" s="1" t="str">
        <f t="shared" si="5"/>
        <v>飞行系13</v>
      </c>
      <c r="C15" s="1">
        <v>13</v>
      </c>
      <c r="D15" s="14" t="s">
        <v>90</v>
      </c>
      <c r="E15" s="14">
        <v>1</v>
      </c>
      <c r="F15" s="1" t="str">
        <f t="shared" si="1"/>
        <v>冷却</v>
      </c>
      <c r="H15" s="1">
        <f t="shared" ca="1" si="2"/>
        <v>277.0287265533151</v>
      </c>
      <c r="I15" s="1">
        <f t="shared" ca="1" si="6"/>
        <v>100</v>
      </c>
      <c r="J15" s="1">
        <f t="shared" ca="1" si="6"/>
        <v>158.99645962732922</v>
      </c>
      <c r="K15" s="1">
        <f t="shared" ca="1" si="6"/>
        <v>18.416775000000001</v>
      </c>
      <c r="L15" s="1">
        <f t="shared" ca="1" si="6"/>
        <v>132.49704968944101</v>
      </c>
      <c r="M15" s="1">
        <f t="shared" ca="1" si="6"/>
        <v>18.416775000000001</v>
      </c>
      <c r="N15" s="1">
        <f t="shared" ca="1" si="6"/>
        <v>0.2</v>
      </c>
      <c r="O15" s="1">
        <f t="shared" ca="1" si="6"/>
        <v>0.2</v>
      </c>
      <c r="P15" s="1">
        <f t="shared" ca="1" si="6"/>
        <v>0.36</v>
      </c>
      <c r="Q15" s="1">
        <f t="shared" ca="1" si="6"/>
        <v>0.12</v>
      </c>
      <c r="R15" s="1">
        <f t="shared" ca="1" si="6"/>
        <v>2.2000000000000002</v>
      </c>
      <c r="S15" s="1">
        <f t="shared" ca="1" si="7"/>
        <v>0.15000000000000002</v>
      </c>
      <c r="T15" s="1">
        <f t="shared" ca="1" si="7"/>
        <v>0.9</v>
      </c>
      <c r="U15" s="1">
        <f t="shared" ca="1" si="7"/>
        <v>32.673333333333289</v>
      </c>
      <c r="V15" s="1">
        <f t="shared" ca="1" si="7"/>
        <v>0</v>
      </c>
      <c r="W15" s="1">
        <f t="shared" ca="1" si="7"/>
        <v>0</v>
      </c>
      <c r="X15" s="1">
        <f t="shared" ca="1" si="7"/>
        <v>9.2110248447204999</v>
      </c>
      <c r="Y15" s="1">
        <f t="shared" ca="1" si="7"/>
        <v>0</v>
      </c>
      <c r="Z15" s="1">
        <f t="shared" ca="1" si="7"/>
        <v>0</v>
      </c>
      <c r="AA15" s="1">
        <f t="shared" ca="1" si="7"/>
        <v>0</v>
      </c>
      <c r="AB15" s="1">
        <f t="shared" ca="1" si="4"/>
        <v>0</v>
      </c>
      <c r="AC15" s="1">
        <f t="shared" ca="1" si="7"/>
        <v>18.416775000000001</v>
      </c>
      <c r="AD15" s="1">
        <f t="shared" ca="1" si="7"/>
        <v>18.416775000000001</v>
      </c>
      <c r="AE15" s="1">
        <f t="shared" ca="1" si="7"/>
        <v>23.941807500000003</v>
      </c>
      <c r="AF15" s="1">
        <f t="shared" ca="1" si="7"/>
        <v>18.416775000000001</v>
      </c>
      <c r="AG15" s="1">
        <f t="shared" ca="1" si="7"/>
        <v>18.416775000000001</v>
      </c>
      <c r="AH15" s="1">
        <f t="shared" ca="1" si="7"/>
        <v>18.416775000000001</v>
      </c>
      <c r="AI15" s="1">
        <f t="shared" ca="1" si="4"/>
        <v>18.416775000000001</v>
      </c>
    </row>
    <row r="16" spans="2:35" x14ac:dyDescent="0.15">
      <c r="B16" s="1" t="str">
        <f t="shared" si="5"/>
        <v>飞行系14</v>
      </c>
      <c r="C16" s="1">
        <v>14</v>
      </c>
      <c r="D16" s="14" t="s">
        <v>90</v>
      </c>
      <c r="E16" s="14">
        <v>1</v>
      </c>
      <c r="F16" s="1" t="str">
        <f t="shared" si="1"/>
        <v>冷却</v>
      </c>
      <c r="H16" s="1">
        <f t="shared" ca="1" si="2"/>
        <v>300.18022506869198</v>
      </c>
      <c r="I16" s="1">
        <f t="shared" ca="1" si="6"/>
        <v>100</v>
      </c>
      <c r="J16" s="1">
        <f t="shared" ca="1" si="6"/>
        <v>172.61343065693399</v>
      </c>
      <c r="K16" s="1">
        <f t="shared" ca="1" si="6"/>
        <v>19.833449999999999</v>
      </c>
      <c r="L16" s="1">
        <f t="shared" ca="1" si="6"/>
        <v>143.84452554744499</v>
      </c>
      <c r="M16" s="1">
        <f t="shared" ca="1" si="6"/>
        <v>19.833449999999999</v>
      </c>
      <c r="N16" s="1">
        <f t="shared" ca="1" si="6"/>
        <v>0.2</v>
      </c>
      <c r="O16" s="1">
        <f t="shared" ca="1" si="6"/>
        <v>0.2</v>
      </c>
      <c r="P16" s="1">
        <f t="shared" ca="1" si="6"/>
        <v>0.36</v>
      </c>
      <c r="Q16" s="1">
        <f t="shared" ca="1" si="6"/>
        <v>0.12</v>
      </c>
      <c r="R16" s="1">
        <f t="shared" ca="1" si="6"/>
        <v>2.2000000000000002</v>
      </c>
      <c r="S16" s="1">
        <f t="shared" ca="1" si="7"/>
        <v>0.15000000000000002</v>
      </c>
      <c r="T16" s="1">
        <f t="shared" ca="1" si="7"/>
        <v>0.9</v>
      </c>
      <c r="U16" s="1">
        <f t="shared" ca="1" si="7"/>
        <v>35.18666666666671</v>
      </c>
      <c r="V16" s="1">
        <f t="shared" ca="1" si="7"/>
        <v>0</v>
      </c>
      <c r="W16" s="1">
        <f t="shared" ca="1" si="7"/>
        <v>0</v>
      </c>
      <c r="X16" s="1">
        <f t="shared" ca="1" si="7"/>
        <v>10.8270072992701</v>
      </c>
      <c r="Y16" s="1">
        <f t="shared" ca="1" si="7"/>
        <v>0</v>
      </c>
      <c r="Z16" s="1">
        <f t="shared" ca="1" si="7"/>
        <v>0</v>
      </c>
      <c r="AA16" s="1">
        <f t="shared" ca="1" si="7"/>
        <v>0</v>
      </c>
      <c r="AB16" s="1">
        <f t="shared" ca="1" si="4"/>
        <v>0</v>
      </c>
      <c r="AC16" s="1">
        <f t="shared" ca="1" si="7"/>
        <v>19.833449999999999</v>
      </c>
      <c r="AD16" s="1">
        <f t="shared" ca="1" si="7"/>
        <v>19.833449999999999</v>
      </c>
      <c r="AE16" s="1">
        <f t="shared" ca="1" si="7"/>
        <v>25.783484999999999</v>
      </c>
      <c r="AF16" s="1">
        <f t="shared" ca="1" si="7"/>
        <v>19.833449999999999</v>
      </c>
      <c r="AG16" s="1">
        <f t="shared" ca="1" si="7"/>
        <v>19.833449999999999</v>
      </c>
      <c r="AH16" s="1">
        <f t="shared" ca="1" si="7"/>
        <v>19.833449999999999</v>
      </c>
      <c r="AI16" s="1">
        <f t="shared" ca="1" si="4"/>
        <v>19.833449999999999</v>
      </c>
    </row>
    <row r="17" spans="2:35" x14ac:dyDescent="0.15">
      <c r="B17" s="1" t="str">
        <f t="shared" si="5"/>
        <v>飞行系15</v>
      </c>
      <c r="C17" s="1">
        <v>15</v>
      </c>
      <c r="D17" s="14" t="s">
        <v>90</v>
      </c>
      <c r="E17" s="14">
        <v>1</v>
      </c>
      <c r="F17" s="1" t="str">
        <f t="shared" si="1"/>
        <v>冷却</v>
      </c>
      <c r="H17" s="1">
        <f t="shared" ca="1" si="2"/>
        <v>323.59480879447057</v>
      </c>
      <c r="I17" s="1">
        <f t="shared" ca="1" si="6"/>
        <v>100</v>
      </c>
      <c r="J17" s="1">
        <f t="shared" ca="1" si="6"/>
        <v>186.43802521008359</v>
      </c>
      <c r="K17" s="1">
        <f t="shared" ca="1" si="6"/>
        <v>21.250125000000001</v>
      </c>
      <c r="L17" s="1">
        <f t="shared" ca="1" si="6"/>
        <v>155.365021008403</v>
      </c>
      <c r="M17" s="1">
        <f t="shared" ca="1" si="6"/>
        <v>21.250125000000001</v>
      </c>
      <c r="N17" s="1">
        <f t="shared" ca="1" si="6"/>
        <v>0.2</v>
      </c>
      <c r="O17" s="1">
        <f t="shared" ca="1" si="6"/>
        <v>0.2</v>
      </c>
      <c r="P17" s="1">
        <f t="shared" ca="1" si="6"/>
        <v>0.36</v>
      </c>
      <c r="Q17" s="1">
        <f t="shared" ca="1" si="6"/>
        <v>0.12</v>
      </c>
      <c r="R17" s="1">
        <f t="shared" ca="1" si="6"/>
        <v>2.2000000000000002</v>
      </c>
      <c r="S17" s="1">
        <f t="shared" ca="1" si="7"/>
        <v>0.15000000000000002</v>
      </c>
      <c r="T17" s="1">
        <f t="shared" ca="1" si="7"/>
        <v>0.9</v>
      </c>
      <c r="U17" s="1">
        <f t="shared" ca="1" si="7"/>
        <v>37.700000000000003</v>
      </c>
      <c r="V17" s="1">
        <f t="shared" ca="1" si="7"/>
        <v>0</v>
      </c>
      <c r="W17" s="1">
        <f t="shared" ca="1" si="7"/>
        <v>0</v>
      </c>
      <c r="X17" s="1">
        <f t="shared" ca="1" si="7"/>
        <v>12.5971638655462</v>
      </c>
      <c r="Y17" s="1">
        <f t="shared" ca="1" si="7"/>
        <v>0</v>
      </c>
      <c r="Z17" s="1">
        <f t="shared" ca="1" si="7"/>
        <v>0</v>
      </c>
      <c r="AA17" s="1">
        <f t="shared" ca="1" si="7"/>
        <v>0</v>
      </c>
      <c r="AB17" s="1">
        <f t="shared" ca="1" si="4"/>
        <v>0</v>
      </c>
      <c r="AC17" s="1">
        <f t="shared" ca="1" si="7"/>
        <v>21.250125000000001</v>
      </c>
      <c r="AD17" s="1">
        <f t="shared" ca="1" si="7"/>
        <v>21.250125000000001</v>
      </c>
      <c r="AE17" s="1">
        <f t="shared" ca="1" si="7"/>
        <v>27.625162500000002</v>
      </c>
      <c r="AF17" s="1">
        <f t="shared" ca="1" si="7"/>
        <v>21.250125000000001</v>
      </c>
      <c r="AG17" s="1">
        <f t="shared" ca="1" si="7"/>
        <v>21.250125000000001</v>
      </c>
      <c r="AH17" s="1">
        <f t="shared" ca="1" si="7"/>
        <v>21.250125000000001</v>
      </c>
      <c r="AI17" s="1">
        <f t="shared" ca="1" si="4"/>
        <v>21.250125000000001</v>
      </c>
    </row>
    <row r="18" spans="2:35" x14ac:dyDescent="0.15">
      <c r="B18" s="1" t="str">
        <f t="shared" si="5"/>
        <v>飞行系16</v>
      </c>
      <c r="C18" s="1">
        <v>16</v>
      </c>
      <c r="D18" s="14" t="s">
        <v>90</v>
      </c>
      <c r="E18" s="14">
        <v>1</v>
      </c>
      <c r="F18" s="1" t="str">
        <f t="shared" si="1"/>
        <v>冷却</v>
      </c>
      <c r="H18" s="1">
        <f t="shared" ca="1" si="2"/>
        <v>347.2724777306517</v>
      </c>
      <c r="I18" s="1">
        <f t="shared" ca="1" si="6"/>
        <v>100</v>
      </c>
      <c r="J18" s="1">
        <f t="shared" ca="1" si="6"/>
        <v>200.47238095238041</v>
      </c>
      <c r="K18" s="1">
        <f t="shared" ca="1" si="6"/>
        <v>22.666799999999999</v>
      </c>
      <c r="L18" s="1">
        <f t="shared" ca="1" si="6"/>
        <v>167.06031746031701</v>
      </c>
      <c r="M18" s="1">
        <f t="shared" ca="1" si="6"/>
        <v>22.666799999999999</v>
      </c>
      <c r="N18" s="1">
        <f t="shared" ca="1" si="6"/>
        <v>0.2</v>
      </c>
      <c r="O18" s="1">
        <f t="shared" ca="1" si="6"/>
        <v>0.2</v>
      </c>
      <c r="P18" s="1">
        <f t="shared" ca="1" si="6"/>
        <v>0.36</v>
      </c>
      <c r="Q18" s="1">
        <f t="shared" ca="1" si="6"/>
        <v>0.12</v>
      </c>
      <c r="R18" s="1">
        <f t="shared" ca="1" si="6"/>
        <v>2.2000000000000002</v>
      </c>
      <c r="S18" s="1">
        <f t="shared" ca="1" si="7"/>
        <v>0.15000000000000002</v>
      </c>
      <c r="T18" s="1">
        <f t="shared" ca="1" si="7"/>
        <v>0.9</v>
      </c>
      <c r="U18" s="1">
        <f t="shared" ca="1" si="7"/>
        <v>40.213333333333296</v>
      </c>
      <c r="V18" s="1">
        <f t="shared" ca="1" si="7"/>
        <v>0</v>
      </c>
      <c r="W18" s="1">
        <f t="shared" ca="1" si="7"/>
        <v>0</v>
      </c>
      <c r="X18" s="1">
        <f t="shared" ca="1" si="7"/>
        <v>14.5269841269841</v>
      </c>
      <c r="Y18" s="1">
        <f t="shared" ca="1" si="7"/>
        <v>0</v>
      </c>
      <c r="Z18" s="1">
        <f t="shared" ca="1" si="7"/>
        <v>0</v>
      </c>
      <c r="AA18" s="1">
        <f t="shared" ca="1" si="7"/>
        <v>0</v>
      </c>
      <c r="AB18" s="1">
        <f t="shared" ca="1" si="4"/>
        <v>0</v>
      </c>
      <c r="AC18" s="1">
        <f t="shared" ca="1" si="7"/>
        <v>22.666799999999999</v>
      </c>
      <c r="AD18" s="1">
        <f t="shared" ca="1" si="7"/>
        <v>22.666799999999999</v>
      </c>
      <c r="AE18" s="1">
        <f t="shared" ca="1" si="7"/>
        <v>29.466839999999998</v>
      </c>
      <c r="AF18" s="1">
        <f t="shared" ca="1" si="7"/>
        <v>22.666799999999999</v>
      </c>
      <c r="AG18" s="1">
        <f t="shared" ca="1" si="7"/>
        <v>22.666799999999999</v>
      </c>
      <c r="AH18" s="1">
        <f t="shared" ca="1" si="7"/>
        <v>22.666799999999999</v>
      </c>
      <c r="AI18" s="1">
        <f t="shared" ca="1" si="4"/>
        <v>22.666799999999999</v>
      </c>
    </row>
    <row r="19" spans="2:35" x14ac:dyDescent="0.15">
      <c r="B19" s="1" t="str">
        <f t="shared" si="5"/>
        <v>飞行系17</v>
      </c>
      <c r="C19" s="1">
        <v>17</v>
      </c>
      <c r="D19" s="14" t="s">
        <v>90</v>
      </c>
      <c r="E19" s="14">
        <v>1</v>
      </c>
      <c r="F19" s="1" t="str">
        <f t="shared" si="1"/>
        <v>冷却</v>
      </c>
      <c r="H19" s="1">
        <f t="shared" ca="1" si="2"/>
        <v>371.21323187723448</v>
      </c>
      <c r="I19" s="1">
        <f t="shared" ca="1" si="6"/>
        <v>100</v>
      </c>
      <c r="J19" s="1">
        <f t="shared" ca="1" si="6"/>
        <v>214.71869936034119</v>
      </c>
      <c r="K19" s="1">
        <f t="shared" ca="1" si="6"/>
        <v>24.083475</v>
      </c>
      <c r="L19" s="1">
        <f t="shared" ca="1" si="6"/>
        <v>178.93224946695099</v>
      </c>
      <c r="M19" s="1">
        <f t="shared" ca="1" si="6"/>
        <v>24.083475</v>
      </c>
      <c r="N19" s="1">
        <f t="shared" ca="1" si="6"/>
        <v>0.2</v>
      </c>
      <c r="O19" s="1">
        <f t="shared" ca="1" si="6"/>
        <v>0.2</v>
      </c>
      <c r="P19" s="1">
        <f t="shared" ca="1" si="6"/>
        <v>0.36</v>
      </c>
      <c r="Q19" s="1">
        <f t="shared" ca="1" si="6"/>
        <v>0.12</v>
      </c>
      <c r="R19" s="1">
        <f t="shared" ca="1" si="6"/>
        <v>2.2000000000000002</v>
      </c>
      <c r="S19" s="1">
        <f t="shared" ca="1" si="7"/>
        <v>0.15000000000000002</v>
      </c>
      <c r="T19" s="1">
        <f t="shared" ca="1" si="7"/>
        <v>0.9</v>
      </c>
      <c r="U19" s="1">
        <f t="shared" ca="1" si="7"/>
        <v>42.726666666666716</v>
      </c>
      <c r="V19" s="1">
        <f t="shared" ca="1" si="7"/>
        <v>0</v>
      </c>
      <c r="W19" s="1">
        <f t="shared" ca="1" si="7"/>
        <v>0</v>
      </c>
      <c r="X19" s="1">
        <f t="shared" ca="1" si="7"/>
        <v>16.622121535181201</v>
      </c>
      <c r="Y19" s="1">
        <f t="shared" ca="1" si="7"/>
        <v>0</v>
      </c>
      <c r="Z19" s="1">
        <f t="shared" ca="1" si="7"/>
        <v>0</v>
      </c>
      <c r="AA19" s="1">
        <f t="shared" ca="1" si="7"/>
        <v>0</v>
      </c>
      <c r="AB19" s="1">
        <f t="shared" ca="1" si="7"/>
        <v>0</v>
      </c>
      <c r="AC19" s="1">
        <f t="shared" ca="1" si="7"/>
        <v>24.083475</v>
      </c>
      <c r="AD19" s="1">
        <f t="shared" ca="1" si="7"/>
        <v>24.083475</v>
      </c>
      <c r="AE19" s="1">
        <f t="shared" ca="1" si="7"/>
        <v>31.308517500000001</v>
      </c>
      <c r="AF19" s="1">
        <f t="shared" ca="1" si="7"/>
        <v>24.083475</v>
      </c>
      <c r="AG19" s="1">
        <f t="shared" ca="1" si="7"/>
        <v>24.083475</v>
      </c>
      <c r="AH19" s="1">
        <f t="shared" ca="1" si="7"/>
        <v>24.083475</v>
      </c>
      <c r="AI19" s="1">
        <f t="shared" ref="AI19:AI82" ca="1" si="8">mVlookup($C19,monsterBaseDate,AI$2,FALSE)*(1+mVlookup($E19,monsterType,AI$2,FALSE))</f>
        <v>24.083475</v>
      </c>
    </row>
    <row r="20" spans="2:35" x14ac:dyDescent="0.15">
      <c r="B20" s="1" t="str">
        <f t="shared" si="5"/>
        <v>飞行系18</v>
      </c>
      <c r="C20" s="1">
        <v>18</v>
      </c>
      <c r="D20" s="14" t="s">
        <v>90</v>
      </c>
      <c r="E20" s="14">
        <v>1</v>
      </c>
      <c r="F20" s="1" t="str">
        <f t="shared" si="1"/>
        <v>冷却</v>
      </c>
      <c r="H20" s="1">
        <f t="shared" ca="1" si="2"/>
        <v>395.4170712342198</v>
      </c>
      <c r="I20" s="1">
        <f t="shared" ca="1" si="6"/>
        <v>100</v>
      </c>
      <c r="J20" s="1">
        <f t="shared" ca="1" si="6"/>
        <v>229.1792481203004</v>
      </c>
      <c r="K20" s="1">
        <f t="shared" ca="1" si="6"/>
        <v>25.500150000000001</v>
      </c>
      <c r="L20" s="1">
        <f t="shared" ca="1" si="6"/>
        <v>190.982706766917</v>
      </c>
      <c r="M20" s="1">
        <f t="shared" ca="1" si="6"/>
        <v>25.500150000000001</v>
      </c>
      <c r="N20" s="1">
        <f t="shared" ca="1" si="6"/>
        <v>0.2</v>
      </c>
      <c r="O20" s="1">
        <f t="shared" ca="1" si="6"/>
        <v>0.2</v>
      </c>
      <c r="P20" s="1">
        <f t="shared" ca="1" si="6"/>
        <v>0.36</v>
      </c>
      <c r="Q20" s="1">
        <f t="shared" ca="1" si="6"/>
        <v>0.12</v>
      </c>
      <c r="R20" s="1">
        <f t="shared" ca="1" si="6"/>
        <v>2.2000000000000002</v>
      </c>
      <c r="S20" s="1">
        <f t="shared" ca="1" si="7"/>
        <v>0.15000000000000002</v>
      </c>
      <c r="T20" s="1">
        <f t="shared" ca="1" si="7"/>
        <v>0.9</v>
      </c>
      <c r="U20" s="1">
        <f t="shared" ca="1" si="7"/>
        <v>45.239999999999995</v>
      </c>
      <c r="V20" s="1">
        <f t="shared" ca="1" si="7"/>
        <v>0</v>
      </c>
      <c r="W20" s="1">
        <f t="shared" ca="1" si="7"/>
        <v>0</v>
      </c>
      <c r="X20" s="1">
        <f t="shared" ca="1" si="7"/>
        <v>18.888399570354501</v>
      </c>
      <c r="Y20" s="1">
        <f t="shared" ca="1" si="7"/>
        <v>0</v>
      </c>
      <c r="Z20" s="1">
        <f t="shared" ca="1" si="7"/>
        <v>0</v>
      </c>
      <c r="AA20" s="1">
        <f t="shared" ca="1" si="7"/>
        <v>0</v>
      </c>
      <c r="AB20" s="1">
        <f t="shared" ca="1" si="7"/>
        <v>0</v>
      </c>
      <c r="AC20" s="1">
        <f t="shared" ca="1" si="7"/>
        <v>25.500150000000001</v>
      </c>
      <c r="AD20" s="1">
        <f t="shared" ca="1" si="7"/>
        <v>25.500150000000001</v>
      </c>
      <c r="AE20" s="1">
        <f t="shared" ca="1" si="7"/>
        <v>33.150195000000004</v>
      </c>
      <c r="AF20" s="1">
        <f t="shared" ca="1" si="7"/>
        <v>25.500150000000001</v>
      </c>
      <c r="AG20" s="1">
        <f t="shared" ca="1" si="7"/>
        <v>25.500150000000001</v>
      </c>
      <c r="AH20" s="1">
        <f t="shared" ca="1" si="7"/>
        <v>25.500150000000001</v>
      </c>
      <c r="AI20" s="1">
        <f t="shared" ca="1" si="8"/>
        <v>25.500150000000001</v>
      </c>
    </row>
    <row r="21" spans="2:35" x14ac:dyDescent="0.15">
      <c r="B21" s="1" t="str">
        <f t="shared" si="5"/>
        <v>飞行系19</v>
      </c>
      <c r="C21" s="1">
        <v>19</v>
      </c>
      <c r="D21" s="14" t="s">
        <v>90</v>
      </c>
      <c r="E21" s="14">
        <v>1</v>
      </c>
      <c r="F21" s="1" t="str">
        <f t="shared" si="1"/>
        <v>冷却</v>
      </c>
      <c r="H21" s="1">
        <f t="shared" ca="1" si="2"/>
        <v>419.88399580160592</v>
      </c>
      <c r="I21" s="1">
        <f t="shared" ca="1" si="6"/>
        <v>100</v>
      </c>
      <c r="J21" s="1">
        <f t="shared" ca="1" si="6"/>
        <v>243.8563636363632</v>
      </c>
      <c r="K21" s="1">
        <f t="shared" ca="1" si="6"/>
        <v>26.916824999999999</v>
      </c>
      <c r="L21" s="1">
        <f t="shared" ca="1" si="6"/>
        <v>203.213636363636</v>
      </c>
      <c r="M21" s="1">
        <f t="shared" ca="1" si="6"/>
        <v>26.916824999999999</v>
      </c>
      <c r="N21" s="1">
        <f t="shared" ca="1" si="6"/>
        <v>0.2</v>
      </c>
      <c r="O21" s="1">
        <f t="shared" ca="1" si="6"/>
        <v>0.2</v>
      </c>
      <c r="P21" s="1">
        <f t="shared" ca="1" si="6"/>
        <v>0.36</v>
      </c>
      <c r="Q21" s="1">
        <f t="shared" ca="1" si="6"/>
        <v>0.12</v>
      </c>
      <c r="R21" s="1">
        <f t="shared" ca="1" si="6"/>
        <v>2.2000000000000002</v>
      </c>
      <c r="S21" s="1">
        <f t="shared" ca="1" si="7"/>
        <v>0.15000000000000002</v>
      </c>
      <c r="T21" s="1">
        <f t="shared" ca="1" si="7"/>
        <v>0.9</v>
      </c>
      <c r="U21" s="1">
        <f t="shared" ca="1" si="7"/>
        <v>47.753333333333288</v>
      </c>
      <c r="V21" s="1">
        <f t="shared" ca="1" si="7"/>
        <v>0</v>
      </c>
      <c r="W21" s="1">
        <f t="shared" ca="1" si="7"/>
        <v>0</v>
      </c>
      <c r="X21" s="1">
        <f t="shared" ca="1" si="7"/>
        <v>21.3318181818182</v>
      </c>
      <c r="Y21" s="1">
        <f t="shared" ca="1" si="7"/>
        <v>0</v>
      </c>
      <c r="Z21" s="1">
        <f t="shared" ca="1" si="7"/>
        <v>0</v>
      </c>
      <c r="AA21" s="1">
        <f t="shared" ca="1" si="7"/>
        <v>0</v>
      </c>
      <c r="AB21" s="1">
        <f t="shared" ca="1" si="7"/>
        <v>0</v>
      </c>
      <c r="AC21" s="1">
        <f t="shared" ca="1" si="7"/>
        <v>26.916824999999999</v>
      </c>
      <c r="AD21" s="1">
        <f t="shared" ca="1" si="7"/>
        <v>26.916824999999999</v>
      </c>
      <c r="AE21" s="1">
        <f t="shared" ca="1" si="7"/>
        <v>34.991872499999999</v>
      </c>
      <c r="AF21" s="1">
        <f t="shared" ca="1" si="7"/>
        <v>26.916824999999999</v>
      </c>
      <c r="AG21" s="1">
        <f t="shared" ca="1" si="7"/>
        <v>26.916824999999999</v>
      </c>
      <c r="AH21" s="1">
        <f t="shared" ca="1" si="7"/>
        <v>26.916824999999999</v>
      </c>
      <c r="AI21" s="1">
        <f t="shared" ca="1" si="8"/>
        <v>26.916824999999999</v>
      </c>
    </row>
    <row r="22" spans="2:35" x14ac:dyDescent="0.15">
      <c r="B22" s="1" t="str">
        <f t="shared" si="5"/>
        <v>飞行系20</v>
      </c>
      <c r="C22" s="1">
        <v>20</v>
      </c>
      <c r="D22" s="14" t="s">
        <v>90</v>
      </c>
      <c r="E22" s="14">
        <v>1</v>
      </c>
      <c r="F22" s="1" t="str">
        <f t="shared" si="1"/>
        <v>冷却</v>
      </c>
      <c r="H22" s="1">
        <f t="shared" ca="1" si="2"/>
        <v>444.61400557939459</v>
      </c>
      <c r="I22" s="1">
        <f t="shared" ca="1" si="6"/>
        <v>100</v>
      </c>
      <c r="J22" s="1">
        <f t="shared" ca="1" si="6"/>
        <v>258.75245365321678</v>
      </c>
      <c r="K22" s="1">
        <f t="shared" ca="1" si="6"/>
        <v>28.333500000000001</v>
      </c>
      <c r="L22" s="1">
        <f t="shared" ca="1" si="6"/>
        <v>215.62704471101401</v>
      </c>
      <c r="M22" s="1">
        <f t="shared" ca="1" si="6"/>
        <v>28.333500000000001</v>
      </c>
      <c r="N22" s="1">
        <f t="shared" ca="1" si="6"/>
        <v>0.2</v>
      </c>
      <c r="O22" s="1">
        <f t="shared" ca="1" si="6"/>
        <v>0.2</v>
      </c>
      <c r="P22" s="1">
        <f t="shared" ca="1" si="6"/>
        <v>0.36</v>
      </c>
      <c r="Q22" s="1">
        <f t="shared" ca="1" si="6"/>
        <v>0.12</v>
      </c>
      <c r="R22" s="1">
        <f t="shared" ca="1" si="6"/>
        <v>2.2000000000000002</v>
      </c>
      <c r="S22" s="1">
        <f t="shared" ca="1" si="7"/>
        <v>0.15000000000000002</v>
      </c>
      <c r="T22" s="1">
        <f t="shared" ca="1" si="7"/>
        <v>0.9</v>
      </c>
      <c r="U22" s="1">
        <f t="shared" ca="1" si="7"/>
        <v>50.266666666666708</v>
      </c>
      <c r="V22" s="1">
        <f t="shared" ca="1" si="7"/>
        <v>0</v>
      </c>
      <c r="W22" s="1">
        <f t="shared" ca="1" si="7"/>
        <v>0</v>
      </c>
      <c r="X22" s="1">
        <f t="shared" ca="1" si="7"/>
        <v>23.958560523446</v>
      </c>
      <c r="Y22" s="1">
        <f t="shared" ca="1" si="7"/>
        <v>0</v>
      </c>
      <c r="Z22" s="1">
        <f t="shared" ca="1" si="7"/>
        <v>0</v>
      </c>
      <c r="AA22" s="1">
        <f t="shared" ca="1" si="7"/>
        <v>0</v>
      </c>
      <c r="AB22" s="1">
        <f t="shared" ca="1" si="7"/>
        <v>0</v>
      </c>
      <c r="AC22" s="1">
        <f t="shared" ca="1" si="7"/>
        <v>28.333500000000001</v>
      </c>
      <c r="AD22" s="1">
        <f t="shared" ca="1" si="7"/>
        <v>28.333500000000001</v>
      </c>
      <c r="AE22" s="1">
        <f t="shared" ca="1" si="7"/>
        <v>36.833550000000002</v>
      </c>
      <c r="AF22" s="1">
        <f t="shared" ca="1" si="7"/>
        <v>28.333500000000001</v>
      </c>
      <c r="AG22" s="1">
        <f t="shared" ca="1" si="7"/>
        <v>28.333500000000001</v>
      </c>
      <c r="AH22" s="1">
        <f t="shared" ca="1" si="7"/>
        <v>28.333500000000001</v>
      </c>
      <c r="AI22" s="1">
        <f t="shared" ca="1" si="8"/>
        <v>28.333500000000001</v>
      </c>
    </row>
    <row r="23" spans="2:35" x14ac:dyDescent="0.15">
      <c r="B23" s="1" t="str">
        <f t="shared" si="5"/>
        <v>飞行系21</v>
      </c>
      <c r="C23" s="1">
        <v>21</v>
      </c>
      <c r="D23" s="14" t="s">
        <v>90</v>
      </c>
      <c r="E23" s="14">
        <v>1</v>
      </c>
      <c r="F23" s="1" t="str">
        <f t="shared" si="1"/>
        <v>冷却</v>
      </c>
      <c r="H23" s="1">
        <f t="shared" ca="1" si="2"/>
        <v>469.60710056758592</v>
      </c>
      <c r="I23" s="1">
        <f t="shared" ref="I23:R32" ca="1" si="9">mVlookup($C23,monsterBaseDate,I$2,FALSE)*(1+mVlookup($E23,monsterType,I$2,FALSE))</f>
        <v>100</v>
      </c>
      <c r="J23" s="1">
        <f t="shared" ca="1" si="9"/>
        <v>273.87</v>
      </c>
      <c r="K23" s="1">
        <f t="shared" ca="1" si="9"/>
        <v>29.750174999999999</v>
      </c>
      <c r="L23" s="1">
        <f t="shared" ca="1" si="9"/>
        <v>228.22499999999999</v>
      </c>
      <c r="M23" s="1">
        <f t="shared" ca="1" si="9"/>
        <v>29.750174999999999</v>
      </c>
      <c r="N23" s="1">
        <f t="shared" ca="1" si="9"/>
        <v>0.2</v>
      </c>
      <c r="O23" s="1">
        <f t="shared" ca="1" si="9"/>
        <v>0.2</v>
      </c>
      <c r="P23" s="1">
        <f t="shared" ca="1" si="9"/>
        <v>0.36</v>
      </c>
      <c r="Q23" s="1">
        <f t="shared" ca="1" si="9"/>
        <v>0.12</v>
      </c>
      <c r="R23" s="1">
        <f t="shared" ca="1" si="9"/>
        <v>2.2000000000000002</v>
      </c>
      <c r="S23" s="1">
        <f t="shared" ref="S23:AH38" ca="1" si="10">mVlookup($C23,monsterBaseDate,S$2,FALSE)*(1+mVlookup($E23,monsterType,S$2,FALSE))</f>
        <v>0.15000000000000002</v>
      </c>
      <c r="T23" s="1">
        <f t="shared" ca="1" si="10"/>
        <v>0.9</v>
      </c>
      <c r="U23" s="1">
        <f t="shared" ca="1" si="10"/>
        <v>52.78</v>
      </c>
      <c r="V23" s="1">
        <f t="shared" ca="1" si="10"/>
        <v>0</v>
      </c>
      <c r="W23" s="1">
        <f t="shared" ca="1" si="10"/>
        <v>0</v>
      </c>
      <c r="X23" s="1">
        <f t="shared" ca="1" si="10"/>
        <v>26.774999999999999</v>
      </c>
      <c r="Y23" s="1">
        <f t="shared" ca="1" si="10"/>
        <v>0</v>
      </c>
      <c r="Z23" s="1">
        <f t="shared" ca="1" si="10"/>
        <v>0</v>
      </c>
      <c r="AA23" s="1">
        <f t="shared" ca="1" si="10"/>
        <v>0</v>
      </c>
      <c r="AB23" s="1">
        <f t="shared" ca="1" si="7"/>
        <v>0</v>
      </c>
      <c r="AC23" s="1">
        <f t="shared" ca="1" si="10"/>
        <v>29.750174999999999</v>
      </c>
      <c r="AD23" s="1">
        <f t="shared" ca="1" si="10"/>
        <v>29.750174999999999</v>
      </c>
      <c r="AE23" s="1">
        <f t="shared" ca="1" si="10"/>
        <v>38.675227499999998</v>
      </c>
      <c r="AF23" s="1">
        <f t="shared" ca="1" si="10"/>
        <v>29.750174999999999</v>
      </c>
      <c r="AG23" s="1">
        <f t="shared" ca="1" si="10"/>
        <v>29.750174999999999</v>
      </c>
      <c r="AH23" s="1">
        <f t="shared" ca="1" si="10"/>
        <v>29.750174999999999</v>
      </c>
      <c r="AI23" s="1">
        <f t="shared" ca="1" si="8"/>
        <v>29.750174999999999</v>
      </c>
    </row>
    <row r="24" spans="2:35" x14ac:dyDescent="0.15">
      <c r="B24" s="1" t="str">
        <f t="shared" si="5"/>
        <v>飞行系22</v>
      </c>
      <c r="C24" s="1">
        <v>22</v>
      </c>
      <c r="D24" s="14" t="s">
        <v>90</v>
      </c>
      <c r="E24" s="14">
        <v>1</v>
      </c>
      <c r="F24" s="1" t="str">
        <f t="shared" si="1"/>
        <v>冷却</v>
      </c>
      <c r="H24" s="1">
        <f t="shared" ca="1" si="2"/>
        <v>494.86328076617878</v>
      </c>
      <c r="I24" s="1">
        <f t="shared" ca="1" si="9"/>
        <v>100</v>
      </c>
      <c r="J24" s="1">
        <f t="shared" ca="1" si="9"/>
        <v>289.21156146179396</v>
      </c>
      <c r="K24" s="1">
        <f t="shared" ca="1" si="9"/>
        <v>31.16685</v>
      </c>
      <c r="L24" s="1">
        <f t="shared" ca="1" si="9"/>
        <v>241.009634551495</v>
      </c>
      <c r="M24" s="1">
        <f t="shared" ca="1" si="9"/>
        <v>31.16685</v>
      </c>
      <c r="N24" s="1">
        <f t="shared" ca="1" si="9"/>
        <v>0.2</v>
      </c>
      <c r="O24" s="1">
        <f t="shared" ca="1" si="9"/>
        <v>0.2</v>
      </c>
      <c r="P24" s="1">
        <f t="shared" ca="1" si="9"/>
        <v>0.36</v>
      </c>
      <c r="Q24" s="1">
        <f t="shared" ca="1" si="9"/>
        <v>0.12</v>
      </c>
      <c r="R24" s="1">
        <f t="shared" ca="1" si="9"/>
        <v>2.2000000000000002</v>
      </c>
      <c r="S24" s="1">
        <f t="shared" ca="1" si="10"/>
        <v>0.15000000000000002</v>
      </c>
      <c r="T24" s="1">
        <f t="shared" ca="1" si="10"/>
        <v>0.9</v>
      </c>
      <c r="U24" s="1">
        <f t="shared" ca="1" si="10"/>
        <v>55.293333333333294</v>
      </c>
      <c r="V24" s="1">
        <f t="shared" ca="1" si="10"/>
        <v>0</v>
      </c>
      <c r="W24" s="1">
        <f t="shared" ca="1" si="10"/>
        <v>0</v>
      </c>
      <c r="X24" s="1">
        <f t="shared" ca="1" si="10"/>
        <v>29.787707641196</v>
      </c>
      <c r="Y24" s="1">
        <f t="shared" ca="1" si="10"/>
        <v>0</v>
      </c>
      <c r="Z24" s="1">
        <f t="shared" ca="1" si="10"/>
        <v>0</v>
      </c>
      <c r="AA24" s="1">
        <f t="shared" ca="1" si="10"/>
        <v>0</v>
      </c>
      <c r="AB24" s="1">
        <f t="shared" ca="1" si="7"/>
        <v>0</v>
      </c>
      <c r="AC24" s="1">
        <f t="shared" ca="1" si="10"/>
        <v>31.16685</v>
      </c>
      <c r="AD24" s="1">
        <f t="shared" ca="1" si="10"/>
        <v>31.16685</v>
      </c>
      <c r="AE24" s="1">
        <f t="shared" ca="1" si="10"/>
        <v>40.516905000000001</v>
      </c>
      <c r="AF24" s="1">
        <f t="shared" ca="1" si="10"/>
        <v>31.16685</v>
      </c>
      <c r="AG24" s="1">
        <f t="shared" ca="1" si="10"/>
        <v>31.16685</v>
      </c>
      <c r="AH24" s="1">
        <f t="shared" ca="1" si="10"/>
        <v>31.16685</v>
      </c>
      <c r="AI24" s="1">
        <f t="shared" ca="1" si="8"/>
        <v>31.16685</v>
      </c>
    </row>
    <row r="25" spans="2:35" x14ac:dyDescent="0.15">
      <c r="B25" s="1" t="str">
        <f t="shared" si="5"/>
        <v>飞行系23</v>
      </c>
      <c r="C25" s="1">
        <v>23</v>
      </c>
      <c r="D25" s="14" t="s">
        <v>90</v>
      </c>
      <c r="E25" s="14">
        <v>1</v>
      </c>
      <c r="F25" s="1" t="str">
        <f t="shared" si="1"/>
        <v>冷却</v>
      </c>
      <c r="H25" s="1">
        <f t="shared" ca="1" si="2"/>
        <v>547.07458963225986</v>
      </c>
      <c r="I25" s="1">
        <f t="shared" ca="1" si="9"/>
        <v>100</v>
      </c>
      <c r="J25" s="1">
        <f t="shared" ca="1" si="9"/>
        <v>304.77977678571477</v>
      </c>
      <c r="K25" s="1">
        <f t="shared" ca="1" si="9"/>
        <v>32.583525000000002</v>
      </c>
      <c r="L25" s="1">
        <f t="shared" ca="1" si="9"/>
        <v>253.98314732142899</v>
      </c>
      <c r="M25" s="1">
        <f t="shared" ca="1" si="9"/>
        <v>32.583525000000002</v>
      </c>
      <c r="N25" s="1">
        <f t="shared" ca="1" si="9"/>
        <v>0.2</v>
      </c>
      <c r="O25" s="1">
        <f t="shared" ca="1" si="9"/>
        <v>0.2</v>
      </c>
      <c r="P25" s="1">
        <f t="shared" ca="1" si="9"/>
        <v>0.36</v>
      </c>
      <c r="Q25" s="1">
        <f t="shared" ca="1" si="9"/>
        <v>0.12</v>
      </c>
      <c r="R25" s="1">
        <f t="shared" ca="1" si="9"/>
        <v>2.2000000000000002</v>
      </c>
      <c r="S25" s="1">
        <f t="shared" ca="1" si="10"/>
        <v>0.15000000000000002</v>
      </c>
      <c r="T25" s="1">
        <f t="shared" ca="1" si="10"/>
        <v>0.9</v>
      </c>
      <c r="U25" s="1">
        <f t="shared" ca="1" si="10"/>
        <v>57.806666666666707</v>
      </c>
      <c r="V25" s="1">
        <f t="shared" ca="1" si="10"/>
        <v>0</v>
      </c>
      <c r="W25" s="1">
        <f t="shared" ca="1" si="10"/>
        <v>0</v>
      </c>
      <c r="X25" s="1">
        <f t="shared" ca="1" si="10"/>
        <v>33.003459821428599</v>
      </c>
      <c r="Y25" s="1">
        <f t="shared" ca="1" si="10"/>
        <v>0</v>
      </c>
      <c r="Z25" s="1">
        <f t="shared" ca="1" si="10"/>
        <v>0</v>
      </c>
      <c r="AA25" s="1">
        <f t="shared" ca="1" si="10"/>
        <v>0</v>
      </c>
      <c r="AB25" s="1">
        <f t="shared" ca="1" si="7"/>
        <v>0</v>
      </c>
      <c r="AC25" s="1">
        <f t="shared" ca="1" si="10"/>
        <v>32.583525000000002</v>
      </c>
      <c r="AD25" s="1">
        <f t="shared" ca="1" si="10"/>
        <v>32.583525000000002</v>
      </c>
      <c r="AE25" s="1">
        <f t="shared" ca="1" si="10"/>
        <v>42.358582500000004</v>
      </c>
      <c r="AF25" s="1">
        <f t="shared" ca="1" si="10"/>
        <v>32.583525000000002</v>
      </c>
      <c r="AG25" s="1">
        <f t="shared" ca="1" si="10"/>
        <v>32.583525000000002</v>
      </c>
      <c r="AH25" s="1">
        <f t="shared" ca="1" si="10"/>
        <v>32.583525000000002</v>
      </c>
      <c r="AI25" s="1">
        <f t="shared" ca="1" si="8"/>
        <v>32.583525000000002</v>
      </c>
    </row>
    <row r="26" spans="2:35" x14ac:dyDescent="0.15">
      <c r="B26" s="1" t="str">
        <f t="shared" si="5"/>
        <v>飞行系24</v>
      </c>
      <c r="C26" s="1">
        <v>24</v>
      </c>
      <c r="D26" s="14" t="s">
        <v>90</v>
      </c>
      <c r="E26" s="14">
        <v>1</v>
      </c>
      <c r="F26" s="1" t="str">
        <f t="shared" si="1"/>
        <v>冷却</v>
      </c>
      <c r="H26" s="1">
        <f t="shared" ca="1" si="2"/>
        <v>574.17939740979284</v>
      </c>
      <c r="I26" s="1">
        <f t="shared" ca="1" si="9"/>
        <v>100</v>
      </c>
      <c r="J26" s="1">
        <f t="shared" ca="1" si="9"/>
        <v>320.57736782902077</v>
      </c>
      <c r="K26" s="1">
        <f t="shared" ca="1" si="9"/>
        <v>34.0002</v>
      </c>
      <c r="L26" s="1">
        <f t="shared" ca="1" si="9"/>
        <v>267.14780652418398</v>
      </c>
      <c r="M26" s="1">
        <f t="shared" ca="1" si="9"/>
        <v>34.0002</v>
      </c>
      <c r="N26" s="1">
        <f t="shared" ca="1" si="9"/>
        <v>0.2</v>
      </c>
      <c r="O26" s="1">
        <f t="shared" ca="1" si="9"/>
        <v>0.2</v>
      </c>
      <c r="P26" s="1">
        <f t="shared" ca="1" si="9"/>
        <v>0.36</v>
      </c>
      <c r="Q26" s="1">
        <f t="shared" ca="1" si="9"/>
        <v>0.12</v>
      </c>
      <c r="R26" s="1">
        <f t="shared" ca="1" si="9"/>
        <v>2.2000000000000002</v>
      </c>
      <c r="S26" s="1">
        <f t="shared" ca="1" si="10"/>
        <v>0.15000000000000002</v>
      </c>
      <c r="T26" s="1">
        <f t="shared" ca="1" si="10"/>
        <v>0.9</v>
      </c>
      <c r="U26" s="1">
        <f t="shared" ca="1" si="10"/>
        <v>60.32</v>
      </c>
      <c r="V26" s="1">
        <f t="shared" ca="1" si="10"/>
        <v>0</v>
      </c>
      <c r="W26" s="1">
        <f t="shared" ca="1" si="10"/>
        <v>0</v>
      </c>
      <c r="X26" s="1">
        <f t="shared" ca="1" si="10"/>
        <v>36.429246344207002</v>
      </c>
      <c r="Y26" s="1">
        <f t="shared" ca="1" si="10"/>
        <v>0</v>
      </c>
      <c r="Z26" s="1">
        <f t="shared" ca="1" si="10"/>
        <v>0</v>
      </c>
      <c r="AA26" s="1">
        <f t="shared" ca="1" si="10"/>
        <v>0</v>
      </c>
      <c r="AB26" s="1">
        <f t="shared" ca="1" si="7"/>
        <v>0</v>
      </c>
      <c r="AC26" s="1">
        <f t="shared" ca="1" si="10"/>
        <v>34.0002</v>
      </c>
      <c r="AD26" s="1">
        <f t="shared" ca="1" si="10"/>
        <v>34.0002</v>
      </c>
      <c r="AE26" s="1">
        <f t="shared" ca="1" si="10"/>
        <v>44.20026</v>
      </c>
      <c r="AF26" s="1">
        <f t="shared" ca="1" si="10"/>
        <v>34.0002</v>
      </c>
      <c r="AG26" s="1">
        <f t="shared" ca="1" si="10"/>
        <v>34.0002</v>
      </c>
      <c r="AH26" s="1">
        <f t="shared" ca="1" si="10"/>
        <v>34.0002</v>
      </c>
      <c r="AI26" s="1">
        <f t="shared" ca="1" si="8"/>
        <v>34.0002</v>
      </c>
    </row>
    <row r="27" spans="2:35" x14ac:dyDescent="0.15">
      <c r="B27" s="1" t="str">
        <f t="shared" si="5"/>
        <v>飞行系25</v>
      </c>
      <c r="C27" s="1">
        <v>25</v>
      </c>
      <c r="D27" s="14" t="s">
        <v>90</v>
      </c>
      <c r="E27" s="14">
        <v>1</v>
      </c>
      <c r="F27" s="1" t="str">
        <f t="shared" si="1"/>
        <v>冷却</v>
      </c>
      <c r="H27" s="1">
        <f t="shared" ca="1" si="2"/>
        <v>601.5607848585264</v>
      </c>
      <c r="I27" s="1">
        <f t="shared" ca="1" si="9"/>
        <v>100</v>
      </c>
      <c r="J27" s="1">
        <f t="shared" ca="1" si="9"/>
        <v>336.60714285714238</v>
      </c>
      <c r="K27" s="1">
        <f t="shared" ca="1" si="9"/>
        <v>35.416874999999997</v>
      </c>
      <c r="L27" s="1">
        <f t="shared" ca="1" si="9"/>
        <v>280.50595238095201</v>
      </c>
      <c r="M27" s="1">
        <f t="shared" ca="1" si="9"/>
        <v>35.416874999999997</v>
      </c>
      <c r="N27" s="1">
        <f t="shared" ca="1" si="9"/>
        <v>0.2</v>
      </c>
      <c r="O27" s="1">
        <f t="shared" ca="1" si="9"/>
        <v>0.2</v>
      </c>
      <c r="P27" s="1">
        <f t="shared" ca="1" si="9"/>
        <v>0.36</v>
      </c>
      <c r="Q27" s="1">
        <f t="shared" ca="1" si="9"/>
        <v>0.12</v>
      </c>
      <c r="R27" s="1">
        <f t="shared" ca="1" si="9"/>
        <v>2.2000000000000002</v>
      </c>
      <c r="S27" s="1">
        <f t="shared" ca="1" si="10"/>
        <v>0.15000000000000002</v>
      </c>
      <c r="T27" s="1">
        <f t="shared" ca="1" si="10"/>
        <v>0.9</v>
      </c>
      <c r="U27" s="1">
        <f t="shared" ca="1" si="10"/>
        <v>62.833333333333293</v>
      </c>
      <c r="V27" s="1">
        <f t="shared" ca="1" si="10"/>
        <v>0</v>
      </c>
      <c r="W27" s="1">
        <f t="shared" ca="1" si="10"/>
        <v>0</v>
      </c>
      <c r="X27" s="1">
        <f t="shared" ca="1" si="10"/>
        <v>40.072278911564602</v>
      </c>
      <c r="Y27" s="1">
        <f t="shared" ca="1" si="10"/>
        <v>0</v>
      </c>
      <c r="Z27" s="1">
        <f t="shared" ca="1" si="10"/>
        <v>0</v>
      </c>
      <c r="AA27" s="1">
        <f t="shared" ca="1" si="10"/>
        <v>0</v>
      </c>
      <c r="AB27" s="1">
        <f t="shared" ca="1" si="7"/>
        <v>0</v>
      </c>
      <c r="AC27" s="1">
        <f t="shared" ca="1" si="10"/>
        <v>35.416874999999997</v>
      </c>
      <c r="AD27" s="1">
        <f t="shared" ca="1" si="10"/>
        <v>35.416874999999997</v>
      </c>
      <c r="AE27" s="1">
        <f t="shared" ca="1" si="10"/>
        <v>46.041937499999996</v>
      </c>
      <c r="AF27" s="1">
        <f t="shared" ca="1" si="10"/>
        <v>35.416874999999997</v>
      </c>
      <c r="AG27" s="1">
        <f t="shared" ca="1" si="10"/>
        <v>35.416874999999997</v>
      </c>
      <c r="AH27" s="1">
        <f t="shared" ca="1" si="10"/>
        <v>35.416874999999997</v>
      </c>
      <c r="AI27" s="1">
        <f t="shared" ca="1" si="8"/>
        <v>35.416874999999997</v>
      </c>
    </row>
    <row r="28" spans="2:35" x14ac:dyDescent="0.15">
      <c r="B28" s="1" t="str">
        <f t="shared" si="5"/>
        <v>飞行系26</v>
      </c>
      <c r="C28" s="1">
        <v>26</v>
      </c>
      <c r="D28" s="14" t="s">
        <v>90</v>
      </c>
      <c r="E28" s="14">
        <v>1</v>
      </c>
      <c r="F28" s="1" t="str">
        <f t="shared" si="1"/>
        <v>冷却</v>
      </c>
      <c r="H28" s="1">
        <f t="shared" ca="1" si="2"/>
        <v>629.2187519784585</v>
      </c>
      <c r="I28" s="1">
        <f t="shared" ca="1" si="9"/>
        <v>100</v>
      </c>
      <c r="J28" s="1">
        <f t="shared" ca="1" si="9"/>
        <v>352.87200000000001</v>
      </c>
      <c r="K28" s="1">
        <f t="shared" ca="1" si="9"/>
        <v>36.833550000000002</v>
      </c>
      <c r="L28" s="1">
        <f t="shared" ca="1" si="9"/>
        <v>294.06</v>
      </c>
      <c r="M28" s="1">
        <f t="shared" ca="1" si="9"/>
        <v>36.833550000000002</v>
      </c>
      <c r="N28" s="1">
        <f t="shared" ca="1" si="9"/>
        <v>0.2</v>
      </c>
      <c r="O28" s="1">
        <f t="shared" ca="1" si="9"/>
        <v>0.2</v>
      </c>
      <c r="P28" s="1">
        <f t="shared" ca="1" si="9"/>
        <v>0.36</v>
      </c>
      <c r="Q28" s="1">
        <f t="shared" ca="1" si="9"/>
        <v>0.12</v>
      </c>
      <c r="R28" s="1">
        <f t="shared" ca="1" si="9"/>
        <v>2.2000000000000002</v>
      </c>
      <c r="S28" s="1">
        <f t="shared" ca="1" si="10"/>
        <v>0.15000000000000002</v>
      </c>
      <c r="T28" s="1">
        <f t="shared" ca="1" si="10"/>
        <v>0.9</v>
      </c>
      <c r="U28" s="1">
        <f t="shared" ca="1" si="10"/>
        <v>65.346666666666721</v>
      </c>
      <c r="V28" s="1">
        <f t="shared" ca="1" si="10"/>
        <v>0</v>
      </c>
      <c r="W28" s="1">
        <f t="shared" ca="1" si="10"/>
        <v>0</v>
      </c>
      <c r="X28" s="1">
        <f t="shared" ca="1" si="10"/>
        <v>43.94</v>
      </c>
      <c r="Y28" s="1">
        <f t="shared" ca="1" si="10"/>
        <v>0</v>
      </c>
      <c r="Z28" s="1">
        <f t="shared" ca="1" si="10"/>
        <v>0</v>
      </c>
      <c r="AA28" s="1">
        <f t="shared" ca="1" si="10"/>
        <v>0</v>
      </c>
      <c r="AB28" s="1">
        <f t="shared" ca="1" si="7"/>
        <v>0</v>
      </c>
      <c r="AC28" s="1">
        <f t="shared" ca="1" si="10"/>
        <v>36.833550000000002</v>
      </c>
      <c r="AD28" s="1">
        <f t="shared" ca="1" si="10"/>
        <v>36.833550000000002</v>
      </c>
      <c r="AE28" s="1">
        <f t="shared" ca="1" si="10"/>
        <v>47.883615000000006</v>
      </c>
      <c r="AF28" s="1">
        <f t="shared" ca="1" si="10"/>
        <v>36.833550000000002</v>
      </c>
      <c r="AG28" s="1">
        <f t="shared" ca="1" si="10"/>
        <v>36.833550000000002</v>
      </c>
      <c r="AH28" s="1">
        <f t="shared" ca="1" si="10"/>
        <v>36.833550000000002</v>
      </c>
      <c r="AI28" s="1">
        <f t="shared" ca="1" si="8"/>
        <v>36.833550000000002</v>
      </c>
    </row>
    <row r="29" spans="2:35" x14ac:dyDescent="0.15">
      <c r="B29" s="1" t="str">
        <f t="shared" si="5"/>
        <v>飞行系27</v>
      </c>
      <c r="C29" s="1">
        <v>27</v>
      </c>
      <c r="D29" s="14" t="s">
        <v>90</v>
      </c>
      <c r="E29" s="14">
        <v>1</v>
      </c>
      <c r="F29" s="1" t="str">
        <f t="shared" si="1"/>
        <v>冷却</v>
      </c>
      <c r="H29" s="1">
        <f t="shared" ca="1" si="2"/>
        <v>657.15329876959015</v>
      </c>
      <c r="I29" s="1">
        <f t="shared" ca="1" si="9"/>
        <v>100</v>
      </c>
      <c r="J29" s="1">
        <f t="shared" ca="1" si="9"/>
        <v>369.37493087557556</v>
      </c>
      <c r="K29" s="1">
        <f t="shared" ca="1" si="9"/>
        <v>38.250225</v>
      </c>
      <c r="L29" s="1">
        <f t="shared" ca="1" si="9"/>
        <v>307.81244239631297</v>
      </c>
      <c r="M29" s="1">
        <f t="shared" ca="1" si="9"/>
        <v>38.250225</v>
      </c>
      <c r="N29" s="1">
        <f t="shared" ca="1" si="9"/>
        <v>0.2</v>
      </c>
      <c r="O29" s="1">
        <f t="shared" ca="1" si="9"/>
        <v>0.2</v>
      </c>
      <c r="P29" s="1">
        <f t="shared" ca="1" si="9"/>
        <v>0.36</v>
      </c>
      <c r="Q29" s="1">
        <f t="shared" ca="1" si="9"/>
        <v>0.12</v>
      </c>
      <c r="R29" s="1">
        <f t="shared" ca="1" si="9"/>
        <v>2.2000000000000002</v>
      </c>
      <c r="S29" s="1">
        <f t="shared" ca="1" si="10"/>
        <v>0.15000000000000002</v>
      </c>
      <c r="T29" s="1">
        <f t="shared" ca="1" si="10"/>
        <v>0.9</v>
      </c>
      <c r="U29" s="1">
        <f t="shared" ca="1" si="10"/>
        <v>67.86</v>
      </c>
      <c r="V29" s="1">
        <f t="shared" ca="1" si="10"/>
        <v>0</v>
      </c>
      <c r="W29" s="1">
        <f t="shared" ca="1" si="10"/>
        <v>0</v>
      </c>
      <c r="X29" s="1">
        <f t="shared" ca="1" si="10"/>
        <v>48.040092165898599</v>
      </c>
      <c r="Y29" s="1">
        <f t="shared" ca="1" si="10"/>
        <v>0</v>
      </c>
      <c r="Z29" s="1">
        <f t="shared" ca="1" si="10"/>
        <v>0</v>
      </c>
      <c r="AA29" s="1">
        <f t="shared" ca="1" si="10"/>
        <v>0</v>
      </c>
      <c r="AB29" s="1">
        <f t="shared" ca="1" si="10"/>
        <v>0</v>
      </c>
      <c r="AC29" s="1">
        <f t="shared" ca="1" si="10"/>
        <v>38.250225</v>
      </c>
      <c r="AD29" s="1">
        <f t="shared" ca="1" si="10"/>
        <v>38.250225</v>
      </c>
      <c r="AE29" s="1">
        <f t="shared" ca="1" si="10"/>
        <v>49.725292500000002</v>
      </c>
      <c r="AF29" s="1">
        <f t="shared" ca="1" si="10"/>
        <v>38.250225</v>
      </c>
      <c r="AG29" s="1">
        <f t="shared" ca="1" si="10"/>
        <v>38.250225</v>
      </c>
      <c r="AH29" s="1">
        <f t="shared" ca="1" si="10"/>
        <v>38.250225</v>
      </c>
      <c r="AI29" s="1">
        <f t="shared" ca="1" si="8"/>
        <v>38.250225</v>
      </c>
    </row>
    <row r="30" spans="2:35" x14ac:dyDescent="0.15">
      <c r="B30" s="1" t="str">
        <f t="shared" si="5"/>
        <v>飞行系28</v>
      </c>
      <c r="C30" s="1">
        <v>28</v>
      </c>
      <c r="D30" s="14" t="s">
        <v>90</v>
      </c>
      <c r="E30" s="14">
        <v>1</v>
      </c>
      <c r="F30" s="1" t="str">
        <f t="shared" si="1"/>
        <v>冷却</v>
      </c>
      <c r="H30" s="1">
        <f t="shared" ca="1" si="2"/>
        <v>685.36442523192045</v>
      </c>
      <c r="I30" s="1">
        <f t="shared" ca="1" si="9"/>
        <v>100</v>
      </c>
      <c r="J30" s="1">
        <f t="shared" ca="1" si="9"/>
        <v>386.11902439024442</v>
      </c>
      <c r="K30" s="1">
        <f t="shared" ca="1" si="9"/>
        <v>39.666899999999998</v>
      </c>
      <c r="L30" s="1">
        <f t="shared" ca="1" si="9"/>
        <v>321.76585365853703</v>
      </c>
      <c r="M30" s="1">
        <f t="shared" ca="1" si="9"/>
        <v>39.666899999999998</v>
      </c>
      <c r="N30" s="1">
        <f t="shared" ca="1" si="9"/>
        <v>0.2</v>
      </c>
      <c r="O30" s="1">
        <f t="shared" ca="1" si="9"/>
        <v>0.2</v>
      </c>
      <c r="P30" s="1">
        <f t="shared" ca="1" si="9"/>
        <v>0.36</v>
      </c>
      <c r="Q30" s="1">
        <f t="shared" ca="1" si="9"/>
        <v>0.12</v>
      </c>
      <c r="R30" s="1">
        <f t="shared" ca="1" si="9"/>
        <v>2.2000000000000002</v>
      </c>
      <c r="S30" s="1">
        <f t="shared" ca="1" si="10"/>
        <v>0.15000000000000002</v>
      </c>
      <c r="T30" s="1">
        <f t="shared" ca="1" si="10"/>
        <v>0.9</v>
      </c>
      <c r="U30" s="1">
        <f t="shared" ca="1" si="10"/>
        <v>70.373333333333292</v>
      </c>
      <c r="V30" s="1">
        <f t="shared" ca="1" si="10"/>
        <v>0</v>
      </c>
      <c r="W30" s="1">
        <f t="shared" ca="1" si="10"/>
        <v>0</v>
      </c>
      <c r="X30" s="1">
        <f t="shared" ca="1" si="10"/>
        <v>52.380487804878101</v>
      </c>
      <c r="Y30" s="1">
        <f t="shared" ca="1" si="10"/>
        <v>0</v>
      </c>
      <c r="Z30" s="1">
        <f t="shared" ca="1" si="10"/>
        <v>0</v>
      </c>
      <c r="AA30" s="1">
        <f t="shared" ca="1" si="10"/>
        <v>0</v>
      </c>
      <c r="AB30" s="1">
        <f t="shared" ca="1" si="10"/>
        <v>0</v>
      </c>
      <c r="AC30" s="1">
        <f t="shared" ca="1" si="10"/>
        <v>39.666899999999998</v>
      </c>
      <c r="AD30" s="1">
        <f t="shared" ca="1" si="10"/>
        <v>39.666899999999998</v>
      </c>
      <c r="AE30" s="1">
        <f t="shared" ca="1" si="10"/>
        <v>51.566969999999998</v>
      </c>
      <c r="AF30" s="1">
        <f t="shared" ca="1" si="10"/>
        <v>39.666899999999998</v>
      </c>
      <c r="AG30" s="1">
        <f t="shared" ca="1" si="10"/>
        <v>39.666899999999998</v>
      </c>
      <c r="AH30" s="1">
        <f t="shared" ca="1" si="10"/>
        <v>39.666899999999998</v>
      </c>
      <c r="AI30" s="1">
        <f t="shared" ca="1" si="8"/>
        <v>39.666899999999998</v>
      </c>
    </row>
    <row r="31" spans="2:35" x14ac:dyDescent="0.15">
      <c r="B31" s="1" t="str">
        <f t="shared" si="5"/>
        <v>飞行系29</v>
      </c>
      <c r="C31" s="1">
        <v>29</v>
      </c>
      <c r="D31" s="14" t="s">
        <v>90</v>
      </c>
      <c r="E31" s="14">
        <v>1</v>
      </c>
      <c r="F31" s="1" t="str">
        <f t="shared" si="1"/>
        <v>冷却</v>
      </c>
      <c r="H31" s="1">
        <f t="shared" ca="1" si="2"/>
        <v>713.8521313654511</v>
      </c>
      <c r="I31" s="1">
        <f t="shared" ca="1" si="9"/>
        <v>100</v>
      </c>
      <c r="J31" s="1">
        <f t="shared" ca="1" si="9"/>
        <v>403.1074707259956</v>
      </c>
      <c r="K31" s="1">
        <f t="shared" ca="1" si="9"/>
        <v>41.083575000000003</v>
      </c>
      <c r="L31" s="1">
        <f t="shared" ca="1" si="9"/>
        <v>335.92289227166299</v>
      </c>
      <c r="M31" s="1">
        <f t="shared" ca="1" si="9"/>
        <v>41.083575000000003</v>
      </c>
      <c r="N31" s="1">
        <f t="shared" ca="1" si="9"/>
        <v>0.2</v>
      </c>
      <c r="O31" s="1">
        <f t="shared" ca="1" si="9"/>
        <v>0.2</v>
      </c>
      <c r="P31" s="1">
        <f t="shared" ca="1" si="9"/>
        <v>0.36</v>
      </c>
      <c r="Q31" s="1">
        <f t="shared" ca="1" si="9"/>
        <v>0.12</v>
      </c>
      <c r="R31" s="1">
        <f t="shared" ca="1" si="9"/>
        <v>2.2000000000000002</v>
      </c>
      <c r="S31" s="1">
        <f t="shared" ca="1" si="10"/>
        <v>0.15000000000000002</v>
      </c>
      <c r="T31" s="1">
        <f t="shared" ca="1" si="10"/>
        <v>0.9</v>
      </c>
      <c r="U31" s="1">
        <f t="shared" ca="1" si="10"/>
        <v>72.886666666666713</v>
      </c>
      <c r="V31" s="1">
        <f t="shared" ca="1" si="10"/>
        <v>0</v>
      </c>
      <c r="W31" s="1">
        <f t="shared" ca="1" si="10"/>
        <v>0</v>
      </c>
      <c r="X31" s="1">
        <f t="shared" ca="1" si="10"/>
        <v>56.969379391100702</v>
      </c>
      <c r="Y31" s="1">
        <f t="shared" ca="1" si="10"/>
        <v>0</v>
      </c>
      <c r="Z31" s="1">
        <f t="shared" ca="1" si="10"/>
        <v>0</v>
      </c>
      <c r="AA31" s="1">
        <f t="shared" ca="1" si="10"/>
        <v>0</v>
      </c>
      <c r="AB31" s="1">
        <f t="shared" ca="1" si="10"/>
        <v>0</v>
      </c>
      <c r="AC31" s="1">
        <f t="shared" ca="1" si="10"/>
        <v>41.083575000000003</v>
      </c>
      <c r="AD31" s="1">
        <f t="shared" ca="1" si="10"/>
        <v>41.083575000000003</v>
      </c>
      <c r="AE31" s="1">
        <f t="shared" ca="1" si="10"/>
        <v>53.408647500000008</v>
      </c>
      <c r="AF31" s="1">
        <f t="shared" ca="1" si="10"/>
        <v>41.083575000000003</v>
      </c>
      <c r="AG31" s="1">
        <f t="shared" ca="1" si="10"/>
        <v>41.083575000000003</v>
      </c>
      <c r="AH31" s="1">
        <f t="shared" ca="1" si="10"/>
        <v>41.083575000000003</v>
      </c>
      <c r="AI31" s="1">
        <f t="shared" ca="1" si="8"/>
        <v>41.083575000000003</v>
      </c>
    </row>
    <row r="32" spans="2:35" x14ac:dyDescent="0.15">
      <c r="B32" s="1" t="str">
        <f t="shared" si="5"/>
        <v>飞行系30</v>
      </c>
      <c r="C32" s="1">
        <v>30</v>
      </c>
      <c r="D32" s="14" t="s">
        <v>90</v>
      </c>
      <c r="E32" s="14">
        <v>1</v>
      </c>
      <c r="F32" s="1" t="str">
        <f t="shared" si="1"/>
        <v>冷却</v>
      </c>
      <c r="H32" s="1">
        <f t="shared" ca="1" si="2"/>
        <v>742.6164171701804</v>
      </c>
      <c r="I32" s="1">
        <f t="shared" ca="1" si="9"/>
        <v>100</v>
      </c>
      <c r="J32" s="1">
        <f t="shared" ca="1" si="9"/>
        <v>420.34356552538321</v>
      </c>
      <c r="K32" s="1">
        <f t="shared" ca="1" si="9"/>
        <v>42.500250000000001</v>
      </c>
      <c r="L32" s="1">
        <f t="shared" ca="1" si="9"/>
        <v>350.28630460448602</v>
      </c>
      <c r="M32" s="1">
        <f t="shared" ca="1" si="9"/>
        <v>42.500250000000001</v>
      </c>
      <c r="N32" s="1">
        <f t="shared" ca="1" si="9"/>
        <v>0.2</v>
      </c>
      <c r="O32" s="1">
        <f t="shared" ca="1" si="9"/>
        <v>0.2</v>
      </c>
      <c r="P32" s="1">
        <f t="shared" ca="1" si="9"/>
        <v>0.36</v>
      </c>
      <c r="Q32" s="1">
        <f t="shared" ca="1" si="9"/>
        <v>0.12</v>
      </c>
      <c r="R32" s="1">
        <f t="shared" ca="1" si="9"/>
        <v>2.2000000000000002</v>
      </c>
      <c r="S32" s="1">
        <f t="shared" ca="1" si="10"/>
        <v>0.15000000000000002</v>
      </c>
      <c r="T32" s="1">
        <f t="shared" ca="1" si="10"/>
        <v>0.9</v>
      </c>
      <c r="U32" s="1">
        <f t="shared" ca="1" si="10"/>
        <v>75.400000000000006</v>
      </c>
      <c r="V32" s="1">
        <f t="shared" ca="1" si="10"/>
        <v>0</v>
      </c>
      <c r="W32" s="1">
        <f t="shared" ca="1" si="10"/>
        <v>0</v>
      </c>
      <c r="X32" s="1">
        <f t="shared" ca="1" si="10"/>
        <v>61.815230224321098</v>
      </c>
      <c r="Y32" s="1">
        <f t="shared" ca="1" si="10"/>
        <v>0</v>
      </c>
      <c r="Z32" s="1">
        <f t="shared" ca="1" si="10"/>
        <v>0</v>
      </c>
      <c r="AA32" s="1">
        <f t="shared" ca="1" si="10"/>
        <v>0</v>
      </c>
      <c r="AB32" s="1">
        <f t="shared" ca="1" si="10"/>
        <v>0</v>
      </c>
      <c r="AC32" s="1">
        <f t="shared" ca="1" si="10"/>
        <v>42.500250000000001</v>
      </c>
      <c r="AD32" s="1">
        <f t="shared" ca="1" si="10"/>
        <v>42.500250000000001</v>
      </c>
      <c r="AE32" s="1">
        <f t="shared" ca="1" si="10"/>
        <v>55.250325000000004</v>
      </c>
      <c r="AF32" s="1">
        <f t="shared" ca="1" si="10"/>
        <v>42.500250000000001</v>
      </c>
      <c r="AG32" s="1">
        <f t="shared" ca="1" si="10"/>
        <v>42.500250000000001</v>
      </c>
      <c r="AH32" s="1">
        <f t="shared" ca="1" si="10"/>
        <v>42.500250000000001</v>
      </c>
      <c r="AI32" s="1">
        <f t="shared" ca="1" si="8"/>
        <v>42.500250000000001</v>
      </c>
    </row>
    <row r="33" spans="2:35" x14ac:dyDescent="0.15">
      <c r="B33" s="1" t="str">
        <f t="shared" si="5"/>
        <v>飞行系31</v>
      </c>
      <c r="C33" s="1">
        <v>31</v>
      </c>
      <c r="D33" s="14" t="s">
        <v>90</v>
      </c>
      <c r="E33" s="14">
        <v>1</v>
      </c>
      <c r="F33" s="1" t="str">
        <f t="shared" si="1"/>
        <v>冷却</v>
      </c>
      <c r="H33" s="1">
        <f t="shared" ca="1" si="2"/>
        <v>771.65728264610914</v>
      </c>
      <c r="I33" s="1">
        <f t="shared" ref="I33:R42" ca="1" si="11">mVlookup($C33,monsterBaseDate,I$2,FALSE)*(1+mVlookup($E33,monsterType,I$2,FALSE))</f>
        <v>100</v>
      </c>
      <c r="J33" s="1">
        <f t="shared" ca="1" si="11"/>
        <v>437.83071428571475</v>
      </c>
      <c r="K33" s="1">
        <f t="shared" ca="1" si="11"/>
        <v>43.916924999999999</v>
      </c>
      <c r="L33" s="1">
        <f t="shared" ca="1" si="11"/>
        <v>364.85892857142898</v>
      </c>
      <c r="M33" s="1">
        <f t="shared" ca="1" si="11"/>
        <v>43.916924999999999</v>
      </c>
      <c r="N33" s="1">
        <f t="shared" ca="1" si="11"/>
        <v>0.2</v>
      </c>
      <c r="O33" s="1">
        <f t="shared" ca="1" si="11"/>
        <v>0.2</v>
      </c>
      <c r="P33" s="1">
        <f t="shared" ca="1" si="11"/>
        <v>0.36</v>
      </c>
      <c r="Q33" s="1">
        <f t="shared" ca="1" si="11"/>
        <v>0.12</v>
      </c>
      <c r="R33" s="1">
        <f t="shared" ca="1" si="11"/>
        <v>2.2000000000000002</v>
      </c>
      <c r="S33" s="1">
        <f t="shared" ref="S33:AH48" ca="1" si="12">mVlookup($C33,monsterBaseDate,S$2,FALSE)*(1+mVlookup($E33,monsterType,S$2,FALSE))</f>
        <v>0.15000000000000002</v>
      </c>
      <c r="T33" s="1">
        <f t="shared" ca="1" si="12"/>
        <v>0.9</v>
      </c>
      <c r="U33" s="1">
        <f t="shared" ca="1" si="12"/>
        <v>77.913333333333298</v>
      </c>
      <c r="V33" s="1">
        <f t="shared" ca="1" si="12"/>
        <v>0</v>
      </c>
      <c r="W33" s="1">
        <f t="shared" ca="1" si="12"/>
        <v>0</v>
      </c>
      <c r="X33" s="1">
        <f t="shared" ca="1" si="12"/>
        <v>66.9267857142857</v>
      </c>
      <c r="Y33" s="1">
        <f t="shared" ca="1" si="12"/>
        <v>0</v>
      </c>
      <c r="Z33" s="1">
        <f t="shared" ca="1" si="12"/>
        <v>0</v>
      </c>
      <c r="AA33" s="1">
        <f t="shared" ca="1" si="12"/>
        <v>0</v>
      </c>
      <c r="AB33" s="1">
        <f t="shared" ca="1" si="10"/>
        <v>0</v>
      </c>
      <c r="AC33" s="1">
        <f t="shared" ca="1" si="12"/>
        <v>43.916924999999999</v>
      </c>
      <c r="AD33" s="1">
        <f t="shared" ca="1" si="12"/>
        <v>43.916924999999999</v>
      </c>
      <c r="AE33" s="1">
        <f t="shared" ca="1" si="12"/>
        <v>57.0920025</v>
      </c>
      <c r="AF33" s="1">
        <f t="shared" ca="1" si="12"/>
        <v>43.916924999999999</v>
      </c>
      <c r="AG33" s="1">
        <f t="shared" ca="1" si="12"/>
        <v>43.916924999999999</v>
      </c>
      <c r="AH33" s="1">
        <f t="shared" ca="1" si="12"/>
        <v>43.916924999999999</v>
      </c>
      <c r="AI33" s="1">
        <f t="shared" ca="1" si="8"/>
        <v>43.916924999999999</v>
      </c>
    </row>
    <row r="34" spans="2:35" x14ac:dyDescent="0.15">
      <c r="B34" s="1" t="str">
        <f t="shared" si="5"/>
        <v>飞行系32</v>
      </c>
      <c r="C34" s="1">
        <v>32</v>
      </c>
      <c r="D34" s="14" t="s">
        <v>90</v>
      </c>
      <c r="E34" s="14">
        <v>1</v>
      </c>
      <c r="F34" s="1" t="str">
        <f t="shared" si="1"/>
        <v>冷却</v>
      </c>
      <c r="H34" s="1">
        <f t="shared" ca="1" si="2"/>
        <v>800.97472779323755</v>
      </c>
      <c r="I34" s="1">
        <f t="shared" ca="1" si="11"/>
        <v>100</v>
      </c>
      <c r="J34" s="1">
        <f t="shared" ca="1" si="11"/>
        <v>455.57243697479038</v>
      </c>
      <c r="K34" s="1">
        <f t="shared" ca="1" si="11"/>
        <v>45.333599999999997</v>
      </c>
      <c r="L34" s="1">
        <f t="shared" ca="1" si="11"/>
        <v>379.64369747899201</v>
      </c>
      <c r="M34" s="1">
        <f t="shared" ca="1" si="11"/>
        <v>45.333599999999997</v>
      </c>
      <c r="N34" s="1">
        <f t="shared" ca="1" si="11"/>
        <v>0.2</v>
      </c>
      <c r="O34" s="1">
        <f t="shared" ca="1" si="11"/>
        <v>0.2</v>
      </c>
      <c r="P34" s="1">
        <f t="shared" ca="1" si="11"/>
        <v>0.36</v>
      </c>
      <c r="Q34" s="1">
        <f t="shared" ca="1" si="11"/>
        <v>0.12</v>
      </c>
      <c r="R34" s="1">
        <f t="shared" ca="1" si="11"/>
        <v>2.2000000000000002</v>
      </c>
      <c r="S34" s="1">
        <f t="shared" ca="1" si="12"/>
        <v>0.15000000000000002</v>
      </c>
      <c r="T34" s="1">
        <f t="shared" ca="1" si="12"/>
        <v>0.9</v>
      </c>
      <c r="U34" s="1">
        <f t="shared" ca="1" si="12"/>
        <v>80.426666666666719</v>
      </c>
      <c r="V34" s="1">
        <f t="shared" ca="1" si="12"/>
        <v>0</v>
      </c>
      <c r="W34" s="1">
        <f t="shared" ca="1" si="12"/>
        <v>0</v>
      </c>
      <c r="X34" s="1">
        <f t="shared" ca="1" si="12"/>
        <v>72.313085234093606</v>
      </c>
      <c r="Y34" s="1">
        <f t="shared" ca="1" si="12"/>
        <v>0</v>
      </c>
      <c r="Z34" s="1">
        <f t="shared" ca="1" si="12"/>
        <v>0</v>
      </c>
      <c r="AA34" s="1">
        <f t="shared" ca="1" si="12"/>
        <v>0</v>
      </c>
      <c r="AB34" s="1">
        <f t="shared" ca="1" si="10"/>
        <v>0</v>
      </c>
      <c r="AC34" s="1">
        <f t="shared" ca="1" si="12"/>
        <v>45.333599999999997</v>
      </c>
      <c r="AD34" s="1">
        <f t="shared" ca="1" si="12"/>
        <v>45.333599999999997</v>
      </c>
      <c r="AE34" s="1">
        <f t="shared" ca="1" si="12"/>
        <v>58.933679999999995</v>
      </c>
      <c r="AF34" s="1">
        <f t="shared" ca="1" si="12"/>
        <v>45.333599999999997</v>
      </c>
      <c r="AG34" s="1">
        <f t="shared" ca="1" si="12"/>
        <v>45.333599999999997</v>
      </c>
      <c r="AH34" s="1">
        <f t="shared" ca="1" si="12"/>
        <v>45.333599999999997</v>
      </c>
      <c r="AI34" s="1">
        <f t="shared" ca="1" si="8"/>
        <v>45.333599999999997</v>
      </c>
    </row>
    <row r="35" spans="2:35" x14ac:dyDescent="0.15">
      <c r="B35" s="1" t="str">
        <f t="shared" si="5"/>
        <v>飞行系33</v>
      </c>
      <c r="C35" s="1">
        <v>33</v>
      </c>
      <c r="D35" s="14" t="s">
        <v>90</v>
      </c>
      <c r="E35" s="14">
        <v>1</v>
      </c>
      <c r="F35" s="1" t="str">
        <f t="shared" si="1"/>
        <v>冷却</v>
      </c>
      <c r="H35" s="1">
        <f t="shared" ca="1" si="2"/>
        <v>830.56875261156529</v>
      </c>
      <c r="I35" s="1">
        <f t="shared" ca="1" si="11"/>
        <v>100</v>
      </c>
      <c r="J35" s="1">
        <f t="shared" ca="1" si="11"/>
        <v>473.57237288135639</v>
      </c>
      <c r="K35" s="1">
        <f t="shared" ca="1" si="11"/>
        <v>46.750275000000002</v>
      </c>
      <c r="L35" s="1">
        <f t="shared" ca="1" si="11"/>
        <v>394.64364406779703</v>
      </c>
      <c r="M35" s="1">
        <f t="shared" ca="1" si="11"/>
        <v>46.750275000000002</v>
      </c>
      <c r="N35" s="1">
        <f t="shared" ca="1" si="11"/>
        <v>0.2</v>
      </c>
      <c r="O35" s="1">
        <f t="shared" ca="1" si="11"/>
        <v>0.2</v>
      </c>
      <c r="P35" s="1">
        <f t="shared" ca="1" si="11"/>
        <v>0.36</v>
      </c>
      <c r="Q35" s="1">
        <f t="shared" ca="1" si="11"/>
        <v>0.12</v>
      </c>
      <c r="R35" s="1">
        <f t="shared" ca="1" si="11"/>
        <v>2.2000000000000002</v>
      </c>
      <c r="S35" s="1">
        <f t="shared" ca="1" si="12"/>
        <v>0.15000000000000002</v>
      </c>
      <c r="T35" s="1">
        <f t="shared" ca="1" si="12"/>
        <v>0.9</v>
      </c>
      <c r="U35" s="1">
        <f t="shared" ca="1" si="12"/>
        <v>82.94</v>
      </c>
      <c r="V35" s="1">
        <f t="shared" ca="1" si="12"/>
        <v>0</v>
      </c>
      <c r="W35" s="1">
        <f t="shared" ca="1" si="12"/>
        <v>0</v>
      </c>
      <c r="X35" s="1">
        <f t="shared" ca="1" si="12"/>
        <v>77.983474576271206</v>
      </c>
      <c r="Y35" s="1">
        <f t="shared" ca="1" si="12"/>
        <v>0</v>
      </c>
      <c r="Z35" s="1">
        <f t="shared" ca="1" si="12"/>
        <v>0</v>
      </c>
      <c r="AA35" s="1">
        <f t="shared" ca="1" si="12"/>
        <v>0</v>
      </c>
      <c r="AB35" s="1">
        <f t="shared" ca="1" si="10"/>
        <v>0</v>
      </c>
      <c r="AC35" s="1">
        <f t="shared" ca="1" si="12"/>
        <v>46.750275000000002</v>
      </c>
      <c r="AD35" s="1">
        <f t="shared" ca="1" si="12"/>
        <v>46.750275000000002</v>
      </c>
      <c r="AE35" s="1">
        <f t="shared" ca="1" si="12"/>
        <v>60.775357500000005</v>
      </c>
      <c r="AF35" s="1">
        <f t="shared" ca="1" si="12"/>
        <v>46.750275000000002</v>
      </c>
      <c r="AG35" s="1">
        <f t="shared" ca="1" si="12"/>
        <v>46.750275000000002</v>
      </c>
      <c r="AH35" s="1">
        <f t="shared" ca="1" si="12"/>
        <v>46.750275000000002</v>
      </c>
      <c r="AI35" s="1">
        <f t="shared" ca="1" si="8"/>
        <v>46.750275000000002</v>
      </c>
    </row>
    <row r="36" spans="2:35" x14ac:dyDescent="0.15">
      <c r="B36" s="1" t="str">
        <f t="shared" si="5"/>
        <v>飞行系34</v>
      </c>
      <c r="C36" s="1">
        <v>34</v>
      </c>
      <c r="D36" s="14" t="s">
        <v>90</v>
      </c>
      <c r="E36" s="14">
        <v>1</v>
      </c>
      <c r="F36" s="1" t="str">
        <f t="shared" si="1"/>
        <v>冷却</v>
      </c>
      <c r="H36" s="1">
        <f t="shared" ca="1" si="2"/>
        <v>904.96775508269639</v>
      </c>
      <c r="I36" s="1">
        <f t="shared" ca="1" si="11"/>
        <v>100</v>
      </c>
      <c r="J36" s="1">
        <f t="shared" ca="1" si="11"/>
        <v>491.83428571428601</v>
      </c>
      <c r="K36" s="1">
        <f t="shared" ca="1" si="11"/>
        <v>48.16695</v>
      </c>
      <c r="L36" s="1">
        <f t="shared" ca="1" si="11"/>
        <v>409.86190476190501</v>
      </c>
      <c r="M36" s="1">
        <f t="shared" ca="1" si="11"/>
        <v>48.16695</v>
      </c>
      <c r="N36" s="1">
        <f t="shared" ca="1" si="11"/>
        <v>0.2</v>
      </c>
      <c r="O36" s="1">
        <f t="shared" ca="1" si="11"/>
        <v>0.2</v>
      </c>
      <c r="P36" s="1">
        <f t="shared" ca="1" si="11"/>
        <v>0.36</v>
      </c>
      <c r="Q36" s="1">
        <f t="shared" ca="1" si="11"/>
        <v>0.12</v>
      </c>
      <c r="R36" s="1">
        <f t="shared" ca="1" si="11"/>
        <v>2.2000000000000002</v>
      </c>
      <c r="S36" s="1">
        <f t="shared" ca="1" si="12"/>
        <v>0.15000000000000002</v>
      </c>
      <c r="T36" s="1">
        <f t="shared" ca="1" si="12"/>
        <v>0.9</v>
      </c>
      <c r="U36" s="1">
        <f t="shared" ca="1" si="12"/>
        <v>85.453333333333305</v>
      </c>
      <c r="V36" s="1">
        <f t="shared" ca="1" si="12"/>
        <v>0</v>
      </c>
      <c r="W36" s="1">
        <f t="shared" ca="1" si="12"/>
        <v>0</v>
      </c>
      <c r="X36" s="1">
        <f t="shared" ca="1" si="12"/>
        <v>83.947619047619099</v>
      </c>
      <c r="Y36" s="1">
        <f t="shared" ca="1" si="12"/>
        <v>0</v>
      </c>
      <c r="Z36" s="1">
        <f t="shared" ca="1" si="12"/>
        <v>0</v>
      </c>
      <c r="AA36" s="1">
        <f t="shared" ca="1" si="12"/>
        <v>0</v>
      </c>
      <c r="AB36" s="1">
        <f t="shared" ca="1" si="10"/>
        <v>0</v>
      </c>
      <c r="AC36" s="1">
        <f t="shared" ca="1" si="12"/>
        <v>48.16695</v>
      </c>
      <c r="AD36" s="1">
        <f t="shared" ca="1" si="12"/>
        <v>48.16695</v>
      </c>
      <c r="AE36" s="1">
        <f t="shared" ca="1" si="12"/>
        <v>62.617035000000001</v>
      </c>
      <c r="AF36" s="1">
        <f t="shared" ca="1" si="12"/>
        <v>48.16695</v>
      </c>
      <c r="AG36" s="1">
        <f t="shared" ca="1" si="12"/>
        <v>48.16695</v>
      </c>
      <c r="AH36" s="1">
        <f t="shared" ca="1" si="12"/>
        <v>48.16695</v>
      </c>
      <c r="AI36" s="1">
        <f t="shared" ca="1" si="8"/>
        <v>48.16695</v>
      </c>
    </row>
    <row r="37" spans="2:35" x14ac:dyDescent="0.15">
      <c r="B37" s="1" t="str">
        <f t="shared" si="5"/>
        <v>飞行系35</v>
      </c>
      <c r="C37" s="1">
        <v>35</v>
      </c>
      <c r="D37" s="14" t="s">
        <v>90</v>
      </c>
      <c r="E37" s="14">
        <v>1</v>
      </c>
      <c r="F37" s="1" t="str">
        <f t="shared" si="1"/>
        <v>冷却</v>
      </c>
      <c r="H37" s="1">
        <f t="shared" ca="1" si="2"/>
        <v>936.67507919198999</v>
      </c>
      <c r="I37" s="1">
        <f t="shared" ca="1" si="11"/>
        <v>100</v>
      </c>
      <c r="J37" s="1">
        <f t="shared" ca="1" si="11"/>
        <v>510.36206896551715</v>
      </c>
      <c r="K37" s="1">
        <f t="shared" ca="1" si="11"/>
        <v>49.583624999999998</v>
      </c>
      <c r="L37" s="1">
        <f t="shared" ca="1" si="11"/>
        <v>425.30172413793099</v>
      </c>
      <c r="M37" s="1">
        <f t="shared" ca="1" si="11"/>
        <v>49.583624999999998</v>
      </c>
      <c r="N37" s="1">
        <f t="shared" ca="1" si="11"/>
        <v>0.2</v>
      </c>
      <c r="O37" s="1">
        <f t="shared" ca="1" si="11"/>
        <v>0.2</v>
      </c>
      <c r="P37" s="1">
        <f t="shared" ca="1" si="11"/>
        <v>0.36</v>
      </c>
      <c r="Q37" s="1">
        <f t="shared" ca="1" si="11"/>
        <v>0.12</v>
      </c>
      <c r="R37" s="1">
        <f t="shared" ca="1" si="11"/>
        <v>2.2000000000000002</v>
      </c>
      <c r="S37" s="1">
        <f t="shared" ca="1" si="12"/>
        <v>0.15000000000000002</v>
      </c>
      <c r="T37" s="1">
        <f t="shared" ca="1" si="12"/>
        <v>0.9</v>
      </c>
      <c r="U37" s="1">
        <f t="shared" ca="1" si="12"/>
        <v>87.966666666666711</v>
      </c>
      <c r="V37" s="1">
        <f t="shared" ca="1" si="12"/>
        <v>0</v>
      </c>
      <c r="W37" s="1">
        <f t="shared" ca="1" si="12"/>
        <v>0</v>
      </c>
      <c r="X37" s="1">
        <f t="shared" ca="1" si="12"/>
        <v>90.215517241379303</v>
      </c>
      <c r="Y37" s="1">
        <f t="shared" ca="1" si="12"/>
        <v>0</v>
      </c>
      <c r="Z37" s="1">
        <f t="shared" ca="1" si="12"/>
        <v>0</v>
      </c>
      <c r="AA37" s="1">
        <f t="shared" ca="1" si="12"/>
        <v>0</v>
      </c>
      <c r="AB37" s="1">
        <f t="shared" ca="1" si="10"/>
        <v>0</v>
      </c>
      <c r="AC37" s="1">
        <f t="shared" ca="1" si="12"/>
        <v>49.583624999999998</v>
      </c>
      <c r="AD37" s="1">
        <f t="shared" ca="1" si="12"/>
        <v>49.583624999999998</v>
      </c>
      <c r="AE37" s="1">
        <f t="shared" ca="1" si="12"/>
        <v>64.458712500000004</v>
      </c>
      <c r="AF37" s="1">
        <f t="shared" ca="1" si="12"/>
        <v>49.583624999999998</v>
      </c>
      <c r="AG37" s="1">
        <f t="shared" ca="1" si="12"/>
        <v>49.583624999999998</v>
      </c>
      <c r="AH37" s="1">
        <f t="shared" ca="1" si="12"/>
        <v>49.583624999999998</v>
      </c>
      <c r="AI37" s="1">
        <f t="shared" ca="1" si="8"/>
        <v>49.583624999999998</v>
      </c>
    </row>
    <row r="38" spans="2:35" x14ac:dyDescent="0.15">
      <c r="B38" s="1" t="str">
        <f t="shared" si="5"/>
        <v>飞行系36</v>
      </c>
      <c r="C38" s="1">
        <v>36</v>
      </c>
      <c r="D38" s="14" t="s">
        <v>90</v>
      </c>
      <c r="E38" s="14">
        <v>1</v>
      </c>
      <c r="F38" s="1" t="str">
        <f t="shared" si="1"/>
        <v>冷却</v>
      </c>
      <c r="H38" s="1">
        <f t="shared" ca="1" si="2"/>
        <v>968.67329618302563</v>
      </c>
      <c r="I38" s="1">
        <f t="shared" ca="1" si="11"/>
        <v>100</v>
      </c>
      <c r="J38" s="1">
        <f t="shared" ca="1" si="11"/>
        <v>529.15975155279477</v>
      </c>
      <c r="K38" s="1">
        <f t="shared" ca="1" si="11"/>
        <v>51.000300000000003</v>
      </c>
      <c r="L38" s="1">
        <f t="shared" ca="1" si="11"/>
        <v>440.96645962732902</v>
      </c>
      <c r="M38" s="1">
        <f t="shared" ca="1" si="11"/>
        <v>51.000300000000003</v>
      </c>
      <c r="N38" s="1">
        <f t="shared" ca="1" si="11"/>
        <v>0.2</v>
      </c>
      <c r="O38" s="1">
        <f t="shared" ca="1" si="11"/>
        <v>0.2</v>
      </c>
      <c r="P38" s="1">
        <f t="shared" ca="1" si="11"/>
        <v>0.36</v>
      </c>
      <c r="Q38" s="1">
        <f t="shared" ca="1" si="11"/>
        <v>0.12</v>
      </c>
      <c r="R38" s="1">
        <f t="shared" ca="1" si="11"/>
        <v>2.2000000000000002</v>
      </c>
      <c r="S38" s="1">
        <f t="shared" ca="1" si="12"/>
        <v>0.15000000000000002</v>
      </c>
      <c r="T38" s="1">
        <f t="shared" ca="1" si="12"/>
        <v>0.9</v>
      </c>
      <c r="U38" s="1">
        <f t="shared" ca="1" si="12"/>
        <v>90.47999999999999</v>
      </c>
      <c r="V38" s="1">
        <f t="shared" ca="1" si="12"/>
        <v>0</v>
      </c>
      <c r="W38" s="1">
        <f t="shared" ca="1" si="12"/>
        <v>0</v>
      </c>
      <c r="X38" s="1">
        <f t="shared" ca="1" si="12"/>
        <v>96.797515527950296</v>
      </c>
      <c r="Y38" s="1">
        <f t="shared" ca="1" si="12"/>
        <v>0</v>
      </c>
      <c r="Z38" s="1">
        <f t="shared" ca="1" si="12"/>
        <v>0</v>
      </c>
      <c r="AA38" s="1">
        <f t="shared" ca="1" si="12"/>
        <v>0</v>
      </c>
      <c r="AB38" s="1">
        <f t="shared" ca="1" si="10"/>
        <v>0</v>
      </c>
      <c r="AC38" s="1">
        <f t="shared" ca="1" si="12"/>
        <v>51.000300000000003</v>
      </c>
      <c r="AD38" s="1">
        <f t="shared" ca="1" si="12"/>
        <v>51.000300000000003</v>
      </c>
      <c r="AE38" s="1">
        <f t="shared" ca="1" si="12"/>
        <v>66.300390000000007</v>
      </c>
      <c r="AF38" s="1">
        <f t="shared" ca="1" si="12"/>
        <v>51.000300000000003</v>
      </c>
      <c r="AG38" s="1">
        <f t="shared" ca="1" si="12"/>
        <v>51.000300000000003</v>
      </c>
      <c r="AH38" s="1">
        <f t="shared" ca="1" si="12"/>
        <v>51.000300000000003</v>
      </c>
      <c r="AI38" s="1">
        <f t="shared" ca="1" si="8"/>
        <v>51.000300000000003</v>
      </c>
    </row>
    <row r="39" spans="2:35" x14ac:dyDescent="0.15">
      <c r="B39" s="1" t="str">
        <f t="shared" si="5"/>
        <v>飞行系37</v>
      </c>
      <c r="C39" s="1">
        <v>37</v>
      </c>
      <c r="D39" s="14" t="s">
        <v>90</v>
      </c>
      <c r="E39" s="14">
        <v>1</v>
      </c>
      <c r="F39" s="1" t="str">
        <f t="shared" si="1"/>
        <v>冷却</v>
      </c>
      <c r="H39" s="1">
        <f t="shared" ca="1" si="2"/>
        <v>1000.9624060557876</v>
      </c>
      <c r="I39" s="1">
        <f t="shared" ca="1" si="11"/>
        <v>100</v>
      </c>
      <c r="J39" s="1">
        <f t="shared" ca="1" si="11"/>
        <v>548.23150375939804</v>
      </c>
      <c r="K39" s="1">
        <f t="shared" ca="1" si="11"/>
        <v>52.416975000000001</v>
      </c>
      <c r="L39" s="1">
        <f t="shared" ca="1" si="11"/>
        <v>456.85958646616501</v>
      </c>
      <c r="M39" s="1">
        <f t="shared" ca="1" si="11"/>
        <v>52.416975000000001</v>
      </c>
      <c r="N39" s="1">
        <f t="shared" ca="1" si="11"/>
        <v>0.2</v>
      </c>
      <c r="O39" s="1">
        <f t="shared" ca="1" si="11"/>
        <v>0.2</v>
      </c>
      <c r="P39" s="1">
        <f t="shared" ca="1" si="11"/>
        <v>0.36</v>
      </c>
      <c r="Q39" s="1">
        <f t="shared" ca="1" si="11"/>
        <v>0.12</v>
      </c>
      <c r="R39" s="1">
        <f t="shared" ca="1" si="11"/>
        <v>2.2000000000000002</v>
      </c>
      <c r="S39" s="1">
        <f t="shared" ca="1" si="12"/>
        <v>0.15000000000000002</v>
      </c>
      <c r="T39" s="1">
        <f t="shared" ca="1" si="12"/>
        <v>0.9</v>
      </c>
      <c r="U39" s="1">
        <f t="shared" ca="1" si="12"/>
        <v>92.993333333333297</v>
      </c>
      <c r="V39" s="1">
        <f t="shared" ca="1" si="12"/>
        <v>0</v>
      </c>
      <c r="W39" s="1">
        <f t="shared" ca="1" si="12"/>
        <v>0</v>
      </c>
      <c r="X39" s="1">
        <f t="shared" ca="1" si="12"/>
        <v>103.704323308271</v>
      </c>
      <c r="Y39" s="1">
        <f t="shared" ca="1" si="12"/>
        <v>0</v>
      </c>
      <c r="Z39" s="1">
        <f t="shared" ca="1" si="12"/>
        <v>0</v>
      </c>
      <c r="AA39" s="1">
        <f t="shared" ca="1" si="12"/>
        <v>0</v>
      </c>
      <c r="AB39" s="1">
        <f t="shared" ca="1" si="12"/>
        <v>0</v>
      </c>
      <c r="AC39" s="1">
        <f t="shared" ca="1" si="12"/>
        <v>52.416975000000001</v>
      </c>
      <c r="AD39" s="1">
        <f t="shared" ca="1" si="12"/>
        <v>52.416975000000001</v>
      </c>
      <c r="AE39" s="1">
        <f t="shared" ca="1" si="12"/>
        <v>68.14206750000001</v>
      </c>
      <c r="AF39" s="1">
        <f t="shared" ca="1" si="12"/>
        <v>52.416975000000001</v>
      </c>
      <c r="AG39" s="1">
        <f t="shared" ca="1" si="12"/>
        <v>52.416975000000001</v>
      </c>
      <c r="AH39" s="1">
        <f t="shared" ca="1" si="12"/>
        <v>52.416975000000001</v>
      </c>
      <c r="AI39" s="1">
        <f t="shared" ca="1" si="8"/>
        <v>52.416975000000001</v>
      </c>
    </row>
    <row r="40" spans="2:35" x14ac:dyDescent="0.15">
      <c r="B40" s="1" t="str">
        <f t="shared" si="5"/>
        <v>飞行系38</v>
      </c>
      <c r="C40" s="1">
        <v>38</v>
      </c>
      <c r="D40" s="14" t="s">
        <v>90</v>
      </c>
      <c r="E40" s="14">
        <v>1</v>
      </c>
      <c r="F40" s="1" t="str">
        <f t="shared" si="1"/>
        <v>冷却</v>
      </c>
      <c r="H40" s="1">
        <f t="shared" ca="1" si="2"/>
        <v>1033.5424088102943</v>
      </c>
      <c r="I40" s="1">
        <f t="shared" ca="1" si="11"/>
        <v>100</v>
      </c>
      <c r="J40" s="1">
        <f t="shared" ca="1" si="11"/>
        <v>567.58164348925436</v>
      </c>
      <c r="K40" s="1">
        <f t="shared" ca="1" si="11"/>
        <v>53.833649999999999</v>
      </c>
      <c r="L40" s="1">
        <f t="shared" ca="1" si="11"/>
        <v>472.98470290771201</v>
      </c>
      <c r="M40" s="1">
        <f t="shared" ca="1" si="11"/>
        <v>53.833649999999999</v>
      </c>
      <c r="N40" s="1">
        <f t="shared" ca="1" si="11"/>
        <v>0.2</v>
      </c>
      <c r="O40" s="1">
        <f t="shared" ca="1" si="11"/>
        <v>0.2</v>
      </c>
      <c r="P40" s="1">
        <f t="shared" ca="1" si="11"/>
        <v>0.36</v>
      </c>
      <c r="Q40" s="1">
        <f t="shared" ca="1" si="11"/>
        <v>0.12</v>
      </c>
      <c r="R40" s="1">
        <f t="shared" ca="1" si="11"/>
        <v>2.2000000000000002</v>
      </c>
      <c r="S40" s="1">
        <f t="shared" ca="1" si="12"/>
        <v>0.15000000000000002</v>
      </c>
      <c r="T40" s="1">
        <f t="shared" ca="1" si="12"/>
        <v>0.9</v>
      </c>
      <c r="U40" s="1">
        <f t="shared" ca="1" si="12"/>
        <v>95.506666666666703</v>
      </c>
      <c r="V40" s="1">
        <f t="shared" ca="1" si="12"/>
        <v>0</v>
      </c>
      <c r="W40" s="1">
        <f t="shared" ca="1" si="12"/>
        <v>0</v>
      </c>
      <c r="X40" s="1">
        <f t="shared" ca="1" si="12"/>
        <v>110.947029077118</v>
      </c>
      <c r="Y40" s="1">
        <f t="shared" ca="1" si="12"/>
        <v>0</v>
      </c>
      <c r="Z40" s="1">
        <f t="shared" ca="1" si="12"/>
        <v>0</v>
      </c>
      <c r="AA40" s="1">
        <f t="shared" ca="1" si="12"/>
        <v>0</v>
      </c>
      <c r="AB40" s="1">
        <f t="shared" ca="1" si="12"/>
        <v>0</v>
      </c>
      <c r="AC40" s="1">
        <f t="shared" ca="1" si="12"/>
        <v>53.833649999999999</v>
      </c>
      <c r="AD40" s="1">
        <f t="shared" ca="1" si="12"/>
        <v>53.833649999999999</v>
      </c>
      <c r="AE40" s="1">
        <f t="shared" ca="1" si="12"/>
        <v>69.983744999999999</v>
      </c>
      <c r="AF40" s="1">
        <f t="shared" ca="1" si="12"/>
        <v>53.833649999999999</v>
      </c>
      <c r="AG40" s="1">
        <f t="shared" ca="1" si="12"/>
        <v>53.833649999999999</v>
      </c>
      <c r="AH40" s="1">
        <f t="shared" ca="1" si="12"/>
        <v>53.833649999999999</v>
      </c>
      <c r="AI40" s="1">
        <f t="shared" ca="1" si="8"/>
        <v>53.833649999999999</v>
      </c>
    </row>
    <row r="41" spans="2:35" x14ac:dyDescent="0.15">
      <c r="B41" s="1" t="str">
        <f t="shared" si="5"/>
        <v>飞行系39</v>
      </c>
      <c r="C41" s="1">
        <v>39</v>
      </c>
      <c r="D41" s="14" t="s">
        <v>90</v>
      </c>
      <c r="E41" s="14">
        <v>1</v>
      </c>
      <c r="F41" s="1" t="str">
        <f t="shared" si="1"/>
        <v>冷却</v>
      </c>
      <c r="H41" s="1">
        <f t="shared" ca="1" si="2"/>
        <v>1066.4133044465368</v>
      </c>
      <c r="I41" s="1">
        <f t="shared" ca="1" si="11"/>
        <v>100</v>
      </c>
      <c r="J41" s="1">
        <f t="shared" ca="1" si="11"/>
        <v>587.21464285714319</v>
      </c>
      <c r="K41" s="1">
        <f t="shared" ca="1" si="11"/>
        <v>55.250324999999997</v>
      </c>
      <c r="L41" s="1">
        <f t="shared" ca="1" si="11"/>
        <v>489.34553571428597</v>
      </c>
      <c r="M41" s="1">
        <f t="shared" ca="1" si="11"/>
        <v>55.250324999999997</v>
      </c>
      <c r="N41" s="1">
        <f t="shared" ca="1" si="11"/>
        <v>0.2</v>
      </c>
      <c r="O41" s="1">
        <f t="shared" ca="1" si="11"/>
        <v>0.2</v>
      </c>
      <c r="P41" s="1">
        <f t="shared" ca="1" si="11"/>
        <v>0.36</v>
      </c>
      <c r="Q41" s="1">
        <f t="shared" ca="1" si="11"/>
        <v>0.12</v>
      </c>
      <c r="R41" s="1">
        <f t="shared" ca="1" si="11"/>
        <v>2.2000000000000002</v>
      </c>
      <c r="S41" s="1">
        <f t="shared" ca="1" si="12"/>
        <v>0.15000000000000002</v>
      </c>
      <c r="T41" s="1">
        <f t="shared" ca="1" si="12"/>
        <v>0.9</v>
      </c>
      <c r="U41" s="1">
        <f t="shared" ca="1" si="12"/>
        <v>98.02000000000001</v>
      </c>
      <c r="V41" s="1">
        <f t="shared" ca="1" si="12"/>
        <v>0</v>
      </c>
      <c r="W41" s="1">
        <f t="shared" ca="1" si="12"/>
        <v>0</v>
      </c>
      <c r="X41" s="1">
        <f t="shared" ca="1" si="12"/>
        <v>118.537117346939</v>
      </c>
      <c r="Y41" s="1">
        <f t="shared" ca="1" si="12"/>
        <v>0</v>
      </c>
      <c r="Z41" s="1">
        <f t="shared" ca="1" si="12"/>
        <v>0</v>
      </c>
      <c r="AA41" s="1">
        <f t="shared" ca="1" si="12"/>
        <v>0</v>
      </c>
      <c r="AB41" s="1">
        <f t="shared" ca="1" si="12"/>
        <v>0</v>
      </c>
      <c r="AC41" s="1">
        <f t="shared" ca="1" si="12"/>
        <v>55.250324999999997</v>
      </c>
      <c r="AD41" s="1">
        <f t="shared" ca="1" si="12"/>
        <v>55.250324999999997</v>
      </c>
      <c r="AE41" s="1">
        <f t="shared" ca="1" si="12"/>
        <v>71.825422500000002</v>
      </c>
      <c r="AF41" s="1">
        <f t="shared" ca="1" si="12"/>
        <v>55.250324999999997</v>
      </c>
      <c r="AG41" s="1">
        <f t="shared" ca="1" si="12"/>
        <v>55.250324999999997</v>
      </c>
      <c r="AH41" s="1">
        <f t="shared" ca="1" si="12"/>
        <v>55.250324999999997</v>
      </c>
      <c r="AI41" s="1">
        <f t="shared" ca="1" si="8"/>
        <v>55.250324999999997</v>
      </c>
    </row>
    <row r="42" spans="2:35" x14ac:dyDescent="0.15">
      <c r="B42" s="1" t="str">
        <f t="shared" si="5"/>
        <v>飞行系40</v>
      </c>
      <c r="C42" s="1">
        <v>40</v>
      </c>
      <c r="D42" s="14" t="s">
        <v>90</v>
      </c>
      <c r="E42" s="14">
        <v>1</v>
      </c>
      <c r="F42" s="1" t="str">
        <f t="shared" si="1"/>
        <v>冷却</v>
      </c>
      <c r="H42" s="1">
        <f t="shared" ca="1" si="2"/>
        <v>1099.5750929645149</v>
      </c>
      <c r="I42" s="1">
        <f t="shared" ca="1" si="11"/>
        <v>100</v>
      </c>
      <c r="J42" s="1">
        <f t="shared" ca="1" si="11"/>
        <v>607.13513513513522</v>
      </c>
      <c r="K42" s="1">
        <f t="shared" ca="1" si="11"/>
        <v>56.667000000000002</v>
      </c>
      <c r="L42" s="1">
        <f t="shared" ca="1" si="11"/>
        <v>505.94594594594599</v>
      </c>
      <c r="M42" s="1">
        <f t="shared" ca="1" si="11"/>
        <v>56.667000000000002</v>
      </c>
      <c r="N42" s="1">
        <f t="shared" ca="1" si="11"/>
        <v>0.2</v>
      </c>
      <c r="O42" s="1">
        <f t="shared" ca="1" si="11"/>
        <v>0.2</v>
      </c>
      <c r="P42" s="1">
        <f t="shared" ca="1" si="11"/>
        <v>0.36</v>
      </c>
      <c r="Q42" s="1">
        <f t="shared" ca="1" si="11"/>
        <v>0.12</v>
      </c>
      <c r="R42" s="1">
        <f t="shared" ca="1" si="11"/>
        <v>2.2000000000000002</v>
      </c>
      <c r="S42" s="1">
        <f t="shared" ca="1" si="12"/>
        <v>0.15000000000000002</v>
      </c>
      <c r="T42" s="1">
        <f t="shared" ca="1" si="12"/>
        <v>0.9</v>
      </c>
      <c r="U42" s="1">
        <f t="shared" ca="1" si="12"/>
        <v>100.53333333333329</v>
      </c>
      <c r="V42" s="1">
        <f t="shared" ca="1" si="12"/>
        <v>0</v>
      </c>
      <c r="W42" s="1">
        <f t="shared" ca="1" si="12"/>
        <v>0</v>
      </c>
      <c r="X42" s="1">
        <f t="shared" ca="1" si="12"/>
        <v>126.486486486487</v>
      </c>
      <c r="Y42" s="1">
        <f t="shared" ca="1" si="12"/>
        <v>0</v>
      </c>
      <c r="Z42" s="1">
        <f t="shared" ca="1" si="12"/>
        <v>0</v>
      </c>
      <c r="AA42" s="1">
        <f t="shared" ca="1" si="12"/>
        <v>0</v>
      </c>
      <c r="AB42" s="1">
        <f t="shared" ca="1" si="12"/>
        <v>0</v>
      </c>
      <c r="AC42" s="1">
        <f t="shared" ca="1" si="12"/>
        <v>56.667000000000002</v>
      </c>
      <c r="AD42" s="1">
        <f t="shared" ca="1" si="12"/>
        <v>56.667000000000002</v>
      </c>
      <c r="AE42" s="1">
        <f t="shared" ca="1" si="12"/>
        <v>73.667100000000005</v>
      </c>
      <c r="AF42" s="1">
        <f t="shared" ca="1" si="12"/>
        <v>56.667000000000002</v>
      </c>
      <c r="AG42" s="1">
        <f t="shared" ca="1" si="12"/>
        <v>56.667000000000002</v>
      </c>
      <c r="AH42" s="1">
        <f t="shared" ca="1" si="12"/>
        <v>56.667000000000002</v>
      </c>
      <c r="AI42" s="1">
        <f t="shared" ca="1" si="8"/>
        <v>56.667000000000002</v>
      </c>
    </row>
    <row r="43" spans="2:35" x14ac:dyDescent="0.15">
      <c r="B43" s="1" t="str">
        <f t="shared" si="5"/>
        <v>飞行系41</v>
      </c>
      <c r="C43" s="1">
        <v>41</v>
      </c>
      <c r="D43" s="14" t="s">
        <v>90</v>
      </c>
      <c r="E43" s="14">
        <v>1</v>
      </c>
      <c r="F43" s="1" t="str">
        <f t="shared" si="1"/>
        <v>冷却</v>
      </c>
      <c r="H43" s="1">
        <f t="shared" ca="1" si="2"/>
        <v>1133.0277743642284</v>
      </c>
      <c r="I43" s="1">
        <f t="shared" ref="I43:R52" ca="1" si="13">mVlookup($C43,monsterBaseDate,I$2,FALSE)*(1+mVlookup($E43,monsterType,I$2,FALSE))</f>
        <v>100</v>
      </c>
      <c r="J43" s="1">
        <f t="shared" ca="1" si="13"/>
        <v>627.34792207792191</v>
      </c>
      <c r="K43" s="1">
        <f t="shared" ca="1" si="13"/>
        <v>58.083674999999999</v>
      </c>
      <c r="L43" s="1">
        <f t="shared" ca="1" si="13"/>
        <v>522.78993506493498</v>
      </c>
      <c r="M43" s="1">
        <f t="shared" ca="1" si="13"/>
        <v>58.083674999999999</v>
      </c>
      <c r="N43" s="1">
        <f t="shared" ca="1" si="13"/>
        <v>0.2</v>
      </c>
      <c r="O43" s="1">
        <f t="shared" ca="1" si="13"/>
        <v>0.2</v>
      </c>
      <c r="P43" s="1">
        <f t="shared" ca="1" si="13"/>
        <v>0.36</v>
      </c>
      <c r="Q43" s="1">
        <f t="shared" ca="1" si="13"/>
        <v>0.12</v>
      </c>
      <c r="R43" s="1">
        <f t="shared" ca="1" si="13"/>
        <v>2.2000000000000002</v>
      </c>
      <c r="S43" s="1">
        <f t="shared" ref="S43:AH58" ca="1" si="14">mVlookup($C43,monsterBaseDate,S$2,FALSE)*(1+mVlookup($E43,monsterType,S$2,FALSE))</f>
        <v>0.15000000000000002</v>
      </c>
      <c r="T43" s="1">
        <f t="shared" ca="1" si="14"/>
        <v>0.9</v>
      </c>
      <c r="U43" s="1">
        <f t="shared" ca="1" si="14"/>
        <v>103.04666666666671</v>
      </c>
      <c r="V43" s="1">
        <f t="shared" ca="1" si="14"/>
        <v>0</v>
      </c>
      <c r="W43" s="1">
        <f t="shared" ca="1" si="14"/>
        <v>0</v>
      </c>
      <c r="X43" s="1">
        <f t="shared" ca="1" si="14"/>
        <v>134.807467532468</v>
      </c>
      <c r="Y43" s="1">
        <f t="shared" ca="1" si="14"/>
        <v>0</v>
      </c>
      <c r="Z43" s="1">
        <f t="shared" ca="1" si="14"/>
        <v>0</v>
      </c>
      <c r="AA43" s="1">
        <f t="shared" ca="1" si="14"/>
        <v>0</v>
      </c>
      <c r="AB43" s="1">
        <f t="shared" ca="1" si="12"/>
        <v>0</v>
      </c>
      <c r="AC43" s="1">
        <f t="shared" ca="1" si="14"/>
        <v>58.083674999999999</v>
      </c>
      <c r="AD43" s="1">
        <f t="shared" ca="1" si="14"/>
        <v>58.083674999999999</v>
      </c>
      <c r="AE43" s="1">
        <f t="shared" ca="1" si="14"/>
        <v>75.508777500000008</v>
      </c>
      <c r="AF43" s="1">
        <f t="shared" ca="1" si="14"/>
        <v>58.083674999999999</v>
      </c>
      <c r="AG43" s="1">
        <f t="shared" ca="1" si="14"/>
        <v>58.083674999999999</v>
      </c>
      <c r="AH43" s="1">
        <f t="shared" ca="1" si="14"/>
        <v>58.083674999999999</v>
      </c>
      <c r="AI43" s="1">
        <f t="shared" ca="1" si="8"/>
        <v>58.083674999999999</v>
      </c>
    </row>
    <row r="44" spans="2:35" x14ac:dyDescent="0.15">
      <c r="B44" s="1" t="str">
        <f t="shared" si="5"/>
        <v>飞行系42</v>
      </c>
      <c r="C44" s="1">
        <v>42</v>
      </c>
      <c r="D44" s="14" t="s">
        <v>90</v>
      </c>
      <c r="E44" s="14">
        <v>1</v>
      </c>
      <c r="F44" s="1" t="str">
        <f t="shared" si="1"/>
        <v>冷却</v>
      </c>
      <c r="H44" s="1">
        <f t="shared" ca="1" si="2"/>
        <v>1166.7713486456776</v>
      </c>
      <c r="I44" s="1">
        <f t="shared" ca="1" si="13"/>
        <v>100</v>
      </c>
      <c r="J44" s="1">
        <f t="shared" ca="1" si="13"/>
        <v>647.85798165137646</v>
      </c>
      <c r="K44" s="1">
        <f t="shared" ca="1" si="13"/>
        <v>59.500349999999997</v>
      </c>
      <c r="L44" s="1">
        <f t="shared" ca="1" si="13"/>
        <v>539.88165137614703</v>
      </c>
      <c r="M44" s="1">
        <f t="shared" ca="1" si="13"/>
        <v>59.500349999999997</v>
      </c>
      <c r="N44" s="1">
        <f t="shared" ca="1" si="13"/>
        <v>0.2</v>
      </c>
      <c r="O44" s="1">
        <f t="shared" ca="1" si="13"/>
        <v>0.2</v>
      </c>
      <c r="P44" s="1">
        <f t="shared" ca="1" si="13"/>
        <v>0.36</v>
      </c>
      <c r="Q44" s="1">
        <f t="shared" ca="1" si="13"/>
        <v>0.12</v>
      </c>
      <c r="R44" s="1">
        <f t="shared" ca="1" si="13"/>
        <v>2.2000000000000002</v>
      </c>
      <c r="S44" s="1">
        <f t="shared" ca="1" si="14"/>
        <v>0.15000000000000002</v>
      </c>
      <c r="T44" s="1">
        <f t="shared" ca="1" si="14"/>
        <v>0.9</v>
      </c>
      <c r="U44" s="1">
        <f t="shared" ca="1" si="14"/>
        <v>105.56</v>
      </c>
      <c r="V44" s="1">
        <f t="shared" ca="1" si="14"/>
        <v>0</v>
      </c>
      <c r="W44" s="1">
        <f t="shared" ca="1" si="14"/>
        <v>0</v>
      </c>
      <c r="X44" s="1">
        <f t="shared" ca="1" si="14"/>
        <v>143.512844036697</v>
      </c>
      <c r="Y44" s="1">
        <f t="shared" ca="1" si="14"/>
        <v>0</v>
      </c>
      <c r="Z44" s="1">
        <f t="shared" ca="1" si="14"/>
        <v>0</v>
      </c>
      <c r="AA44" s="1">
        <f t="shared" ca="1" si="14"/>
        <v>0</v>
      </c>
      <c r="AB44" s="1">
        <f t="shared" ca="1" si="12"/>
        <v>0</v>
      </c>
      <c r="AC44" s="1">
        <f t="shared" ca="1" si="14"/>
        <v>59.500349999999997</v>
      </c>
      <c r="AD44" s="1">
        <f t="shared" ca="1" si="14"/>
        <v>59.500349999999997</v>
      </c>
      <c r="AE44" s="1">
        <f t="shared" ca="1" si="14"/>
        <v>77.350454999999997</v>
      </c>
      <c r="AF44" s="1">
        <f t="shared" ca="1" si="14"/>
        <v>59.500349999999997</v>
      </c>
      <c r="AG44" s="1">
        <f t="shared" ca="1" si="14"/>
        <v>59.500349999999997</v>
      </c>
      <c r="AH44" s="1">
        <f t="shared" ca="1" si="14"/>
        <v>59.500349999999997</v>
      </c>
      <c r="AI44" s="1">
        <f t="shared" ca="1" si="8"/>
        <v>59.500349999999997</v>
      </c>
    </row>
    <row r="45" spans="2:35" x14ac:dyDescent="0.15">
      <c r="B45" s="1" t="str">
        <f t="shared" si="5"/>
        <v>飞行系43</v>
      </c>
      <c r="C45" s="1">
        <v>43</v>
      </c>
      <c r="D45" s="14" t="s">
        <v>90</v>
      </c>
      <c r="E45" s="14">
        <v>1</v>
      </c>
      <c r="F45" s="1" t="str">
        <f t="shared" si="1"/>
        <v>冷却</v>
      </c>
      <c r="H45" s="1">
        <f t="shared" ca="1" si="2"/>
        <v>1200.8058158088625</v>
      </c>
      <c r="I45" s="1">
        <f t="shared" ca="1" si="13"/>
        <v>100</v>
      </c>
      <c r="J45" s="1">
        <f t="shared" ca="1" si="13"/>
        <v>668.67047619047628</v>
      </c>
      <c r="K45" s="1">
        <f t="shared" ca="1" si="13"/>
        <v>60.917025000000002</v>
      </c>
      <c r="L45" s="1">
        <f t="shared" ca="1" si="13"/>
        <v>557.22539682539696</v>
      </c>
      <c r="M45" s="1">
        <f t="shared" ca="1" si="13"/>
        <v>60.917025000000002</v>
      </c>
      <c r="N45" s="1">
        <f t="shared" ca="1" si="13"/>
        <v>0.2</v>
      </c>
      <c r="O45" s="1">
        <f t="shared" ca="1" si="13"/>
        <v>0.2</v>
      </c>
      <c r="P45" s="1">
        <f t="shared" ca="1" si="13"/>
        <v>0.36</v>
      </c>
      <c r="Q45" s="1">
        <f t="shared" ca="1" si="13"/>
        <v>0.12</v>
      </c>
      <c r="R45" s="1">
        <f t="shared" ca="1" si="13"/>
        <v>2.2000000000000002</v>
      </c>
      <c r="S45" s="1">
        <f t="shared" ca="1" si="14"/>
        <v>0.15000000000000002</v>
      </c>
      <c r="T45" s="1">
        <f t="shared" ca="1" si="14"/>
        <v>0.9</v>
      </c>
      <c r="U45" s="1">
        <f t="shared" ca="1" si="14"/>
        <v>108.0733333333333</v>
      </c>
      <c r="V45" s="1">
        <f t="shared" ca="1" si="14"/>
        <v>0</v>
      </c>
      <c r="W45" s="1">
        <f t="shared" ca="1" si="14"/>
        <v>0</v>
      </c>
      <c r="X45" s="1">
        <f t="shared" ca="1" si="14"/>
        <v>152.61587301587301</v>
      </c>
      <c r="Y45" s="1">
        <f t="shared" ca="1" si="14"/>
        <v>0</v>
      </c>
      <c r="Z45" s="1">
        <f t="shared" ca="1" si="14"/>
        <v>0</v>
      </c>
      <c r="AA45" s="1">
        <f t="shared" ca="1" si="14"/>
        <v>0</v>
      </c>
      <c r="AB45" s="1">
        <f t="shared" ca="1" si="12"/>
        <v>0</v>
      </c>
      <c r="AC45" s="1">
        <f t="shared" ca="1" si="14"/>
        <v>60.917025000000002</v>
      </c>
      <c r="AD45" s="1">
        <f t="shared" ca="1" si="14"/>
        <v>60.917025000000002</v>
      </c>
      <c r="AE45" s="1">
        <f t="shared" ca="1" si="14"/>
        <v>79.1921325</v>
      </c>
      <c r="AF45" s="1">
        <f t="shared" ca="1" si="14"/>
        <v>60.917025000000002</v>
      </c>
      <c r="AG45" s="1">
        <f t="shared" ca="1" si="14"/>
        <v>60.917025000000002</v>
      </c>
      <c r="AH45" s="1">
        <f t="shared" ca="1" si="14"/>
        <v>60.917025000000002</v>
      </c>
      <c r="AI45" s="1">
        <f t="shared" ca="1" si="8"/>
        <v>60.917025000000002</v>
      </c>
    </row>
    <row r="46" spans="2:35" x14ac:dyDescent="0.15">
      <c r="B46" s="1" t="str">
        <f t="shared" si="5"/>
        <v>飞行系44</v>
      </c>
      <c r="C46" s="1">
        <v>44</v>
      </c>
      <c r="D46" s="14" t="s">
        <v>90</v>
      </c>
      <c r="E46" s="14">
        <v>1</v>
      </c>
      <c r="F46" s="1" t="str">
        <f t="shared" si="1"/>
        <v>冷却</v>
      </c>
      <c r="H46" s="1">
        <f t="shared" ca="1" si="2"/>
        <v>1235.1311758537829</v>
      </c>
      <c r="I46" s="1">
        <f t="shared" ca="1" si="13"/>
        <v>100</v>
      </c>
      <c r="J46" s="1">
        <f t="shared" ca="1" si="13"/>
        <v>689.79076101468604</v>
      </c>
      <c r="K46" s="1">
        <f t="shared" ca="1" si="13"/>
        <v>62.3337</v>
      </c>
      <c r="L46" s="1">
        <f t="shared" ca="1" si="13"/>
        <v>574.82563417890503</v>
      </c>
      <c r="M46" s="1">
        <f t="shared" ca="1" si="13"/>
        <v>62.3337</v>
      </c>
      <c r="N46" s="1">
        <f t="shared" ca="1" si="13"/>
        <v>0.2</v>
      </c>
      <c r="O46" s="1">
        <f t="shared" ca="1" si="13"/>
        <v>0.2</v>
      </c>
      <c r="P46" s="1">
        <f t="shared" ca="1" si="13"/>
        <v>0.36</v>
      </c>
      <c r="Q46" s="1">
        <f t="shared" ca="1" si="13"/>
        <v>0.12</v>
      </c>
      <c r="R46" s="1">
        <f t="shared" ca="1" si="13"/>
        <v>2.2000000000000002</v>
      </c>
      <c r="S46" s="1">
        <f t="shared" ca="1" si="14"/>
        <v>0.15000000000000002</v>
      </c>
      <c r="T46" s="1">
        <f t="shared" ca="1" si="14"/>
        <v>0.9</v>
      </c>
      <c r="U46" s="1">
        <f t="shared" ca="1" si="14"/>
        <v>110.58666666666672</v>
      </c>
      <c r="V46" s="1">
        <f t="shared" ca="1" si="14"/>
        <v>0</v>
      </c>
      <c r="W46" s="1">
        <f t="shared" ca="1" si="14"/>
        <v>0</v>
      </c>
      <c r="X46" s="1">
        <f t="shared" ca="1" si="14"/>
        <v>162.13030707610201</v>
      </c>
      <c r="Y46" s="1">
        <f t="shared" ca="1" si="14"/>
        <v>0</v>
      </c>
      <c r="Z46" s="1">
        <f t="shared" ca="1" si="14"/>
        <v>0</v>
      </c>
      <c r="AA46" s="1">
        <f t="shared" ca="1" si="14"/>
        <v>0</v>
      </c>
      <c r="AB46" s="1">
        <f t="shared" ca="1" si="12"/>
        <v>0</v>
      </c>
      <c r="AC46" s="1">
        <f t="shared" ca="1" si="14"/>
        <v>62.3337</v>
      </c>
      <c r="AD46" s="1">
        <f t="shared" ca="1" si="14"/>
        <v>62.3337</v>
      </c>
      <c r="AE46" s="1">
        <f t="shared" ca="1" si="14"/>
        <v>81.033810000000003</v>
      </c>
      <c r="AF46" s="1">
        <f t="shared" ca="1" si="14"/>
        <v>62.3337</v>
      </c>
      <c r="AG46" s="1">
        <f t="shared" ca="1" si="14"/>
        <v>62.3337</v>
      </c>
      <c r="AH46" s="1">
        <f t="shared" ca="1" si="14"/>
        <v>62.3337</v>
      </c>
      <c r="AI46" s="1">
        <f t="shared" ca="1" si="8"/>
        <v>62.3337</v>
      </c>
    </row>
    <row r="47" spans="2:35" x14ac:dyDescent="0.15">
      <c r="B47" s="1" t="str">
        <f t="shared" si="5"/>
        <v>飞行系45</v>
      </c>
      <c r="C47" s="1">
        <v>45</v>
      </c>
      <c r="D47" s="14" t="s">
        <v>90</v>
      </c>
      <c r="E47" s="14">
        <v>1</v>
      </c>
      <c r="F47" s="1" t="str">
        <f t="shared" si="1"/>
        <v>冷却</v>
      </c>
      <c r="H47" s="1">
        <f t="shared" ca="1" si="2"/>
        <v>1335.9423669026407</v>
      </c>
      <c r="I47" s="1">
        <f t="shared" ca="1" si="13"/>
        <v>100</v>
      </c>
      <c r="J47" s="1">
        <f t="shared" ca="1" si="13"/>
        <v>711.22439353099799</v>
      </c>
      <c r="K47" s="1">
        <f t="shared" ca="1" si="13"/>
        <v>63.750374999999998</v>
      </c>
      <c r="L47" s="1">
        <f t="shared" ca="1" si="13"/>
        <v>592.68699460916503</v>
      </c>
      <c r="M47" s="1">
        <f t="shared" ca="1" si="13"/>
        <v>63.750374999999998</v>
      </c>
      <c r="N47" s="1">
        <f t="shared" ca="1" si="13"/>
        <v>0.2</v>
      </c>
      <c r="O47" s="1">
        <f t="shared" ca="1" si="13"/>
        <v>0.2</v>
      </c>
      <c r="P47" s="1">
        <f t="shared" ca="1" si="13"/>
        <v>0.36</v>
      </c>
      <c r="Q47" s="1">
        <f t="shared" ca="1" si="13"/>
        <v>0.12</v>
      </c>
      <c r="R47" s="1">
        <f t="shared" ca="1" si="13"/>
        <v>2.2000000000000002</v>
      </c>
      <c r="S47" s="1">
        <f t="shared" ca="1" si="14"/>
        <v>0.15000000000000002</v>
      </c>
      <c r="T47" s="1">
        <f t="shared" ca="1" si="14"/>
        <v>0.9</v>
      </c>
      <c r="U47" s="1">
        <f t="shared" ca="1" si="14"/>
        <v>113.10000000000001</v>
      </c>
      <c r="V47" s="1">
        <f t="shared" ca="1" si="14"/>
        <v>0</v>
      </c>
      <c r="W47" s="1">
        <f t="shared" ca="1" si="14"/>
        <v>0</v>
      </c>
      <c r="X47" s="1">
        <f t="shared" ca="1" si="14"/>
        <v>172.07041778975801</v>
      </c>
      <c r="Y47" s="1">
        <f t="shared" ca="1" si="14"/>
        <v>0</v>
      </c>
      <c r="Z47" s="1">
        <f t="shared" ca="1" si="14"/>
        <v>0</v>
      </c>
      <c r="AA47" s="1">
        <f t="shared" ca="1" si="14"/>
        <v>0</v>
      </c>
      <c r="AB47" s="1">
        <f t="shared" ca="1" si="12"/>
        <v>0</v>
      </c>
      <c r="AC47" s="1">
        <f t="shared" ca="1" si="14"/>
        <v>63.750374999999998</v>
      </c>
      <c r="AD47" s="1">
        <f t="shared" ca="1" si="14"/>
        <v>63.750374999999998</v>
      </c>
      <c r="AE47" s="1">
        <f t="shared" ca="1" si="14"/>
        <v>82.875487500000006</v>
      </c>
      <c r="AF47" s="1">
        <f t="shared" ca="1" si="14"/>
        <v>63.750374999999998</v>
      </c>
      <c r="AG47" s="1">
        <f t="shared" ca="1" si="14"/>
        <v>63.750374999999998</v>
      </c>
      <c r="AH47" s="1">
        <f t="shared" ca="1" si="14"/>
        <v>63.750374999999998</v>
      </c>
      <c r="AI47" s="1">
        <f t="shared" ca="1" si="8"/>
        <v>63.750374999999998</v>
      </c>
    </row>
    <row r="48" spans="2:35" x14ac:dyDescent="0.15">
      <c r="B48" s="1" t="str">
        <f t="shared" si="5"/>
        <v>飞行系46</v>
      </c>
      <c r="C48" s="1">
        <v>46</v>
      </c>
      <c r="D48" s="14" t="s">
        <v>90</v>
      </c>
      <c r="E48" s="14">
        <v>1</v>
      </c>
      <c r="F48" s="1" t="str">
        <f t="shared" si="1"/>
        <v>冷却</v>
      </c>
      <c r="H48" s="1">
        <f t="shared" ca="1" si="2"/>
        <v>1372.6693048243621</v>
      </c>
      <c r="I48" s="1">
        <f t="shared" ca="1" si="13"/>
        <v>100</v>
      </c>
      <c r="J48" s="1">
        <f t="shared" ca="1" si="13"/>
        <v>732.97714285714324</v>
      </c>
      <c r="K48" s="1">
        <f t="shared" ca="1" si="13"/>
        <v>65.167050000000003</v>
      </c>
      <c r="L48" s="1">
        <f t="shared" ca="1" si="13"/>
        <v>610.81428571428603</v>
      </c>
      <c r="M48" s="1">
        <f t="shared" ca="1" si="13"/>
        <v>65.167050000000003</v>
      </c>
      <c r="N48" s="1">
        <f t="shared" ca="1" si="13"/>
        <v>0.2</v>
      </c>
      <c r="O48" s="1">
        <f t="shared" ca="1" si="13"/>
        <v>0.2</v>
      </c>
      <c r="P48" s="1">
        <f t="shared" ca="1" si="13"/>
        <v>0.36</v>
      </c>
      <c r="Q48" s="1">
        <f t="shared" ca="1" si="13"/>
        <v>0.12</v>
      </c>
      <c r="R48" s="1">
        <f t="shared" ca="1" si="13"/>
        <v>2.2000000000000002</v>
      </c>
      <c r="S48" s="1">
        <f t="shared" ca="1" si="14"/>
        <v>0.15000000000000002</v>
      </c>
      <c r="T48" s="1">
        <f t="shared" ca="1" si="14"/>
        <v>0.9</v>
      </c>
      <c r="U48" s="1">
        <f t="shared" ca="1" si="14"/>
        <v>115.61333333333329</v>
      </c>
      <c r="V48" s="1">
        <f t="shared" ca="1" si="14"/>
        <v>0</v>
      </c>
      <c r="W48" s="1">
        <f t="shared" ca="1" si="14"/>
        <v>0</v>
      </c>
      <c r="X48" s="1">
        <f t="shared" ca="1" si="14"/>
        <v>182.451020408163</v>
      </c>
      <c r="Y48" s="1">
        <f t="shared" ca="1" si="14"/>
        <v>0</v>
      </c>
      <c r="Z48" s="1">
        <f t="shared" ca="1" si="14"/>
        <v>0</v>
      </c>
      <c r="AA48" s="1">
        <f t="shared" ca="1" si="14"/>
        <v>0</v>
      </c>
      <c r="AB48" s="1">
        <f t="shared" ca="1" si="12"/>
        <v>0</v>
      </c>
      <c r="AC48" s="1">
        <f t="shared" ca="1" si="14"/>
        <v>65.167050000000003</v>
      </c>
      <c r="AD48" s="1">
        <f t="shared" ca="1" si="14"/>
        <v>65.167050000000003</v>
      </c>
      <c r="AE48" s="1">
        <f t="shared" ca="1" si="14"/>
        <v>84.717165000000008</v>
      </c>
      <c r="AF48" s="1">
        <f t="shared" ca="1" si="14"/>
        <v>65.167050000000003</v>
      </c>
      <c r="AG48" s="1">
        <f t="shared" ca="1" si="14"/>
        <v>65.167050000000003</v>
      </c>
      <c r="AH48" s="1">
        <f t="shared" ca="1" si="14"/>
        <v>65.167050000000003</v>
      </c>
      <c r="AI48" s="1">
        <f t="shared" ca="1" si="8"/>
        <v>65.167050000000003</v>
      </c>
    </row>
    <row r="49" spans="2:35" x14ac:dyDescent="0.15">
      <c r="B49" s="1" t="str">
        <f t="shared" si="5"/>
        <v>飞行系47</v>
      </c>
      <c r="C49" s="1">
        <v>47</v>
      </c>
      <c r="D49" s="14" t="s">
        <v>90</v>
      </c>
      <c r="E49" s="14">
        <v>1</v>
      </c>
      <c r="F49" s="1" t="str">
        <f t="shared" si="1"/>
        <v>冷却</v>
      </c>
      <c r="H49" s="1">
        <f t="shared" ca="1" si="2"/>
        <v>1409.7023005621002</v>
      </c>
      <c r="I49" s="1">
        <f t="shared" ca="1" si="13"/>
        <v>100</v>
      </c>
      <c r="J49" s="1">
        <f t="shared" ca="1" si="13"/>
        <v>755.05499999999995</v>
      </c>
      <c r="K49" s="1">
        <f t="shared" ca="1" si="13"/>
        <v>66.583725000000001</v>
      </c>
      <c r="L49" s="1">
        <f t="shared" ca="1" si="13"/>
        <v>629.21249999999998</v>
      </c>
      <c r="M49" s="1">
        <f t="shared" ca="1" si="13"/>
        <v>66.583725000000001</v>
      </c>
      <c r="N49" s="1">
        <f t="shared" ca="1" si="13"/>
        <v>0.2</v>
      </c>
      <c r="O49" s="1">
        <f t="shared" ca="1" si="13"/>
        <v>0.2</v>
      </c>
      <c r="P49" s="1">
        <f t="shared" ca="1" si="13"/>
        <v>0.36</v>
      </c>
      <c r="Q49" s="1">
        <f t="shared" ca="1" si="13"/>
        <v>0.12</v>
      </c>
      <c r="R49" s="1">
        <f t="shared" ca="1" si="13"/>
        <v>2.2000000000000002</v>
      </c>
      <c r="S49" s="1">
        <f t="shared" ca="1" si="14"/>
        <v>0.15000000000000002</v>
      </c>
      <c r="T49" s="1">
        <f t="shared" ca="1" si="14"/>
        <v>0.9</v>
      </c>
      <c r="U49" s="1">
        <f t="shared" ca="1" si="14"/>
        <v>118.12666666666672</v>
      </c>
      <c r="V49" s="1">
        <f t="shared" ca="1" si="14"/>
        <v>0</v>
      </c>
      <c r="W49" s="1">
        <f t="shared" ca="1" si="14"/>
        <v>0</v>
      </c>
      <c r="X49" s="1">
        <f t="shared" ca="1" si="14"/>
        <v>193.28749999999999</v>
      </c>
      <c r="Y49" s="1">
        <f t="shared" ca="1" si="14"/>
        <v>0</v>
      </c>
      <c r="Z49" s="1">
        <f t="shared" ca="1" si="14"/>
        <v>0</v>
      </c>
      <c r="AA49" s="1">
        <f t="shared" ca="1" si="14"/>
        <v>0</v>
      </c>
      <c r="AB49" s="1">
        <f t="shared" ca="1" si="14"/>
        <v>0</v>
      </c>
      <c r="AC49" s="1">
        <f t="shared" ca="1" si="14"/>
        <v>66.583725000000001</v>
      </c>
      <c r="AD49" s="1">
        <f t="shared" ca="1" si="14"/>
        <v>66.583725000000001</v>
      </c>
      <c r="AE49" s="1">
        <f t="shared" ca="1" si="14"/>
        <v>86.558842500000011</v>
      </c>
      <c r="AF49" s="1">
        <f t="shared" ca="1" si="14"/>
        <v>66.583725000000001</v>
      </c>
      <c r="AG49" s="1">
        <f t="shared" ca="1" si="14"/>
        <v>66.583725000000001</v>
      </c>
      <c r="AH49" s="1">
        <f t="shared" ca="1" si="14"/>
        <v>66.583725000000001</v>
      </c>
      <c r="AI49" s="1">
        <f t="shared" ca="1" si="8"/>
        <v>66.583725000000001</v>
      </c>
    </row>
    <row r="50" spans="2:35" x14ac:dyDescent="0.15">
      <c r="B50" s="1" t="str">
        <f t="shared" si="5"/>
        <v>飞行系48</v>
      </c>
      <c r="C50" s="1">
        <v>48</v>
      </c>
      <c r="D50" s="14" t="s">
        <v>90</v>
      </c>
      <c r="E50" s="14">
        <v>1</v>
      </c>
      <c r="F50" s="1" t="str">
        <f t="shared" si="1"/>
        <v>冷却</v>
      </c>
      <c r="H50" s="1">
        <f t="shared" ca="1" si="2"/>
        <v>1447.0413541158453</v>
      </c>
      <c r="I50" s="1">
        <f t="shared" ca="1" si="13"/>
        <v>100</v>
      </c>
      <c r="J50" s="1">
        <f t="shared" ca="1" si="13"/>
        <v>777.46418862690723</v>
      </c>
      <c r="K50" s="1">
        <f t="shared" ca="1" si="13"/>
        <v>68.000399999999999</v>
      </c>
      <c r="L50" s="1">
        <f t="shared" ca="1" si="13"/>
        <v>647.88682385575601</v>
      </c>
      <c r="M50" s="1">
        <f t="shared" ca="1" si="13"/>
        <v>68.000399999999999</v>
      </c>
      <c r="N50" s="1">
        <f t="shared" ca="1" si="13"/>
        <v>0.2</v>
      </c>
      <c r="O50" s="1">
        <f t="shared" ca="1" si="13"/>
        <v>0.2</v>
      </c>
      <c r="P50" s="1">
        <f t="shared" ca="1" si="13"/>
        <v>0.36</v>
      </c>
      <c r="Q50" s="1">
        <f t="shared" ca="1" si="13"/>
        <v>0.12</v>
      </c>
      <c r="R50" s="1">
        <f t="shared" ca="1" si="13"/>
        <v>2.2000000000000002</v>
      </c>
      <c r="S50" s="1">
        <f t="shared" ca="1" si="14"/>
        <v>0.15000000000000002</v>
      </c>
      <c r="T50" s="1">
        <f t="shared" ca="1" si="14"/>
        <v>0.9</v>
      </c>
      <c r="U50" s="1">
        <f t="shared" ca="1" si="14"/>
        <v>120.64</v>
      </c>
      <c r="V50" s="1">
        <f t="shared" ca="1" si="14"/>
        <v>0</v>
      </c>
      <c r="W50" s="1">
        <f t="shared" ca="1" si="14"/>
        <v>0</v>
      </c>
      <c r="X50" s="1">
        <f t="shared" ca="1" si="14"/>
        <v>204.59583911234401</v>
      </c>
      <c r="Y50" s="1">
        <f t="shared" ca="1" si="14"/>
        <v>0</v>
      </c>
      <c r="Z50" s="1">
        <f t="shared" ca="1" si="14"/>
        <v>0</v>
      </c>
      <c r="AA50" s="1">
        <f t="shared" ca="1" si="14"/>
        <v>0</v>
      </c>
      <c r="AB50" s="1">
        <f t="shared" ca="1" si="14"/>
        <v>0</v>
      </c>
      <c r="AC50" s="1">
        <f t="shared" ca="1" si="14"/>
        <v>68.000399999999999</v>
      </c>
      <c r="AD50" s="1">
        <f t="shared" ca="1" si="14"/>
        <v>68.000399999999999</v>
      </c>
      <c r="AE50" s="1">
        <f t="shared" ca="1" si="14"/>
        <v>88.40052</v>
      </c>
      <c r="AF50" s="1">
        <f t="shared" ca="1" si="14"/>
        <v>68.000399999999999</v>
      </c>
      <c r="AG50" s="1">
        <f t="shared" ca="1" si="14"/>
        <v>68.000399999999999</v>
      </c>
      <c r="AH50" s="1">
        <f t="shared" ca="1" si="14"/>
        <v>68.000399999999999</v>
      </c>
      <c r="AI50" s="1">
        <f t="shared" ca="1" si="8"/>
        <v>68.000399999999999</v>
      </c>
    </row>
    <row r="51" spans="2:35" x14ac:dyDescent="0.15">
      <c r="B51" s="1" t="str">
        <f t="shared" si="5"/>
        <v>飞行系49</v>
      </c>
      <c r="C51" s="1">
        <v>49</v>
      </c>
      <c r="D51" s="14" t="s">
        <v>90</v>
      </c>
      <c r="E51" s="14">
        <v>1</v>
      </c>
      <c r="F51" s="1" t="str">
        <f t="shared" si="1"/>
        <v>冷却</v>
      </c>
      <c r="H51" s="1">
        <f t="shared" ca="1" si="2"/>
        <v>1484.6864654856163</v>
      </c>
      <c r="I51" s="1">
        <f t="shared" ca="1" si="13"/>
        <v>100</v>
      </c>
      <c r="J51" s="1">
        <f t="shared" ca="1" si="13"/>
        <v>800.21117647058884</v>
      </c>
      <c r="K51" s="1">
        <f t="shared" ca="1" si="13"/>
        <v>69.417074999999997</v>
      </c>
      <c r="L51" s="1">
        <f t="shared" ca="1" si="13"/>
        <v>666.84264705882401</v>
      </c>
      <c r="M51" s="1">
        <f t="shared" ca="1" si="13"/>
        <v>69.417074999999997</v>
      </c>
      <c r="N51" s="1">
        <f t="shared" ca="1" si="13"/>
        <v>0.2</v>
      </c>
      <c r="O51" s="1">
        <f t="shared" ca="1" si="13"/>
        <v>0.2</v>
      </c>
      <c r="P51" s="1">
        <f t="shared" ca="1" si="13"/>
        <v>0.36</v>
      </c>
      <c r="Q51" s="1">
        <f t="shared" ca="1" si="13"/>
        <v>0.12</v>
      </c>
      <c r="R51" s="1">
        <f t="shared" ca="1" si="13"/>
        <v>2.2000000000000002</v>
      </c>
      <c r="S51" s="1">
        <f t="shared" ca="1" si="14"/>
        <v>0.15000000000000002</v>
      </c>
      <c r="T51" s="1">
        <f t="shared" ca="1" si="14"/>
        <v>0.9</v>
      </c>
      <c r="U51" s="1">
        <f t="shared" ca="1" si="14"/>
        <v>123.15333333333331</v>
      </c>
      <c r="V51" s="1">
        <f t="shared" ca="1" si="14"/>
        <v>0</v>
      </c>
      <c r="W51" s="1">
        <f t="shared" ca="1" si="14"/>
        <v>0</v>
      </c>
      <c r="X51" s="1">
        <f t="shared" ca="1" si="14"/>
        <v>216.392647058824</v>
      </c>
      <c r="Y51" s="1">
        <f t="shared" ca="1" si="14"/>
        <v>0</v>
      </c>
      <c r="Z51" s="1">
        <f t="shared" ca="1" si="14"/>
        <v>0</v>
      </c>
      <c r="AA51" s="1">
        <f t="shared" ca="1" si="14"/>
        <v>0</v>
      </c>
      <c r="AB51" s="1">
        <f t="shared" ca="1" si="14"/>
        <v>0</v>
      </c>
      <c r="AC51" s="1">
        <f t="shared" ca="1" si="14"/>
        <v>69.417074999999997</v>
      </c>
      <c r="AD51" s="1">
        <f t="shared" ca="1" si="14"/>
        <v>69.417074999999997</v>
      </c>
      <c r="AE51" s="1">
        <f t="shared" ca="1" si="14"/>
        <v>90.242197500000003</v>
      </c>
      <c r="AF51" s="1">
        <f t="shared" ca="1" si="14"/>
        <v>69.417074999999997</v>
      </c>
      <c r="AG51" s="1">
        <f t="shared" ca="1" si="14"/>
        <v>69.417074999999997</v>
      </c>
      <c r="AH51" s="1">
        <f t="shared" ca="1" si="14"/>
        <v>69.417074999999997</v>
      </c>
      <c r="AI51" s="1">
        <f t="shared" ca="1" si="8"/>
        <v>69.417074999999997</v>
      </c>
    </row>
    <row r="52" spans="2:35" x14ac:dyDescent="0.15">
      <c r="B52" s="1" t="str">
        <f t="shared" si="5"/>
        <v>飞行系50</v>
      </c>
      <c r="C52" s="1">
        <v>50</v>
      </c>
      <c r="D52" s="14" t="s">
        <v>90</v>
      </c>
      <c r="E52" s="14">
        <v>1</v>
      </c>
      <c r="F52" s="1" t="str">
        <f t="shared" si="1"/>
        <v>冷却</v>
      </c>
      <c r="H52" s="1">
        <f t="shared" ca="1" si="2"/>
        <v>1522.6376346713946</v>
      </c>
      <c r="I52" s="1">
        <f t="shared" ca="1" si="13"/>
        <v>100</v>
      </c>
      <c r="J52" s="1">
        <f t="shared" ca="1" si="13"/>
        <v>823.30268741159875</v>
      </c>
      <c r="K52" s="1">
        <f t="shared" ca="1" si="13"/>
        <v>70.833749999999995</v>
      </c>
      <c r="L52" s="1">
        <f t="shared" ca="1" si="13"/>
        <v>686.085572842999</v>
      </c>
      <c r="M52" s="1">
        <f t="shared" ca="1" si="13"/>
        <v>70.833749999999995</v>
      </c>
      <c r="N52" s="1">
        <f t="shared" ca="1" si="13"/>
        <v>0.2</v>
      </c>
      <c r="O52" s="1">
        <f t="shared" ca="1" si="13"/>
        <v>0.2</v>
      </c>
      <c r="P52" s="1">
        <f t="shared" ca="1" si="13"/>
        <v>0.36</v>
      </c>
      <c r="Q52" s="1">
        <f t="shared" ca="1" si="13"/>
        <v>0.12</v>
      </c>
      <c r="R52" s="1">
        <f t="shared" ca="1" si="13"/>
        <v>2.2000000000000002</v>
      </c>
      <c r="S52" s="1">
        <f t="shared" ca="1" si="14"/>
        <v>0.15000000000000002</v>
      </c>
      <c r="T52" s="1">
        <f t="shared" ca="1" si="14"/>
        <v>0.9</v>
      </c>
      <c r="U52" s="1">
        <f t="shared" ca="1" si="14"/>
        <v>125.66666666666671</v>
      </c>
      <c r="V52" s="1">
        <f t="shared" ca="1" si="14"/>
        <v>0</v>
      </c>
      <c r="W52" s="1">
        <f t="shared" ca="1" si="14"/>
        <v>0</v>
      </c>
      <c r="X52" s="1">
        <f t="shared" ca="1" si="14"/>
        <v>228.69519094766599</v>
      </c>
      <c r="Y52" s="1">
        <f t="shared" ca="1" si="14"/>
        <v>0</v>
      </c>
      <c r="Z52" s="1">
        <f t="shared" ca="1" si="14"/>
        <v>0</v>
      </c>
      <c r="AA52" s="1">
        <f t="shared" ca="1" si="14"/>
        <v>0</v>
      </c>
      <c r="AB52" s="1">
        <f t="shared" ca="1" si="14"/>
        <v>0</v>
      </c>
      <c r="AC52" s="1">
        <f t="shared" ca="1" si="14"/>
        <v>70.833749999999995</v>
      </c>
      <c r="AD52" s="1">
        <f t="shared" ca="1" si="14"/>
        <v>70.833749999999995</v>
      </c>
      <c r="AE52" s="1">
        <f t="shared" ca="1" si="14"/>
        <v>92.083874999999992</v>
      </c>
      <c r="AF52" s="1">
        <f t="shared" ca="1" si="14"/>
        <v>70.833749999999995</v>
      </c>
      <c r="AG52" s="1">
        <f t="shared" ca="1" si="14"/>
        <v>70.833749999999995</v>
      </c>
      <c r="AH52" s="1">
        <f t="shared" ca="1" si="14"/>
        <v>70.833749999999995</v>
      </c>
      <c r="AI52" s="1">
        <f t="shared" ca="1" si="8"/>
        <v>70.833749999999995</v>
      </c>
    </row>
    <row r="53" spans="2:35" x14ac:dyDescent="0.15">
      <c r="B53" s="1" t="str">
        <f t="shared" si="5"/>
        <v>飞行系51</v>
      </c>
      <c r="C53" s="1">
        <v>51</v>
      </c>
      <c r="D53" s="14" t="s">
        <v>90</v>
      </c>
      <c r="E53" s="14">
        <v>1</v>
      </c>
      <c r="F53" s="1" t="str">
        <f t="shared" si="1"/>
        <v>冷却</v>
      </c>
      <c r="H53" s="1">
        <f t="shared" ca="1" si="2"/>
        <v>1560.8948616731896</v>
      </c>
      <c r="I53" s="1">
        <f t="shared" ref="I53:R62" ca="1" si="15">mVlookup($C53,monsterBaseDate,I$2,FALSE)*(1+mVlookup($E53,monsterType,I$2,FALSE))</f>
        <v>100</v>
      </c>
      <c r="J53" s="1">
        <f t="shared" ca="1" si="15"/>
        <v>846.74571428571471</v>
      </c>
      <c r="K53" s="1">
        <f t="shared" ca="1" si="15"/>
        <v>72.250425000000007</v>
      </c>
      <c r="L53" s="1">
        <f t="shared" ca="1" si="15"/>
        <v>705.62142857142896</v>
      </c>
      <c r="M53" s="1">
        <f t="shared" ca="1" si="15"/>
        <v>72.250425000000007</v>
      </c>
      <c r="N53" s="1">
        <f t="shared" ca="1" si="15"/>
        <v>0.2</v>
      </c>
      <c r="O53" s="1">
        <f t="shared" ca="1" si="15"/>
        <v>0.2</v>
      </c>
      <c r="P53" s="1">
        <f t="shared" ca="1" si="15"/>
        <v>0.36</v>
      </c>
      <c r="Q53" s="1">
        <f t="shared" ca="1" si="15"/>
        <v>0.12</v>
      </c>
      <c r="R53" s="1">
        <f t="shared" ca="1" si="15"/>
        <v>2.2000000000000002</v>
      </c>
      <c r="S53" s="1">
        <f t="shared" ref="S53:AH68" ca="1" si="16">mVlookup($C53,monsterBaseDate,S$2,FALSE)*(1+mVlookup($E53,monsterType,S$2,FALSE))</f>
        <v>0.15000000000000002</v>
      </c>
      <c r="T53" s="1">
        <f t="shared" ca="1" si="16"/>
        <v>0.9</v>
      </c>
      <c r="U53" s="1">
        <f t="shared" ca="1" si="16"/>
        <v>128.18</v>
      </c>
      <c r="V53" s="1">
        <f t="shared" ca="1" si="16"/>
        <v>0</v>
      </c>
      <c r="W53" s="1">
        <f t="shared" ca="1" si="16"/>
        <v>0</v>
      </c>
      <c r="X53" s="1">
        <f t="shared" ca="1" si="16"/>
        <v>241.521428571429</v>
      </c>
      <c r="Y53" s="1">
        <f t="shared" ca="1" si="16"/>
        <v>0</v>
      </c>
      <c r="Z53" s="1">
        <f t="shared" ca="1" si="16"/>
        <v>0</v>
      </c>
      <c r="AA53" s="1">
        <f t="shared" ca="1" si="16"/>
        <v>0</v>
      </c>
      <c r="AB53" s="1">
        <f t="shared" ca="1" si="14"/>
        <v>0</v>
      </c>
      <c r="AC53" s="1">
        <f t="shared" ca="1" si="16"/>
        <v>72.250425000000007</v>
      </c>
      <c r="AD53" s="1">
        <f t="shared" ca="1" si="16"/>
        <v>72.250425000000007</v>
      </c>
      <c r="AE53" s="1">
        <f t="shared" ca="1" si="16"/>
        <v>93.925552500000009</v>
      </c>
      <c r="AF53" s="1">
        <f t="shared" ca="1" si="16"/>
        <v>72.250425000000007</v>
      </c>
      <c r="AG53" s="1">
        <f t="shared" ca="1" si="16"/>
        <v>72.250425000000007</v>
      </c>
      <c r="AH53" s="1">
        <f t="shared" ca="1" si="16"/>
        <v>72.250425000000007</v>
      </c>
      <c r="AI53" s="1">
        <f t="shared" ca="1" si="8"/>
        <v>72.250425000000007</v>
      </c>
    </row>
    <row r="54" spans="2:35" x14ac:dyDescent="0.15">
      <c r="B54" s="1" t="str">
        <f t="shared" si="5"/>
        <v>飞行系52</v>
      </c>
      <c r="C54" s="1">
        <v>52</v>
      </c>
      <c r="D54" s="14" t="s">
        <v>90</v>
      </c>
      <c r="E54" s="14">
        <v>1</v>
      </c>
      <c r="F54" s="1" t="str">
        <f t="shared" si="1"/>
        <v>冷却</v>
      </c>
      <c r="H54" s="1">
        <f t="shared" ca="1" si="2"/>
        <v>1599.4581464909911</v>
      </c>
      <c r="I54" s="1">
        <f t="shared" ca="1" si="15"/>
        <v>100</v>
      </c>
      <c r="J54" s="1">
        <f t="shared" ca="1" si="15"/>
        <v>870.54753246753239</v>
      </c>
      <c r="K54" s="1">
        <f t="shared" ca="1" si="15"/>
        <v>73.667100000000005</v>
      </c>
      <c r="L54" s="1">
        <f t="shared" ca="1" si="15"/>
        <v>725.45627705627703</v>
      </c>
      <c r="M54" s="1">
        <f t="shared" ca="1" si="15"/>
        <v>73.667100000000005</v>
      </c>
      <c r="N54" s="1">
        <f t="shared" ca="1" si="15"/>
        <v>0.2</v>
      </c>
      <c r="O54" s="1">
        <f t="shared" ca="1" si="15"/>
        <v>0.2</v>
      </c>
      <c r="P54" s="1">
        <f t="shared" ca="1" si="15"/>
        <v>0.36</v>
      </c>
      <c r="Q54" s="1">
        <f t="shared" ca="1" si="15"/>
        <v>0.12</v>
      </c>
      <c r="R54" s="1">
        <f t="shared" ca="1" si="15"/>
        <v>2.2000000000000002</v>
      </c>
      <c r="S54" s="1">
        <f t="shared" ca="1" si="16"/>
        <v>0.15000000000000002</v>
      </c>
      <c r="T54" s="1">
        <f t="shared" ca="1" si="16"/>
        <v>0.9</v>
      </c>
      <c r="U54" s="1">
        <f t="shared" ca="1" si="16"/>
        <v>130.6933333333329</v>
      </c>
      <c r="V54" s="1">
        <f t="shared" ca="1" si="16"/>
        <v>0</v>
      </c>
      <c r="W54" s="1">
        <f t="shared" ca="1" si="16"/>
        <v>0</v>
      </c>
      <c r="X54" s="1">
        <f t="shared" ca="1" si="16"/>
        <v>254.890043290043</v>
      </c>
      <c r="Y54" s="1">
        <f t="shared" ca="1" si="16"/>
        <v>0</v>
      </c>
      <c r="Z54" s="1">
        <f t="shared" ca="1" si="16"/>
        <v>0</v>
      </c>
      <c r="AA54" s="1">
        <f t="shared" ca="1" si="16"/>
        <v>0</v>
      </c>
      <c r="AB54" s="1">
        <f t="shared" ca="1" si="14"/>
        <v>0</v>
      </c>
      <c r="AC54" s="1">
        <f t="shared" ca="1" si="16"/>
        <v>73.667100000000005</v>
      </c>
      <c r="AD54" s="1">
        <f t="shared" ca="1" si="16"/>
        <v>73.667100000000005</v>
      </c>
      <c r="AE54" s="1">
        <f t="shared" ca="1" si="16"/>
        <v>95.767230000000012</v>
      </c>
      <c r="AF54" s="1">
        <f t="shared" ca="1" si="16"/>
        <v>73.667100000000005</v>
      </c>
      <c r="AG54" s="1">
        <f t="shared" ca="1" si="16"/>
        <v>73.667100000000005</v>
      </c>
      <c r="AH54" s="1">
        <f t="shared" ca="1" si="16"/>
        <v>73.667100000000005</v>
      </c>
      <c r="AI54" s="1">
        <f t="shared" ca="1" si="8"/>
        <v>73.667100000000005</v>
      </c>
    </row>
    <row r="55" spans="2:35" x14ac:dyDescent="0.15">
      <c r="B55" s="1" t="str">
        <f t="shared" si="5"/>
        <v>飞行系53</v>
      </c>
      <c r="C55" s="1">
        <v>53</v>
      </c>
      <c r="D55" s="14" t="s">
        <v>90</v>
      </c>
      <c r="E55" s="14">
        <v>1</v>
      </c>
      <c r="F55" s="1" t="str">
        <f t="shared" si="1"/>
        <v>冷却</v>
      </c>
      <c r="H55" s="1">
        <f t="shared" ca="1" si="2"/>
        <v>1638.3274891248191</v>
      </c>
      <c r="I55" s="1">
        <f t="shared" ca="1" si="15"/>
        <v>100</v>
      </c>
      <c r="J55" s="1">
        <f t="shared" ca="1" si="15"/>
        <v>894.71571428571474</v>
      </c>
      <c r="K55" s="1">
        <f t="shared" ca="1" si="15"/>
        <v>75.083775000000003</v>
      </c>
      <c r="L55" s="1">
        <f t="shared" ca="1" si="15"/>
        <v>745.59642857142899</v>
      </c>
      <c r="M55" s="1">
        <f t="shared" ca="1" si="15"/>
        <v>75.083775000000003</v>
      </c>
      <c r="N55" s="1">
        <f t="shared" ca="1" si="15"/>
        <v>0.2</v>
      </c>
      <c r="O55" s="1">
        <f t="shared" ca="1" si="15"/>
        <v>0.2</v>
      </c>
      <c r="P55" s="1">
        <f t="shared" ca="1" si="15"/>
        <v>0.36</v>
      </c>
      <c r="Q55" s="1">
        <f t="shared" ca="1" si="15"/>
        <v>0.12</v>
      </c>
      <c r="R55" s="1">
        <f t="shared" ca="1" si="15"/>
        <v>2.2000000000000002</v>
      </c>
      <c r="S55" s="1">
        <f t="shared" ca="1" si="16"/>
        <v>0.15000000000000002</v>
      </c>
      <c r="T55" s="1">
        <f t="shared" ca="1" si="16"/>
        <v>0.9</v>
      </c>
      <c r="U55" s="1">
        <f t="shared" ca="1" si="16"/>
        <v>133.2066666666671</v>
      </c>
      <c r="V55" s="1">
        <f t="shared" ca="1" si="16"/>
        <v>0</v>
      </c>
      <c r="W55" s="1">
        <f t="shared" ca="1" si="16"/>
        <v>0</v>
      </c>
      <c r="X55" s="1">
        <f t="shared" ca="1" si="16"/>
        <v>268.820481049563</v>
      </c>
      <c r="Y55" s="1">
        <f t="shared" ca="1" si="16"/>
        <v>0</v>
      </c>
      <c r="Z55" s="1">
        <f t="shared" ca="1" si="16"/>
        <v>0</v>
      </c>
      <c r="AA55" s="1">
        <f t="shared" ca="1" si="16"/>
        <v>0</v>
      </c>
      <c r="AB55" s="1">
        <f t="shared" ca="1" si="14"/>
        <v>0</v>
      </c>
      <c r="AC55" s="1">
        <f t="shared" ca="1" si="16"/>
        <v>75.083775000000003</v>
      </c>
      <c r="AD55" s="1">
        <f t="shared" ca="1" si="16"/>
        <v>75.083775000000003</v>
      </c>
      <c r="AE55" s="1">
        <f t="shared" ca="1" si="16"/>
        <v>97.608907500000001</v>
      </c>
      <c r="AF55" s="1">
        <f t="shared" ca="1" si="16"/>
        <v>75.083775000000003</v>
      </c>
      <c r="AG55" s="1">
        <f t="shared" ca="1" si="16"/>
        <v>75.083775000000003</v>
      </c>
      <c r="AH55" s="1">
        <f t="shared" ca="1" si="16"/>
        <v>75.083775000000003</v>
      </c>
      <c r="AI55" s="1">
        <f t="shared" ca="1" si="8"/>
        <v>75.083775000000003</v>
      </c>
    </row>
    <row r="56" spans="2:35" x14ac:dyDescent="0.15">
      <c r="B56" s="1" t="str">
        <f t="shared" si="5"/>
        <v>飞行系54</v>
      </c>
      <c r="C56" s="1">
        <v>54</v>
      </c>
      <c r="D56" s="14" t="s">
        <v>90</v>
      </c>
      <c r="E56" s="14">
        <v>1</v>
      </c>
      <c r="F56" s="1" t="str">
        <f t="shared" si="1"/>
        <v>冷却</v>
      </c>
      <c r="H56" s="1">
        <f t="shared" ca="1" si="2"/>
        <v>1677.5028895746539</v>
      </c>
      <c r="I56" s="1">
        <f t="shared" ca="1" si="15"/>
        <v>100</v>
      </c>
      <c r="J56" s="1">
        <f t="shared" ca="1" si="15"/>
        <v>919.25814432989762</v>
      </c>
      <c r="K56" s="1">
        <f t="shared" ca="1" si="15"/>
        <v>76.500450000000001</v>
      </c>
      <c r="L56" s="1">
        <f t="shared" ca="1" si="15"/>
        <v>766.048453608248</v>
      </c>
      <c r="M56" s="1">
        <f t="shared" ca="1" si="15"/>
        <v>76.500450000000001</v>
      </c>
      <c r="N56" s="1">
        <f t="shared" ca="1" si="15"/>
        <v>0.2</v>
      </c>
      <c r="O56" s="1">
        <f t="shared" ca="1" si="15"/>
        <v>0.2</v>
      </c>
      <c r="P56" s="1">
        <f t="shared" ca="1" si="15"/>
        <v>0.36</v>
      </c>
      <c r="Q56" s="1">
        <f t="shared" ca="1" si="15"/>
        <v>0.12</v>
      </c>
      <c r="R56" s="1">
        <f t="shared" ca="1" si="15"/>
        <v>2.2000000000000002</v>
      </c>
      <c r="S56" s="1">
        <f t="shared" ca="1" si="16"/>
        <v>0.15000000000000002</v>
      </c>
      <c r="T56" s="1">
        <f t="shared" ca="1" si="16"/>
        <v>0.9</v>
      </c>
      <c r="U56" s="1">
        <f t="shared" ca="1" si="16"/>
        <v>135.72</v>
      </c>
      <c r="V56" s="1">
        <f t="shared" ca="1" si="16"/>
        <v>0</v>
      </c>
      <c r="W56" s="1">
        <f t="shared" ca="1" si="16"/>
        <v>0</v>
      </c>
      <c r="X56" s="1">
        <f t="shared" ca="1" si="16"/>
        <v>283.332989690722</v>
      </c>
      <c r="Y56" s="1">
        <f t="shared" ca="1" si="16"/>
        <v>0</v>
      </c>
      <c r="Z56" s="1">
        <f t="shared" ca="1" si="16"/>
        <v>0</v>
      </c>
      <c r="AA56" s="1">
        <f t="shared" ca="1" si="16"/>
        <v>0</v>
      </c>
      <c r="AB56" s="1">
        <f t="shared" ca="1" si="14"/>
        <v>0</v>
      </c>
      <c r="AC56" s="1">
        <f t="shared" ca="1" si="16"/>
        <v>76.500450000000001</v>
      </c>
      <c r="AD56" s="1">
        <f t="shared" ca="1" si="16"/>
        <v>76.500450000000001</v>
      </c>
      <c r="AE56" s="1">
        <f t="shared" ca="1" si="16"/>
        <v>99.450585000000004</v>
      </c>
      <c r="AF56" s="1">
        <f t="shared" ca="1" si="16"/>
        <v>76.500450000000001</v>
      </c>
      <c r="AG56" s="1">
        <f t="shared" ca="1" si="16"/>
        <v>76.500450000000001</v>
      </c>
      <c r="AH56" s="1">
        <f t="shared" ca="1" si="16"/>
        <v>76.500450000000001</v>
      </c>
      <c r="AI56" s="1">
        <f t="shared" ca="1" si="8"/>
        <v>76.500450000000001</v>
      </c>
    </row>
    <row r="57" spans="2:35" x14ac:dyDescent="0.15">
      <c r="B57" s="1" t="str">
        <f t="shared" si="5"/>
        <v>飞行系55</v>
      </c>
      <c r="C57" s="1">
        <v>55</v>
      </c>
      <c r="D57" s="14" t="s">
        <v>90</v>
      </c>
      <c r="E57" s="14">
        <v>1</v>
      </c>
      <c r="F57" s="1" t="str">
        <f t="shared" si="1"/>
        <v>冷却</v>
      </c>
      <c r="H57" s="1">
        <f t="shared" ca="1" si="2"/>
        <v>1716.9843478405055</v>
      </c>
      <c r="I57" s="1">
        <f t="shared" ca="1" si="15"/>
        <v>100</v>
      </c>
      <c r="J57" s="1">
        <f t="shared" ca="1" si="15"/>
        <v>944.18303571428635</v>
      </c>
      <c r="K57" s="1">
        <f t="shared" ca="1" si="15"/>
        <v>77.917124999999999</v>
      </c>
      <c r="L57" s="1">
        <f t="shared" ca="1" si="15"/>
        <v>786.81919642857201</v>
      </c>
      <c r="M57" s="1">
        <f t="shared" ca="1" si="15"/>
        <v>77.917124999999999</v>
      </c>
      <c r="N57" s="1">
        <f t="shared" ca="1" si="15"/>
        <v>0.2</v>
      </c>
      <c r="O57" s="1">
        <f t="shared" ca="1" si="15"/>
        <v>0.2</v>
      </c>
      <c r="P57" s="1">
        <f t="shared" ca="1" si="15"/>
        <v>0.36</v>
      </c>
      <c r="Q57" s="1">
        <f t="shared" ca="1" si="15"/>
        <v>0.12</v>
      </c>
      <c r="R57" s="1">
        <f t="shared" ca="1" si="15"/>
        <v>2.2000000000000002</v>
      </c>
      <c r="S57" s="1">
        <f t="shared" ca="1" si="16"/>
        <v>0.15000000000000002</v>
      </c>
      <c r="T57" s="1">
        <f t="shared" ca="1" si="16"/>
        <v>0.9</v>
      </c>
      <c r="U57" s="1">
        <f t="shared" ca="1" si="16"/>
        <v>138.23333333333289</v>
      </c>
      <c r="V57" s="1">
        <f t="shared" ca="1" si="16"/>
        <v>0</v>
      </c>
      <c r="W57" s="1">
        <f t="shared" ca="1" si="16"/>
        <v>0</v>
      </c>
      <c r="X57" s="1">
        <f t="shared" ca="1" si="16"/>
        <v>298.44866071428601</v>
      </c>
      <c r="Y57" s="1">
        <f t="shared" ca="1" si="16"/>
        <v>0</v>
      </c>
      <c r="Z57" s="1">
        <f t="shared" ca="1" si="16"/>
        <v>0</v>
      </c>
      <c r="AA57" s="1">
        <f t="shared" ca="1" si="16"/>
        <v>0</v>
      </c>
      <c r="AB57" s="1">
        <f t="shared" ca="1" si="14"/>
        <v>0</v>
      </c>
      <c r="AC57" s="1">
        <f t="shared" ca="1" si="16"/>
        <v>77.917124999999999</v>
      </c>
      <c r="AD57" s="1">
        <f t="shared" ca="1" si="16"/>
        <v>77.917124999999999</v>
      </c>
      <c r="AE57" s="1">
        <f t="shared" ca="1" si="16"/>
        <v>101.29226250000001</v>
      </c>
      <c r="AF57" s="1">
        <f t="shared" ca="1" si="16"/>
        <v>77.917124999999999</v>
      </c>
      <c r="AG57" s="1">
        <f t="shared" ca="1" si="16"/>
        <v>77.917124999999999</v>
      </c>
      <c r="AH57" s="1">
        <f t="shared" ca="1" si="16"/>
        <v>77.917124999999999</v>
      </c>
      <c r="AI57" s="1">
        <f t="shared" ca="1" si="8"/>
        <v>77.917124999999999</v>
      </c>
    </row>
    <row r="58" spans="2:35" x14ac:dyDescent="0.15">
      <c r="B58" s="1" t="str">
        <f t="shared" si="5"/>
        <v>飞行系56</v>
      </c>
      <c r="C58" s="1">
        <v>56</v>
      </c>
      <c r="D58" s="14" t="s">
        <v>90</v>
      </c>
      <c r="E58" s="14">
        <v>1</v>
      </c>
      <c r="F58" s="1" t="str">
        <f t="shared" si="1"/>
        <v>冷却</v>
      </c>
      <c r="H58" s="1">
        <f t="shared" ca="1" si="2"/>
        <v>1848.900077109794</v>
      </c>
      <c r="I58" s="1">
        <f t="shared" ca="1" si="15"/>
        <v>100</v>
      </c>
      <c r="J58" s="1">
        <f t="shared" ca="1" si="15"/>
        <v>969.49894736842191</v>
      </c>
      <c r="K58" s="1">
        <f t="shared" ca="1" si="15"/>
        <v>79.333799999999997</v>
      </c>
      <c r="L58" s="1">
        <f t="shared" ca="1" si="15"/>
        <v>807.91578947368498</v>
      </c>
      <c r="M58" s="1">
        <f t="shared" ca="1" si="15"/>
        <v>79.333799999999997</v>
      </c>
      <c r="N58" s="1">
        <f t="shared" ca="1" si="15"/>
        <v>0.2</v>
      </c>
      <c r="O58" s="1">
        <f t="shared" ca="1" si="15"/>
        <v>0.2</v>
      </c>
      <c r="P58" s="1">
        <f t="shared" ca="1" si="15"/>
        <v>0.36</v>
      </c>
      <c r="Q58" s="1">
        <f t="shared" ca="1" si="15"/>
        <v>0.12</v>
      </c>
      <c r="R58" s="1">
        <f t="shared" ca="1" si="15"/>
        <v>2.2000000000000002</v>
      </c>
      <c r="S58" s="1">
        <f t="shared" ca="1" si="16"/>
        <v>0.15000000000000002</v>
      </c>
      <c r="T58" s="1">
        <f t="shared" ca="1" si="16"/>
        <v>0.9</v>
      </c>
      <c r="U58" s="1">
        <f t="shared" ca="1" si="16"/>
        <v>140.74666666666712</v>
      </c>
      <c r="V58" s="1">
        <f t="shared" ca="1" si="16"/>
        <v>0</v>
      </c>
      <c r="W58" s="1">
        <f t="shared" ca="1" si="16"/>
        <v>0</v>
      </c>
      <c r="X58" s="1">
        <f t="shared" ca="1" si="16"/>
        <v>314.18947368421101</v>
      </c>
      <c r="Y58" s="1">
        <f t="shared" ca="1" si="16"/>
        <v>0</v>
      </c>
      <c r="Z58" s="1">
        <f t="shared" ca="1" si="16"/>
        <v>0</v>
      </c>
      <c r="AA58" s="1">
        <f t="shared" ca="1" si="16"/>
        <v>0</v>
      </c>
      <c r="AB58" s="1">
        <f t="shared" ca="1" si="14"/>
        <v>0</v>
      </c>
      <c r="AC58" s="1">
        <f t="shared" ca="1" si="16"/>
        <v>79.333799999999997</v>
      </c>
      <c r="AD58" s="1">
        <f t="shared" ca="1" si="16"/>
        <v>79.333799999999997</v>
      </c>
      <c r="AE58" s="1">
        <f t="shared" ca="1" si="16"/>
        <v>103.13394</v>
      </c>
      <c r="AF58" s="1">
        <f t="shared" ca="1" si="16"/>
        <v>79.333799999999997</v>
      </c>
      <c r="AG58" s="1">
        <f t="shared" ca="1" si="16"/>
        <v>79.333799999999997</v>
      </c>
      <c r="AH58" s="1">
        <f t="shared" ca="1" si="16"/>
        <v>79.333799999999997</v>
      </c>
      <c r="AI58" s="1">
        <f t="shared" ca="1" si="8"/>
        <v>79.333799999999997</v>
      </c>
    </row>
    <row r="59" spans="2:35" x14ac:dyDescent="0.15">
      <c r="B59" s="1" t="str">
        <f t="shared" si="5"/>
        <v>飞行系57</v>
      </c>
      <c r="C59" s="1">
        <v>57</v>
      </c>
      <c r="D59" s="14" t="s">
        <v>90</v>
      </c>
      <c r="E59" s="14">
        <v>1</v>
      </c>
      <c r="F59" s="1" t="str">
        <f t="shared" si="1"/>
        <v>冷却</v>
      </c>
      <c r="H59" s="1">
        <f t="shared" ca="1" si="2"/>
        <v>1891.0962286953948</v>
      </c>
      <c r="I59" s="1">
        <f t="shared" ca="1" si="15"/>
        <v>100</v>
      </c>
      <c r="J59" s="1">
        <f t="shared" ca="1" si="15"/>
        <v>995.21480243161193</v>
      </c>
      <c r="K59" s="1">
        <f t="shared" ca="1" si="15"/>
        <v>80.750474999999994</v>
      </c>
      <c r="L59" s="1">
        <f t="shared" ca="1" si="15"/>
        <v>829.34566869301</v>
      </c>
      <c r="M59" s="1">
        <f t="shared" ca="1" si="15"/>
        <v>80.750474999999994</v>
      </c>
      <c r="N59" s="1">
        <f t="shared" ca="1" si="15"/>
        <v>0.2</v>
      </c>
      <c r="O59" s="1">
        <f t="shared" ca="1" si="15"/>
        <v>0.2</v>
      </c>
      <c r="P59" s="1">
        <f t="shared" ca="1" si="15"/>
        <v>0.36</v>
      </c>
      <c r="Q59" s="1">
        <f t="shared" ca="1" si="15"/>
        <v>0.12</v>
      </c>
      <c r="R59" s="1">
        <f t="shared" ca="1" si="15"/>
        <v>2.2000000000000002</v>
      </c>
      <c r="S59" s="1">
        <f t="shared" ca="1" si="16"/>
        <v>0.15000000000000002</v>
      </c>
      <c r="T59" s="1">
        <f t="shared" ca="1" si="16"/>
        <v>0.9</v>
      </c>
      <c r="U59" s="1">
        <f t="shared" ca="1" si="16"/>
        <v>143.26000000000002</v>
      </c>
      <c r="V59" s="1">
        <f t="shared" ca="1" si="16"/>
        <v>0</v>
      </c>
      <c r="W59" s="1">
        <f t="shared" ca="1" si="16"/>
        <v>0</v>
      </c>
      <c r="X59" s="1">
        <f t="shared" ca="1" si="16"/>
        <v>330.57834346504598</v>
      </c>
      <c r="Y59" s="1">
        <f t="shared" ca="1" si="16"/>
        <v>0</v>
      </c>
      <c r="Z59" s="1">
        <f t="shared" ca="1" si="16"/>
        <v>0</v>
      </c>
      <c r="AA59" s="1">
        <f t="shared" ca="1" si="16"/>
        <v>0</v>
      </c>
      <c r="AB59" s="1">
        <f t="shared" ca="1" si="16"/>
        <v>0</v>
      </c>
      <c r="AC59" s="1">
        <f t="shared" ca="1" si="16"/>
        <v>80.750474999999994</v>
      </c>
      <c r="AD59" s="1">
        <f t="shared" ca="1" si="16"/>
        <v>80.750474999999994</v>
      </c>
      <c r="AE59" s="1">
        <f t="shared" ca="1" si="16"/>
        <v>104.9756175</v>
      </c>
      <c r="AF59" s="1">
        <f t="shared" ca="1" si="16"/>
        <v>80.750474999999994</v>
      </c>
      <c r="AG59" s="1">
        <f t="shared" ca="1" si="16"/>
        <v>80.750474999999994</v>
      </c>
      <c r="AH59" s="1">
        <f t="shared" ca="1" si="16"/>
        <v>80.750474999999994</v>
      </c>
      <c r="AI59" s="1">
        <f t="shared" ca="1" si="8"/>
        <v>80.750474999999994</v>
      </c>
    </row>
    <row r="60" spans="2:35" x14ac:dyDescent="0.15">
      <c r="B60" s="1" t="str">
        <f t="shared" si="5"/>
        <v>飞行系58</v>
      </c>
      <c r="C60" s="1">
        <v>58</v>
      </c>
      <c r="D60" s="14" t="s">
        <v>90</v>
      </c>
      <c r="E60" s="14">
        <v>1</v>
      </c>
      <c r="F60" s="1" t="str">
        <f t="shared" si="1"/>
        <v>冷却</v>
      </c>
      <c r="H60" s="1">
        <f t="shared" ca="1" si="2"/>
        <v>1933.6144883083764</v>
      </c>
      <c r="I60" s="1">
        <f t="shared" ca="1" si="15"/>
        <v>100</v>
      </c>
      <c r="J60" s="1">
        <f t="shared" ca="1" si="15"/>
        <v>1021.3399078341024</v>
      </c>
      <c r="K60" s="1">
        <f t="shared" ca="1" si="15"/>
        <v>82.167150000000007</v>
      </c>
      <c r="L60" s="1">
        <f t="shared" ca="1" si="15"/>
        <v>851.116589861752</v>
      </c>
      <c r="M60" s="1">
        <f t="shared" ca="1" si="15"/>
        <v>82.167150000000007</v>
      </c>
      <c r="N60" s="1">
        <f t="shared" ca="1" si="15"/>
        <v>0.2</v>
      </c>
      <c r="O60" s="1">
        <f t="shared" ca="1" si="15"/>
        <v>0.2</v>
      </c>
      <c r="P60" s="1">
        <f t="shared" ca="1" si="15"/>
        <v>0.36</v>
      </c>
      <c r="Q60" s="1">
        <f t="shared" ca="1" si="15"/>
        <v>0.12</v>
      </c>
      <c r="R60" s="1">
        <f t="shared" ca="1" si="15"/>
        <v>2.2000000000000002</v>
      </c>
      <c r="S60" s="1">
        <f t="shared" ca="1" si="16"/>
        <v>0.15000000000000002</v>
      </c>
      <c r="T60" s="1">
        <f t="shared" ca="1" si="16"/>
        <v>0.9</v>
      </c>
      <c r="U60" s="1">
        <f t="shared" ca="1" si="16"/>
        <v>145.77333333333291</v>
      </c>
      <c r="V60" s="1">
        <f t="shared" ca="1" si="16"/>
        <v>0</v>
      </c>
      <c r="W60" s="1">
        <f t="shared" ca="1" si="16"/>
        <v>0</v>
      </c>
      <c r="X60" s="1">
        <f t="shared" ca="1" si="16"/>
        <v>347.63917050691299</v>
      </c>
      <c r="Y60" s="1">
        <f t="shared" ca="1" si="16"/>
        <v>0</v>
      </c>
      <c r="Z60" s="1">
        <f t="shared" ca="1" si="16"/>
        <v>0</v>
      </c>
      <c r="AA60" s="1">
        <f t="shared" ca="1" si="16"/>
        <v>0</v>
      </c>
      <c r="AB60" s="1">
        <f t="shared" ca="1" si="16"/>
        <v>0</v>
      </c>
      <c r="AC60" s="1">
        <f t="shared" ca="1" si="16"/>
        <v>82.167150000000007</v>
      </c>
      <c r="AD60" s="1">
        <f t="shared" ca="1" si="16"/>
        <v>82.167150000000007</v>
      </c>
      <c r="AE60" s="1">
        <f t="shared" ca="1" si="16"/>
        <v>106.81729500000002</v>
      </c>
      <c r="AF60" s="1">
        <f t="shared" ca="1" si="16"/>
        <v>82.167150000000007</v>
      </c>
      <c r="AG60" s="1">
        <f t="shared" ca="1" si="16"/>
        <v>82.167150000000007</v>
      </c>
      <c r="AH60" s="1">
        <f t="shared" ca="1" si="16"/>
        <v>82.167150000000007</v>
      </c>
      <c r="AI60" s="1">
        <f t="shared" ca="1" si="8"/>
        <v>82.167150000000007</v>
      </c>
    </row>
    <row r="61" spans="2:35" x14ac:dyDescent="0.15">
      <c r="B61" s="1" t="str">
        <f t="shared" si="5"/>
        <v>飞行系59</v>
      </c>
      <c r="C61" s="1">
        <v>59</v>
      </c>
      <c r="D61" s="14" t="s">
        <v>90</v>
      </c>
      <c r="E61" s="14">
        <v>1</v>
      </c>
      <c r="F61" s="1" t="str">
        <f t="shared" si="1"/>
        <v>冷却</v>
      </c>
      <c r="H61" s="1">
        <f t="shared" ca="1" si="2"/>
        <v>1976.4548559487203</v>
      </c>
      <c r="I61" s="1">
        <f t="shared" ca="1" si="15"/>
        <v>100</v>
      </c>
      <c r="J61" s="1">
        <f t="shared" ca="1" si="15"/>
        <v>1047.8839751552796</v>
      </c>
      <c r="K61" s="1">
        <f t="shared" ca="1" si="15"/>
        <v>83.583825000000004</v>
      </c>
      <c r="L61" s="1">
        <f t="shared" ca="1" si="15"/>
        <v>873.23664596273295</v>
      </c>
      <c r="M61" s="1">
        <f t="shared" ca="1" si="15"/>
        <v>83.583825000000004</v>
      </c>
      <c r="N61" s="1">
        <f t="shared" ca="1" si="15"/>
        <v>0.2</v>
      </c>
      <c r="O61" s="1">
        <f t="shared" ca="1" si="15"/>
        <v>0.2</v>
      </c>
      <c r="P61" s="1">
        <f t="shared" ca="1" si="15"/>
        <v>0.36</v>
      </c>
      <c r="Q61" s="1">
        <f t="shared" ca="1" si="15"/>
        <v>0.12</v>
      </c>
      <c r="R61" s="1">
        <f t="shared" ca="1" si="15"/>
        <v>2.2000000000000002</v>
      </c>
      <c r="S61" s="1">
        <f t="shared" ca="1" si="16"/>
        <v>0.15000000000000002</v>
      </c>
      <c r="T61" s="1">
        <f t="shared" ca="1" si="16"/>
        <v>0.9</v>
      </c>
      <c r="U61" s="1">
        <f t="shared" ca="1" si="16"/>
        <v>148.28666666666712</v>
      </c>
      <c r="V61" s="1">
        <f t="shared" ca="1" si="16"/>
        <v>0</v>
      </c>
      <c r="W61" s="1">
        <f t="shared" ca="1" si="16"/>
        <v>0</v>
      </c>
      <c r="X61" s="1">
        <f t="shared" ca="1" si="16"/>
        <v>365.396894409938</v>
      </c>
      <c r="Y61" s="1">
        <f t="shared" ca="1" si="16"/>
        <v>0</v>
      </c>
      <c r="Z61" s="1">
        <f t="shared" ca="1" si="16"/>
        <v>0</v>
      </c>
      <c r="AA61" s="1">
        <f t="shared" ca="1" si="16"/>
        <v>0</v>
      </c>
      <c r="AB61" s="1">
        <f t="shared" ca="1" si="16"/>
        <v>0</v>
      </c>
      <c r="AC61" s="1">
        <f t="shared" ca="1" si="16"/>
        <v>83.583825000000004</v>
      </c>
      <c r="AD61" s="1">
        <f t="shared" ca="1" si="16"/>
        <v>83.583825000000004</v>
      </c>
      <c r="AE61" s="1">
        <f t="shared" ca="1" si="16"/>
        <v>108.6589725</v>
      </c>
      <c r="AF61" s="1">
        <f t="shared" ca="1" si="16"/>
        <v>83.583825000000004</v>
      </c>
      <c r="AG61" s="1">
        <f t="shared" ca="1" si="16"/>
        <v>83.583825000000004</v>
      </c>
      <c r="AH61" s="1">
        <f t="shared" ca="1" si="16"/>
        <v>83.583825000000004</v>
      </c>
      <c r="AI61" s="1">
        <f t="shared" ca="1" si="8"/>
        <v>83.583825000000004</v>
      </c>
    </row>
    <row r="62" spans="2:35" x14ac:dyDescent="0.15">
      <c r="B62" s="1" t="str">
        <f t="shared" si="5"/>
        <v>飞行系60</v>
      </c>
      <c r="C62" s="1">
        <v>60</v>
      </c>
      <c r="D62" s="14" t="s">
        <v>90</v>
      </c>
      <c r="E62" s="14">
        <v>1</v>
      </c>
      <c r="F62" s="1" t="str">
        <f t="shared" si="1"/>
        <v>冷却</v>
      </c>
      <c r="H62" s="1">
        <f t="shared" ca="1" si="2"/>
        <v>2019.617331616445</v>
      </c>
      <c r="I62" s="1">
        <f t="shared" ca="1" si="15"/>
        <v>100</v>
      </c>
      <c r="J62" s="1">
        <f t="shared" ca="1" si="15"/>
        <v>1074.8571428571431</v>
      </c>
      <c r="K62" s="1">
        <f t="shared" ca="1" si="15"/>
        <v>85.000500000000002</v>
      </c>
      <c r="L62" s="1">
        <f t="shared" ca="1" si="15"/>
        <v>895.71428571428601</v>
      </c>
      <c r="M62" s="1">
        <f t="shared" ca="1" si="15"/>
        <v>85.000500000000002</v>
      </c>
      <c r="N62" s="1">
        <f t="shared" ca="1" si="15"/>
        <v>0.2</v>
      </c>
      <c r="O62" s="1">
        <f t="shared" ca="1" si="15"/>
        <v>0.2</v>
      </c>
      <c r="P62" s="1">
        <f t="shared" ca="1" si="15"/>
        <v>0.36</v>
      </c>
      <c r="Q62" s="1">
        <f t="shared" ca="1" si="15"/>
        <v>0.12</v>
      </c>
      <c r="R62" s="1">
        <f t="shared" ca="1" si="15"/>
        <v>2.2000000000000002</v>
      </c>
      <c r="S62" s="1">
        <f t="shared" ca="1" si="16"/>
        <v>0.15000000000000002</v>
      </c>
      <c r="T62" s="1">
        <f t="shared" ca="1" si="16"/>
        <v>0.9</v>
      </c>
      <c r="U62" s="1">
        <f t="shared" ca="1" si="16"/>
        <v>150.80000000000001</v>
      </c>
      <c r="V62" s="1">
        <f t="shared" ca="1" si="16"/>
        <v>0</v>
      </c>
      <c r="W62" s="1">
        <f t="shared" ca="1" si="16"/>
        <v>0</v>
      </c>
      <c r="X62" s="1">
        <f t="shared" ca="1" si="16"/>
        <v>383.87755102040802</v>
      </c>
      <c r="Y62" s="1">
        <f t="shared" ca="1" si="16"/>
        <v>0</v>
      </c>
      <c r="Z62" s="1">
        <f t="shared" ca="1" si="16"/>
        <v>0</v>
      </c>
      <c r="AA62" s="1">
        <f t="shared" ca="1" si="16"/>
        <v>0</v>
      </c>
      <c r="AB62" s="1">
        <f t="shared" ca="1" si="16"/>
        <v>0</v>
      </c>
      <c r="AC62" s="1">
        <f t="shared" ca="1" si="16"/>
        <v>85.000500000000002</v>
      </c>
      <c r="AD62" s="1">
        <f t="shared" ca="1" si="16"/>
        <v>85.000500000000002</v>
      </c>
      <c r="AE62" s="1">
        <f t="shared" ca="1" si="16"/>
        <v>110.50065000000001</v>
      </c>
      <c r="AF62" s="1">
        <f t="shared" ca="1" si="16"/>
        <v>85.000500000000002</v>
      </c>
      <c r="AG62" s="1">
        <f t="shared" ca="1" si="16"/>
        <v>85.000500000000002</v>
      </c>
      <c r="AH62" s="1">
        <f t="shared" ca="1" si="16"/>
        <v>85.000500000000002</v>
      </c>
      <c r="AI62" s="1">
        <f t="shared" ca="1" si="8"/>
        <v>85.000500000000002</v>
      </c>
    </row>
    <row r="63" spans="2:35" x14ac:dyDescent="0.15">
      <c r="B63" s="1" t="str">
        <f t="shared" si="5"/>
        <v>飞行系61</v>
      </c>
      <c r="C63" s="1">
        <v>61</v>
      </c>
      <c r="D63" s="14" t="s">
        <v>90</v>
      </c>
      <c r="E63" s="14">
        <v>1</v>
      </c>
      <c r="F63" s="1" t="str">
        <f t="shared" si="1"/>
        <v>冷却</v>
      </c>
      <c r="H63" s="1">
        <f t="shared" ca="1" si="2"/>
        <v>2063.1019153115312</v>
      </c>
      <c r="I63" s="1">
        <f t="shared" ref="I63:R72" ca="1" si="17">mVlookup($C63,monsterBaseDate,I$2,FALSE)*(1+mVlookup($E63,monsterType,I$2,FALSE))</f>
        <v>100</v>
      </c>
      <c r="J63" s="1">
        <f t="shared" ca="1" si="17"/>
        <v>1102.2700000000007</v>
      </c>
      <c r="K63" s="1">
        <f t="shared" ca="1" si="17"/>
        <v>86.417175</v>
      </c>
      <c r="L63" s="1">
        <f t="shared" ca="1" si="17"/>
        <v>918.55833333333396</v>
      </c>
      <c r="M63" s="1">
        <f t="shared" ca="1" si="17"/>
        <v>86.417175</v>
      </c>
      <c r="N63" s="1">
        <f t="shared" ca="1" si="17"/>
        <v>0.2</v>
      </c>
      <c r="O63" s="1">
        <f t="shared" ca="1" si="17"/>
        <v>0.2</v>
      </c>
      <c r="P63" s="1">
        <f t="shared" ca="1" si="17"/>
        <v>0.36</v>
      </c>
      <c r="Q63" s="1">
        <f t="shared" ca="1" si="17"/>
        <v>0.12</v>
      </c>
      <c r="R63" s="1">
        <f t="shared" ca="1" si="17"/>
        <v>2.2000000000000002</v>
      </c>
      <c r="S63" s="1">
        <f t="shared" ref="S63:AH78" ca="1" si="18">mVlookup($C63,monsterBaseDate,S$2,FALSE)*(1+mVlookup($E63,monsterType,S$2,FALSE))</f>
        <v>0.15000000000000002</v>
      </c>
      <c r="T63" s="1">
        <f t="shared" ca="1" si="18"/>
        <v>0.9</v>
      </c>
      <c r="U63" s="1">
        <f t="shared" ca="1" si="18"/>
        <v>153.31333333333291</v>
      </c>
      <c r="V63" s="1">
        <f t="shared" ca="1" si="18"/>
        <v>0</v>
      </c>
      <c r="W63" s="1">
        <f t="shared" ca="1" si="18"/>
        <v>0</v>
      </c>
      <c r="X63" s="1">
        <f t="shared" ca="1" si="18"/>
        <v>403.10833333333397</v>
      </c>
      <c r="Y63" s="1">
        <f t="shared" ca="1" si="18"/>
        <v>0</v>
      </c>
      <c r="Z63" s="1">
        <f t="shared" ca="1" si="18"/>
        <v>0</v>
      </c>
      <c r="AA63" s="1">
        <f t="shared" ca="1" si="18"/>
        <v>0</v>
      </c>
      <c r="AB63" s="1">
        <f t="shared" ca="1" si="16"/>
        <v>0</v>
      </c>
      <c r="AC63" s="1">
        <f t="shared" ca="1" si="18"/>
        <v>86.417175</v>
      </c>
      <c r="AD63" s="1">
        <f t="shared" ca="1" si="18"/>
        <v>86.417175</v>
      </c>
      <c r="AE63" s="1">
        <f t="shared" ca="1" si="18"/>
        <v>112.34232750000001</v>
      </c>
      <c r="AF63" s="1">
        <f t="shared" ca="1" si="18"/>
        <v>86.417175</v>
      </c>
      <c r="AG63" s="1">
        <f t="shared" ca="1" si="18"/>
        <v>86.417175</v>
      </c>
      <c r="AH63" s="1">
        <f t="shared" ca="1" si="18"/>
        <v>86.417175</v>
      </c>
      <c r="AI63" s="1">
        <f t="shared" ca="1" si="8"/>
        <v>86.417175</v>
      </c>
    </row>
    <row r="64" spans="2:35" x14ac:dyDescent="0.15">
      <c r="B64" s="1" t="str">
        <f t="shared" si="5"/>
        <v>飞行系62</v>
      </c>
      <c r="C64" s="1">
        <v>62</v>
      </c>
      <c r="D64" s="14" t="s">
        <v>90</v>
      </c>
      <c r="E64" s="14">
        <v>1</v>
      </c>
      <c r="F64" s="1" t="str">
        <f t="shared" si="1"/>
        <v>冷却</v>
      </c>
      <c r="H64" s="1">
        <f t="shared" ca="1" si="2"/>
        <v>2106.9086070339981</v>
      </c>
      <c r="I64" s="1">
        <f t="shared" ca="1" si="17"/>
        <v>100</v>
      </c>
      <c r="J64" s="1">
        <f t="shared" ca="1" si="17"/>
        <v>1130.1336115569827</v>
      </c>
      <c r="K64" s="1">
        <f t="shared" ca="1" si="17"/>
        <v>87.833849999999998</v>
      </c>
      <c r="L64" s="1">
        <f t="shared" ca="1" si="17"/>
        <v>941.77800963081904</v>
      </c>
      <c r="M64" s="1">
        <f t="shared" ca="1" si="17"/>
        <v>87.833849999999998</v>
      </c>
      <c r="N64" s="1">
        <f t="shared" ca="1" si="17"/>
        <v>0.2</v>
      </c>
      <c r="O64" s="1">
        <f t="shared" ca="1" si="17"/>
        <v>0.2</v>
      </c>
      <c r="P64" s="1">
        <f t="shared" ca="1" si="17"/>
        <v>0.36</v>
      </c>
      <c r="Q64" s="1">
        <f t="shared" ca="1" si="17"/>
        <v>0.12</v>
      </c>
      <c r="R64" s="1">
        <f t="shared" ca="1" si="17"/>
        <v>2.2000000000000002</v>
      </c>
      <c r="S64" s="1">
        <f t="shared" ca="1" si="18"/>
        <v>0.15000000000000002</v>
      </c>
      <c r="T64" s="1">
        <f t="shared" ca="1" si="18"/>
        <v>0.9</v>
      </c>
      <c r="U64" s="1">
        <f t="shared" ca="1" si="18"/>
        <v>155.82666666666711</v>
      </c>
      <c r="V64" s="1">
        <f t="shared" ca="1" si="18"/>
        <v>0</v>
      </c>
      <c r="W64" s="1">
        <f t="shared" ca="1" si="18"/>
        <v>0</v>
      </c>
      <c r="X64" s="1">
        <f t="shared" ca="1" si="18"/>
        <v>423.11765650080298</v>
      </c>
      <c r="Y64" s="1">
        <f t="shared" ca="1" si="18"/>
        <v>0</v>
      </c>
      <c r="Z64" s="1">
        <f t="shared" ca="1" si="18"/>
        <v>0</v>
      </c>
      <c r="AA64" s="1">
        <f t="shared" ca="1" si="18"/>
        <v>0</v>
      </c>
      <c r="AB64" s="1">
        <f t="shared" ca="1" si="16"/>
        <v>0</v>
      </c>
      <c r="AC64" s="1">
        <f t="shared" ca="1" si="18"/>
        <v>87.833849999999998</v>
      </c>
      <c r="AD64" s="1">
        <f t="shared" ca="1" si="18"/>
        <v>87.833849999999998</v>
      </c>
      <c r="AE64" s="1">
        <f t="shared" ca="1" si="18"/>
        <v>114.184005</v>
      </c>
      <c r="AF64" s="1">
        <f t="shared" ca="1" si="18"/>
        <v>87.833849999999998</v>
      </c>
      <c r="AG64" s="1">
        <f t="shared" ca="1" si="18"/>
        <v>87.833849999999998</v>
      </c>
      <c r="AH64" s="1">
        <f t="shared" ca="1" si="18"/>
        <v>87.833849999999998</v>
      </c>
      <c r="AI64" s="1">
        <f t="shared" ca="1" si="8"/>
        <v>87.833849999999998</v>
      </c>
    </row>
    <row r="65" spans="2:35" x14ac:dyDescent="0.15">
      <c r="B65" s="1" t="str">
        <f t="shared" si="5"/>
        <v>飞行系63</v>
      </c>
      <c r="C65" s="1">
        <v>63</v>
      </c>
      <c r="D65" s="14" t="s">
        <v>90</v>
      </c>
      <c r="E65" s="14">
        <v>1</v>
      </c>
      <c r="F65" s="1" t="str">
        <f t="shared" si="1"/>
        <v>冷却</v>
      </c>
      <c r="H65" s="1">
        <f t="shared" ca="1" si="2"/>
        <v>2151.0374067838275</v>
      </c>
      <c r="I65" s="1">
        <f t="shared" ca="1" si="17"/>
        <v>100</v>
      </c>
      <c r="J65" s="1">
        <f t="shared" ca="1" si="17"/>
        <v>1158.4595454545461</v>
      </c>
      <c r="K65" s="1">
        <f t="shared" ca="1" si="17"/>
        <v>89.250524999999996</v>
      </c>
      <c r="L65" s="1">
        <f t="shared" ca="1" si="17"/>
        <v>965.38295454545505</v>
      </c>
      <c r="M65" s="1">
        <f t="shared" ca="1" si="17"/>
        <v>89.250524999999996</v>
      </c>
      <c r="N65" s="1">
        <f t="shared" ca="1" si="17"/>
        <v>0.2</v>
      </c>
      <c r="O65" s="1">
        <f t="shared" ca="1" si="17"/>
        <v>0.2</v>
      </c>
      <c r="P65" s="1">
        <f t="shared" ca="1" si="17"/>
        <v>0.36</v>
      </c>
      <c r="Q65" s="1">
        <f t="shared" ca="1" si="17"/>
        <v>0.12</v>
      </c>
      <c r="R65" s="1">
        <f t="shared" ca="1" si="17"/>
        <v>2.2000000000000002</v>
      </c>
      <c r="S65" s="1">
        <f t="shared" ca="1" si="18"/>
        <v>0.15000000000000002</v>
      </c>
      <c r="T65" s="1">
        <f t="shared" ca="1" si="18"/>
        <v>0.9</v>
      </c>
      <c r="U65" s="1">
        <f t="shared" ca="1" si="18"/>
        <v>158.34</v>
      </c>
      <c r="V65" s="1">
        <f t="shared" ca="1" si="18"/>
        <v>0</v>
      </c>
      <c r="W65" s="1">
        <f t="shared" ca="1" si="18"/>
        <v>0</v>
      </c>
      <c r="X65" s="1">
        <f t="shared" ca="1" si="18"/>
        <v>443.93522727272801</v>
      </c>
      <c r="Y65" s="1">
        <f t="shared" ca="1" si="18"/>
        <v>0</v>
      </c>
      <c r="Z65" s="1">
        <f t="shared" ca="1" si="18"/>
        <v>0</v>
      </c>
      <c r="AA65" s="1">
        <f t="shared" ca="1" si="18"/>
        <v>0</v>
      </c>
      <c r="AB65" s="1">
        <f t="shared" ca="1" si="16"/>
        <v>0</v>
      </c>
      <c r="AC65" s="1">
        <f t="shared" ca="1" si="18"/>
        <v>89.250524999999996</v>
      </c>
      <c r="AD65" s="1">
        <f t="shared" ca="1" si="18"/>
        <v>89.250524999999996</v>
      </c>
      <c r="AE65" s="1">
        <f t="shared" ca="1" si="18"/>
        <v>116.0256825</v>
      </c>
      <c r="AF65" s="1">
        <f t="shared" ca="1" si="18"/>
        <v>89.250524999999996</v>
      </c>
      <c r="AG65" s="1">
        <f t="shared" ca="1" si="18"/>
        <v>89.250524999999996</v>
      </c>
      <c r="AH65" s="1">
        <f t="shared" ca="1" si="18"/>
        <v>89.250524999999996</v>
      </c>
      <c r="AI65" s="1">
        <f t="shared" ca="1" si="8"/>
        <v>89.250524999999996</v>
      </c>
    </row>
    <row r="66" spans="2:35" x14ac:dyDescent="0.15">
      <c r="B66" s="1" t="str">
        <f t="shared" si="5"/>
        <v>飞行系64</v>
      </c>
      <c r="C66" s="1">
        <v>64</v>
      </c>
      <c r="D66" s="14" t="s">
        <v>90</v>
      </c>
      <c r="E66" s="14">
        <v>1</v>
      </c>
      <c r="F66" s="1" t="str">
        <f t="shared" si="1"/>
        <v>冷却</v>
      </c>
      <c r="H66" s="1">
        <f t="shared" ca="1" si="2"/>
        <v>2195.4883145610279</v>
      </c>
      <c r="I66" s="1">
        <f t="shared" ca="1" si="17"/>
        <v>100</v>
      </c>
      <c r="J66" s="1">
        <f t="shared" ca="1" si="17"/>
        <v>1187.2599014778336</v>
      </c>
      <c r="K66" s="1">
        <f t="shared" ca="1" si="17"/>
        <v>90.667199999999994</v>
      </c>
      <c r="L66" s="1">
        <f t="shared" ca="1" si="17"/>
        <v>989.38325123152799</v>
      </c>
      <c r="M66" s="1">
        <f t="shared" ca="1" si="17"/>
        <v>90.667199999999994</v>
      </c>
      <c r="N66" s="1">
        <f t="shared" ca="1" si="17"/>
        <v>0.2</v>
      </c>
      <c r="O66" s="1">
        <f t="shared" ca="1" si="17"/>
        <v>0.2</v>
      </c>
      <c r="P66" s="1">
        <f t="shared" ca="1" si="17"/>
        <v>0.36</v>
      </c>
      <c r="Q66" s="1">
        <f t="shared" ca="1" si="17"/>
        <v>0.12</v>
      </c>
      <c r="R66" s="1">
        <f t="shared" ca="1" si="17"/>
        <v>2.2000000000000002</v>
      </c>
      <c r="S66" s="1">
        <f t="shared" ca="1" si="18"/>
        <v>0.15000000000000002</v>
      </c>
      <c r="T66" s="1">
        <f t="shared" ca="1" si="18"/>
        <v>0.9</v>
      </c>
      <c r="U66" s="1">
        <f t="shared" ca="1" si="18"/>
        <v>160.8533333333329</v>
      </c>
      <c r="V66" s="1">
        <f t="shared" ca="1" si="18"/>
        <v>0</v>
      </c>
      <c r="W66" s="1">
        <f t="shared" ca="1" si="18"/>
        <v>0</v>
      </c>
      <c r="X66" s="1">
        <f t="shared" ca="1" si="18"/>
        <v>465.59211822660097</v>
      </c>
      <c r="Y66" s="1">
        <f t="shared" ca="1" si="18"/>
        <v>0</v>
      </c>
      <c r="Z66" s="1">
        <f t="shared" ca="1" si="18"/>
        <v>0</v>
      </c>
      <c r="AA66" s="1">
        <f t="shared" ca="1" si="18"/>
        <v>0</v>
      </c>
      <c r="AB66" s="1">
        <f t="shared" ca="1" si="16"/>
        <v>0</v>
      </c>
      <c r="AC66" s="1">
        <f t="shared" ca="1" si="18"/>
        <v>90.667199999999994</v>
      </c>
      <c r="AD66" s="1">
        <f t="shared" ca="1" si="18"/>
        <v>90.667199999999994</v>
      </c>
      <c r="AE66" s="1">
        <f t="shared" ca="1" si="18"/>
        <v>117.86735999999999</v>
      </c>
      <c r="AF66" s="1">
        <f t="shared" ca="1" si="18"/>
        <v>90.667199999999994</v>
      </c>
      <c r="AG66" s="1">
        <f t="shared" ca="1" si="18"/>
        <v>90.667199999999994</v>
      </c>
      <c r="AH66" s="1">
        <f t="shared" ca="1" si="18"/>
        <v>90.667199999999994</v>
      </c>
      <c r="AI66" s="1">
        <f t="shared" ca="1" si="8"/>
        <v>90.667199999999994</v>
      </c>
    </row>
    <row r="67" spans="2:35" x14ac:dyDescent="0.15">
      <c r="B67" s="1" t="str">
        <f t="shared" si="5"/>
        <v>飞行系65</v>
      </c>
      <c r="C67" s="1">
        <v>65</v>
      </c>
      <c r="D67" s="14" t="s">
        <v>90</v>
      </c>
      <c r="E67" s="14">
        <v>1</v>
      </c>
      <c r="F67" s="1" t="str">
        <f t="shared" ref="F67:F130" si="19">VLOOKUP(E67,monsterType,4,FALSE)</f>
        <v>冷却</v>
      </c>
      <c r="H67" s="1">
        <f t="shared" ref="H67:H130" ca="1" si="20">mVlookup(C67,monsterBaseDate,H$2,FALSE)*(1+mVlookup(E67,monsterType,H$2,FALSE))*(1+mVlookup(C67,monsterHpRevise,D67,FALSE))</f>
        <v>2240.2613303656094</v>
      </c>
      <c r="I67" s="1">
        <f t="shared" ca="1" si="17"/>
        <v>100</v>
      </c>
      <c r="J67" s="1">
        <f t="shared" ca="1" si="17"/>
        <v>1216.5473421926879</v>
      </c>
      <c r="K67" s="1">
        <f t="shared" ca="1" si="17"/>
        <v>92.083875000000006</v>
      </c>
      <c r="L67" s="1">
        <f t="shared" ca="1" si="17"/>
        <v>1013.78945182724</v>
      </c>
      <c r="M67" s="1">
        <f t="shared" ca="1" si="17"/>
        <v>92.083875000000006</v>
      </c>
      <c r="N67" s="1">
        <f t="shared" ca="1" si="17"/>
        <v>0.2</v>
      </c>
      <c r="O67" s="1">
        <f t="shared" ca="1" si="17"/>
        <v>0.2</v>
      </c>
      <c r="P67" s="1">
        <f t="shared" ca="1" si="17"/>
        <v>0.36</v>
      </c>
      <c r="Q67" s="1">
        <f t="shared" ca="1" si="17"/>
        <v>0.12</v>
      </c>
      <c r="R67" s="1">
        <f t="shared" ca="1" si="17"/>
        <v>2.2000000000000002</v>
      </c>
      <c r="S67" s="1">
        <f t="shared" ca="1" si="18"/>
        <v>0.15000000000000002</v>
      </c>
      <c r="T67" s="1">
        <f t="shared" ca="1" si="18"/>
        <v>0.9</v>
      </c>
      <c r="U67" s="1">
        <f t="shared" ca="1" si="18"/>
        <v>163.3666666666671</v>
      </c>
      <c r="V67" s="1">
        <f t="shared" ca="1" si="18"/>
        <v>0</v>
      </c>
      <c r="W67" s="1">
        <f t="shared" ca="1" si="18"/>
        <v>0</v>
      </c>
      <c r="X67" s="1">
        <f t="shared" ca="1" si="18"/>
        <v>488.12084717608002</v>
      </c>
      <c r="Y67" s="1">
        <f t="shared" ca="1" si="18"/>
        <v>0</v>
      </c>
      <c r="Z67" s="1">
        <f t="shared" ca="1" si="18"/>
        <v>0</v>
      </c>
      <c r="AA67" s="1">
        <f t="shared" ca="1" si="18"/>
        <v>0</v>
      </c>
      <c r="AB67" s="1">
        <f t="shared" ca="1" si="16"/>
        <v>0</v>
      </c>
      <c r="AC67" s="1">
        <f t="shared" ca="1" si="18"/>
        <v>92.083875000000006</v>
      </c>
      <c r="AD67" s="1">
        <f t="shared" ca="1" si="18"/>
        <v>92.083875000000006</v>
      </c>
      <c r="AE67" s="1">
        <f t="shared" ca="1" si="18"/>
        <v>119.70903750000001</v>
      </c>
      <c r="AF67" s="1">
        <f t="shared" ca="1" si="18"/>
        <v>92.083875000000006</v>
      </c>
      <c r="AG67" s="1">
        <f t="shared" ca="1" si="18"/>
        <v>92.083875000000006</v>
      </c>
      <c r="AH67" s="1">
        <f t="shared" ca="1" si="18"/>
        <v>92.083875000000006</v>
      </c>
      <c r="AI67" s="1">
        <f t="shared" ca="1" si="8"/>
        <v>92.083875000000006</v>
      </c>
    </row>
    <row r="68" spans="2:35" x14ac:dyDescent="0.15">
      <c r="B68" s="1" t="str">
        <f t="shared" ref="B68:B131" si="21">D68&amp;C68</f>
        <v>飞行系66</v>
      </c>
      <c r="C68" s="1">
        <v>66</v>
      </c>
      <c r="D68" s="14" t="s">
        <v>90</v>
      </c>
      <c r="E68" s="14">
        <v>1</v>
      </c>
      <c r="F68" s="1" t="str">
        <f t="shared" si="19"/>
        <v>冷却</v>
      </c>
      <c r="H68" s="1">
        <f t="shared" ca="1" si="20"/>
        <v>2285.3564541975525</v>
      </c>
      <c r="I68" s="1">
        <f t="shared" ca="1" si="17"/>
        <v>100</v>
      </c>
      <c r="J68" s="1">
        <f t="shared" ca="1" si="17"/>
        <v>1246.3351260504239</v>
      </c>
      <c r="K68" s="1">
        <f t="shared" ca="1" si="17"/>
        <v>93.500550000000004</v>
      </c>
      <c r="L68" s="1">
        <f t="shared" ca="1" si="17"/>
        <v>1038.61260504202</v>
      </c>
      <c r="M68" s="1">
        <f t="shared" ca="1" si="17"/>
        <v>93.500550000000004</v>
      </c>
      <c r="N68" s="1">
        <f t="shared" ca="1" si="17"/>
        <v>0.2</v>
      </c>
      <c r="O68" s="1">
        <f t="shared" ca="1" si="17"/>
        <v>0.2</v>
      </c>
      <c r="P68" s="1">
        <f t="shared" ca="1" si="17"/>
        <v>0.36</v>
      </c>
      <c r="Q68" s="1">
        <f t="shared" ca="1" si="17"/>
        <v>0.12</v>
      </c>
      <c r="R68" s="1">
        <f t="shared" ca="1" si="17"/>
        <v>2.2000000000000002</v>
      </c>
      <c r="S68" s="1">
        <f t="shared" ca="1" si="18"/>
        <v>0.15000000000000002</v>
      </c>
      <c r="T68" s="1">
        <f t="shared" ca="1" si="18"/>
        <v>0.9</v>
      </c>
      <c r="U68" s="1">
        <f t="shared" ca="1" si="18"/>
        <v>165.88</v>
      </c>
      <c r="V68" s="1">
        <f t="shared" ca="1" si="18"/>
        <v>0</v>
      </c>
      <c r="W68" s="1">
        <f t="shared" ca="1" si="18"/>
        <v>0</v>
      </c>
      <c r="X68" s="1">
        <f t="shared" ca="1" si="18"/>
        <v>511.55546218487399</v>
      </c>
      <c r="Y68" s="1">
        <f t="shared" ca="1" si="18"/>
        <v>0</v>
      </c>
      <c r="Z68" s="1">
        <f t="shared" ca="1" si="18"/>
        <v>0</v>
      </c>
      <c r="AA68" s="1">
        <f t="shared" ca="1" si="18"/>
        <v>0</v>
      </c>
      <c r="AB68" s="1">
        <f t="shared" ca="1" si="16"/>
        <v>0</v>
      </c>
      <c r="AC68" s="1">
        <f t="shared" ca="1" si="18"/>
        <v>93.500550000000004</v>
      </c>
      <c r="AD68" s="1">
        <f t="shared" ca="1" si="18"/>
        <v>93.500550000000004</v>
      </c>
      <c r="AE68" s="1">
        <f t="shared" ca="1" si="18"/>
        <v>121.55071500000001</v>
      </c>
      <c r="AF68" s="1">
        <f t="shared" ca="1" si="18"/>
        <v>93.500550000000004</v>
      </c>
      <c r="AG68" s="1">
        <f t="shared" ca="1" si="18"/>
        <v>93.500550000000004</v>
      </c>
      <c r="AH68" s="1">
        <f t="shared" ca="1" si="18"/>
        <v>93.500550000000004</v>
      </c>
      <c r="AI68" s="1">
        <f t="shared" ca="1" si="8"/>
        <v>93.500550000000004</v>
      </c>
    </row>
    <row r="69" spans="2:35" x14ac:dyDescent="0.15">
      <c r="B69" s="1" t="str">
        <f t="shared" si="21"/>
        <v>飞行系67</v>
      </c>
      <c r="C69" s="1">
        <v>67</v>
      </c>
      <c r="D69" s="14" t="s">
        <v>90</v>
      </c>
      <c r="E69" s="14">
        <v>1</v>
      </c>
      <c r="F69" s="1" t="str">
        <f t="shared" si="19"/>
        <v>冷却</v>
      </c>
      <c r="H69" s="1">
        <f t="shared" ca="1" si="20"/>
        <v>2453.5658644269124</v>
      </c>
      <c r="I69" s="1">
        <f t="shared" ca="1" si="17"/>
        <v>100</v>
      </c>
      <c r="J69" s="1">
        <f t="shared" ca="1" si="17"/>
        <v>1276.6371428571479</v>
      </c>
      <c r="K69" s="1">
        <f t="shared" ca="1" si="17"/>
        <v>94.917225000000002</v>
      </c>
      <c r="L69" s="1">
        <f t="shared" ca="1" si="17"/>
        <v>1063.86428571429</v>
      </c>
      <c r="M69" s="1">
        <f t="shared" ca="1" si="17"/>
        <v>94.917225000000002</v>
      </c>
      <c r="N69" s="1">
        <f t="shared" ca="1" si="17"/>
        <v>0.2</v>
      </c>
      <c r="O69" s="1">
        <f t="shared" ca="1" si="17"/>
        <v>0.2</v>
      </c>
      <c r="P69" s="1">
        <f t="shared" ca="1" si="17"/>
        <v>0.36</v>
      </c>
      <c r="Q69" s="1">
        <f t="shared" ca="1" si="17"/>
        <v>0.12</v>
      </c>
      <c r="R69" s="1">
        <f t="shared" ca="1" si="17"/>
        <v>2.2000000000000002</v>
      </c>
      <c r="S69" s="1">
        <f t="shared" ca="1" si="18"/>
        <v>0.15000000000000002</v>
      </c>
      <c r="T69" s="1">
        <f t="shared" ca="1" si="18"/>
        <v>0.9</v>
      </c>
      <c r="U69" s="1">
        <f t="shared" ca="1" si="18"/>
        <v>168.39333333333289</v>
      </c>
      <c r="V69" s="1">
        <f t="shared" ca="1" si="18"/>
        <v>0</v>
      </c>
      <c r="W69" s="1">
        <f t="shared" ca="1" si="18"/>
        <v>0</v>
      </c>
      <c r="X69" s="1">
        <f t="shared" ca="1" si="18"/>
        <v>535.93163265306202</v>
      </c>
      <c r="Y69" s="1">
        <f t="shared" ca="1" si="18"/>
        <v>0</v>
      </c>
      <c r="Z69" s="1">
        <f t="shared" ca="1" si="18"/>
        <v>0</v>
      </c>
      <c r="AA69" s="1">
        <f t="shared" ca="1" si="18"/>
        <v>0</v>
      </c>
      <c r="AB69" s="1">
        <f t="shared" ca="1" si="18"/>
        <v>0</v>
      </c>
      <c r="AC69" s="1">
        <f t="shared" ca="1" si="18"/>
        <v>94.917225000000002</v>
      </c>
      <c r="AD69" s="1">
        <f t="shared" ca="1" si="18"/>
        <v>94.917225000000002</v>
      </c>
      <c r="AE69" s="1">
        <f t="shared" ca="1" si="18"/>
        <v>123.3923925</v>
      </c>
      <c r="AF69" s="1">
        <f t="shared" ca="1" si="18"/>
        <v>94.917225000000002</v>
      </c>
      <c r="AG69" s="1">
        <f t="shared" ca="1" si="18"/>
        <v>94.917225000000002</v>
      </c>
      <c r="AH69" s="1">
        <f t="shared" ca="1" si="18"/>
        <v>94.917225000000002</v>
      </c>
      <c r="AI69" s="1">
        <f t="shared" ca="1" si="8"/>
        <v>94.917225000000002</v>
      </c>
    </row>
    <row r="70" spans="2:35" x14ac:dyDescent="0.15">
      <c r="B70" s="1" t="str">
        <f t="shared" si="21"/>
        <v>飞行系68</v>
      </c>
      <c r="C70" s="1">
        <v>68</v>
      </c>
      <c r="D70" s="14" t="s">
        <v>90</v>
      </c>
      <c r="E70" s="14">
        <v>1</v>
      </c>
      <c r="F70" s="1" t="str">
        <f t="shared" si="19"/>
        <v>冷却</v>
      </c>
      <c r="H70" s="1">
        <f t="shared" ca="1" si="20"/>
        <v>2501.7148905115769</v>
      </c>
      <c r="I70" s="1">
        <f t="shared" ca="1" si="17"/>
        <v>100</v>
      </c>
      <c r="J70" s="1">
        <f t="shared" ca="1" si="17"/>
        <v>1307.4679518072239</v>
      </c>
      <c r="K70" s="1">
        <f t="shared" ca="1" si="17"/>
        <v>96.3339</v>
      </c>
      <c r="L70" s="1">
        <f t="shared" ca="1" si="17"/>
        <v>1089.5566265060199</v>
      </c>
      <c r="M70" s="1">
        <f t="shared" ca="1" si="17"/>
        <v>96.3339</v>
      </c>
      <c r="N70" s="1">
        <f t="shared" ca="1" si="17"/>
        <v>0.2</v>
      </c>
      <c r="O70" s="1">
        <f t="shared" ca="1" si="17"/>
        <v>0.2</v>
      </c>
      <c r="P70" s="1">
        <f t="shared" ca="1" si="17"/>
        <v>0.36</v>
      </c>
      <c r="Q70" s="1">
        <f t="shared" ca="1" si="17"/>
        <v>0.12</v>
      </c>
      <c r="R70" s="1">
        <f t="shared" ca="1" si="17"/>
        <v>2.2000000000000002</v>
      </c>
      <c r="S70" s="1">
        <f t="shared" ca="1" si="18"/>
        <v>0.15000000000000002</v>
      </c>
      <c r="T70" s="1">
        <f t="shared" ca="1" si="18"/>
        <v>0.9</v>
      </c>
      <c r="U70" s="1">
        <f t="shared" ca="1" si="18"/>
        <v>170.90666666666712</v>
      </c>
      <c r="V70" s="1">
        <f t="shared" ca="1" si="18"/>
        <v>0</v>
      </c>
      <c r="W70" s="1">
        <f t="shared" ca="1" si="18"/>
        <v>0</v>
      </c>
      <c r="X70" s="1">
        <f t="shared" ca="1" si="18"/>
        <v>561.28674698795203</v>
      </c>
      <c r="Y70" s="1">
        <f t="shared" ca="1" si="18"/>
        <v>0</v>
      </c>
      <c r="Z70" s="1">
        <f t="shared" ca="1" si="18"/>
        <v>0</v>
      </c>
      <c r="AA70" s="1">
        <f t="shared" ca="1" si="18"/>
        <v>0</v>
      </c>
      <c r="AB70" s="1">
        <f t="shared" ca="1" si="18"/>
        <v>0</v>
      </c>
      <c r="AC70" s="1">
        <f t="shared" ca="1" si="18"/>
        <v>96.3339</v>
      </c>
      <c r="AD70" s="1">
        <f t="shared" ca="1" si="18"/>
        <v>96.3339</v>
      </c>
      <c r="AE70" s="1">
        <f t="shared" ca="1" si="18"/>
        <v>125.23407</v>
      </c>
      <c r="AF70" s="1">
        <f t="shared" ca="1" si="18"/>
        <v>96.3339</v>
      </c>
      <c r="AG70" s="1">
        <f t="shared" ca="1" si="18"/>
        <v>96.3339</v>
      </c>
      <c r="AH70" s="1">
        <f t="shared" ca="1" si="18"/>
        <v>96.3339</v>
      </c>
      <c r="AI70" s="1">
        <f t="shared" ca="1" si="8"/>
        <v>96.3339</v>
      </c>
    </row>
    <row r="71" spans="2:35" x14ac:dyDescent="0.15">
      <c r="B71" s="1" t="str">
        <f t="shared" si="21"/>
        <v>飞行系69</v>
      </c>
      <c r="C71" s="1">
        <v>69</v>
      </c>
      <c r="D71" s="14" t="s">
        <v>90</v>
      </c>
      <c r="E71" s="14">
        <v>1</v>
      </c>
      <c r="F71" s="1" t="str">
        <f t="shared" si="19"/>
        <v>冷却</v>
      </c>
      <c r="H71" s="1">
        <f t="shared" ca="1" si="20"/>
        <v>2550.202994244722</v>
      </c>
      <c r="I71" s="1">
        <f t="shared" ca="1" si="17"/>
        <v>100</v>
      </c>
      <c r="J71" s="1">
        <f t="shared" ca="1" si="17"/>
        <v>1338.8428222996558</v>
      </c>
      <c r="K71" s="1">
        <f t="shared" ca="1" si="17"/>
        <v>97.750574999999998</v>
      </c>
      <c r="L71" s="1">
        <f t="shared" ca="1" si="17"/>
        <v>1115.7023519163799</v>
      </c>
      <c r="M71" s="1">
        <f t="shared" ca="1" si="17"/>
        <v>97.750574999999998</v>
      </c>
      <c r="N71" s="1">
        <f t="shared" ca="1" si="17"/>
        <v>0.2</v>
      </c>
      <c r="O71" s="1">
        <f t="shared" ca="1" si="17"/>
        <v>0.2</v>
      </c>
      <c r="P71" s="1">
        <f t="shared" ca="1" si="17"/>
        <v>0.36</v>
      </c>
      <c r="Q71" s="1">
        <f t="shared" ca="1" si="17"/>
        <v>0.12</v>
      </c>
      <c r="R71" s="1">
        <f t="shared" ca="1" si="17"/>
        <v>2.2000000000000002</v>
      </c>
      <c r="S71" s="1">
        <f t="shared" ca="1" si="18"/>
        <v>0.15000000000000002</v>
      </c>
      <c r="T71" s="1">
        <f t="shared" ca="1" si="18"/>
        <v>0.9</v>
      </c>
      <c r="U71" s="1">
        <f t="shared" ca="1" si="18"/>
        <v>173.42000000000002</v>
      </c>
      <c r="V71" s="1">
        <f t="shared" ca="1" si="18"/>
        <v>0</v>
      </c>
      <c r="W71" s="1">
        <f t="shared" ca="1" si="18"/>
        <v>0</v>
      </c>
      <c r="X71" s="1">
        <f t="shared" ca="1" si="18"/>
        <v>587.66001742160302</v>
      </c>
      <c r="Y71" s="1">
        <f t="shared" ca="1" si="18"/>
        <v>0</v>
      </c>
      <c r="Z71" s="1">
        <f t="shared" ca="1" si="18"/>
        <v>0</v>
      </c>
      <c r="AA71" s="1">
        <f t="shared" ca="1" si="18"/>
        <v>0</v>
      </c>
      <c r="AB71" s="1">
        <f t="shared" ca="1" si="18"/>
        <v>0</v>
      </c>
      <c r="AC71" s="1">
        <f t="shared" ca="1" si="18"/>
        <v>97.750574999999998</v>
      </c>
      <c r="AD71" s="1">
        <f t="shared" ca="1" si="18"/>
        <v>97.750574999999998</v>
      </c>
      <c r="AE71" s="1">
        <f t="shared" ca="1" si="18"/>
        <v>127.07574750000001</v>
      </c>
      <c r="AF71" s="1">
        <f t="shared" ca="1" si="18"/>
        <v>97.750574999999998</v>
      </c>
      <c r="AG71" s="1">
        <f t="shared" ca="1" si="18"/>
        <v>97.750574999999998</v>
      </c>
      <c r="AH71" s="1">
        <f t="shared" ca="1" si="18"/>
        <v>97.750574999999998</v>
      </c>
      <c r="AI71" s="1">
        <f t="shared" ca="1" si="8"/>
        <v>97.750574999999998</v>
      </c>
    </row>
    <row r="72" spans="2:35" x14ac:dyDescent="0.15">
      <c r="B72" s="1" t="str">
        <f t="shared" si="21"/>
        <v>飞行系70</v>
      </c>
      <c r="C72" s="1">
        <v>70</v>
      </c>
      <c r="D72" s="14" t="s">
        <v>90</v>
      </c>
      <c r="E72" s="14">
        <v>1</v>
      </c>
      <c r="F72" s="1" t="str">
        <f t="shared" si="19"/>
        <v>冷却</v>
      </c>
      <c r="H72" s="1">
        <f t="shared" ca="1" si="20"/>
        <v>2599.0301756263461</v>
      </c>
      <c r="I72" s="1">
        <f t="shared" ca="1" si="17"/>
        <v>100</v>
      </c>
      <c r="J72" s="1">
        <f t="shared" ca="1" si="17"/>
        <v>1370.777777777784</v>
      </c>
      <c r="K72" s="1">
        <f t="shared" ca="1" si="17"/>
        <v>99.167249999999996</v>
      </c>
      <c r="L72" s="1">
        <f t="shared" ca="1" si="17"/>
        <v>1142.31481481482</v>
      </c>
      <c r="M72" s="1">
        <f t="shared" ca="1" si="17"/>
        <v>99.167249999999996</v>
      </c>
      <c r="N72" s="1">
        <f t="shared" ca="1" si="17"/>
        <v>0.2</v>
      </c>
      <c r="O72" s="1">
        <f t="shared" ca="1" si="17"/>
        <v>0.2</v>
      </c>
      <c r="P72" s="1">
        <f t="shared" ca="1" si="17"/>
        <v>0.36</v>
      </c>
      <c r="Q72" s="1">
        <f t="shared" ca="1" si="17"/>
        <v>0.12</v>
      </c>
      <c r="R72" s="1">
        <f t="shared" ca="1" si="17"/>
        <v>2.2000000000000002</v>
      </c>
      <c r="S72" s="1">
        <f t="shared" ca="1" si="18"/>
        <v>0.15000000000000002</v>
      </c>
      <c r="T72" s="1">
        <f t="shared" ca="1" si="18"/>
        <v>0.9</v>
      </c>
      <c r="U72" s="1">
        <f t="shared" ca="1" si="18"/>
        <v>175.93333333333291</v>
      </c>
      <c r="V72" s="1">
        <f t="shared" ca="1" si="18"/>
        <v>0</v>
      </c>
      <c r="W72" s="1">
        <f t="shared" ca="1" si="18"/>
        <v>0</v>
      </c>
      <c r="X72" s="1">
        <f t="shared" ca="1" si="18"/>
        <v>615.09259259259295</v>
      </c>
      <c r="Y72" s="1">
        <f t="shared" ca="1" si="18"/>
        <v>0</v>
      </c>
      <c r="Z72" s="1">
        <f t="shared" ca="1" si="18"/>
        <v>0</v>
      </c>
      <c r="AA72" s="1">
        <f t="shared" ca="1" si="18"/>
        <v>0</v>
      </c>
      <c r="AB72" s="1">
        <f t="shared" ca="1" si="18"/>
        <v>0</v>
      </c>
      <c r="AC72" s="1">
        <f t="shared" ca="1" si="18"/>
        <v>99.167249999999996</v>
      </c>
      <c r="AD72" s="1">
        <f t="shared" ca="1" si="18"/>
        <v>99.167249999999996</v>
      </c>
      <c r="AE72" s="1">
        <f t="shared" ca="1" si="18"/>
        <v>128.91742500000001</v>
      </c>
      <c r="AF72" s="1">
        <f t="shared" ca="1" si="18"/>
        <v>99.167249999999996</v>
      </c>
      <c r="AG72" s="1">
        <f t="shared" ca="1" si="18"/>
        <v>99.167249999999996</v>
      </c>
      <c r="AH72" s="1">
        <f t="shared" ca="1" si="18"/>
        <v>99.167249999999996</v>
      </c>
      <c r="AI72" s="1">
        <f t="shared" ca="1" si="8"/>
        <v>99.167249999999996</v>
      </c>
    </row>
    <row r="73" spans="2:35" x14ac:dyDescent="0.15">
      <c r="B73" s="1" t="str">
        <f t="shared" si="21"/>
        <v>飞行系71</v>
      </c>
      <c r="C73" s="1">
        <v>71</v>
      </c>
      <c r="D73" s="14" t="s">
        <v>90</v>
      </c>
      <c r="E73" s="14">
        <v>1</v>
      </c>
      <c r="F73" s="1" t="str">
        <f t="shared" si="19"/>
        <v>冷却</v>
      </c>
      <c r="H73" s="1">
        <f t="shared" ca="1" si="20"/>
        <v>2648.1964346564614</v>
      </c>
      <c r="I73" s="1">
        <f t="shared" ref="I73:R82" ca="1" si="22">mVlookup($C73,monsterBaseDate,I$2,FALSE)*(1+mVlookup($E73,monsterType,I$2,FALSE))</f>
        <v>100</v>
      </c>
      <c r="J73" s="1">
        <f t="shared" ca="1" si="22"/>
        <v>1403.289642857148</v>
      </c>
      <c r="K73" s="1">
        <f t="shared" ca="1" si="22"/>
        <v>100.58392499999999</v>
      </c>
      <c r="L73" s="1">
        <f t="shared" ca="1" si="22"/>
        <v>1169.40803571429</v>
      </c>
      <c r="M73" s="1">
        <f t="shared" ca="1" si="22"/>
        <v>100.58392499999999</v>
      </c>
      <c r="N73" s="1">
        <f t="shared" ca="1" si="22"/>
        <v>0.2</v>
      </c>
      <c r="O73" s="1">
        <f t="shared" ca="1" si="22"/>
        <v>0.2</v>
      </c>
      <c r="P73" s="1">
        <f t="shared" ca="1" si="22"/>
        <v>0.36</v>
      </c>
      <c r="Q73" s="1">
        <f t="shared" ca="1" si="22"/>
        <v>0.12</v>
      </c>
      <c r="R73" s="1">
        <f t="shared" ca="1" si="22"/>
        <v>2.2000000000000002</v>
      </c>
      <c r="S73" s="1">
        <f t="shared" ref="S73:AH88" ca="1" si="23">mVlookup($C73,monsterBaseDate,S$2,FALSE)*(1+mVlookup($E73,monsterType,S$2,FALSE))</f>
        <v>0.15000000000000002</v>
      </c>
      <c r="T73" s="1">
        <f t="shared" ca="1" si="23"/>
        <v>0.9</v>
      </c>
      <c r="U73" s="1">
        <f t="shared" ca="1" si="23"/>
        <v>178.44666666666708</v>
      </c>
      <c r="V73" s="1">
        <f t="shared" ca="1" si="23"/>
        <v>0</v>
      </c>
      <c r="W73" s="1">
        <f t="shared" ca="1" si="23"/>
        <v>0</v>
      </c>
      <c r="X73" s="1">
        <f t="shared" ca="1" si="23"/>
        <v>643.62767857142899</v>
      </c>
      <c r="Y73" s="1">
        <f t="shared" ca="1" si="23"/>
        <v>0</v>
      </c>
      <c r="Z73" s="1">
        <f t="shared" ca="1" si="23"/>
        <v>0</v>
      </c>
      <c r="AA73" s="1">
        <f t="shared" ca="1" si="23"/>
        <v>0</v>
      </c>
      <c r="AB73" s="1">
        <f t="shared" ca="1" si="18"/>
        <v>0</v>
      </c>
      <c r="AC73" s="1">
        <f t="shared" ca="1" si="23"/>
        <v>100.58392499999999</v>
      </c>
      <c r="AD73" s="1">
        <f t="shared" ca="1" si="23"/>
        <v>100.58392499999999</v>
      </c>
      <c r="AE73" s="1">
        <f t="shared" ca="1" si="23"/>
        <v>130.75910249999998</v>
      </c>
      <c r="AF73" s="1">
        <f t="shared" ca="1" si="23"/>
        <v>100.58392499999999</v>
      </c>
      <c r="AG73" s="1">
        <f t="shared" ca="1" si="23"/>
        <v>100.58392499999999</v>
      </c>
      <c r="AH73" s="1">
        <f t="shared" ca="1" si="23"/>
        <v>100.58392499999999</v>
      </c>
      <c r="AI73" s="1">
        <f t="shared" ca="1" si="8"/>
        <v>100.58392499999999</v>
      </c>
    </row>
    <row r="74" spans="2:35" x14ac:dyDescent="0.15">
      <c r="B74" s="1" t="str">
        <f t="shared" si="21"/>
        <v>飞行系72</v>
      </c>
      <c r="C74" s="1">
        <v>72</v>
      </c>
      <c r="D74" s="14" t="s">
        <v>90</v>
      </c>
      <c r="E74" s="14">
        <v>1</v>
      </c>
      <c r="F74" s="1" t="str">
        <f t="shared" si="19"/>
        <v>冷却</v>
      </c>
      <c r="H74" s="1">
        <f t="shared" ca="1" si="20"/>
        <v>2697.7017713350565</v>
      </c>
      <c r="I74" s="1">
        <f t="shared" ca="1" si="22"/>
        <v>100</v>
      </c>
      <c r="J74" s="1">
        <f t="shared" ca="1" si="22"/>
        <v>1436.3960940325558</v>
      </c>
      <c r="K74" s="1">
        <f t="shared" ca="1" si="22"/>
        <v>102.00060000000001</v>
      </c>
      <c r="L74" s="1">
        <f t="shared" ca="1" si="22"/>
        <v>1196.9967450271299</v>
      </c>
      <c r="M74" s="1">
        <f t="shared" ca="1" si="22"/>
        <v>102.00060000000001</v>
      </c>
      <c r="N74" s="1">
        <f t="shared" ca="1" si="22"/>
        <v>0.2</v>
      </c>
      <c r="O74" s="1">
        <f t="shared" ca="1" si="22"/>
        <v>0.2</v>
      </c>
      <c r="P74" s="1">
        <f t="shared" ca="1" si="22"/>
        <v>0.36</v>
      </c>
      <c r="Q74" s="1">
        <f t="shared" ca="1" si="22"/>
        <v>0.12</v>
      </c>
      <c r="R74" s="1">
        <f t="shared" ca="1" si="22"/>
        <v>2.2000000000000002</v>
      </c>
      <c r="S74" s="1">
        <f t="shared" ca="1" si="23"/>
        <v>0.15000000000000002</v>
      </c>
      <c r="T74" s="1">
        <f t="shared" ca="1" si="23"/>
        <v>0.9</v>
      </c>
      <c r="U74" s="1">
        <f t="shared" ca="1" si="23"/>
        <v>180.95999999999998</v>
      </c>
      <c r="V74" s="1">
        <f t="shared" ca="1" si="23"/>
        <v>0</v>
      </c>
      <c r="W74" s="1">
        <f t="shared" ca="1" si="23"/>
        <v>0</v>
      </c>
      <c r="X74" s="1">
        <f t="shared" ca="1" si="23"/>
        <v>673.31066907775801</v>
      </c>
      <c r="Y74" s="1">
        <f t="shared" ca="1" si="23"/>
        <v>0</v>
      </c>
      <c r="Z74" s="1">
        <f t="shared" ca="1" si="23"/>
        <v>0</v>
      </c>
      <c r="AA74" s="1">
        <f t="shared" ca="1" si="23"/>
        <v>0</v>
      </c>
      <c r="AB74" s="1">
        <f t="shared" ca="1" si="18"/>
        <v>0</v>
      </c>
      <c r="AC74" s="1">
        <f t="shared" ca="1" si="23"/>
        <v>102.00060000000001</v>
      </c>
      <c r="AD74" s="1">
        <f t="shared" ca="1" si="23"/>
        <v>102.00060000000001</v>
      </c>
      <c r="AE74" s="1">
        <f t="shared" ca="1" si="23"/>
        <v>132.60078000000001</v>
      </c>
      <c r="AF74" s="1">
        <f t="shared" ca="1" si="23"/>
        <v>102.00060000000001</v>
      </c>
      <c r="AG74" s="1">
        <f t="shared" ca="1" si="23"/>
        <v>102.00060000000001</v>
      </c>
      <c r="AH74" s="1">
        <f t="shared" ca="1" si="23"/>
        <v>102.00060000000001</v>
      </c>
      <c r="AI74" s="1">
        <f t="shared" ca="1" si="8"/>
        <v>102.00060000000001</v>
      </c>
    </row>
    <row r="75" spans="2:35" x14ac:dyDescent="0.15">
      <c r="B75" s="1" t="str">
        <f t="shared" si="21"/>
        <v>飞行系73</v>
      </c>
      <c r="C75" s="1">
        <v>73</v>
      </c>
      <c r="D75" s="14" t="s">
        <v>90</v>
      </c>
      <c r="E75" s="14">
        <v>1</v>
      </c>
      <c r="F75" s="1" t="str">
        <f t="shared" si="19"/>
        <v>冷却</v>
      </c>
      <c r="H75" s="1">
        <f t="shared" ca="1" si="20"/>
        <v>2747.5461856621419</v>
      </c>
      <c r="I75" s="1">
        <f t="shared" ca="1" si="22"/>
        <v>100</v>
      </c>
      <c r="J75" s="1">
        <f t="shared" ca="1" si="22"/>
        <v>1470.1157142857157</v>
      </c>
      <c r="K75" s="1">
        <f t="shared" ca="1" si="22"/>
        <v>103.417275</v>
      </c>
      <c r="L75" s="1">
        <f t="shared" ca="1" si="22"/>
        <v>1225.0964285714299</v>
      </c>
      <c r="M75" s="1">
        <f t="shared" ca="1" si="22"/>
        <v>103.417275</v>
      </c>
      <c r="N75" s="1">
        <f t="shared" ca="1" si="22"/>
        <v>0.2</v>
      </c>
      <c r="O75" s="1">
        <f t="shared" ca="1" si="22"/>
        <v>0.2</v>
      </c>
      <c r="P75" s="1">
        <f t="shared" ca="1" si="22"/>
        <v>0.36</v>
      </c>
      <c r="Q75" s="1">
        <f t="shared" ca="1" si="22"/>
        <v>0.12</v>
      </c>
      <c r="R75" s="1">
        <f t="shared" ca="1" si="22"/>
        <v>2.2000000000000002</v>
      </c>
      <c r="S75" s="1">
        <f t="shared" ca="1" si="23"/>
        <v>0.15000000000000002</v>
      </c>
      <c r="T75" s="1">
        <f t="shared" ca="1" si="23"/>
        <v>0.9</v>
      </c>
      <c r="U75" s="1">
        <f t="shared" ca="1" si="23"/>
        <v>183.47333333333293</v>
      </c>
      <c r="V75" s="1">
        <f t="shared" ca="1" si="23"/>
        <v>0</v>
      </c>
      <c r="W75" s="1">
        <f t="shared" ca="1" si="23"/>
        <v>0</v>
      </c>
      <c r="X75" s="1">
        <f t="shared" ca="1" si="23"/>
        <v>704.18928571428603</v>
      </c>
      <c r="Y75" s="1">
        <f t="shared" ca="1" si="23"/>
        <v>0</v>
      </c>
      <c r="Z75" s="1">
        <f t="shared" ca="1" si="23"/>
        <v>0</v>
      </c>
      <c r="AA75" s="1">
        <f t="shared" ca="1" si="23"/>
        <v>0</v>
      </c>
      <c r="AB75" s="1">
        <f t="shared" ca="1" si="18"/>
        <v>0</v>
      </c>
      <c r="AC75" s="1">
        <f t="shared" ca="1" si="23"/>
        <v>103.417275</v>
      </c>
      <c r="AD75" s="1">
        <f t="shared" ca="1" si="23"/>
        <v>103.417275</v>
      </c>
      <c r="AE75" s="1">
        <f t="shared" ca="1" si="23"/>
        <v>134.44245750000002</v>
      </c>
      <c r="AF75" s="1">
        <f t="shared" ca="1" si="23"/>
        <v>103.417275</v>
      </c>
      <c r="AG75" s="1">
        <f t="shared" ca="1" si="23"/>
        <v>103.417275</v>
      </c>
      <c r="AH75" s="1">
        <f t="shared" ca="1" si="23"/>
        <v>103.417275</v>
      </c>
      <c r="AI75" s="1">
        <f t="shared" ca="1" si="8"/>
        <v>103.417275</v>
      </c>
    </row>
    <row r="76" spans="2:35" x14ac:dyDescent="0.15">
      <c r="B76" s="1" t="str">
        <f t="shared" si="21"/>
        <v>飞行系74</v>
      </c>
      <c r="C76" s="1">
        <v>74</v>
      </c>
      <c r="D76" s="14" t="s">
        <v>90</v>
      </c>
      <c r="E76" s="14">
        <v>1</v>
      </c>
      <c r="F76" s="1" t="str">
        <f t="shared" si="19"/>
        <v>冷却</v>
      </c>
      <c r="H76" s="1">
        <f t="shared" ca="1" si="20"/>
        <v>2797.729677637707</v>
      </c>
      <c r="I76" s="1">
        <f t="shared" ca="1" si="22"/>
        <v>100</v>
      </c>
      <c r="J76" s="1">
        <f t="shared" ca="1" si="22"/>
        <v>1504.468051948056</v>
      </c>
      <c r="K76" s="1">
        <f t="shared" ca="1" si="22"/>
        <v>104.83395</v>
      </c>
      <c r="L76" s="1">
        <f t="shared" ca="1" si="22"/>
        <v>1253.7233766233801</v>
      </c>
      <c r="M76" s="1">
        <f t="shared" ca="1" si="22"/>
        <v>104.83395</v>
      </c>
      <c r="N76" s="1">
        <f t="shared" ca="1" si="22"/>
        <v>0.2</v>
      </c>
      <c r="O76" s="1">
        <f t="shared" ca="1" si="22"/>
        <v>0.2</v>
      </c>
      <c r="P76" s="1">
        <f t="shared" ca="1" si="22"/>
        <v>0.36</v>
      </c>
      <c r="Q76" s="1">
        <f t="shared" ca="1" si="22"/>
        <v>0.12</v>
      </c>
      <c r="R76" s="1">
        <f t="shared" ca="1" si="22"/>
        <v>2.2000000000000002</v>
      </c>
      <c r="S76" s="1">
        <f t="shared" ca="1" si="23"/>
        <v>0.15000000000000002</v>
      </c>
      <c r="T76" s="1">
        <f t="shared" ca="1" si="23"/>
        <v>0.9</v>
      </c>
      <c r="U76" s="1">
        <f t="shared" ca="1" si="23"/>
        <v>185.98666666666711</v>
      </c>
      <c r="V76" s="1">
        <f t="shared" ca="1" si="23"/>
        <v>0</v>
      </c>
      <c r="W76" s="1">
        <f t="shared" ca="1" si="23"/>
        <v>0</v>
      </c>
      <c r="X76" s="1">
        <f t="shared" ca="1" si="23"/>
        <v>736.31372912801601</v>
      </c>
      <c r="Y76" s="1">
        <f t="shared" ca="1" si="23"/>
        <v>0</v>
      </c>
      <c r="Z76" s="1">
        <f t="shared" ca="1" si="23"/>
        <v>0</v>
      </c>
      <c r="AA76" s="1">
        <f t="shared" ca="1" si="23"/>
        <v>0</v>
      </c>
      <c r="AB76" s="1">
        <f t="shared" ca="1" si="18"/>
        <v>0</v>
      </c>
      <c r="AC76" s="1">
        <f t="shared" ca="1" si="23"/>
        <v>104.83395</v>
      </c>
      <c r="AD76" s="1">
        <f t="shared" ca="1" si="23"/>
        <v>104.83395</v>
      </c>
      <c r="AE76" s="1">
        <f t="shared" ca="1" si="23"/>
        <v>136.28413500000002</v>
      </c>
      <c r="AF76" s="1">
        <f t="shared" ca="1" si="23"/>
        <v>104.83395</v>
      </c>
      <c r="AG76" s="1">
        <f t="shared" ca="1" si="23"/>
        <v>104.83395</v>
      </c>
      <c r="AH76" s="1">
        <f t="shared" ca="1" si="23"/>
        <v>104.83395</v>
      </c>
      <c r="AI76" s="1">
        <f t="shared" ca="1" si="8"/>
        <v>104.83395</v>
      </c>
    </row>
    <row r="77" spans="2:35" x14ac:dyDescent="0.15">
      <c r="B77" s="1" t="str">
        <f t="shared" si="21"/>
        <v>飞行系75</v>
      </c>
      <c r="C77" s="1">
        <v>75</v>
      </c>
      <c r="D77" s="14" t="s">
        <v>90</v>
      </c>
      <c r="E77" s="14">
        <v>1</v>
      </c>
      <c r="F77" s="1" t="str">
        <f t="shared" si="19"/>
        <v>冷却</v>
      </c>
      <c r="H77" s="1">
        <f t="shared" ca="1" si="20"/>
        <v>2848.2522472617525</v>
      </c>
      <c r="I77" s="1">
        <f t="shared" ca="1" si="22"/>
        <v>100</v>
      </c>
      <c r="J77" s="1">
        <f t="shared" ca="1" si="22"/>
        <v>1539.4736842105319</v>
      </c>
      <c r="K77" s="1">
        <f t="shared" ca="1" si="22"/>
        <v>106.250625</v>
      </c>
      <c r="L77" s="1">
        <f t="shared" ca="1" si="22"/>
        <v>1282.89473684211</v>
      </c>
      <c r="M77" s="1">
        <f t="shared" ca="1" si="22"/>
        <v>106.250625</v>
      </c>
      <c r="N77" s="1">
        <f t="shared" ca="1" si="22"/>
        <v>0.2</v>
      </c>
      <c r="O77" s="1">
        <f t="shared" ca="1" si="22"/>
        <v>0.2</v>
      </c>
      <c r="P77" s="1">
        <f t="shared" ca="1" si="22"/>
        <v>0.36</v>
      </c>
      <c r="Q77" s="1">
        <f t="shared" ca="1" si="22"/>
        <v>0.12</v>
      </c>
      <c r="R77" s="1">
        <f t="shared" ca="1" si="22"/>
        <v>2.2000000000000002</v>
      </c>
      <c r="S77" s="1">
        <f t="shared" ca="1" si="23"/>
        <v>0.15000000000000002</v>
      </c>
      <c r="T77" s="1">
        <f t="shared" ca="1" si="23"/>
        <v>0.9</v>
      </c>
      <c r="U77" s="1">
        <f t="shared" ca="1" si="23"/>
        <v>188.5</v>
      </c>
      <c r="V77" s="1">
        <f t="shared" ca="1" si="23"/>
        <v>0</v>
      </c>
      <c r="W77" s="1">
        <f t="shared" ca="1" si="23"/>
        <v>0</v>
      </c>
      <c r="X77" s="1">
        <f t="shared" ca="1" si="23"/>
        <v>769.73684210526403</v>
      </c>
      <c r="Y77" s="1">
        <f t="shared" ca="1" si="23"/>
        <v>0</v>
      </c>
      <c r="Z77" s="1">
        <f t="shared" ca="1" si="23"/>
        <v>0</v>
      </c>
      <c r="AA77" s="1">
        <f t="shared" ca="1" si="23"/>
        <v>0</v>
      </c>
      <c r="AB77" s="1">
        <f t="shared" ca="1" si="18"/>
        <v>0</v>
      </c>
      <c r="AC77" s="1">
        <f t="shared" ca="1" si="23"/>
        <v>106.250625</v>
      </c>
      <c r="AD77" s="1">
        <f t="shared" ca="1" si="23"/>
        <v>106.250625</v>
      </c>
      <c r="AE77" s="1">
        <f t="shared" ca="1" si="23"/>
        <v>138.12581249999999</v>
      </c>
      <c r="AF77" s="1">
        <f t="shared" ca="1" si="23"/>
        <v>106.250625</v>
      </c>
      <c r="AG77" s="1">
        <f t="shared" ca="1" si="23"/>
        <v>106.250625</v>
      </c>
      <c r="AH77" s="1">
        <f t="shared" ca="1" si="23"/>
        <v>106.250625</v>
      </c>
      <c r="AI77" s="1">
        <f t="shared" ca="1" si="8"/>
        <v>106.250625</v>
      </c>
    </row>
    <row r="78" spans="2:35" x14ac:dyDescent="0.15">
      <c r="B78" s="1" t="str">
        <f t="shared" si="21"/>
        <v>飞行系76</v>
      </c>
      <c r="C78" s="1">
        <v>76</v>
      </c>
      <c r="D78" s="14" t="s">
        <v>90</v>
      </c>
      <c r="E78" s="14">
        <v>1</v>
      </c>
      <c r="F78" s="1" t="str">
        <f t="shared" si="19"/>
        <v>冷却</v>
      </c>
      <c r="H78" s="1">
        <f t="shared" ca="1" si="20"/>
        <v>2899.1138945342886</v>
      </c>
      <c r="I78" s="1">
        <f t="shared" ca="1" si="22"/>
        <v>100</v>
      </c>
      <c r="J78" s="1">
        <f t="shared" ca="1" si="22"/>
        <v>1575.154285714284</v>
      </c>
      <c r="K78" s="1">
        <f t="shared" ca="1" si="22"/>
        <v>107.6673</v>
      </c>
      <c r="L78" s="1">
        <f t="shared" ca="1" si="22"/>
        <v>1312.62857142857</v>
      </c>
      <c r="M78" s="1">
        <f t="shared" ca="1" si="22"/>
        <v>107.6673</v>
      </c>
      <c r="N78" s="1">
        <f t="shared" ca="1" si="22"/>
        <v>0.2</v>
      </c>
      <c r="O78" s="1">
        <f t="shared" ca="1" si="22"/>
        <v>0.2</v>
      </c>
      <c r="P78" s="1">
        <f t="shared" ca="1" si="22"/>
        <v>0.36</v>
      </c>
      <c r="Q78" s="1">
        <f t="shared" ca="1" si="22"/>
        <v>0.12</v>
      </c>
      <c r="R78" s="1">
        <f t="shared" ca="1" si="22"/>
        <v>2.2000000000000002</v>
      </c>
      <c r="S78" s="1">
        <f t="shared" ca="1" si="23"/>
        <v>0.15000000000000002</v>
      </c>
      <c r="T78" s="1">
        <f t="shared" ca="1" si="23"/>
        <v>0.9</v>
      </c>
      <c r="U78" s="1">
        <f t="shared" ca="1" si="23"/>
        <v>191.01333333333289</v>
      </c>
      <c r="V78" s="1">
        <f t="shared" ca="1" si="23"/>
        <v>0</v>
      </c>
      <c r="W78" s="1">
        <f t="shared" ca="1" si="23"/>
        <v>0</v>
      </c>
      <c r="X78" s="1">
        <f t="shared" ca="1" si="23"/>
        <v>804.51428571428596</v>
      </c>
      <c r="Y78" s="1">
        <f t="shared" ca="1" si="23"/>
        <v>0</v>
      </c>
      <c r="Z78" s="1">
        <f t="shared" ca="1" si="23"/>
        <v>0</v>
      </c>
      <c r="AA78" s="1">
        <f t="shared" ca="1" si="23"/>
        <v>0</v>
      </c>
      <c r="AB78" s="1">
        <f t="shared" ca="1" si="18"/>
        <v>0</v>
      </c>
      <c r="AC78" s="1">
        <f t="shared" ca="1" si="23"/>
        <v>107.6673</v>
      </c>
      <c r="AD78" s="1">
        <f t="shared" ca="1" si="23"/>
        <v>107.6673</v>
      </c>
      <c r="AE78" s="1">
        <f t="shared" ca="1" si="23"/>
        <v>139.96749</v>
      </c>
      <c r="AF78" s="1">
        <f t="shared" ca="1" si="23"/>
        <v>107.6673</v>
      </c>
      <c r="AG78" s="1">
        <f t="shared" ca="1" si="23"/>
        <v>107.6673</v>
      </c>
      <c r="AH78" s="1">
        <f t="shared" ca="1" si="23"/>
        <v>107.6673</v>
      </c>
      <c r="AI78" s="1">
        <f t="shared" ca="1" si="8"/>
        <v>107.6673</v>
      </c>
    </row>
    <row r="79" spans="2:35" x14ac:dyDescent="0.15">
      <c r="B79" s="1" t="str">
        <f t="shared" si="21"/>
        <v>飞行系77</v>
      </c>
      <c r="C79" s="1">
        <v>77</v>
      </c>
      <c r="D79" s="14" t="s">
        <v>90</v>
      </c>
      <c r="E79" s="14">
        <v>1</v>
      </c>
      <c r="F79" s="1" t="str">
        <f t="shared" si="19"/>
        <v>冷却</v>
      </c>
      <c r="H79" s="1">
        <f t="shared" ca="1" si="20"/>
        <v>2950.3146194553042</v>
      </c>
      <c r="I79" s="1">
        <f t="shared" ca="1" si="22"/>
        <v>100</v>
      </c>
      <c r="J79" s="1">
        <f t="shared" ca="1" si="22"/>
        <v>1611.532702702704</v>
      </c>
      <c r="K79" s="1">
        <f t="shared" ca="1" si="22"/>
        <v>109.083975</v>
      </c>
      <c r="L79" s="1">
        <f t="shared" ca="1" si="22"/>
        <v>1342.94391891892</v>
      </c>
      <c r="M79" s="1">
        <f t="shared" ca="1" si="22"/>
        <v>109.083975</v>
      </c>
      <c r="N79" s="1">
        <f t="shared" ca="1" si="22"/>
        <v>0.2</v>
      </c>
      <c r="O79" s="1">
        <f t="shared" ca="1" si="22"/>
        <v>0.2</v>
      </c>
      <c r="P79" s="1">
        <f t="shared" ca="1" si="22"/>
        <v>0.36</v>
      </c>
      <c r="Q79" s="1">
        <f t="shared" ca="1" si="22"/>
        <v>0.12</v>
      </c>
      <c r="R79" s="1">
        <f t="shared" ca="1" si="22"/>
        <v>2.2000000000000002</v>
      </c>
      <c r="S79" s="1">
        <f t="shared" ca="1" si="23"/>
        <v>0.15000000000000002</v>
      </c>
      <c r="T79" s="1">
        <f t="shared" ca="1" si="23"/>
        <v>0.9</v>
      </c>
      <c r="U79" s="1">
        <f t="shared" ca="1" si="23"/>
        <v>193.5266666666671</v>
      </c>
      <c r="V79" s="1">
        <f t="shared" ca="1" si="23"/>
        <v>0</v>
      </c>
      <c r="W79" s="1">
        <f t="shared" ca="1" si="23"/>
        <v>0</v>
      </c>
      <c r="X79" s="1">
        <f t="shared" ca="1" si="23"/>
        <v>840.70472972973096</v>
      </c>
      <c r="Y79" s="1">
        <f t="shared" ca="1" si="23"/>
        <v>0</v>
      </c>
      <c r="Z79" s="1">
        <f t="shared" ca="1" si="23"/>
        <v>0</v>
      </c>
      <c r="AA79" s="1">
        <f t="shared" ca="1" si="23"/>
        <v>0</v>
      </c>
      <c r="AB79" s="1">
        <f t="shared" ca="1" si="23"/>
        <v>0</v>
      </c>
      <c r="AC79" s="1">
        <f t="shared" ca="1" si="23"/>
        <v>109.083975</v>
      </c>
      <c r="AD79" s="1">
        <f t="shared" ca="1" si="23"/>
        <v>109.083975</v>
      </c>
      <c r="AE79" s="1">
        <f t="shared" ca="1" si="23"/>
        <v>141.8091675</v>
      </c>
      <c r="AF79" s="1">
        <f t="shared" ca="1" si="23"/>
        <v>109.083975</v>
      </c>
      <c r="AG79" s="1">
        <f t="shared" ca="1" si="23"/>
        <v>109.083975</v>
      </c>
      <c r="AH79" s="1">
        <f t="shared" ca="1" si="23"/>
        <v>109.083975</v>
      </c>
      <c r="AI79" s="1">
        <f t="shared" ca="1" si="8"/>
        <v>109.083975</v>
      </c>
    </row>
    <row r="80" spans="2:35" x14ac:dyDescent="0.15">
      <c r="B80" s="1" t="str">
        <f t="shared" si="21"/>
        <v>飞行系78</v>
      </c>
      <c r="C80" s="1">
        <v>78</v>
      </c>
      <c r="D80" s="14" t="s">
        <v>90</v>
      </c>
      <c r="E80" s="14">
        <v>1</v>
      </c>
      <c r="F80" s="1" t="str">
        <f t="shared" si="19"/>
        <v>冷却</v>
      </c>
      <c r="H80" s="1">
        <f t="shared" ca="1" si="20"/>
        <v>3160.5333177710463</v>
      </c>
      <c r="I80" s="1">
        <f t="shared" ca="1" si="22"/>
        <v>100</v>
      </c>
      <c r="J80" s="1">
        <f t="shared" ca="1" si="22"/>
        <v>1648.6330332681</v>
      </c>
      <c r="K80" s="1">
        <f t="shared" ca="1" si="22"/>
        <v>110.50064999999999</v>
      </c>
      <c r="L80" s="1">
        <f t="shared" ca="1" si="22"/>
        <v>1373.8608610567501</v>
      </c>
      <c r="M80" s="1">
        <f t="shared" ca="1" si="22"/>
        <v>110.50064999999999</v>
      </c>
      <c r="N80" s="1">
        <f t="shared" ca="1" si="22"/>
        <v>0.2</v>
      </c>
      <c r="O80" s="1">
        <f t="shared" ca="1" si="22"/>
        <v>0.2</v>
      </c>
      <c r="P80" s="1">
        <f t="shared" ca="1" si="22"/>
        <v>0.36</v>
      </c>
      <c r="Q80" s="1">
        <f t="shared" ca="1" si="22"/>
        <v>0.12</v>
      </c>
      <c r="R80" s="1">
        <f t="shared" ca="1" si="22"/>
        <v>2.2000000000000002</v>
      </c>
      <c r="S80" s="1">
        <f t="shared" ca="1" si="23"/>
        <v>0.15000000000000002</v>
      </c>
      <c r="T80" s="1">
        <f t="shared" ca="1" si="23"/>
        <v>0.9</v>
      </c>
      <c r="U80" s="1">
        <f t="shared" ca="1" si="23"/>
        <v>196.04000000000002</v>
      </c>
      <c r="V80" s="1">
        <f t="shared" ca="1" si="23"/>
        <v>0</v>
      </c>
      <c r="W80" s="1">
        <f t="shared" ca="1" si="23"/>
        <v>0</v>
      </c>
      <c r="X80" s="1">
        <f t="shared" ca="1" si="23"/>
        <v>878.37005870841597</v>
      </c>
      <c r="Y80" s="1">
        <f t="shared" ca="1" si="23"/>
        <v>0</v>
      </c>
      <c r="Z80" s="1">
        <f t="shared" ca="1" si="23"/>
        <v>0</v>
      </c>
      <c r="AA80" s="1">
        <f t="shared" ca="1" si="23"/>
        <v>0</v>
      </c>
      <c r="AB80" s="1">
        <f t="shared" ca="1" si="23"/>
        <v>0</v>
      </c>
      <c r="AC80" s="1">
        <f t="shared" ca="1" si="23"/>
        <v>110.50064999999999</v>
      </c>
      <c r="AD80" s="1">
        <f t="shared" ca="1" si="23"/>
        <v>110.50064999999999</v>
      </c>
      <c r="AE80" s="1">
        <f t="shared" ca="1" si="23"/>
        <v>143.650845</v>
      </c>
      <c r="AF80" s="1">
        <f t="shared" ca="1" si="23"/>
        <v>110.50064999999999</v>
      </c>
      <c r="AG80" s="1">
        <f t="shared" ca="1" si="23"/>
        <v>110.50064999999999</v>
      </c>
      <c r="AH80" s="1">
        <f t="shared" ca="1" si="23"/>
        <v>110.50064999999999</v>
      </c>
      <c r="AI80" s="1">
        <f t="shared" ca="1" si="8"/>
        <v>110.50064999999999</v>
      </c>
    </row>
    <row r="81" spans="2:35" x14ac:dyDescent="0.15">
      <c r="B81" s="1" t="str">
        <f t="shared" si="21"/>
        <v>飞行系79</v>
      </c>
      <c r="C81" s="1">
        <v>79</v>
      </c>
      <c r="D81" s="14" t="s">
        <v>90</v>
      </c>
      <c r="E81" s="14">
        <v>1</v>
      </c>
      <c r="F81" s="1" t="str">
        <f t="shared" si="19"/>
        <v>冷却</v>
      </c>
      <c r="H81" s="1">
        <f t="shared" ca="1" si="20"/>
        <v>3215.1545306501771</v>
      </c>
      <c r="I81" s="1">
        <f t="shared" ca="1" si="22"/>
        <v>100</v>
      </c>
      <c r="J81" s="1">
        <f t="shared" ca="1" si="22"/>
        <v>1686.4807142857201</v>
      </c>
      <c r="K81" s="1">
        <f t="shared" ca="1" si="22"/>
        <v>111.91732500000001</v>
      </c>
      <c r="L81" s="1">
        <f t="shared" ca="1" si="22"/>
        <v>1405.4005952381001</v>
      </c>
      <c r="M81" s="1">
        <f t="shared" ca="1" si="22"/>
        <v>111.91732500000001</v>
      </c>
      <c r="N81" s="1">
        <f t="shared" ca="1" si="22"/>
        <v>0.2</v>
      </c>
      <c r="O81" s="1">
        <f t="shared" ca="1" si="22"/>
        <v>0.2</v>
      </c>
      <c r="P81" s="1">
        <f t="shared" ca="1" si="22"/>
        <v>0.36</v>
      </c>
      <c r="Q81" s="1">
        <f t="shared" ca="1" si="22"/>
        <v>0.12</v>
      </c>
      <c r="R81" s="1">
        <f t="shared" ca="1" si="22"/>
        <v>2.2000000000000002</v>
      </c>
      <c r="S81" s="1">
        <f t="shared" ca="1" si="23"/>
        <v>0.15000000000000002</v>
      </c>
      <c r="T81" s="1">
        <f t="shared" ca="1" si="23"/>
        <v>0.9</v>
      </c>
      <c r="U81" s="1">
        <f t="shared" ca="1" si="23"/>
        <v>198.55333333333292</v>
      </c>
      <c r="V81" s="1">
        <f t="shared" ca="1" si="23"/>
        <v>0</v>
      </c>
      <c r="W81" s="1">
        <f t="shared" ca="1" si="23"/>
        <v>0</v>
      </c>
      <c r="X81" s="1">
        <f t="shared" ca="1" si="23"/>
        <v>917.57559523809596</v>
      </c>
      <c r="Y81" s="1">
        <f t="shared" ca="1" si="23"/>
        <v>0</v>
      </c>
      <c r="Z81" s="1">
        <f t="shared" ca="1" si="23"/>
        <v>0</v>
      </c>
      <c r="AA81" s="1">
        <f t="shared" ca="1" si="23"/>
        <v>0</v>
      </c>
      <c r="AB81" s="1">
        <f t="shared" ca="1" si="23"/>
        <v>0</v>
      </c>
      <c r="AC81" s="1">
        <f t="shared" ca="1" si="23"/>
        <v>111.91732500000001</v>
      </c>
      <c r="AD81" s="1">
        <f t="shared" ca="1" si="23"/>
        <v>111.91732500000001</v>
      </c>
      <c r="AE81" s="1">
        <f t="shared" ca="1" si="23"/>
        <v>145.49252250000001</v>
      </c>
      <c r="AF81" s="1">
        <f t="shared" ca="1" si="23"/>
        <v>111.91732500000001</v>
      </c>
      <c r="AG81" s="1">
        <f t="shared" ca="1" si="23"/>
        <v>111.91732500000001</v>
      </c>
      <c r="AH81" s="1">
        <f t="shared" ca="1" si="23"/>
        <v>111.91732500000001</v>
      </c>
      <c r="AI81" s="1">
        <f t="shared" ca="1" si="8"/>
        <v>111.91732500000001</v>
      </c>
    </row>
    <row r="82" spans="2:35" x14ac:dyDescent="0.15">
      <c r="B82" s="1" t="str">
        <f t="shared" si="21"/>
        <v>飞行系80</v>
      </c>
      <c r="C82" s="1">
        <v>80</v>
      </c>
      <c r="D82" s="14" t="s">
        <v>90</v>
      </c>
      <c r="E82" s="14">
        <v>1</v>
      </c>
      <c r="F82" s="1" t="str">
        <f t="shared" si="19"/>
        <v>冷却</v>
      </c>
      <c r="H82" s="1">
        <f t="shared" ca="1" si="20"/>
        <v>3270.1327449206801</v>
      </c>
      <c r="I82" s="1">
        <f t="shared" ca="1" si="22"/>
        <v>100</v>
      </c>
      <c r="J82" s="1">
        <f t="shared" ca="1" si="22"/>
        <v>1725.1026156941641</v>
      </c>
      <c r="K82" s="1">
        <f t="shared" ca="1" si="22"/>
        <v>113.334</v>
      </c>
      <c r="L82" s="1">
        <f t="shared" ca="1" si="22"/>
        <v>1437.5855130784701</v>
      </c>
      <c r="M82" s="1">
        <f t="shared" ca="1" si="22"/>
        <v>113.334</v>
      </c>
      <c r="N82" s="1">
        <f t="shared" ca="1" si="22"/>
        <v>0.2</v>
      </c>
      <c r="O82" s="1">
        <f t="shared" ca="1" si="22"/>
        <v>0.2</v>
      </c>
      <c r="P82" s="1">
        <f t="shared" ca="1" si="22"/>
        <v>0.36</v>
      </c>
      <c r="Q82" s="1">
        <f t="shared" ca="1" si="22"/>
        <v>0.12</v>
      </c>
      <c r="R82" s="1">
        <f t="shared" ca="1" si="22"/>
        <v>2.2000000000000002</v>
      </c>
      <c r="S82" s="1">
        <f t="shared" ca="1" si="23"/>
        <v>0.15000000000000002</v>
      </c>
      <c r="T82" s="1">
        <f t="shared" ca="1" si="23"/>
        <v>0.9</v>
      </c>
      <c r="U82" s="1">
        <f t="shared" ca="1" si="23"/>
        <v>201.06666666666712</v>
      </c>
      <c r="V82" s="1">
        <f t="shared" ca="1" si="23"/>
        <v>0</v>
      </c>
      <c r="W82" s="1">
        <f t="shared" ca="1" si="23"/>
        <v>0</v>
      </c>
      <c r="X82" s="1">
        <f t="shared" ca="1" si="23"/>
        <v>958.39034205231496</v>
      </c>
      <c r="Y82" s="1">
        <f t="shared" ca="1" si="23"/>
        <v>0</v>
      </c>
      <c r="Z82" s="1">
        <f t="shared" ca="1" si="23"/>
        <v>0</v>
      </c>
      <c r="AA82" s="1">
        <f t="shared" ca="1" si="23"/>
        <v>0</v>
      </c>
      <c r="AB82" s="1">
        <f t="shared" ca="1" si="23"/>
        <v>0</v>
      </c>
      <c r="AC82" s="1">
        <f t="shared" ca="1" si="23"/>
        <v>113.334</v>
      </c>
      <c r="AD82" s="1">
        <f t="shared" ca="1" si="23"/>
        <v>113.334</v>
      </c>
      <c r="AE82" s="1">
        <f t="shared" ca="1" si="23"/>
        <v>147.33420000000001</v>
      </c>
      <c r="AF82" s="1">
        <f t="shared" ca="1" si="23"/>
        <v>113.334</v>
      </c>
      <c r="AG82" s="1">
        <f t="shared" ca="1" si="23"/>
        <v>113.334</v>
      </c>
      <c r="AH82" s="1">
        <f t="shared" ca="1" si="23"/>
        <v>113.334</v>
      </c>
      <c r="AI82" s="1">
        <f t="shared" ca="1" si="8"/>
        <v>113.334</v>
      </c>
    </row>
    <row r="83" spans="2:35" x14ac:dyDescent="0.15">
      <c r="B83" s="1" t="str">
        <f t="shared" si="21"/>
        <v>飞行系81</v>
      </c>
      <c r="C83" s="1">
        <v>81</v>
      </c>
      <c r="D83" s="14" t="s">
        <v>90</v>
      </c>
      <c r="E83" s="14">
        <v>1</v>
      </c>
      <c r="F83" s="1" t="str">
        <f t="shared" si="19"/>
        <v>冷却</v>
      </c>
      <c r="H83" s="1">
        <f t="shared" ca="1" si="20"/>
        <v>3325.4679605825459</v>
      </c>
      <c r="I83" s="1">
        <f t="shared" ref="I83:R92" ca="1" si="24">mVlookup($C83,monsterBaseDate,I$2,FALSE)*(1+mVlookup($E83,monsterType,I$2,FALSE))</f>
        <v>100</v>
      </c>
      <c r="J83" s="1">
        <f t="shared" ca="1" si="24"/>
        <v>1764.527142857148</v>
      </c>
      <c r="K83" s="1">
        <f t="shared" ca="1" si="24"/>
        <v>114.750675</v>
      </c>
      <c r="L83" s="1">
        <f t="shared" ca="1" si="24"/>
        <v>1470.43928571429</v>
      </c>
      <c r="M83" s="1">
        <f t="shared" ca="1" si="24"/>
        <v>114.750675</v>
      </c>
      <c r="N83" s="1">
        <f t="shared" ca="1" si="24"/>
        <v>0.2</v>
      </c>
      <c r="O83" s="1">
        <f t="shared" ca="1" si="24"/>
        <v>0.2</v>
      </c>
      <c r="P83" s="1">
        <f t="shared" ca="1" si="24"/>
        <v>0.36</v>
      </c>
      <c r="Q83" s="1">
        <f t="shared" ca="1" si="24"/>
        <v>0.12</v>
      </c>
      <c r="R83" s="1">
        <f t="shared" ca="1" si="24"/>
        <v>2.2000000000000002</v>
      </c>
      <c r="S83" s="1">
        <f t="shared" ref="S83:AH98" ca="1" si="25">mVlookup($C83,monsterBaseDate,S$2,FALSE)*(1+mVlookup($E83,monsterType,S$2,FALSE))</f>
        <v>0.15000000000000002</v>
      </c>
      <c r="T83" s="1">
        <f t="shared" ca="1" si="25"/>
        <v>0.9</v>
      </c>
      <c r="U83" s="1">
        <f t="shared" ca="1" si="25"/>
        <v>203.58</v>
      </c>
      <c r="V83" s="1">
        <f t="shared" ca="1" si="25"/>
        <v>0</v>
      </c>
      <c r="W83" s="1">
        <f t="shared" ca="1" si="25"/>
        <v>0</v>
      </c>
      <c r="X83" s="1">
        <f t="shared" ca="1" si="25"/>
        <v>1000.88724489796</v>
      </c>
      <c r="Y83" s="1">
        <f t="shared" ca="1" si="25"/>
        <v>0</v>
      </c>
      <c r="Z83" s="1">
        <f t="shared" ca="1" si="25"/>
        <v>0</v>
      </c>
      <c r="AA83" s="1">
        <f t="shared" ca="1" si="25"/>
        <v>0</v>
      </c>
      <c r="AB83" s="1">
        <f t="shared" ca="1" si="23"/>
        <v>0</v>
      </c>
      <c r="AC83" s="1">
        <f t="shared" ca="1" si="25"/>
        <v>114.750675</v>
      </c>
      <c r="AD83" s="1">
        <f t="shared" ca="1" si="25"/>
        <v>114.750675</v>
      </c>
      <c r="AE83" s="1">
        <f t="shared" ca="1" si="25"/>
        <v>149.17587750000001</v>
      </c>
      <c r="AF83" s="1">
        <f t="shared" ca="1" si="25"/>
        <v>114.750675</v>
      </c>
      <c r="AG83" s="1">
        <f t="shared" ca="1" si="25"/>
        <v>114.750675</v>
      </c>
      <c r="AH83" s="1">
        <f t="shared" ca="1" si="25"/>
        <v>114.750675</v>
      </c>
      <c r="AI83" s="1">
        <f t="shared" ref="AI83:AI146" ca="1" si="26">mVlookup($C83,monsterBaseDate,AI$2,FALSE)*(1+mVlookup($E83,monsterType,AI$2,FALSE))</f>
        <v>114.750675</v>
      </c>
    </row>
    <row r="84" spans="2:35" x14ac:dyDescent="0.15">
      <c r="B84" s="1" t="str">
        <f t="shared" si="21"/>
        <v>飞行系82</v>
      </c>
      <c r="C84" s="1">
        <v>82</v>
      </c>
      <c r="D84" s="14" t="s">
        <v>90</v>
      </c>
      <c r="E84" s="14">
        <v>1</v>
      </c>
      <c r="F84" s="1" t="str">
        <f t="shared" si="19"/>
        <v>冷却</v>
      </c>
      <c r="H84" s="1">
        <f t="shared" ca="1" si="20"/>
        <v>3381.1601776357825</v>
      </c>
      <c r="I84" s="1">
        <f t="shared" ca="1" si="24"/>
        <v>100</v>
      </c>
      <c r="J84" s="1">
        <f t="shared" ca="1" si="24"/>
        <v>1804.7843478260879</v>
      </c>
      <c r="K84" s="1">
        <f t="shared" ca="1" si="24"/>
        <v>116.16735</v>
      </c>
      <c r="L84" s="1">
        <f t="shared" ca="1" si="24"/>
        <v>1503.98695652174</v>
      </c>
      <c r="M84" s="1">
        <f t="shared" ca="1" si="24"/>
        <v>116.16735</v>
      </c>
      <c r="N84" s="1">
        <f t="shared" ca="1" si="24"/>
        <v>0.2</v>
      </c>
      <c r="O84" s="1">
        <f t="shared" ca="1" si="24"/>
        <v>0.2</v>
      </c>
      <c r="P84" s="1">
        <f t="shared" ca="1" si="24"/>
        <v>0.36</v>
      </c>
      <c r="Q84" s="1">
        <f t="shared" ca="1" si="24"/>
        <v>0.12</v>
      </c>
      <c r="R84" s="1">
        <f t="shared" ca="1" si="24"/>
        <v>2.2000000000000002</v>
      </c>
      <c r="S84" s="1">
        <f t="shared" ca="1" si="25"/>
        <v>0.15000000000000002</v>
      </c>
      <c r="T84" s="1">
        <f t="shared" ca="1" si="25"/>
        <v>0.9</v>
      </c>
      <c r="U84" s="1">
        <f t="shared" ca="1" si="25"/>
        <v>206.09333333333291</v>
      </c>
      <c r="V84" s="1">
        <f t="shared" ca="1" si="25"/>
        <v>0</v>
      </c>
      <c r="W84" s="1">
        <f t="shared" ca="1" si="25"/>
        <v>0</v>
      </c>
      <c r="X84" s="1">
        <f t="shared" ca="1" si="25"/>
        <v>1045.1434782608701</v>
      </c>
      <c r="Y84" s="1">
        <f t="shared" ca="1" si="25"/>
        <v>0</v>
      </c>
      <c r="Z84" s="1">
        <f t="shared" ca="1" si="25"/>
        <v>0</v>
      </c>
      <c r="AA84" s="1">
        <f t="shared" ca="1" si="25"/>
        <v>0</v>
      </c>
      <c r="AB84" s="1">
        <f t="shared" ca="1" si="23"/>
        <v>0</v>
      </c>
      <c r="AC84" s="1">
        <f t="shared" ca="1" si="25"/>
        <v>116.16735</v>
      </c>
      <c r="AD84" s="1">
        <f t="shared" ca="1" si="25"/>
        <v>116.16735</v>
      </c>
      <c r="AE84" s="1">
        <f t="shared" ca="1" si="25"/>
        <v>151.01755500000002</v>
      </c>
      <c r="AF84" s="1">
        <f t="shared" ca="1" si="25"/>
        <v>116.16735</v>
      </c>
      <c r="AG84" s="1">
        <f t="shared" ca="1" si="25"/>
        <v>116.16735</v>
      </c>
      <c r="AH84" s="1">
        <f t="shared" ca="1" si="25"/>
        <v>116.16735</v>
      </c>
      <c r="AI84" s="1">
        <f t="shared" ca="1" si="26"/>
        <v>116.16735</v>
      </c>
    </row>
    <row r="85" spans="2:35" x14ac:dyDescent="0.15">
      <c r="B85" s="1" t="str">
        <f t="shared" si="21"/>
        <v>飞行系83</v>
      </c>
      <c r="C85" s="1">
        <v>83</v>
      </c>
      <c r="D85" s="14" t="s">
        <v>90</v>
      </c>
      <c r="E85" s="14">
        <v>1</v>
      </c>
      <c r="F85" s="1" t="str">
        <f t="shared" si="19"/>
        <v>冷却</v>
      </c>
      <c r="H85" s="1">
        <f t="shared" ca="1" si="20"/>
        <v>3437.2093960803809</v>
      </c>
      <c r="I85" s="1">
        <f t="shared" ca="1" si="24"/>
        <v>100</v>
      </c>
      <c r="J85" s="1">
        <f t="shared" ca="1" si="24"/>
        <v>1845.9060504201718</v>
      </c>
      <c r="K85" s="1">
        <f t="shared" ca="1" si="24"/>
        <v>117.584025</v>
      </c>
      <c r="L85" s="1">
        <f t="shared" ca="1" si="24"/>
        <v>1538.25504201681</v>
      </c>
      <c r="M85" s="1">
        <f t="shared" ca="1" si="24"/>
        <v>117.584025</v>
      </c>
      <c r="N85" s="1">
        <f t="shared" ca="1" si="24"/>
        <v>0.2</v>
      </c>
      <c r="O85" s="1">
        <f t="shared" ca="1" si="24"/>
        <v>0.2</v>
      </c>
      <c r="P85" s="1">
        <f t="shared" ca="1" si="24"/>
        <v>0.36</v>
      </c>
      <c r="Q85" s="1">
        <f t="shared" ca="1" si="24"/>
        <v>0.12</v>
      </c>
      <c r="R85" s="1">
        <f t="shared" ca="1" si="24"/>
        <v>2.2000000000000002</v>
      </c>
      <c r="S85" s="1">
        <f t="shared" ca="1" si="25"/>
        <v>0.15000000000000002</v>
      </c>
      <c r="T85" s="1">
        <f t="shared" ca="1" si="25"/>
        <v>0.9</v>
      </c>
      <c r="U85" s="1">
        <f t="shared" ca="1" si="25"/>
        <v>208.60666666666711</v>
      </c>
      <c r="V85" s="1">
        <f t="shared" ca="1" si="25"/>
        <v>0</v>
      </c>
      <c r="W85" s="1">
        <f t="shared" ca="1" si="25"/>
        <v>0</v>
      </c>
      <c r="X85" s="1">
        <f t="shared" ca="1" si="25"/>
        <v>1091.2407563025199</v>
      </c>
      <c r="Y85" s="1">
        <f t="shared" ca="1" si="25"/>
        <v>0</v>
      </c>
      <c r="Z85" s="1">
        <f t="shared" ca="1" si="25"/>
        <v>0</v>
      </c>
      <c r="AA85" s="1">
        <f t="shared" ca="1" si="25"/>
        <v>0</v>
      </c>
      <c r="AB85" s="1">
        <f t="shared" ca="1" si="23"/>
        <v>0</v>
      </c>
      <c r="AC85" s="1">
        <f t="shared" ca="1" si="25"/>
        <v>117.584025</v>
      </c>
      <c r="AD85" s="1">
        <f t="shared" ca="1" si="25"/>
        <v>117.584025</v>
      </c>
      <c r="AE85" s="1">
        <f t="shared" ca="1" si="25"/>
        <v>152.85923249999999</v>
      </c>
      <c r="AF85" s="1">
        <f t="shared" ca="1" si="25"/>
        <v>117.584025</v>
      </c>
      <c r="AG85" s="1">
        <f t="shared" ca="1" si="25"/>
        <v>117.584025</v>
      </c>
      <c r="AH85" s="1">
        <f t="shared" ca="1" si="25"/>
        <v>117.584025</v>
      </c>
      <c r="AI85" s="1">
        <f t="shared" ca="1" si="26"/>
        <v>117.584025</v>
      </c>
    </row>
    <row r="86" spans="2:35" x14ac:dyDescent="0.15">
      <c r="B86" s="1" t="str">
        <f t="shared" si="21"/>
        <v>飞行系84</v>
      </c>
      <c r="C86" s="1">
        <v>84</v>
      </c>
      <c r="D86" s="14" t="s">
        <v>90</v>
      </c>
      <c r="E86" s="14">
        <v>1</v>
      </c>
      <c r="F86" s="1" t="str">
        <f t="shared" si="19"/>
        <v>冷却</v>
      </c>
      <c r="H86" s="1">
        <f t="shared" ca="1" si="20"/>
        <v>3493.6156159163511</v>
      </c>
      <c r="I86" s="1">
        <f t="shared" ca="1" si="24"/>
        <v>100</v>
      </c>
      <c r="J86" s="1">
        <f t="shared" ca="1" si="24"/>
        <v>1887.9259701492597</v>
      </c>
      <c r="K86" s="1">
        <f t="shared" ca="1" si="24"/>
        <v>119.00069999999999</v>
      </c>
      <c r="L86" s="1">
        <f t="shared" ca="1" si="24"/>
        <v>1573.2716417910499</v>
      </c>
      <c r="M86" s="1">
        <f t="shared" ca="1" si="24"/>
        <v>119.00069999999999</v>
      </c>
      <c r="N86" s="1">
        <f t="shared" ca="1" si="24"/>
        <v>0.2</v>
      </c>
      <c r="O86" s="1">
        <f t="shared" ca="1" si="24"/>
        <v>0.2</v>
      </c>
      <c r="P86" s="1">
        <f t="shared" ca="1" si="24"/>
        <v>0.36</v>
      </c>
      <c r="Q86" s="1">
        <f t="shared" ca="1" si="24"/>
        <v>0.12</v>
      </c>
      <c r="R86" s="1">
        <f t="shared" ca="1" si="24"/>
        <v>2.2000000000000002</v>
      </c>
      <c r="S86" s="1">
        <f t="shared" ca="1" si="25"/>
        <v>0.15000000000000002</v>
      </c>
      <c r="T86" s="1">
        <f t="shared" ca="1" si="25"/>
        <v>0.9</v>
      </c>
      <c r="U86" s="1">
        <f t="shared" ca="1" si="25"/>
        <v>211.12</v>
      </c>
      <c r="V86" s="1">
        <f t="shared" ca="1" si="25"/>
        <v>0</v>
      </c>
      <c r="W86" s="1">
        <f t="shared" ca="1" si="25"/>
        <v>0</v>
      </c>
      <c r="X86" s="1">
        <f t="shared" ca="1" si="25"/>
        <v>1139.26567164179</v>
      </c>
      <c r="Y86" s="1">
        <f t="shared" ca="1" si="25"/>
        <v>0</v>
      </c>
      <c r="Z86" s="1">
        <f t="shared" ca="1" si="25"/>
        <v>0</v>
      </c>
      <c r="AA86" s="1">
        <f t="shared" ca="1" si="25"/>
        <v>0</v>
      </c>
      <c r="AB86" s="1">
        <f t="shared" ca="1" si="23"/>
        <v>0</v>
      </c>
      <c r="AC86" s="1">
        <f t="shared" ca="1" si="25"/>
        <v>119.00069999999999</v>
      </c>
      <c r="AD86" s="1">
        <f t="shared" ca="1" si="25"/>
        <v>119.00069999999999</v>
      </c>
      <c r="AE86" s="1">
        <f t="shared" ca="1" si="25"/>
        <v>154.70090999999999</v>
      </c>
      <c r="AF86" s="1">
        <f t="shared" ca="1" si="25"/>
        <v>119.00069999999999</v>
      </c>
      <c r="AG86" s="1">
        <f t="shared" ca="1" si="25"/>
        <v>119.00069999999999</v>
      </c>
      <c r="AH86" s="1">
        <f t="shared" ca="1" si="25"/>
        <v>119.00069999999999</v>
      </c>
      <c r="AI86" s="1">
        <f t="shared" ca="1" si="26"/>
        <v>119.00069999999999</v>
      </c>
    </row>
    <row r="87" spans="2:35" x14ac:dyDescent="0.15">
      <c r="B87" s="1" t="str">
        <f t="shared" si="21"/>
        <v>飞行系85</v>
      </c>
      <c r="C87" s="1">
        <v>85</v>
      </c>
      <c r="D87" s="14" t="s">
        <v>90</v>
      </c>
      <c r="E87" s="14">
        <v>1</v>
      </c>
      <c r="F87" s="1" t="str">
        <f t="shared" si="19"/>
        <v>冷却</v>
      </c>
      <c r="H87" s="1">
        <f t="shared" ca="1" si="20"/>
        <v>3550.3788371436835</v>
      </c>
      <c r="I87" s="1">
        <f t="shared" ca="1" si="24"/>
        <v>100</v>
      </c>
      <c r="J87" s="1">
        <f t="shared" ca="1" si="24"/>
        <v>1930.8798701298717</v>
      </c>
      <c r="K87" s="1">
        <f t="shared" ca="1" si="24"/>
        <v>120.41737500000001</v>
      </c>
      <c r="L87" s="1">
        <f t="shared" ca="1" si="24"/>
        <v>1609.0665584415599</v>
      </c>
      <c r="M87" s="1">
        <f t="shared" ca="1" si="24"/>
        <v>120.41737500000001</v>
      </c>
      <c r="N87" s="1">
        <f t="shared" ca="1" si="24"/>
        <v>0.2</v>
      </c>
      <c r="O87" s="1">
        <f t="shared" ca="1" si="24"/>
        <v>0.2</v>
      </c>
      <c r="P87" s="1">
        <f t="shared" ca="1" si="24"/>
        <v>0.36</v>
      </c>
      <c r="Q87" s="1">
        <f t="shared" ca="1" si="24"/>
        <v>0.12</v>
      </c>
      <c r="R87" s="1">
        <f t="shared" ca="1" si="24"/>
        <v>2.2000000000000002</v>
      </c>
      <c r="S87" s="1">
        <f t="shared" ca="1" si="25"/>
        <v>0.15000000000000002</v>
      </c>
      <c r="T87" s="1">
        <f t="shared" ca="1" si="25"/>
        <v>0.9</v>
      </c>
      <c r="U87" s="1">
        <f t="shared" ca="1" si="25"/>
        <v>213.6333333333329</v>
      </c>
      <c r="V87" s="1">
        <f t="shared" ca="1" si="25"/>
        <v>0</v>
      </c>
      <c r="W87" s="1">
        <f t="shared" ca="1" si="25"/>
        <v>0</v>
      </c>
      <c r="X87" s="1">
        <f t="shared" ca="1" si="25"/>
        <v>1189.3100649350699</v>
      </c>
      <c r="Y87" s="1">
        <f t="shared" ca="1" si="25"/>
        <v>0</v>
      </c>
      <c r="Z87" s="1">
        <f t="shared" ca="1" si="25"/>
        <v>0</v>
      </c>
      <c r="AA87" s="1">
        <f t="shared" ca="1" si="25"/>
        <v>0</v>
      </c>
      <c r="AB87" s="1">
        <f t="shared" ca="1" si="23"/>
        <v>0</v>
      </c>
      <c r="AC87" s="1">
        <f t="shared" ca="1" si="25"/>
        <v>120.41737500000001</v>
      </c>
      <c r="AD87" s="1">
        <f t="shared" ca="1" si="25"/>
        <v>120.41737500000001</v>
      </c>
      <c r="AE87" s="1">
        <f t="shared" ca="1" si="25"/>
        <v>156.54258750000002</v>
      </c>
      <c r="AF87" s="1">
        <f t="shared" ca="1" si="25"/>
        <v>120.41737500000001</v>
      </c>
      <c r="AG87" s="1">
        <f t="shared" ca="1" si="25"/>
        <v>120.41737500000001</v>
      </c>
      <c r="AH87" s="1">
        <f t="shared" ca="1" si="25"/>
        <v>120.41737500000001</v>
      </c>
      <c r="AI87" s="1">
        <f t="shared" ca="1" si="26"/>
        <v>120.41737500000001</v>
      </c>
    </row>
    <row r="88" spans="2:35" x14ac:dyDescent="0.15">
      <c r="B88" s="1" t="str">
        <f t="shared" si="21"/>
        <v>飞行系86</v>
      </c>
      <c r="C88" s="1">
        <v>86</v>
      </c>
      <c r="D88" s="14" t="s">
        <v>90</v>
      </c>
      <c r="E88" s="14">
        <v>1</v>
      </c>
      <c r="F88" s="1" t="str">
        <f t="shared" si="19"/>
        <v>冷却</v>
      </c>
      <c r="H88" s="1">
        <f t="shared" ca="1" si="20"/>
        <v>3607.4990597623878</v>
      </c>
      <c r="I88" s="1">
        <f t="shared" ca="1" si="24"/>
        <v>100</v>
      </c>
      <c r="J88" s="1">
        <f t="shared" ca="1" si="24"/>
        <v>1974.8057142857158</v>
      </c>
      <c r="K88" s="1">
        <f t="shared" ca="1" si="24"/>
        <v>121.83405</v>
      </c>
      <c r="L88" s="1">
        <f t="shared" ca="1" si="24"/>
        <v>1645.6714285714299</v>
      </c>
      <c r="M88" s="1">
        <f t="shared" ca="1" si="24"/>
        <v>121.83405</v>
      </c>
      <c r="N88" s="1">
        <f t="shared" ca="1" si="24"/>
        <v>0.2</v>
      </c>
      <c r="O88" s="1">
        <f t="shared" ca="1" si="24"/>
        <v>0.2</v>
      </c>
      <c r="P88" s="1">
        <f t="shared" ca="1" si="24"/>
        <v>0.36</v>
      </c>
      <c r="Q88" s="1">
        <f t="shared" ca="1" si="24"/>
        <v>0.12</v>
      </c>
      <c r="R88" s="1">
        <f t="shared" ca="1" si="24"/>
        <v>2.2000000000000002</v>
      </c>
      <c r="S88" s="1">
        <f t="shared" ca="1" si="25"/>
        <v>0.15000000000000002</v>
      </c>
      <c r="T88" s="1">
        <f t="shared" ca="1" si="25"/>
        <v>0.9</v>
      </c>
      <c r="U88" s="1">
        <f t="shared" ca="1" si="25"/>
        <v>216.1466666666671</v>
      </c>
      <c r="V88" s="1">
        <f t="shared" ca="1" si="25"/>
        <v>0</v>
      </c>
      <c r="W88" s="1">
        <f t="shared" ca="1" si="25"/>
        <v>0</v>
      </c>
      <c r="X88" s="1">
        <f t="shared" ca="1" si="25"/>
        <v>1241.4714285714299</v>
      </c>
      <c r="Y88" s="1">
        <f t="shared" ca="1" si="25"/>
        <v>0</v>
      </c>
      <c r="Z88" s="1">
        <f t="shared" ca="1" si="25"/>
        <v>0</v>
      </c>
      <c r="AA88" s="1">
        <f t="shared" ca="1" si="25"/>
        <v>0</v>
      </c>
      <c r="AB88" s="1">
        <f t="shared" ca="1" si="23"/>
        <v>0</v>
      </c>
      <c r="AC88" s="1">
        <f t="shared" ca="1" si="25"/>
        <v>121.83405</v>
      </c>
      <c r="AD88" s="1">
        <f t="shared" ca="1" si="25"/>
        <v>121.83405</v>
      </c>
      <c r="AE88" s="1">
        <f t="shared" ca="1" si="25"/>
        <v>158.384265</v>
      </c>
      <c r="AF88" s="1">
        <f t="shared" ca="1" si="25"/>
        <v>121.83405</v>
      </c>
      <c r="AG88" s="1">
        <f t="shared" ca="1" si="25"/>
        <v>121.83405</v>
      </c>
      <c r="AH88" s="1">
        <f t="shared" ca="1" si="25"/>
        <v>121.83405</v>
      </c>
      <c r="AI88" s="1">
        <f t="shared" ca="1" si="26"/>
        <v>121.83405</v>
      </c>
    </row>
    <row r="89" spans="2:35" x14ac:dyDescent="0.15">
      <c r="B89" s="1" t="str">
        <f t="shared" si="21"/>
        <v>飞行系87</v>
      </c>
      <c r="C89" s="1">
        <v>87</v>
      </c>
      <c r="D89" s="14" t="s">
        <v>90</v>
      </c>
      <c r="E89" s="14">
        <v>1</v>
      </c>
      <c r="F89" s="1" t="str">
        <f t="shared" si="19"/>
        <v>冷却</v>
      </c>
      <c r="H89" s="1">
        <f t="shared" ca="1" si="20"/>
        <v>3664.9762837724538</v>
      </c>
      <c r="I89" s="1">
        <f t="shared" ca="1" si="24"/>
        <v>100</v>
      </c>
      <c r="J89" s="1">
        <f t="shared" ca="1" si="24"/>
        <v>2019.7438392857157</v>
      </c>
      <c r="K89" s="1">
        <f t="shared" ca="1" si="24"/>
        <v>123.250725</v>
      </c>
      <c r="L89" s="1">
        <f t="shared" ca="1" si="24"/>
        <v>1683.1198660714299</v>
      </c>
      <c r="M89" s="1">
        <f t="shared" ca="1" si="24"/>
        <v>123.250725</v>
      </c>
      <c r="N89" s="1">
        <f t="shared" ca="1" si="24"/>
        <v>0.2</v>
      </c>
      <c r="O89" s="1">
        <f t="shared" ca="1" si="24"/>
        <v>0.2</v>
      </c>
      <c r="P89" s="1">
        <f t="shared" ca="1" si="24"/>
        <v>0.36</v>
      </c>
      <c r="Q89" s="1">
        <f t="shared" ca="1" si="24"/>
        <v>0.12</v>
      </c>
      <c r="R89" s="1">
        <f t="shared" ca="1" si="24"/>
        <v>2.2000000000000002</v>
      </c>
      <c r="S89" s="1">
        <f t="shared" ca="1" si="25"/>
        <v>0.15000000000000002</v>
      </c>
      <c r="T89" s="1">
        <f t="shared" ca="1" si="25"/>
        <v>0.9</v>
      </c>
      <c r="U89" s="1">
        <f t="shared" ca="1" si="25"/>
        <v>218.66</v>
      </c>
      <c r="V89" s="1">
        <f t="shared" ca="1" si="25"/>
        <v>0</v>
      </c>
      <c r="W89" s="1">
        <f t="shared" ca="1" si="25"/>
        <v>0</v>
      </c>
      <c r="X89" s="1">
        <f t="shared" ca="1" si="25"/>
        <v>1295.85334821429</v>
      </c>
      <c r="Y89" s="1">
        <f t="shared" ca="1" si="25"/>
        <v>0</v>
      </c>
      <c r="Z89" s="1">
        <f t="shared" ca="1" si="25"/>
        <v>0</v>
      </c>
      <c r="AA89" s="1">
        <f t="shared" ca="1" si="25"/>
        <v>0</v>
      </c>
      <c r="AB89" s="1">
        <f t="shared" ca="1" si="25"/>
        <v>0</v>
      </c>
      <c r="AC89" s="1">
        <f t="shared" ca="1" si="25"/>
        <v>123.250725</v>
      </c>
      <c r="AD89" s="1">
        <f t="shared" ca="1" si="25"/>
        <v>123.250725</v>
      </c>
      <c r="AE89" s="1">
        <f t="shared" ca="1" si="25"/>
        <v>160.2259425</v>
      </c>
      <c r="AF89" s="1">
        <f t="shared" ca="1" si="25"/>
        <v>123.250725</v>
      </c>
      <c r="AG89" s="1">
        <f t="shared" ca="1" si="25"/>
        <v>123.250725</v>
      </c>
      <c r="AH89" s="1">
        <f t="shared" ca="1" si="25"/>
        <v>123.250725</v>
      </c>
      <c r="AI89" s="1">
        <f t="shared" ca="1" si="26"/>
        <v>123.250725</v>
      </c>
    </row>
    <row r="90" spans="2:35" x14ac:dyDescent="0.15">
      <c r="B90" s="1" t="str">
        <f t="shared" si="21"/>
        <v>飞行系88</v>
      </c>
      <c r="C90" s="1">
        <v>88</v>
      </c>
      <c r="D90" s="14" t="s">
        <v>90</v>
      </c>
      <c r="E90" s="14">
        <v>1</v>
      </c>
      <c r="F90" s="1" t="str">
        <f t="shared" si="19"/>
        <v>冷却</v>
      </c>
      <c r="H90" s="1">
        <f t="shared" ca="1" si="20"/>
        <v>3722.8105091738917</v>
      </c>
      <c r="I90" s="1">
        <f t="shared" ca="1" si="24"/>
        <v>100</v>
      </c>
      <c r="J90" s="1">
        <f t="shared" ca="1" si="24"/>
        <v>2065.7371428571441</v>
      </c>
      <c r="K90" s="1">
        <f t="shared" ca="1" si="24"/>
        <v>124.6674</v>
      </c>
      <c r="L90" s="1">
        <f t="shared" ca="1" si="24"/>
        <v>1721.44761904762</v>
      </c>
      <c r="M90" s="1">
        <f t="shared" ca="1" si="24"/>
        <v>124.6674</v>
      </c>
      <c r="N90" s="1">
        <f t="shared" ca="1" si="24"/>
        <v>0.2</v>
      </c>
      <c r="O90" s="1">
        <f t="shared" ca="1" si="24"/>
        <v>0.2</v>
      </c>
      <c r="P90" s="1">
        <f t="shared" ca="1" si="24"/>
        <v>0.36</v>
      </c>
      <c r="Q90" s="1">
        <f t="shared" ca="1" si="24"/>
        <v>0.12</v>
      </c>
      <c r="R90" s="1">
        <f t="shared" ca="1" si="24"/>
        <v>2.2000000000000002</v>
      </c>
      <c r="S90" s="1">
        <f t="shared" ca="1" si="25"/>
        <v>0.15000000000000002</v>
      </c>
      <c r="T90" s="1">
        <f t="shared" ca="1" si="25"/>
        <v>0.9</v>
      </c>
      <c r="U90" s="1">
        <f t="shared" ca="1" si="25"/>
        <v>221.17333333333292</v>
      </c>
      <c r="V90" s="1">
        <f t="shared" ca="1" si="25"/>
        <v>0</v>
      </c>
      <c r="W90" s="1">
        <f t="shared" ca="1" si="25"/>
        <v>0</v>
      </c>
      <c r="X90" s="1">
        <f t="shared" ca="1" si="25"/>
        <v>1352.56598639456</v>
      </c>
      <c r="Y90" s="1">
        <f t="shared" ca="1" si="25"/>
        <v>0</v>
      </c>
      <c r="Z90" s="1">
        <f t="shared" ca="1" si="25"/>
        <v>0</v>
      </c>
      <c r="AA90" s="1">
        <f t="shared" ca="1" si="25"/>
        <v>0</v>
      </c>
      <c r="AB90" s="1">
        <f t="shared" ca="1" si="25"/>
        <v>0</v>
      </c>
      <c r="AC90" s="1">
        <f t="shared" ca="1" si="25"/>
        <v>124.6674</v>
      </c>
      <c r="AD90" s="1">
        <f t="shared" ca="1" si="25"/>
        <v>124.6674</v>
      </c>
      <c r="AE90" s="1">
        <f t="shared" ca="1" si="25"/>
        <v>162.06762000000001</v>
      </c>
      <c r="AF90" s="1">
        <f t="shared" ca="1" si="25"/>
        <v>124.6674</v>
      </c>
      <c r="AG90" s="1">
        <f t="shared" ca="1" si="25"/>
        <v>124.6674</v>
      </c>
      <c r="AH90" s="1">
        <f t="shared" ca="1" si="25"/>
        <v>124.6674</v>
      </c>
      <c r="AI90" s="1">
        <f t="shared" ca="1" si="26"/>
        <v>124.6674</v>
      </c>
    </row>
    <row r="91" spans="2:35" x14ac:dyDescent="0.15">
      <c r="B91" s="1" t="str">
        <f t="shared" si="21"/>
        <v>飞行系89</v>
      </c>
      <c r="C91" s="1">
        <v>89</v>
      </c>
      <c r="D91" s="14" t="s">
        <v>90</v>
      </c>
      <c r="E91" s="14">
        <v>1</v>
      </c>
      <c r="F91" s="1" t="str">
        <f t="shared" si="19"/>
        <v>冷却</v>
      </c>
      <c r="H91" s="1">
        <f t="shared" ca="1" si="20"/>
        <v>3981.3109712415976</v>
      </c>
      <c r="I91" s="1">
        <f t="shared" ca="1" si="24"/>
        <v>100</v>
      </c>
      <c r="J91" s="1">
        <f t="shared" ca="1" si="24"/>
        <v>2112.8312903225878</v>
      </c>
      <c r="K91" s="1">
        <f t="shared" ca="1" si="24"/>
        <v>126.084075</v>
      </c>
      <c r="L91" s="1">
        <f t="shared" ca="1" si="24"/>
        <v>1760.6927419354899</v>
      </c>
      <c r="M91" s="1">
        <f t="shared" ca="1" si="24"/>
        <v>126.084075</v>
      </c>
      <c r="N91" s="1">
        <f t="shared" ca="1" si="24"/>
        <v>0.2</v>
      </c>
      <c r="O91" s="1">
        <f t="shared" ca="1" si="24"/>
        <v>0.2</v>
      </c>
      <c r="P91" s="1">
        <f t="shared" ca="1" si="24"/>
        <v>0.36</v>
      </c>
      <c r="Q91" s="1">
        <f t="shared" ca="1" si="24"/>
        <v>0.12</v>
      </c>
      <c r="R91" s="1">
        <f t="shared" ca="1" si="24"/>
        <v>2.2000000000000002</v>
      </c>
      <c r="S91" s="1">
        <f t="shared" ca="1" si="25"/>
        <v>0.15000000000000002</v>
      </c>
      <c r="T91" s="1">
        <f t="shared" ca="1" si="25"/>
        <v>0.9</v>
      </c>
      <c r="U91" s="1">
        <f t="shared" ca="1" si="25"/>
        <v>223.68666666666712</v>
      </c>
      <c r="V91" s="1">
        <f t="shared" ca="1" si="25"/>
        <v>0</v>
      </c>
      <c r="W91" s="1">
        <f t="shared" ca="1" si="25"/>
        <v>0</v>
      </c>
      <c r="X91" s="1">
        <f t="shared" ca="1" si="25"/>
        <v>1411.72661290323</v>
      </c>
      <c r="Y91" s="1">
        <f t="shared" ca="1" si="25"/>
        <v>0</v>
      </c>
      <c r="Z91" s="1">
        <f t="shared" ca="1" si="25"/>
        <v>0</v>
      </c>
      <c r="AA91" s="1">
        <f t="shared" ca="1" si="25"/>
        <v>0</v>
      </c>
      <c r="AB91" s="1">
        <f t="shared" ca="1" si="25"/>
        <v>0</v>
      </c>
      <c r="AC91" s="1">
        <f t="shared" ca="1" si="25"/>
        <v>126.084075</v>
      </c>
      <c r="AD91" s="1">
        <f t="shared" ca="1" si="25"/>
        <v>126.084075</v>
      </c>
      <c r="AE91" s="1">
        <f t="shared" ca="1" si="25"/>
        <v>163.90929750000001</v>
      </c>
      <c r="AF91" s="1">
        <f t="shared" ca="1" si="25"/>
        <v>126.084075</v>
      </c>
      <c r="AG91" s="1">
        <f t="shared" ca="1" si="25"/>
        <v>126.084075</v>
      </c>
      <c r="AH91" s="1">
        <f t="shared" ca="1" si="25"/>
        <v>126.084075</v>
      </c>
      <c r="AI91" s="1">
        <f t="shared" ca="1" si="26"/>
        <v>126.084075</v>
      </c>
    </row>
    <row r="92" spans="2:35" x14ac:dyDescent="0.15">
      <c r="B92" s="1" t="str">
        <f t="shared" si="21"/>
        <v>飞行系90</v>
      </c>
      <c r="C92" s="1">
        <v>90</v>
      </c>
      <c r="D92" s="14" t="s">
        <v>90</v>
      </c>
      <c r="E92" s="14">
        <v>1</v>
      </c>
      <c r="F92" s="1" t="str">
        <f t="shared" si="19"/>
        <v>冷却</v>
      </c>
      <c r="H92" s="1">
        <f t="shared" ca="1" si="20"/>
        <v>4042.9609570109915</v>
      </c>
      <c r="I92" s="1">
        <f t="shared" ca="1" si="24"/>
        <v>100</v>
      </c>
      <c r="J92" s="1">
        <f t="shared" ca="1" si="24"/>
        <v>2161.074941451996</v>
      </c>
      <c r="K92" s="1">
        <f t="shared" ca="1" si="24"/>
        <v>127.50075</v>
      </c>
      <c r="L92" s="1">
        <f t="shared" ca="1" si="24"/>
        <v>1800.8957845433299</v>
      </c>
      <c r="M92" s="1">
        <f t="shared" ca="1" si="24"/>
        <v>127.50075</v>
      </c>
      <c r="N92" s="1">
        <f t="shared" ca="1" si="24"/>
        <v>0.2</v>
      </c>
      <c r="O92" s="1">
        <f t="shared" ca="1" si="24"/>
        <v>0.2</v>
      </c>
      <c r="P92" s="1">
        <f t="shared" ca="1" si="24"/>
        <v>0.36</v>
      </c>
      <c r="Q92" s="1">
        <f t="shared" ca="1" si="24"/>
        <v>0.12</v>
      </c>
      <c r="R92" s="1">
        <f t="shared" ca="1" si="24"/>
        <v>2.2000000000000002</v>
      </c>
      <c r="S92" s="1">
        <f t="shared" ca="1" si="25"/>
        <v>0.15000000000000002</v>
      </c>
      <c r="T92" s="1">
        <f t="shared" ca="1" si="25"/>
        <v>0.9</v>
      </c>
      <c r="U92" s="1">
        <f t="shared" ca="1" si="25"/>
        <v>226.20000000000002</v>
      </c>
      <c r="V92" s="1">
        <f t="shared" ca="1" si="25"/>
        <v>0</v>
      </c>
      <c r="W92" s="1">
        <f t="shared" ca="1" si="25"/>
        <v>0</v>
      </c>
      <c r="X92" s="1">
        <f t="shared" ca="1" si="25"/>
        <v>1473.4601873536301</v>
      </c>
      <c r="Y92" s="1">
        <f t="shared" ca="1" si="25"/>
        <v>0</v>
      </c>
      <c r="Z92" s="1">
        <f t="shared" ca="1" si="25"/>
        <v>0</v>
      </c>
      <c r="AA92" s="1">
        <f t="shared" ca="1" si="25"/>
        <v>0</v>
      </c>
      <c r="AB92" s="1">
        <f t="shared" ca="1" si="25"/>
        <v>0</v>
      </c>
      <c r="AC92" s="1">
        <f t="shared" ca="1" si="25"/>
        <v>127.50075</v>
      </c>
      <c r="AD92" s="1">
        <f t="shared" ca="1" si="25"/>
        <v>127.50075</v>
      </c>
      <c r="AE92" s="1">
        <f t="shared" ca="1" si="25"/>
        <v>165.75097500000001</v>
      </c>
      <c r="AF92" s="1">
        <f t="shared" ca="1" si="25"/>
        <v>127.50075</v>
      </c>
      <c r="AG92" s="1">
        <f t="shared" ca="1" si="25"/>
        <v>127.50075</v>
      </c>
      <c r="AH92" s="1">
        <f t="shared" ca="1" si="25"/>
        <v>127.50075</v>
      </c>
      <c r="AI92" s="1">
        <f t="shared" ca="1" si="26"/>
        <v>127.50075</v>
      </c>
    </row>
    <row r="93" spans="2:35" x14ac:dyDescent="0.15">
      <c r="B93" s="1" t="str">
        <f t="shared" si="21"/>
        <v>飞行系91</v>
      </c>
      <c r="C93" s="1">
        <v>91</v>
      </c>
      <c r="D93" s="14" t="s">
        <v>90</v>
      </c>
      <c r="E93" s="14">
        <v>1</v>
      </c>
      <c r="F93" s="1" t="str">
        <f t="shared" si="19"/>
        <v>冷却</v>
      </c>
      <c r="H93" s="1">
        <f t="shared" ca="1" si="20"/>
        <v>4104.9868573277499</v>
      </c>
      <c r="I93" s="1">
        <f t="shared" ref="I93:R102" ca="1" si="27">mVlookup($C93,monsterBaseDate,I$2,FALSE)*(1+mVlookup($E93,monsterType,I$2,FALSE))</f>
        <v>100</v>
      </c>
      <c r="J93" s="1">
        <f t="shared" ca="1" si="27"/>
        <v>2210.52</v>
      </c>
      <c r="K93" s="1">
        <f t="shared" ca="1" si="27"/>
        <v>128.91742500000001</v>
      </c>
      <c r="L93" s="1">
        <f t="shared" ca="1" si="27"/>
        <v>1842.1</v>
      </c>
      <c r="M93" s="1">
        <f t="shared" ca="1" si="27"/>
        <v>128.91742500000001</v>
      </c>
      <c r="N93" s="1">
        <f t="shared" ca="1" si="27"/>
        <v>0.2</v>
      </c>
      <c r="O93" s="1">
        <f t="shared" ca="1" si="27"/>
        <v>0.2</v>
      </c>
      <c r="P93" s="1">
        <f t="shared" ca="1" si="27"/>
        <v>0.36</v>
      </c>
      <c r="Q93" s="1">
        <f t="shared" ca="1" si="27"/>
        <v>0.12</v>
      </c>
      <c r="R93" s="1">
        <f t="shared" ca="1" si="27"/>
        <v>2.2000000000000002</v>
      </c>
      <c r="S93" s="1">
        <f t="shared" ref="S93:AH108" ca="1" si="28">mVlookup($C93,monsterBaseDate,S$2,FALSE)*(1+mVlookup($E93,monsterType,S$2,FALSE))</f>
        <v>0.15000000000000002</v>
      </c>
      <c r="T93" s="1">
        <f t="shared" ca="1" si="28"/>
        <v>0.9</v>
      </c>
      <c r="U93" s="1">
        <f t="shared" ca="1" si="28"/>
        <v>228.71333333333291</v>
      </c>
      <c r="V93" s="1">
        <f t="shared" ca="1" si="28"/>
        <v>0</v>
      </c>
      <c r="W93" s="1">
        <f t="shared" ca="1" si="28"/>
        <v>0</v>
      </c>
      <c r="X93" s="1">
        <f t="shared" ca="1" si="28"/>
        <v>1537.9</v>
      </c>
      <c r="Y93" s="1">
        <f t="shared" ca="1" si="28"/>
        <v>0</v>
      </c>
      <c r="Z93" s="1">
        <f t="shared" ca="1" si="28"/>
        <v>0</v>
      </c>
      <c r="AA93" s="1">
        <f t="shared" ca="1" si="28"/>
        <v>0</v>
      </c>
      <c r="AB93" s="1">
        <f t="shared" ca="1" si="25"/>
        <v>0</v>
      </c>
      <c r="AC93" s="1">
        <f t="shared" ca="1" si="28"/>
        <v>128.91742500000001</v>
      </c>
      <c r="AD93" s="1">
        <f t="shared" ca="1" si="28"/>
        <v>128.91742500000001</v>
      </c>
      <c r="AE93" s="1">
        <f t="shared" ca="1" si="28"/>
        <v>167.59265250000001</v>
      </c>
      <c r="AF93" s="1">
        <f t="shared" ca="1" si="28"/>
        <v>128.91742500000001</v>
      </c>
      <c r="AG93" s="1">
        <f t="shared" ca="1" si="28"/>
        <v>128.91742500000001</v>
      </c>
      <c r="AH93" s="1">
        <f t="shared" ca="1" si="28"/>
        <v>128.91742500000001</v>
      </c>
      <c r="AI93" s="1">
        <f t="shared" ca="1" si="26"/>
        <v>128.91742500000001</v>
      </c>
    </row>
    <row r="94" spans="2:35" x14ac:dyDescent="0.15">
      <c r="B94" s="1" t="str">
        <f t="shared" si="21"/>
        <v>飞行系92</v>
      </c>
      <c r="C94" s="1">
        <v>92</v>
      </c>
      <c r="D94" s="14" t="s">
        <v>90</v>
      </c>
      <c r="E94" s="14">
        <v>1</v>
      </c>
      <c r="F94" s="1" t="str">
        <f t="shared" si="19"/>
        <v>冷却</v>
      </c>
      <c r="H94" s="1">
        <f t="shared" ca="1" si="20"/>
        <v>4167.3886721918916</v>
      </c>
      <c r="I94" s="1">
        <f t="shared" ca="1" si="27"/>
        <v>100</v>
      </c>
      <c r="J94" s="1">
        <f t="shared" ca="1" si="27"/>
        <v>2261.2218886198557</v>
      </c>
      <c r="K94" s="1">
        <f t="shared" ca="1" si="27"/>
        <v>130.33410000000001</v>
      </c>
      <c r="L94" s="1">
        <f t="shared" ca="1" si="27"/>
        <v>1884.35157384988</v>
      </c>
      <c r="M94" s="1">
        <f t="shared" ca="1" si="27"/>
        <v>130.33410000000001</v>
      </c>
      <c r="N94" s="1">
        <f t="shared" ca="1" si="27"/>
        <v>0.2</v>
      </c>
      <c r="O94" s="1">
        <f t="shared" ca="1" si="27"/>
        <v>0.2</v>
      </c>
      <c r="P94" s="1">
        <f t="shared" ca="1" si="27"/>
        <v>0.36</v>
      </c>
      <c r="Q94" s="1">
        <f t="shared" ca="1" si="27"/>
        <v>0.12</v>
      </c>
      <c r="R94" s="1">
        <f t="shared" ca="1" si="27"/>
        <v>2.2000000000000002</v>
      </c>
      <c r="S94" s="1">
        <f t="shared" ca="1" si="28"/>
        <v>0.15000000000000002</v>
      </c>
      <c r="T94" s="1">
        <f t="shared" ca="1" si="28"/>
        <v>0.9</v>
      </c>
      <c r="U94" s="1">
        <f t="shared" ca="1" si="28"/>
        <v>231.22666666666709</v>
      </c>
      <c r="V94" s="1">
        <f t="shared" ca="1" si="28"/>
        <v>0</v>
      </c>
      <c r="W94" s="1">
        <f t="shared" ca="1" si="28"/>
        <v>0</v>
      </c>
      <c r="X94" s="1">
        <f t="shared" ca="1" si="28"/>
        <v>1605.18837772397</v>
      </c>
      <c r="Y94" s="1">
        <f t="shared" ca="1" si="28"/>
        <v>0</v>
      </c>
      <c r="Z94" s="1">
        <f t="shared" ca="1" si="28"/>
        <v>0</v>
      </c>
      <c r="AA94" s="1">
        <f t="shared" ca="1" si="28"/>
        <v>0</v>
      </c>
      <c r="AB94" s="1">
        <f t="shared" ca="1" si="25"/>
        <v>0</v>
      </c>
      <c r="AC94" s="1">
        <f t="shared" ca="1" si="28"/>
        <v>130.33410000000001</v>
      </c>
      <c r="AD94" s="1">
        <f t="shared" ca="1" si="28"/>
        <v>130.33410000000001</v>
      </c>
      <c r="AE94" s="1">
        <f t="shared" ca="1" si="28"/>
        <v>169.43433000000002</v>
      </c>
      <c r="AF94" s="1">
        <f t="shared" ca="1" si="28"/>
        <v>130.33410000000001</v>
      </c>
      <c r="AG94" s="1">
        <f t="shared" ca="1" si="28"/>
        <v>130.33410000000001</v>
      </c>
      <c r="AH94" s="1">
        <f t="shared" ca="1" si="28"/>
        <v>130.33410000000001</v>
      </c>
      <c r="AI94" s="1">
        <f t="shared" ca="1" si="26"/>
        <v>130.33410000000001</v>
      </c>
    </row>
    <row r="95" spans="2:35" x14ac:dyDescent="0.15">
      <c r="B95" s="1" t="str">
        <f t="shared" si="21"/>
        <v>飞行系93</v>
      </c>
      <c r="C95" s="1">
        <v>93</v>
      </c>
      <c r="D95" s="14" t="s">
        <v>90</v>
      </c>
      <c r="E95" s="14">
        <v>1</v>
      </c>
      <c r="F95" s="1" t="str">
        <f t="shared" si="19"/>
        <v>冷却</v>
      </c>
      <c r="H95" s="1">
        <f t="shared" ca="1" si="20"/>
        <v>4230.1664016034056</v>
      </c>
      <c r="I95" s="1">
        <f t="shared" ca="1" si="27"/>
        <v>100</v>
      </c>
      <c r="J95" s="1">
        <f t="shared" ca="1" si="27"/>
        <v>2313.2398522167477</v>
      </c>
      <c r="K95" s="1">
        <f t="shared" ca="1" si="27"/>
        <v>131.750775</v>
      </c>
      <c r="L95" s="1">
        <f t="shared" ca="1" si="27"/>
        <v>1927.6998768472899</v>
      </c>
      <c r="M95" s="1">
        <f t="shared" ca="1" si="27"/>
        <v>131.750775</v>
      </c>
      <c r="N95" s="1">
        <f t="shared" ca="1" si="27"/>
        <v>0.2</v>
      </c>
      <c r="O95" s="1">
        <f t="shared" ca="1" si="27"/>
        <v>0.2</v>
      </c>
      <c r="P95" s="1">
        <f t="shared" ca="1" si="27"/>
        <v>0.36</v>
      </c>
      <c r="Q95" s="1">
        <f t="shared" ca="1" si="27"/>
        <v>0.12</v>
      </c>
      <c r="R95" s="1">
        <f t="shared" ca="1" si="27"/>
        <v>2.2000000000000002</v>
      </c>
      <c r="S95" s="1">
        <f t="shared" ca="1" si="28"/>
        <v>0.15000000000000002</v>
      </c>
      <c r="T95" s="1">
        <f t="shared" ca="1" si="28"/>
        <v>0.9</v>
      </c>
      <c r="U95" s="1">
        <f t="shared" ca="1" si="28"/>
        <v>233.74</v>
      </c>
      <c r="V95" s="1">
        <f t="shared" ca="1" si="28"/>
        <v>0</v>
      </c>
      <c r="W95" s="1">
        <f t="shared" ca="1" si="28"/>
        <v>0</v>
      </c>
      <c r="X95" s="1">
        <f t="shared" ca="1" si="28"/>
        <v>1675.4774630541899</v>
      </c>
      <c r="Y95" s="1">
        <f t="shared" ca="1" si="28"/>
        <v>0</v>
      </c>
      <c r="Z95" s="1">
        <f t="shared" ca="1" si="28"/>
        <v>0</v>
      </c>
      <c r="AA95" s="1">
        <f t="shared" ca="1" si="28"/>
        <v>0</v>
      </c>
      <c r="AB95" s="1">
        <f t="shared" ca="1" si="25"/>
        <v>0</v>
      </c>
      <c r="AC95" s="1">
        <f t="shared" ca="1" si="28"/>
        <v>131.750775</v>
      </c>
      <c r="AD95" s="1">
        <f t="shared" ca="1" si="28"/>
        <v>131.750775</v>
      </c>
      <c r="AE95" s="1">
        <f t="shared" ca="1" si="28"/>
        <v>171.27600750000002</v>
      </c>
      <c r="AF95" s="1">
        <f t="shared" ca="1" si="28"/>
        <v>131.750775</v>
      </c>
      <c r="AG95" s="1">
        <f t="shared" ca="1" si="28"/>
        <v>131.750775</v>
      </c>
      <c r="AH95" s="1">
        <f t="shared" ca="1" si="28"/>
        <v>131.750775</v>
      </c>
      <c r="AI95" s="1">
        <f t="shared" ca="1" si="26"/>
        <v>131.750775</v>
      </c>
    </row>
    <row r="96" spans="2:35" x14ac:dyDescent="0.15">
      <c r="B96" s="1" t="str">
        <f t="shared" si="21"/>
        <v>飞行系94</v>
      </c>
      <c r="C96" s="1">
        <v>94</v>
      </c>
      <c r="D96" s="14" t="s">
        <v>90</v>
      </c>
      <c r="E96" s="14">
        <v>1</v>
      </c>
      <c r="F96" s="1" t="str">
        <f t="shared" si="19"/>
        <v>冷却</v>
      </c>
      <c r="H96" s="1">
        <f t="shared" ca="1" si="20"/>
        <v>4293.3200455622937</v>
      </c>
      <c r="I96" s="1">
        <f t="shared" ca="1" si="27"/>
        <v>100</v>
      </c>
      <c r="J96" s="1">
        <f t="shared" ca="1" si="27"/>
        <v>2366.6372932330919</v>
      </c>
      <c r="K96" s="1">
        <f t="shared" ca="1" si="27"/>
        <v>133.16745</v>
      </c>
      <c r="L96" s="1">
        <f t="shared" ca="1" si="27"/>
        <v>1972.1977443609101</v>
      </c>
      <c r="M96" s="1">
        <f t="shared" ca="1" si="27"/>
        <v>133.16745</v>
      </c>
      <c r="N96" s="1">
        <f t="shared" ca="1" si="27"/>
        <v>0.2</v>
      </c>
      <c r="O96" s="1">
        <f t="shared" ca="1" si="27"/>
        <v>0.2</v>
      </c>
      <c r="P96" s="1">
        <f t="shared" ca="1" si="27"/>
        <v>0.36</v>
      </c>
      <c r="Q96" s="1">
        <f t="shared" ca="1" si="27"/>
        <v>0.12</v>
      </c>
      <c r="R96" s="1">
        <f t="shared" ca="1" si="27"/>
        <v>2.2000000000000002</v>
      </c>
      <c r="S96" s="1">
        <f t="shared" ca="1" si="28"/>
        <v>0.15000000000000002</v>
      </c>
      <c r="T96" s="1">
        <f t="shared" ca="1" si="28"/>
        <v>0.9</v>
      </c>
      <c r="U96" s="1">
        <f t="shared" ca="1" si="28"/>
        <v>236.2533333333329</v>
      </c>
      <c r="V96" s="1">
        <f t="shared" ca="1" si="28"/>
        <v>0</v>
      </c>
      <c r="W96" s="1">
        <f t="shared" ca="1" si="28"/>
        <v>0</v>
      </c>
      <c r="X96" s="1">
        <f t="shared" ca="1" si="28"/>
        <v>1748.93007518797</v>
      </c>
      <c r="Y96" s="1">
        <f t="shared" ca="1" si="28"/>
        <v>0</v>
      </c>
      <c r="Z96" s="1">
        <f t="shared" ca="1" si="28"/>
        <v>0</v>
      </c>
      <c r="AA96" s="1">
        <f t="shared" ca="1" si="28"/>
        <v>0</v>
      </c>
      <c r="AB96" s="1">
        <f t="shared" ca="1" si="25"/>
        <v>0</v>
      </c>
      <c r="AC96" s="1">
        <f t="shared" ca="1" si="28"/>
        <v>133.16745</v>
      </c>
      <c r="AD96" s="1">
        <f t="shared" ca="1" si="28"/>
        <v>133.16745</v>
      </c>
      <c r="AE96" s="1">
        <f t="shared" ca="1" si="28"/>
        <v>173.11768500000002</v>
      </c>
      <c r="AF96" s="1">
        <f t="shared" ca="1" si="28"/>
        <v>133.16745</v>
      </c>
      <c r="AG96" s="1">
        <f t="shared" ca="1" si="28"/>
        <v>133.16745</v>
      </c>
      <c r="AH96" s="1">
        <f t="shared" ca="1" si="28"/>
        <v>133.16745</v>
      </c>
      <c r="AI96" s="1">
        <f t="shared" ca="1" si="26"/>
        <v>133.16745</v>
      </c>
    </row>
    <row r="97" spans="2:35" x14ac:dyDescent="0.15">
      <c r="B97" s="1" t="str">
        <f t="shared" si="21"/>
        <v>飞行系95</v>
      </c>
      <c r="C97" s="1">
        <v>95</v>
      </c>
      <c r="D97" s="14" t="s">
        <v>90</v>
      </c>
      <c r="E97" s="14">
        <v>1</v>
      </c>
      <c r="F97" s="1" t="str">
        <f t="shared" si="19"/>
        <v>冷却</v>
      </c>
      <c r="H97" s="1">
        <f t="shared" ca="1" si="20"/>
        <v>4356.849604068555</v>
      </c>
      <c r="I97" s="1">
        <f t="shared" ca="1" si="27"/>
        <v>100</v>
      </c>
      <c r="J97" s="1">
        <f t="shared" ca="1" si="27"/>
        <v>2421.4821428571481</v>
      </c>
      <c r="K97" s="1">
        <f t="shared" ca="1" si="27"/>
        <v>134.584125</v>
      </c>
      <c r="L97" s="1">
        <f t="shared" ca="1" si="27"/>
        <v>2017.9017857142901</v>
      </c>
      <c r="M97" s="1">
        <f t="shared" ca="1" si="27"/>
        <v>134.584125</v>
      </c>
      <c r="N97" s="1">
        <f t="shared" ca="1" si="27"/>
        <v>0.2</v>
      </c>
      <c r="O97" s="1">
        <f t="shared" ca="1" si="27"/>
        <v>0.2</v>
      </c>
      <c r="P97" s="1">
        <f t="shared" ca="1" si="27"/>
        <v>0.36</v>
      </c>
      <c r="Q97" s="1">
        <f t="shared" ca="1" si="27"/>
        <v>0.12</v>
      </c>
      <c r="R97" s="1">
        <f t="shared" ca="1" si="27"/>
        <v>2.2000000000000002</v>
      </c>
      <c r="S97" s="1">
        <f t="shared" ca="1" si="28"/>
        <v>0.15000000000000002</v>
      </c>
      <c r="T97" s="1">
        <f t="shared" ca="1" si="28"/>
        <v>0.9</v>
      </c>
      <c r="U97" s="1">
        <f t="shared" ca="1" si="28"/>
        <v>238.76666666666711</v>
      </c>
      <c r="V97" s="1">
        <f t="shared" ca="1" si="28"/>
        <v>0</v>
      </c>
      <c r="W97" s="1">
        <f t="shared" ca="1" si="28"/>
        <v>0</v>
      </c>
      <c r="X97" s="1">
        <f t="shared" ca="1" si="28"/>
        <v>1825.7206632653099</v>
      </c>
      <c r="Y97" s="1">
        <f t="shared" ca="1" si="28"/>
        <v>0</v>
      </c>
      <c r="Z97" s="1">
        <f t="shared" ca="1" si="28"/>
        <v>0</v>
      </c>
      <c r="AA97" s="1">
        <f t="shared" ca="1" si="28"/>
        <v>0</v>
      </c>
      <c r="AB97" s="1">
        <f t="shared" ca="1" si="25"/>
        <v>0</v>
      </c>
      <c r="AC97" s="1">
        <f t="shared" ca="1" si="28"/>
        <v>134.584125</v>
      </c>
      <c r="AD97" s="1">
        <f t="shared" ca="1" si="28"/>
        <v>134.584125</v>
      </c>
      <c r="AE97" s="1">
        <f t="shared" ca="1" si="28"/>
        <v>174.9593625</v>
      </c>
      <c r="AF97" s="1">
        <f t="shared" ca="1" si="28"/>
        <v>134.584125</v>
      </c>
      <c r="AG97" s="1">
        <f t="shared" ca="1" si="28"/>
        <v>134.584125</v>
      </c>
      <c r="AH97" s="1">
        <f t="shared" ca="1" si="28"/>
        <v>134.584125</v>
      </c>
      <c r="AI97" s="1">
        <f t="shared" ca="1" si="26"/>
        <v>134.584125</v>
      </c>
    </row>
    <row r="98" spans="2:35" x14ac:dyDescent="0.15">
      <c r="B98" s="1" t="str">
        <f t="shared" si="21"/>
        <v>飞行系96</v>
      </c>
      <c r="C98" s="1">
        <v>96</v>
      </c>
      <c r="D98" s="14" t="s">
        <v>90</v>
      </c>
      <c r="E98" s="14">
        <v>1</v>
      </c>
      <c r="F98" s="1" t="str">
        <f t="shared" si="19"/>
        <v>冷却</v>
      </c>
      <c r="H98" s="1">
        <f t="shared" ca="1" si="20"/>
        <v>4420.7550771221995</v>
      </c>
      <c r="I98" s="1">
        <f t="shared" ca="1" si="27"/>
        <v>100</v>
      </c>
      <c r="J98" s="1">
        <f t="shared" ca="1" si="27"/>
        <v>2477.847272727276</v>
      </c>
      <c r="K98" s="1">
        <f t="shared" ca="1" si="27"/>
        <v>136.0008</v>
      </c>
      <c r="L98" s="1">
        <f t="shared" ca="1" si="27"/>
        <v>2064.8727272727301</v>
      </c>
      <c r="M98" s="1">
        <f t="shared" ca="1" si="27"/>
        <v>136.0008</v>
      </c>
      <c r="N98" s="1">
        <f t="shared" ca="1" si="27"/>
        <v>0.2</v>
      </c>
      <c r="O98" s="1">
        <f t="shared" ca="1" si="27"/>
        <v>0.2</v>
      </c>
      <c r="P98" s="1">
        <f t="shared" ca="1" si="27"/>
        <v>0.36</v>
      </c>
      <c r="Q98" s="1">
        <f t="shared" ca="1" si="27"/>
        <v>0.12</v>
      </c>
      <c r="R98" s="1">
        <f t="shared" ca="1" si="27"/>
        <v>2.2000000000000002</v>
      </c>
      <c r="S98" s="1">
        <f t="shared" ca="1" si="28"/>
        <v>0.15000000000000002</v>
      </c>
      <c r="T98" s="1">
        <f t="shared" ca="1" si="28"/>
        <v>0.9</v>
      </c>
      <c r="U98" s="1">
        <f t="shared" ca="1" si="28"/>
        <v>241.28</v>
      </c>
      <c r="V98" s="1">
        <f t="shared" ca="1" si="28"/>
        <v>0</v>
      </c>
      <c r="W98" s="1">
        <f t="shared" ca="1" si="28"/>
        <v>0</v>
      </c>
      <c r="X98" s="1">
        <f t="shared" ca="1" si="28"/>
        <v>1906.03636363637</v>
      </c>
      <c r="Y98" s="1">
        <f t="shared" ca="1" si="28"/>
        <v>0</v>
      </c>
      <c r="Z98" s="1">
        <f t="shared" ca="1" si="28"/>
        <v>0</v>
      </c>
      <c r="AA98" s="1">
        <f t="shared" ca="1" si="28"/>
        <v>0</v>
      </c>
      <c r="AB98" s="1">
        <f t="shared" ca="1" si="25"/>
        <v>0</v>
      </c>
      <c r="AC98" s="1">
        <f t="shared" ca="1" si="28"/>
        <v>136.0008</v>
      </c>
      <c r="AD98" s="1">
        <f t="shared" ca="1" si="28"/>
        <v>136.0008</v>
      </c>
      <c r="AE98" s="1">
        <f t="shared" ca="1" si="28"/>
        <v>176.80104</v>
      </c>
      <c r="AF98" s="1">
        <f t="shared" ca="1" si="28"/>
        <v>136.0008</v>
      </c>
      <c r="AG98" s="1">
        <f t="shared" ca="1" si="28"/>
        <v>136.0008</v>
      </c>
      <c r="AH98" s="1">
        <f t="shared" ca="1" si="28"/>
        <v>136.0008</v>
      </c>
      <c r="AI98" s="1">
        <f t="shared" ca="1" si="26"/>
        <v>136.0008</v>
      </c>
    </row>
    <row r="99" spans="2:35" x14ac:dyDescent="0.15">
      <c r="B99" s="1" t="str">
        <f t="shared" si="21"/>
        <v>飞行系97</v>
      </c>
      <c r="C99" s="1">
        <v>97</v>
      </c>
      <c r="D99" s="14" t="s">
        <v>90</v>
      </c>
      <c r="E99" s="14">
        <v>1</v>
      </c>
      <c r="F99" s="1" t="str">
        <f t="shared" si="19"/>
        <v>冷却</v>
      </c>
      <c r="H99" s="1">
        <f t="shared" ca="1" si="20"/>
        <v>4485.0364647232082</v>
      </c>
      <c r="I99" s="1">
        <f t="shared" ca="1" si="27"/>
        <v>100</v>
      </c>
      <c r="J99" s="1">
        <f t="shared" ca="1" si="27"/>
        <v>2535.8109523809603</v>
      </c>
      <c r="K99" s="1">
        <f t="shared" ca="1" si="27"/>
        <v>137.417475</v>
      </c>
      <c r="L99" s="1">
        <f t="shared" ca="1" si="27"/>
        <v>2113.1757936508002</v>
      </c>
      <c r="M99" s="1">
        <f t="shared" ca="1" si="27"/>
        <v>137.417475</v>
      </c>
      <c r="N99" s="1">
        <f t="shared" ca="1" si="27"/>
        <v>0.2</v>
      </c>
      <c r="O99" s="1">
        <f t="shared" ca="1" si="27"/>
        <v>0.2</v>
      </c>
      <c r="P99" s="1">
        <f t="shared" ca="1" si="27"/>
        <v>0.36</v>
      </c>
      <c r="Q99" s="1">
        <f t="shared" ca="1" si="27"/>
        <v>0.12</v>
      </c>
      <c r="R99" s="1">
        <f t="shared" ca="1" si="27"/>
        <v>2.2000000000000002</v>
      </c>
      <c r="S99" s="1">
        <f t="shared" ca="1" si="28"/>
        <v>0.15000000000000002</v>
      </c>
      <c r="T99" s="1">
        <f t="shared" ca="1" si="28"/>
        <v>0.9</v>
      </c>
      <c r="U99" s="1">
        <f t="shared" ca="1" si="28"/>
        <v>243.7933333333329</v>
      </c>
      <c r="V99" s="1">
        <f t="shared" ca="1" si="28"/>
        <v>0</v>
      </c>
      <c r="W99" s="1">
        <f t="shared" ca="1" si="28"/>
        <v>0</v>
      </c>
      <c r="X99" s="1">
        <f t="shared" ca="1" si="28"/>
        <v>1990.0781746031801</v>
      </c>
      <c r="Y99" s="1">
        <f t="shared" ca="1" si="28"/>
        <v>0</v>
      </c>
      <c r="Z99" s="1">
        <f t="shared" ca="1" si="28"/>
        <v>0</v>
      </c>
      <c r="AA99" s="1">
        <f t="shared" ca="1" si="28"/>
        <v>0</v>
      </c>
      <c r="AB99" s="1">
        <f t="shared" ca="1" si="28"/>
        <v>0</v>
      </c>
      <c r="AC99" s="1">
        <f t="shared" ca="1" si="28"/>
        <v>137.417475</v>
      </c>
      <c r="AD99" s="1">
        <f t="shared" ca="1" si="28"/>
        <v>137.417475</v>
      </c>
      <c r="AE99" s="1">
        <f t="shared" ca="1" si="28"/>
        <v>178.6427175</v>
      </c>
      <c r="AF99" s="1">
        <f t="shared" ca="1" si="28"/>
        <v>137.417475</v>
      </c>
      <c r="AG99" s="1">
        <f t="shared" ca="1" si="28"/>
        <v>137.417475</v>
      </c>
      <c r="AH99" s="1">
        <f t="shared" ca="1" si="28"/>
        <v>137.417475</v>
      </c>
      <c r="AI99" s="1">
        <f t="shared" ca="1" si="26"/>
        <v>137.417475</v>
      </c>
    </row>
    <row r="100" spans="2:35" x14ac:dyDescent="0.15">
      <c r="B100" s="1" t="str">
        <f t="shared" si="21"/>
        <v>飞行系98</v>
      </c>
      <c r="C100" s="1">
        <v>98</v>
      </c>
      <c r="D100" s="14" t="s">
        <v>90</v>
      </c>
      <c r="E100" s="14">
        <v>1</v>
      </c>
      <c r="F100" s="1" t="str">
        <f t="shared" si="19"/>
        <v>冷却</v>
      </c>
      <c r="H100" s="1">
        <f t="shared" ca="1" si="20"/>
        <v>4549.69376687159</v>
      </c>
      <c r="I100" s="1">
        <f t="shared" ca="1" si="27"/>
        <v>100</v>
      </c>
      <c r="J100" s="1">
        <f t="shared" ca="1" si="27"/>
        <v>2595.4573584905756</v>
      </c>
      <c r="K100" s="1">
        <f t="shared" ca="1" si="27"/>
        <v>138.83414999999999</v>
      </c>
      <c r="L100" s="1">
        <f t="shared" ca="1" si="27"/>
        <v>2162.8811320754799</v>
      </c>
      <c r="M100" s="1">
        <f t="shared" ca="1" si="27"/>
        <v>138.83414999999999</v>
      </c>
      <c r="N100" s="1">
        <f t="shared" ca="1" si="27"/>
        <v>0.2</v>
      </c>
      <c r="O100" s="1">
        <f t="shared" ca="1" si="27"/>
        <v>0.2</v>
      </c>
      <c r="P100" s="1">
        <f t="shared" ca="1" si="27"/>
        <v>0.36</v>
      </c>
      <c r="Q100" s="1">
        <f t="shared" ca="1" si="27"/>
        <v>0.12</v>
      </c>
      <c r="R100" s="1">
        <f t="shared" ca="1" si="27"/>
        <v>2.2000000000000002</v>
      </c>
      <c r="S100" s="1">
        <f t="shared" ca="1" si="28"/>
        <v>0.15000000000000002</v>
      </c>
      <c r="T100" s="1">
        <f t="shared" ca="1" si="28"/>
        <v>0.9</v>
      </c>
      <c r="U100" s="1">
        <f t="shared" ca="1" si="28"/>
        <v>246.30666666666713</v>
      </c>
      <c r="V100" s="1">
        <f t="shared" ca="1" si="28"/>
        <v>0</v>
      </c>
      <c r="W100" s="1">
        <f t="shared" ca="1" si="28"/>
        <v>0</v>
      </c>
      <c r="X100" s="1">
        <f t="shared" ca="1" si="28"/>
        <v>2078.0622641509499</v>
      </c>
      <c r="Y100" s="1">
        <f t="shared" ca="1" si="28"/>
        <v>0</v>
      </c>
      <c r="Z100" s="1">
        <f t="shared" ca="1" si="28"/>
        <v>0</v>
      </c>
      <c r="AA100" s="1">
        <f t="shared" ca="1" si="28"/>
        <v>0</v>
      </c>
      <c r="AB100" s="1">
        <f t="shared" ca="1" si="28"/>
        <v>0</v>
      </c>
      <c r="AC100" s="1">
        <f t="shared" ca="1" si="28"/>
        <v>138.83414999999999</v>
      </c>
      <c r="AD100" s="1">
        <f t="shared" ca="1" si="28"/>
        <v>138.83414999999999</v>
      </c>
      <c r="AE100" s="1">
        <f t="shared" ca="1" si="28"/>
        <v>180.48439500000001</v>
      </c>
      <c r="AF100" s="1">
        <f t="shared" ca="1" si="28"/>
        <v>138.83414999999999</v>
      </c>
      <c r="AG100" s="1">
        <f t="shared" ca="1" si="28"/>
        <v>138.83414999999999</v>
      </c>
      <c r="AH100" s="1">
        <f t="shared" ca="1" si="28"/>
        <v>138.83414999999999</v>
      </c>
      <c r="AI100" s="1">
        <f t="shared" ca="1" si="26"/>
        <v>138.83414999999999</v>
      </c>
    </row>
    <row r="101" spans="2:35" x14ac:dyDescent="0.15">
      <c r="B101" s="1" t="str">
        <f t="shared" si="21"/>
        <v>飞行系99</v>
      </c>
      <c r="C101" s="1">
        <v>99</v>
      </c>
      <c r="D101" s="14" t="s">
        <v>90</v>
      </c>
      <c r="E101" s="14">
        <v>1</v>
      </c>
      <c r="F101" s="1" t="str">
        <f t="shared" si="19"/>
        <v>冷却</v>
      </c>
      <c r="H101" s="1">
        <f t="shared" ca="1" si="20"/>
        <v>4614.7269835673542</v>
      </c>
      <c r="I101" s="1">
        <f t="shared" ca="1" si="27"/>
        <v>100</v>
      </c>
      <c r="J101" s="1">
        <f t="shared" ca="1" si="27"/>
        <v>2656.8771428571476</v>
      </c>
      <c r="K101" s="1">
        <f t="shared" ca="1" si="27"/>
        <v>140.25082499999999</v>
      </c>
      <c r="L101" s="1">
        <f t="shared" ca="1" si="27"/>
        <v>2214.0642857142898</v>
      </c>
      <c r="M101" s="1">
        <f t="shared" ca="1" si="27"/>
        <v>140.25082499999999</v>
      </c>
      <c r="N101" s="1">
        <f t="shared" ca="1" si="27"/>
        <v>0.2</v>
      </c>
      <c r="O101" s="1">
        <f t="shared" ca="1" si="27"/>
        <v>0.2</v>
      </c>
      <c r="P101" s="1">
        <f t="shared" ca="1" si="27"/>
        <v>0.36</v>
      </c>
      <c r="Q101" s="1">
        <f t="shared" ca="1" si="27"/>
        <v>0.12</v>
      </c>
      <c r="R101" s="1">
        <f t="shared" ca="1" si="27"/>
        <v>2.2000000000000002</v>
      </c>
      <c r="S101" s="1">
        <f t="shared" ca="1" si="28"/>
        <v>0.15000000000000002</v>
      </c>
      <c r="T101" s="1">
        <f t="shared" ca="1" si="28"/>
        <v>0.9</v>
      </c>
      <c r="U101" s="1">
        <f t="shared" ca="1" si="28"/>
        <v>248.82000000000002</v>
      </c>
      <c r="V101" s="1">
        <f t="shared" ca="1" si="28"/>
        <v>0</v>
      </c>
      <c r="W101" s="1">
        <f t="shared" ca="1" si="28"/>
        <v>0</v>
      </c>
      <c r="X101" s="1">
        <f t="shared" ca="1" si="28"/>
        <v>2170.2214285714299</v>
      </c>
      <c r="Y101" s="1">
        <f t="shared" ca="1" si="28"/>
        <v>0</v>
      </c>
      <c r="Z101" s="1">
        <f t="shared" ca="1" si="28"/>
        <v>0</v>
      </c>
      <c r="AA101" s="1">
        <f t="shared" ca="1" si="28"/>
        <v>0</v>
      </c>
      <c r="AB101" s="1">
        <f t="shared" ca="1" si="28"/>
        <v>0</v>
      </c>
      <c r="AC101" s="1">
        <f t="shared" ca="1" si="28"/>
        <v>140.25082499999999</v>
      </c>
      <c r="AD101" s="1">
        <f t="shared" ca="1" si="28"/>
        <v>140.25082499999999</v>
      </c>
      <c r="AE101" s="1">
        <f t="shared" ca="1" si="28"/>
        <v>182.32607250000001</v>
      </c>
      <c r="AF101" s="1">
        <f t="shared" ca="1" si="28"/>
        <v>140.25082499999999</v>
      </c>
      <c r="AG101" s="1">
        <f t="shared" ca="1" si="28"/>
        <v>140.25082499999999</v>
      </c>
      <c r="AH101" s="1">
        <f t="shared" ca="1" si="28"/>
        <v>140.25082499999999</v>
      </c>
      <c r="AI101" s="1">
        <f t="shared" ca="1" si="26"/>
        <v>140.25082499999999</v>
      </c>
    </row>
    <row r="102" spans="2:35" x14ac:dyDescent="0.15">
      <c r="B102" s="1" t="str">
        <f t="shared" si="21"/>
        <v>龙系1</v>
      </c>
      <c r="C102" s="1">
        <f>C3</f>
        <v>1</v>
      </c>
      <c r="D102" s="14" t="s">
        <v>91</v>
      </c>
      <c r="E102" s="14">
        <f>E3+1</f>
        <v>2</v>
      </c>
      <c r="F102" s="1" t="str">
        <f t="shared" si="19"/>
        <v>火炎</v>
      </c>
      <c r="H102" s="1">
        <f t="shared" ca="1" si="20"/>
        <v>12.910069460193657</v>
      </c>
      <c r="I102" s="1">
        <f t="shared" ca="1" si="27"/>
        <v>100</v>
      </c>
      <c r="J102" s="1">
        <f t="shared" ca="1" si="27"/>
        <v>12.126562499999999</v>
      </c>
      <c r="K102" s="1">
        <f t="shared" ca="1" si="27"/>
        <v>1.4166749999999999</v>
      </c>
      <c r="L102" s="1">
        <f t="shared" ca="1" si="27"/>
        <v>8.0843749999999996</v>
      </c>
      <c r="M102" s="1">
        <f t="shared" ca="1" si="27"/>
        <v>1.4166749999999999</v>
      </c>
      <c r="N102" s="1">
        <f t="shared" ca="1" si="27"/>
        <v>0.2</v>
      </c>
      <c r="O102" s="1">
        <f t="shared" ca="1" si="27"/>
        <v>0.2</v>
      </c>
      <c r="P102" s="1">
        <f t="shared" ca="1" si="27"/>
        <v>0.36</v>
      </c>
      <c r="Q102" s="1">
        <f t="shared" ca="1" si="27"/>
        <v>0.1</v>
      </c>
      <c r="R102" s="1">
        <f t="shared" ca="1" si="27"/>
        <v>3</v>
      </c>
      <c r="S102" s="1">
        <f t="shared" ca="1" si="28"/>
        <v>0.1</v>
      </c>
      <c r="T102" s="1">
        <f t="shared" ca="1" si="28"/>
        <v>0.9</v>
      </c>
      <c r="U102" s="1">
        <f t="shared" ca="1" si="28"/>
        <v>1.93333333333333</v>
      </c>
      <c r="V102" s="1">
        <f t="shared" ca="1" si="28"/>
        <v>0</v>
      </c>
      <c r="W102" s="1">
        <f t="shared" ca="1" si="28"/>
        <v>0</v>
      </c>
      <c r="X102" s="1">
        <f t="shared" ca="1" si="28"/>
        <v>0</v>
      </c>
      <c r="Y102" s="1">
        <f t="shared" ca="1" si="28"/>
        <v>4.0625000000000001E-2</v>
      </c>
      <c r="Z102" s="1">
        <f t="shared" ca="1" si="28"/>
        <v>0</v>
      </c>
      <c r="AA102" s="1">
        <f t="shared" ca="1" si="28"/>
        <v>0</v>
      </c>
      <c r="AB102" s="1">
        <f t="shared" ca="1" si="28"/>
        <v>0</v>
      </c>
      <c r="AC102" s="1">
        <f t="shared" ca="1" si="28"/>
        <v>1.4166749999999999</v>
      </c>
      <c r="AD102" s="1">
        <f t="shared" ca="1" si="28"/>
        <v>1.4166749999999999</v>
      </c>
      <c r="AE102" s="1">
        <f t="shared" ca="1" si="28"/>
        <v>1.4166749999999999</v>
      </c>
      <c r="AF102" s="1">
        <f t="shared" ca="1" si="28"/>
        <v>1.8416774999999999</v>
      </c>
      <c r="AG102" s="1">
        <f t="shared" ca="1" si="28"/>
        <v>1.4166749999999999</v>
      </c>
      <c r="AH102" s="1">
        <f t="shared" ca="1" si="28"/>
        <v>1.4166749999999999</v>
      </c>
      <c r="AI102" s="1">
        <f t="shared" ca="1" si="26"/>
        <v>1.4166749999999999</v>
      </c>
    </row>
    <row r="103" spans="2:35" x14ac:dyDescent="0.15">
      <c r="B103" s="1" t="str">
        <f t="shared" si="21"/>
        <v>龙系2</v>
      </c>
      <c r="C103" s="1">
        <f t="shared" ref="C103:C166" si="29">C4</f>
        <v>2</v>
      </c>
      <c r="D103" s="14" t="s">
        <v>91</v>
      </c>
      <c r="E103" s="14">
        <f t="shared" ref="E103:E166" si="30">E4+1</f>
        <v>2</v>
      </c>
      <c r="F103" s="1" t="str">
        <f t="shared" si="19"/>
        <v>火炎</v>
      </c>
      <c r="H103" s="1">
        <f t="shared" ca="1" si="20"/>
        <v>28.35520710529817</v>
      </c>
      <c r="I103" s="1">
        <f t="shared" ref="I103:R112" ca="1" si="31">mVlookup($C103,monsterBaseDate,I$2,FALSE)*(1+mVlookup($E103,monsterType,I$2,FALSE))</f>
        <v>100</v>
      </c>
      <c r="J103" s="1">
        <f t="shared" ca="1" si="31"/>
        <v>25.082214765100648</v>
      </c>
      <c r="K103" s="1">
        <f t="shared" ca="1" si="31"/>
        <v>2.8333499999999998</v>
      </c>
      <c r="L103" s="1">
        <f t="shared" ca="1" si="31"/>
        <v>16.721476510067099</v>
      </c>
      <c r="M103" s="1">
        <f t="shared" ca="1" si="31"/>
        <v>2.8333499999999998</v>
      </c>
      <c r="N103" s="1">
        <f t="shared" ca="1" si="31"/>
        <v>0.2</v>
      </c>
      <c r="O103" s="1">
        <f t="shared" ca="1" si="31"/>
        <v>0.2</v>
      </c>
      <c r="P103" s="1">
        <f t="shared" ca="1" si="31"/>
        <v>0.36</v>
      </c>
      <c r="Q103" s="1">
        <f t="shared" ca="1" si="31"/>
        <v>0.1</v>
      </c>
      <c r="R103" s="1">
        <f t="shared" ca="1" si="31"/>
        <v>3</v>
      </c>
      <c r="S103" s="1">
        <f t="shared" ref="S103:AH118" ca="1" si="32">mVlookup($C103,monsterBaseDate,S$2,FALSE)*(1+mVlookup($E103,monsterType,S$2,FALSE))</f>
        <v>0.1</v>
      </c>
      <c r="T103" s="1">
        <f t="shared" ca="1" si="32"/>
        <v>0.9</v>
      </c>
      <c r="U103" s="1">
        <f t="shared" ca="1" si="32"/>
        <v>3.8666666666666698</v>
      </c>
      <c r="V103" s="1">
        <f t="shared" ca="1" si="32"/>
        <v>0</v>
      </c>
      <c r="W103" s="1">
        <f t="shared" ca="1" si="32"/>
        <v>0</v>
      </c>
      <c r="X103" s="1">
        <f t="shared" ca="1" si="32"/>
        <v>0</v>
      </c>
      <c r="Y103" s="1">
        <f t="shared" ca="1" si="32"/>
        <v>0.16890380313199099</v>
      </c>
      <c r="Z103" s="1">
        <f t="shared" ca="1" si="32"/>
        <v>0</v>
      </c>
      <c r="AA103" s="1">
        <f t="shared" ca="1" si="32"/>
        <v>0</v>
      </c>
      <c r="AB103" s="1">
        <f t="shared" ca="1" si="28"/>
        <v>0</v>
      </c>
      <c r="AC103" s="1">
        <f t="shared" ca="1" si="32"/>
        <v>2.8333499999999998</v>
      </c>
      <c r="AD103" s="1">
        <f t="shared" ca="1" si="32"/>
        <v>2.8333499999999998</v>
      </c>
      <c r="AE103" s="1">
        <f t="shared" ca="1" si="32"/>
        <v>2.8333499999999998</v>
      </c>
      <c r="AF103" s="1">
        <f t="shared" ca="1" si="32"/>
        <v>3.6833549999999997</v>
      </c>
      <c r="AG103" s="1">
        <f t="shared" ca="1" si="32"/>
        <v>2.8333499999999998</v>
      </c>
      <c r="AH103" s="1">
        <f t="shared" ca="1" si="32"/>
        <v>2.8333499999999998</v>
      </c>
      <c r="AI103" s="1">
        <f t="shared" ca="1" si="26"/>
        <v>2.8333499999999998</v>
      </c>
    </row>
    <row r="104" spans="2:35" x14ac:dyDescent="0.15">
      <c r="B104" s="1" t="str">
        <f t="shared" si="21"/>
        <v>龙系3</v>
      </c>
      <c r="C104" s="1">
        <f t="shared" si="29"/>
        <v>3</v>
      </c>
      <c r="D104" s="14" t="s">
        <v>91</v>
      </c>
      <c r="E104" s="14">
        <f t="shared" si="30"/>
        <v>2</v>
      </c>
      <c r="F104" s="1" t="str">
        <f t="shared" si="19"/>
        <v>火炎</v>
      </c>
      <c r="H104" s="1">
        <f t="shared" ca="1" si="20"/>
        <v>46.382358642441453</v>
      </c>
      <c r="I104" s="1">
        <f t="shared" ca="1" si="31"/>
        <v>100</v>
      </c>
      <c r="J104" s="1">
        <f t="shared" ca="1" si="31"/>
        <v>38.934121621621649</v>
      </c>
      <c r="K104" s="1">
        <f t="shared" ca="1" si="31"/>
        <v>4.2500249999999999</v>
      </c>
      <c r="L104" s="1">
        <f t="shared" ca="1" si="31"/>
        <v>25.956081081081098</v>
      </c>
      <c r="M104" s="1">
        <f t="shared" ca="1" si="31"/>
        <v>4.2500249999999999</v>
      </c>
      <c r="N104" s="1">
        <f t="shared" ca="1" si="31"/>
        <v>0.2</v>
      </c>
      <c r="O104" s="1">
        <f t="shared" ca="1" si="31"/>
        <v>0.2</v>
      </c>
      <c r="P104" s="1">
        <f t="shared" ca="1" si="31"/>
        <v>0.36</v>
      </c>
      <c r="Q104" s="1">
        <f t="shared" ca="1" si="31"/>
        <v>0.1</v>
      </c>
      <c r="R104" s="1">
        <f t="shared" ca="1" si="31"/>
        <v>3</v>
      </c>
      <c r="S104" s="1">
        <f t="shared" ca="1" si="32"/>
        <v>0.1</v>
      </c>
      <c r="T104" s="1">
        <f t="shared" ca="1" si="32"/>
        <v>0.9</v>
      </c>
      <c r="U104" s="1">
        <f t="shared" ca="1" si="32"/>
        <v>5.8</v>
      </c>
      <c r="V104" s="1">
        <f t="shared" ca="1" si="32"/>
        <v>0</v>
      </c>
      <c r="W104" s="1">
        <f t="shared" ca="1" si="32"/>
        <v>0</v>
      </c>
      <c r="X104" s="1">
        <f t="shared" ca="1" si="32"/>
        <v>0</v>
      </c>
      <c r="Y104" s="1">
        <f t="shared" ca="1" si="32"/>
        <v>0.39527027027027001</v>
      </c>
      <c r="Z104" s="1">
        <f t="shared" ca="1" si="32"/>
        <v>0</v>
      </c>
      <c r="AA104" s="1">
        <f t="shared" ca="1" si="32"/>
        <v>0</v>
      </c>
      <c r="AB104" s="1">
        <f t="shared" ca="1" si="28"/>
        <v>0</v>
      </c>
      <c r="AC104" s="1">
        <f t="shared" ca="1" si="32"/>
        <v>4.2500249999999999</v>
      </c>
      <c r="AD104" s="1">
        <f t="shared" ca="1" si="32"/>
        <v>4.2500249999999999</v>
      </c>
      <c r="AE104" s="1">
        <f t="shared" ca="1" si="32"/>
        <v>4.2500249999999999</v>
      </c>
      <c r="AF104" s="1">
        <f t="shared" ca="1" si="32"/>
        <v>5.5250325</v>
      </c>
      <c r="AG104" s="1">
        <f t="shared" ca="1" si="32"/>
        <v>4.2500249999999999</v>
      </c>
      <c r="AH104" s="1">
        <f t="shared" ca="1" si="32"/>
        <v>4.2500249999999999</v>
      </c>
      <c r="AI104" s="1">
        <f t="shared" ca="1" si="26"/>
        <v>4.2500249999999999</v>
      </c>
    </row>
    <row r="105" spans="2:35" x14ac:dyDescent="0.15">
      <c r="B105" s="1" t="str">
        <f t="shared" si="21"/>
        <v>龙系4</v>
      </c>
      <c r="C105" s="1">
        <f t="shared" si="29"/>
        <v>4</v>
      </c>
      <c r="D105" s="14" t="s">
        <v>91</v>
      </c>
      <c r="E105" s="14">
        <f t="shared" si="30"/>
        <v>2</v>
      </c>
      <c r="F105" s="1" t="str">
        <f t="shared" si="19"/>
        <v>火炎</v>
      </c>
      <c r="H105" s="1">
        <f t="shared" ca="1" si="20"/>
        <v>67.038469778751335</v>
      </c>
      <c r="I105" s="1">
        <f t="shared" ca="1" si="31"/>
        <v>100</v>
      </c>
      <c r="J105" s="1">
        <f t="shared" ca="1" si="31"/>
        <v>53.756756756756701</v>
      </c>
      <c r="K105" s="1">
        <f t="shared" ca="1" si="31"/>
        <v>5.6666999999999996</v>
      </c>
      <c r="L105" s="1">
        <f t="shared" ca="1" si="31"/>
        <v>35.837837837837803</v>
      </c>
      <c r="M105" s="1">
        <f t="shared" ca="1" si="31"/>
        <v>5.6666999999999996</v>
      </c>
      <c r="N105" s="1">
        <f t="shared" ca="1" si="31"/>
        <v>0.2</v>
      </c>
      <c r="O105" s="1">
        <f t="shared" ca="1" si="31"/>
        <v>0.2</v>
      </c>
      <c r="P105" s="1">
        <f t="shared" ca="1" si="31"/>
        <v>0.36</v>
      </c>
      <c r="Q105" s="1">
        <f t="shared" ca="1" si="31"/>
        <v>0.1</v>
      </c>
      <c r="R105" s="1">
        <f t="shared" ca="1" si="31"/>
        <v>3</v>
      </c>
      <c r="S105" s="1">
        <f t="shared" ca="1" si="32"/>
        <v>0.1</v>
      </c>
      <c r="T105" s="1">
        <f t="shared" ca="1" si="32"/>
        <v>0.9</v>
      </c>
      <c r="U105" s="1">
        <f t="shared" ca="1" si="32"/>
        <v>7.7333333333333298</v>
      </c>
      <c r="V105" s="1">
        <f t="shared" ca="1" si="32"/>
        <v>0</v>
      </c>
      <c r="W105" s="1">
        <f t="shared" ca="1" si="32"/>
        <v>0</v>
      </c>
      <c r="X105" s="1">
        <f t="shared" ca="1" si="32"/>
        <v>0</v>
      </c>
      <c r="Y105" s="1">
        <f t="shared" ca="1" si="32"/>
        <v>0.73138444567016003</v>
      </c>
      <c r="Z105" s="1">
        <f t="shared" ca="1" si="32"/>
        <v>0</v>
      </c>
      <c r="AA105" s="1">
        <f t="shared" ca="1" si="32"/>
        <v>0</v>
      </c>
      <c r="AB105" s="1">
        <f t="shared" ca="1" si="28"/>
        <v>0</v>
      </c>
      <c r="AC105" s="1">
        <f t="shared" ca="1" si="32"/>
        <v>5.6666999999999996</v>
      </c>
      <c r="AD105" s="1">
        <f t="shared" ca="1" si="32"/>
        <v>5.6666999999999996</v>
      </c>
      <c r="AE105" s="1">
        <f t="shared" ca="1" si="32"/>
        <v>5.6666999999999996</v>
      </c>
      <c r="AF105" s="1">
        <f t="shared" ca="1" si="32"/>
        <v>7.3667099999999994</v>
      </c>
      <c r="AG105" s="1">
        <f t="shared" ca="1" si="32"/>
        <v>5.6666999999999996</v>
      </c>
      <c r="AH105" s="1">
        <f t="shared" ca="1" si="32"/>
        <v>5.6666999999999996</v>
      </c>
      <c r="AI105" s="1">
        <f t="shared" ca="1" si="26"/>
        <v>5.6666999999999996</v>
      </c>
    </row>
    <row r="106" spans="2:35" x14ac:dyDescent="0.15">
      <c r="B106" s="1" t="str">
        <f t="shared" si="21"/>
        <v>龙系5</v>
      </c>
      <c r="C106" s="1">
        <f t="shared" si="29"/>
        <v>5</v>
      </c>
      <c r="D106" s="14" t="s">
        <v>91</v>
      </c>
      <c r="E106" s="14">
        <f t="shared" si="30"/>
        <v>2</v>
      </c>
      <c r="F106" s="1" t="str">
        <f t="shared" si="19"/>
        <v>火炎</v>
      </c>
      <c r="H106" s="1">
        <f t="shared" ca="1" si="20"/>
        <v>90.37048622135606</v>
      </c>
      <c r="I106" s="1">
        <f t="shared" ca="1" si="31"/>
        <v>100</v>
      </c>
      <c r="J106" s="1">
        <f t="shared" ca="1" si="31"/>
        <v>69.632919520548</v>
      </c>
      <c r="K106" s="1">
        <f t="shared" ca="1" si="31"/>
        <v>7.0833750000000002</v>
      </c>
      <c r="L106" s="1">
        <f t="shared" ca="1" si="31"/>
        <v>46.421946347031998</v>
      </c>
      <c r="M106" s="1">
        <f t="shared" ca="1" si="31"/>
        <v>7.0833750000000002</v>
      </c>
      <c r="N106" s="1">
        <f t="shared" ca="1" si="31"/>
        <v>0.2</v>
      </c>
      <c r="O106" s="1">
        <f t="shared" ca="1" si="31"/>
        <v>0.2</v>
      </c>
      <c r="P106" s="1">
        <f t="shared" ca="1" si="31"/>
        <v>0.36</v>
      </c>
      <c r="Q106" s="1">
        <f t="shared" ca="1" si="31"/>
        <v>0.1</v>
      </c>
      <c r="R106" s="1">
        <f t="shared" ca="1" si="31"/>
        <v>3</v>
      </c>
      <c r="S106" s="1">
        <f t="shared" ca="1" si="32"/>
        <v>0.1</v>
      </c>
      <c r="T106" s="1">
        <f t="shared" ca="1" si="32"/>
        <v>0.9</v>
      </c>
      <c r="U106" s="1">
        <f t="shared" ca="1" si="32"/>
        <v>9.6666666666666696</v>
      </c>
      <c r="V106" s="1">
        <f t="shared" ca="1" si="32"/>
        <v>0</v>
      </c>
      <c r="W106" s="1">
        <f t="shared" ca="1" si="32"/>
        <v>0</v>
      </c>
      <c r="X106" s="1">
        <f t="shared" ca="1" si="32"/>
        <v>0</v>
      </c>
      <c r="Y106" s="1">
        <f t="shared" ca="1" si="32"/>
        <v>1.1903063165905601</v>
      </c>
      <c r="Z106" s="1">
        <f t="shared" ca="1" si="32"/>
        <v>0</v>
      </c>
      <c r="AA106" s="1">
        <f t="shared" ca="1" si="32"/>
        <v>0</v>
      </c>
      <c r="AB106" s="1">
        <f t="shared" ca="1" si="28"/>
        <v>0</v>
      </c>
      <c r="AC106" s="1">
        <f t="shared" ca="1" si="32"/>
        <v>7.0833750000000002</v>
      </c>
      <c r="AD106" s="1">
        <f t="shared" ca="1" si="32"/>
        <v>7.0833750000000002</v>
      </c>
      <c r="AE106" s="1">
        <f t="shared" ca="1" si="32"/>
        <v>7.0833750000000002</v>
      </c>
      <c r="AF106" s="1">
        <f t="shared" ca="1" si="32"/>
        <v>9.2083875000000006</v>
      </c>
      <c r="AG106" s="1">
        <f t="shared" ca="1" si="32"/>
        <v>7.0833750000000002</v>
      </c>
      <c r="AH106" s="1">
        <f t="shared" ca="1" si="32"/>
        <v>7.0833750000000002</v>
      </c>
      <c r="AI106" s="1">
        <f t="shared" ca="1" si="26"/>
        <v>7.0833750000000002</v>
      </c>
    </row>
    <row r="107" spans="2:35" x14ac:dyDescent="0.15">
      <c r="B107" s="1" t="str">
        <f t="shared" si="21"/>
        <v>龙系6</v>
      </c>
      <c r="C107" s="1">
        <f t="shared" si="29"/>
        <v>6</v>
      </c>
      <c r="D107" s="14" t="s">
        <v>91</v>
      </c>
      <c r="E107" s="14">
        <f t="shared" si="30"/>
        <v>2</v>
      </c>
      <c r="F107" s="1" t="str">
        <f t="shared" si="19"/>
        <v>火炎</v>
      </c>
      <c r="H107" s="1">
        <f t="shared" ca="1" si="20"/>
        <v>116.42535367738287</v>
      </c>
      <c r="I107" s="1">
        <f t="shared" ca="1" si="31"/>
        <v>100</v>
      </c>
      <c r="J107" s="1">
        <f t="shared" ca="1" si="31"/>
        <v>86.654926108374454</v>
      </c>
      <c r="K107" s="1">
        <f t="shared" ca="1" si="31"/>
        <v>8.5000499999999999</v>
      </c>
      <c r="L107" s="1">
        <f t="shared" ca="1" si="31"/>
        <v>57.7699507389163</v>
      </c>
      <c r="M107" s="1">
        <f t="shared" ca="1" si="31"/>
        <v>8.5000499999999999</v>
      </c>
      <c r="N107" s="1">
        <f t="shared" ca="1" si="31"/>
        <v>0.2</v>
      </c>
      <c r="O107" s="1">
        <f t="shared" ca="1" si="31"/>
        <v>0.2</v>
      </c>
      <c r="P107" s="1">
        <f t="shared" ca="1" si="31"/>
        <v>0.36</v>
      </c>
      <c r="Q107" s="1">
        <f t="shared" ca="1" si="31"/>
        <v>0.1</v>
      </c>
      <c r="R107" s="1">
        <f t="shared" ca="1" si="31"/>
        <v>3</v>
      </c>
      <c r="S107" s="1">
        <f t="shared" ca="1" si="32"/>
        <v>0.1</v>
      </c>
      <c r="T107" s="1">
        <f t="shared" ca="1" si="32"/>
        <v>0.9</v>
      </c>
      <c r="U107" s="1">
        <f t="shared" ca="1" si="32"/>
        <v>11.6</v>
      </c>
      <c r="V107" s="1">
        <f t="shared" ca="1" si="32"/>
        <v>0</v>
      </c>
      <c r="W107" s="1">
        <f t="shared" ca="1" si="32"/>
        <v>0</v>
      </c>
      <c r="X107" s="1">
        <f t="shared" ca="1" si="32"/>
        <v>0</v>
      </c>
      <c r="Y107" s="1">
        <f t="shared" ca="1" si="32"/>
        <v>1.7866995073891601</v>
      </c>
      <c r="Z107" s="1">
        <f t="shared" ca="1" si="32"/>
        <v>0</v>
      </c>
      <c r="AA107" s="1">
        <f t="shared" ca="1" si="32"/>
        <v>0</v>
      </c>
      <c r="AB107" s="1">
        <f t="shared" ca="1" si="28"/>
        <v>0</v>
      </c>
      <c r="AC107" s="1">
        <f t="shared" ca="1" si="32"/>
        <v>8.5000499999999999</v>
      </c>
      <c r="AD107" s="1">
        <f t="shared" ca="1" si="32"/>
        <v>8.5000499999999999</v>
      </c>
      <c r="AE107" s="1">
        <f t="shared" ca="1" si="32"/>
        <v>8.5000499999999999</v>
      </c>
      <c r="AF107" s="1">
        <f t="shared" ca="1" si="32"/>
        <v>11.050065</v>
      </c>
      <c r="AG107" s="1">
        <f t="shared" ca="1" si="32"/>
        <v>8.5000499999999999</v>
      </c>
      <c r="AH107" s="1">
        <f t="shared" ca="1" si="32"/>
        <v>8.5000499999999999</v>
      </c>
      <c r="AI107" s="1">
        <f t="shared" ca="1" si="26"/>
        <v>8.5000499999999999</v>
      </c>
    </row>
    <row r="108" spans="2:35" x14ac:dyDescent="0.15">
      <c r="B108" s="1" t="str">
        <f t="shared" si="21"/>
        <v>龙系7</v>
      </c>
      <c r="C108" s="1">
        <f t="shared" si="29"/>
        <v>7</v>
      </c>
      <c r="D108" s="14" t="s">
        <v>91</v>
      </c>
      <c r="E108" s="14">
        <f t="shared" si="30"/>
        <v>2</v>
      </c>
      <c r="F108" s="1" t="str">
        <f t="shared" si="19"/>
        <v>火炎</v>
      </c>
      <c r="H108" s="1">
        <f t="shared" ca="1" si="20"/>
        <v>145.25001785396128</v>
      </c>
      <c r="I108" s="1">
        <f t="shared" ca="1" si="31"/>
        <v>100</v>
      </c>
      <c r="J108" s="1">
        <f t="shared" ca="1" si="31"/>
        <v>101.92812499999997</v>
      </c>
      <c r="K108" s="1">
        <f t="shared" ca="1" si="31"/>
        <v>9.9167249999999996</v>
      </c>
      <c r="L108" s="1">
        <f t="shared" ca="1" si="31"/>
        <v>67.952083333333306</v>
      </c>
      <c r="M108" s="1">
        <f t="shared" ca="1" si="31"/>
        <v>9.9167249999999996</v>
      </c>
      <c r="N108" s="1">
        <f t="shared" ca="1" si="31"/>
        <v>0.2</v>
      </c>
      <c r="O108" s="1">
        <f t="shared" ca="1" si="31"/>
        <v>0.2</v>
      </c>
      <c r="P108" s="1">
        <f t="shared" ca="1" si="31"/>
        <v>0.36</v>
      </c>
      <c r="Q108" s="1">
        <f t="shared" ca="1" si="31"/>
        <v>0.1</v>
      </c>
      <c r="R108" s="1">
        <f t="shared" ca="1" si="31"/>
        <v>3</v>
      </c>
      <c r="S108" s="1">
        <f t="shared" ca="1" si="32"/>
        <v>0.1</v>
      </c>
      <c r="T108" s="1">
        <f t="shared" ca="1" si="32"/>
        <v>0.9</v>
      </c>
      <c r="U108" s="1">
        <f t="shared" ca="1" si="32"/>
        <v>13.533333333333299</v>
      </c>
      <c r="V108" s="1">
        <f t="shared" ca="1" si="32"/>
        <v>0</v>
      </c>
      <c r="W108" s="1">
        <f t="shared" ca="1" si="32"/>
        <v>0</v>
      </c>
      <c r="X108" s="1">
        <f t="shared" ca="1" si="32"/>
        <v>0</v>
      </c>
      <c r="Y108" s="1">
        <f t="shared" ca="1" si="32"/>
        <v>2.46458333333333</v>
      </c>
      <c r="Z108" s="1">
        <f t="shared" ca="1" si="32"/>
        <v>0</v>
      </c>
      <c r="AA108" s="1">
        <f t="shared" ca="1" si="32"/>
        <v>0</v>
      </c>
      <c r="AB108" s="1">
        <f t="shared" ca="1" si="28"/>
        <v>0</v>
      </c>
      <c r="AC108" s="1">
        <f t="shared" ca="1" si="32"/>
        <v>9.9167249999999996</v>
      </c>
      <c r="AD108" s="1">
        <f t="shared" ca="1" si="32"/>
        <v>9.9167249999999996</v>
      </c>
      <c r="AE108" s="1">
        <f t="shared" ca="1" si="32"/>
        <v>9.9167249999999996</v>
      </c>
      <c r="AF108" s="1">
        <f t="shared" ca="1" si="32"/>
        <v>12.891742499999999</v>
      </c>
      <c r="AG108" s="1">
        <f t="shared" ca="1" si="32"/>
        <v>9.9167249999999996</v>
      </c>
      <c r="AH108" s="1">
        <f t="shared" ca="1" si="32"/>
        <v>9.9167249999999996</v>
      </c>
      <c r="AI108" s="1">
        <f t="shared" ca="1" si="26"/>
        <v>9.9167249999999996</v>
      </c>
    </row>
    <row r="109" spans="2:35" x14ac:dyDescent="0.15">
      <c r="B109" s="1" t="str">
        <f t="shared" si="21"/>
        <v>龙系8</v>
      </c>
      <c r="C109" s="1">
        <f t="shared" si="29"/>
        <v>8</v>
      </c>
      <c r="D109" s="14" t="s">
        <v>91</v>
      </c>
      <c r="E109" s="14">
        <f t="shared" si="30"/>
        <v>2</v>
      </c>
      <c r="F109" s="1" t="str">
        <f t="shared" si="19"/>
        <v>火炎</v>
      </c>
      <c r="H109" s="1">
        <f t="shared" ca="1" si="20"/>
        <v>176.89142445821838</v>
      </c>
      <c r="I109" s="1">
        <f t="shared" ca="1" si="31"/>
        <v>100</v>
      </c>
      <c r="J109" s="1">
        <f t="shared" ca="1" si="31"/>
        <v>117.44415584415586</v>
      </c>
      <c r="K109" s="1">
        <f t="shared" ca="1" si="31"/>
        <v>11.333399999999999</v>
      </c>
      <c r="L109" s="1">
        <f t="shared" ca="1" si="31"/>
        <v>78.296103896103901</v>
      </c>
      <c r="M109" s="1">
        <f t="shared" ca="1" si="31"/>
        <v>11.333399999999999</v>
      </c>
      <c r="N109" s="1">
        <f t="shared" ca="1" si="31"/>
        <v>0.2</v>
      </c>
      <c r="O109" s="1">
        <f t="shared" ca="1" si="31"/>
        <v>0.2</v>
      </c>
      <c r="P109" s="1">
        <f t="shared" ca="1" si="31"/>
        <v>0.36</v>
      </c>
      <c r="Q109" s="1">
        <f t="shared" ca="1" si="31"/>
        <v>0.1</v>
      </c>
      <c r="R109" s="1">
        <f t="shared" ca="1" si="31"/>
        <v>3</v>
      </c>
      <c r="S109" s="1">
        <f t="shared" ca="1" si="32"/>
        <v>0.1</v>
      </c>
      <c r="T109" s="1">
        <f t="shared" ca="1" si="32"/>
        <v>0.9</v>
      </c>
      <c r="U109" s="1">
        <f t="shared" ca="1" si="32"/>
        <v>15.466666666666701</v>
      </c>
      <c r="V109" s="1">
        <f t="shared" ca="1" si="32"/>
        <v>0</v>
      </c>
      <c r="W109" s="1">
        <f t="shared" ca="1" si="32"/>
        <v>0</v>
      </c>
      <c r="X109" s="1">
        <f t="shared" ca="1" si="32"/>
        <v>0</v>
      </c>
      <c r="Y109" s="1">
        <f t="shared" ca="1" si="32"/>
        <v>3.2623376623376599</v>
      </c>
      <c r="Z109" s="1">
        <f t="shared" ca="1" si="32"/>
        <v>0</v>
      </c>
      <c r="AA109" s="1">
        <f t="shared" ca="1" si="32"/>
        <v>0</v>
      </c>
      <c r="AB109" s="1">
        <f t="shared" ca="1" si="32"/>
        <v>0</v>
      </c>
      <c r="AC109" s="1">
        <f t="shared" ca="1" si="32"/>
        <v>11.333399999999999</v>
      </c>
      <c r="AD109" s="1">
        <f t="shared" ca="1" si="32"/>
        <v>11.333399999999999</v>
      </c>
      <c r="AE109" s="1">
        <f t="shared" ca="1" si="32"/>
        <v>11.333399999999999</v>
      </c>
      <c r="AF109" s="1">
        <f t="shared" ca="1" si="32"/>
        <v>14.733419999999999</v>
      </c>
      <c r="AG109" s="1">
        <f t="shared" ca="1" si="32"/>
        <v>11.333399999999999</v>
      </c>
      <c r="AH109" s="1">
        <f t="shared" ca="1" si="32"/>
        <v>11.333399999999999</v>
      </c>
      <c r="AI109" s="1">
        <f t="shared" ca="1" si="26"/>
        <v>11.333399999999999</v>
      </c>
    </row>
    <row r="110" spans="2:35" x14ac:dyDescent="0.15">
      <c r="B110" s="1" t="str">
        <f t="shared" si="21"/>
        <v>龙系9</v>
      </c>
      <c r="C110" s="1">
        <f t="shared" si="29"/>
        <v>9</v>
      </c>
      <c r="D110" s="14" t="s">
        <v>91</v>
      </c>
      <c r="E110" s="14">
        <f t="shared" si="30"/>
        <v>2</v>
      </c>
      <c r="F110" s="1" t="str">
        <f t="shared" si="19"/>
        <v>火炎</v>
      </c>
      <c r="H110" s="1">
        <f t="shared" ca="1" si="20"/>
        <v>211.39651919728141</v>
      </c>
      <c r="I110" s="1">
        <f t="shared" ca="1" si="31"/>
        <v>100</v>
      </c>
      <c r="J110" s="1">
        <f t="shared" ca="1" si="31"/>
        <v>133.20520623742453</v>
      </c>
      <c r="K110" s="1">
        <f t="shared" ca="1" si="31"/>
        <v>12.750075000000001</v>
      </c>
      <c r="L110" s="1">
        <f t="shared" ca="1" si="31"/>
        <v>88.803470824949699</v>
      </c>
      <c r="M110" s="1">
        <f t="shared" ca="1" si="31"/>
        <v>12.750075000000001</v>
      </c>
      <c r="N110" s="1">
        <f t="shared" ca="1" si="31"/>
        <v>0.2</v>
      </c>
      <c r="O110" s="1">
        <f t="shared" ca="1" si="31"/>
        <v>0.2</v>
      </c>
      <c r="P110" s="1">
        <f t="shared" ca="1" si="31"/>
        <v>0.36</v>
      </c>
      <c r="Q110" s="1">
        <f t="shared" ca="1" si="31"/>
        <v>0.1</v>
      </c>
      <c r="R110" s="1">
        <f t="shared" ca="1" si="31"/>
        <v>3</v>
      </c>
      <c r="S110" s="1">
        <f t="shared" ca="1" si="32"/>
        <v>0.1</v>
      </c>
      <c r="T110" s="1">
        <f t="shared" ca="1" si="32"/>
        <v>0.9</v>
      </c>
      <c r="U110" s="1">
        <f t="shared" ca="1" si="32"/>
        <v>17.399999999999999</v>
      </c>
      <c r="V110" s="1">
        <f t="shared" ca="1" si="32"/>
        <v>0</v>
      </c>
      <c r="W110" s="1">
        <f t="shared" ca="1" si="32"/>
        <v>0</v>
      </c>
      <c r="X110" s="1">
        <f t="shared" ca="1" si="32"/>
        <v>0</v>
      </c>
      <c r="Y110" s="1">
        <f t="shared" ca="1" si="32"/>
        <v>4.18445674044266</v>
      </c>
      <c r="Z110" s="1">
        <f t="shared" ca="1" si="32"/>
        <v>0</v>
      </c>
      <c r="AA110" s="1">
        <f t="shared" ca="1" si="32"/>
        <v>0</v>
      </c>
      <c r="AB110" s="1">
        <f t="shared" ca="1" si="32"/>
        <v>0</v>
      </c>
      <c r="AC110" s="1">
        <f t="shared" ca="1" si="32"/>
        <v>12.750075000000001</v>
      </c>
      <c r="AD110" s="1">
        <f t="shared" ca="1" si="32"/>
        <v>12.750075000000001</v>
      </c>
      <c r="AE110" s="1">
        <f t="shared" ca="1" si="32"/>
        <v>12.750075000000001</v>
      </c>
      <c r="AF110" s="1">
        <f t="shared" ca="1" si="32"/>
        <v>16.575097500000002</v>
      </c>
      <c r="AG110" s="1">
        <f t="shared" ca="1" si="32"/>
        <v>12.750075000000001</v>
      </c>
      <c r="AH110" s="1">
        <f t="shared" ca="1" si="32"/>
        <v>12.750075000000001</v>
      </c>
      <c r="AI110" s="1">
        <f t="shared" ca="1" si="26"/>
        <v>12.750075000000001</v>
      </c>
    </row>
    <row r="111" spans="2:35" x14ac:dyDescent="0.15">
      <c r="B111" s="1" t="str">
        <f t="shared" si="21"/>
        <v>龙系10</v>
      </c>
      <c r="C111" s="1">
        <f t="shared" si="29"/>
        <v>10</v>
      </c>
      <c r="D111" s="14" t="s">
        <v>91</v>
      </c>
      <c r="E111" s="14">
        <f t="shared" si="30"/>
        <v>2</v>
      </c>
      <c r="F111" s="1" t="str">
        <f t="shared" si="19"/>
        <v>火炎</v>
      </c>
      <c r="H111" s="1">
        <f t="shared" ca="1" si="20"/>
        <v>248.81224777827853</v>
      </c>
      <c r="I111" s="1">
        <f t="shared" ca="1" si="31"/>
        <v>100</v>
      </c>
      <c r="J111" s="1">
        <f t="shared" ca="1" si="31"/>
        <v>149.21352583586625</v>
      </c>
      <c r="K111" s="1">
        <f t="shared" ca="1" si="31"/>
        <v>14.16675</v>
      </c>
      <c r="L111" s="1">
        <f t="shared" ca="1" si="31"/>
        <v>99.4756838905775</v>
      </c>
      <c r="M111" s="1">
        <f t="shared" ca="1" si="31"/>
        <v>14.16675</v>
      </c>
      <c r="N111" s="1">
        <f t="shared" ca="1" si="31"/>
        <v>0.2</v>
      </c>
      <c r="O111" s="1">
        <f t="shared" ca="1" si="31"/>
        <v>0.2</v>
      </c>
      <c r="P111" s="1">
        <f t="shared" ca="1" si="31"/>
        <v>0.36</v>
      </c>
      <c r="Q111" s="1">
        <f t="shared" ca="1" si="31"/>
        <v>0.1</v>
      </c>
      <c r="R111" s="1">
        <f t="shared" ca="1" si="31"/>
        <v>3</v>
      </c>
      <c r="S111" s="1">
        <f t="shared" ca="1" si="32"/>
        <v>0.1</v>
      </c>
      <c r="T111" s="1">
        <f t="shared" ca="1" si="32"/>
        <v>0.9</v>
      </c>
      <c r="U111" s="1">
        <f t="shared" ca="1" si="32"/>
        <v>19.3333333333333</v>
      </c>
      <c r="V111" s="1">
        <f t="shared" ca="1" si="32"/>
        <v>0</v>
      </c>
      <c r="W111" s="1">
        <f t="shared" ca="1" si="32"/>
        <v>0</v>
      </c>
      <c r="X111" s="1">
        <f t="shared" ca="1" si="32"/>
        <v>0</v>
      </c>
      <c r="Y111" s="1">
        <f t="shared" ca="1" si="32"/>
        <v>5.2355623100304003</v>
      </c>
      <c r="Z111" s="1">
        <f t="shared" ca="1" si="32"/>
        <v>0</v>
      </c>
      <c r="AA111" s="1">
        <f t="shared" ca="1" si="32"/>
        <v>0</v>
      </c>
      <c r="AB111" s="1">
        <f t="shared" ca="1" si="32"/>
        <v>0</v>
      </c>
      <c r="AC111" s="1">
        <f t="shared" ca="1" si="32"/>
        <v>14.16675</v>
      </c>
      <c r="AD111" s="1">
        <f t="shared" ca="1" si="32"/>
        <v>14.16675</v>
      </c>
      <c r="AE111" s="1">
        <f t="shared" ca="1" si="32"/>
        <v>14.16675</v>
      </c>
      <c r="AF111" s="1">
        <f t="shared" ca="1" si="32"/>
        <v>18.416775000000001</v>
      </c>
      <c r="AG111" s="1">
        <f t="shared" ca="1" si="32"/>
        <v>14.16675</v>
      </c>
      <c r="AH111" s="1">
        <f t="shared" ca="1" si="32"/>
        <v>14.16675</v>
      </c>
      <c r="AI111" s="1">
        <f t="shared" ca="1" si="26"/>
        <v>14.16675</v>
      </c>
    </row>
    <row r="112" spans="2:35" x14ac:dyDescent="0.15">
      <c r="B112" s="1" t="str">
        <f t="shared" si="21"/>
        <v>龙系11</v>
      </c>
      <c r="C112" s="1">
        <f t="shared" si="29"/>
        <v>11</v>
      </c>
      <c r="D112" s="14" t="s">
        <v>91</v>
      </c>
      <c r="E112" s="14">
        <f t="shared" si="30"/>
        <v>2</v>
      </c>
      <c r="F112" s="1" t="str">
        <f t="shared" si="19"/>
        <v>火炎</v>
      </c>
      <c r="H112" s="1">
        <f t="shared" ca="1" si="20"/>
        <v>275.41481515079909</v>
      </c>
      <c r="I112" s="1">
        <f t="shared" ca="1" si="31"/>
        <v>100</v>
      </c>
      <c r="J112" s="1">
        <f t="shared" ca="1" si="31"/>
        <v>165.47142857142899</v>
      </c>
      <c r="K112" s="1">
        <f t="shared" ca="1" si="31"/>
        <v>15.583425</v>
      </c>
      <c r="L112" s="1">
        <f t="shared" ca="1" si="31"/>
        <v>110.314285714286</v>
      </c>
      <c r="M112" s="1">
        <f t="shared" ca="1" si="31"/>
        <v>15.583425</v>
      </c>
      <c r="N112" s="1">
        <f t="shared" ca="1" si="31"/>
        <v>0.2</v>
      </c>
      <c r="O112" s="1">
        <f t="shared" ca="1" si="31"/>
        <v>0.2</v>
      </c>
      <c r="P112" s="1">
        <f t="shared" ca="1" si="31"/>
        <v>0.36</v>
      </c>
      <c r="Q112" s="1">
        <f t="shared" ca="1" si="31"/>
        <v>0.1</v>
      </c>
      <c r="R112" s="1">
        <f t="shared" ca="1" si="31"/>
        <v>3</v>
      </c>
      <c r="S112" s="1">
        <f t="shared" ca="1" si="32"/>
        <v>0.1</v>
      </c>
      <c r="T112" s="1">
        <f t="shared" ca="1" si="32"/>
        <v>0.9</v>
      </c>
      <c r="U112" s="1">
        <f t="shared" ca="1" si="32"/>
        <v>21.266666666666701</v>
      </c>
      <c r="V112" s="1">
        <f t="shared" ca="1" si="32"/>
        <v>0</v>
      </c>
      <c r="W112" s="1">
        <f t="shared" ca="1" si="32"/>
        <v>0</v>
      </c>
      <c r="X112" s="1">
        <f t="shared" ca="1" si="32"/>
        <v>0</v>
      </c>
      <c r="Y112" s="1">
        <f t="shared" ca="1" si="32"/>
        <v>6.4204081632653098</v>
      </c>
      <c r="Z112" s="1">
        <f t="shared" ca="1" si="32"/>
        <v>0</v>
      </c>
      <c r="AA112" s="1">
        <f t="shared" ca="1" si="32"/>
        <v>0</v>
      </c>
      <c r="AB112" s="1">
        <f t="shared" ca="1" si="32"/>
        <v>0</v>
      </c>
      <c r="AC112" s="1">
        <f t="shared" ca="1" si="32"/>
        <v>15.583425</v>
      </c>
      <c r="AD112" s="1">
        <f t="shared" ca="1" si="32"/>
        <v>15.583425</v>
      </c>
      <c r="AE112" s="1">
        <f t="shared" ca="1" si="32"/>
        <v>15.583425</v>
      </c>
      <c r="AF112" s="1">
        <f t="shared" ca="1" si="32"/>
        <v>20.258452500000001</v>
      </c>
      <c r="AG112" s="1">
        <f t="shared" ca="1" si="32"/>
        <v>15.583425</v>
      </c>
      <c r="AH112" s="1">
        <f t="shared" ca="1" si="32"/>
        <v>15.583425</v>
      </c>
      <c r="AI112" s="1">
        <f t="shared" ca="1" si="26"/>
        <v>15.583425</v>
      </c>
    </row>
    <row r="113" spans="2:35" x14ac:dyDescent="0.15">
      <c r="B113" s="1" t="str">
        <f t="shared" si="21"/>
        <v>龙系12</v>
      </c>
      <c r="C113" s="1">
        <f t="shared" si="29"/>
        <v>12</v>
      </c>
      <c r="D113" s="14" t="s">
        <v>91</v>
      </c>
      <c r="E113" s="14">
        <f t="shared" si="30"/>
        <v>2</v>
      </c>
      <c r="F113" s="1" t="str">
        <f t="shared" si="19"/>
        <v>火炎</v>
      </c>
      <c r="H113" s="1">
        <f t="shared" ca="1" si="20"/>
        <v>317.67539156042596</v>
      </c>
      <c r="I113" s="1">
        <f t="shared" ref="I113:R122" ca="1" si="33">mVlookup($C113,monsterBaseDate,I$2,FALSE)*(1+mVlookup($E113,monsterType,I$2,FALSE))</f>
        <v>100</v>
      </c>
      <c r="J113" s="1">
        <f t="shared" ca="1" si="33"/>
        <v>181.9812949640295</v>
      </c>
      <c r="K113" s="1">
        <f t="shared" ca="1" si="33"/>
        <v>17.0001</v>
      </c>
      <c r="L113" s="1">
        <f t="shared" ca="1" si="33"/>
        <v>121.320863309353</v>
      </c>
      <c r="M113" s="1">
        <f t="shared" ca="1" si="33"/>
        <v>17.0001</v>
      </c>
      <c r="N113" s="1">
        <f t="shared" ca="1" si="33"/>
        <v>0.2</v>
      </c>
      <c r="O113" s="1">
        <f t="shared" ca="1" si="33"/>
        <v>0.2</v>
      </c>
      <c r="P113" s="1">
        <f t="shared" ca="1" si="33"/>
        <v>0.36</v>
      </c>
      <c r="Q113" s="1">
        <f t="shared" ca="1" si="33"/>
        <v>0.1</v>
      </c>
      <c r="R113" s="1">
        <f t="shared" ca="1" si="33"/>
        <v>3</v>
      </c>
      <c r="S113" s="1">
        <f t="shared" ref="S113:AH128" ca="1" si="34">mVlookup($C113,monsterBaseDate,S$2,FALSE)*(1+mVlookup($E113,monsterType,S$2,FALSE))</f>
        <v>0.1</v>
      </c>
      <c r="T113" s="1">
        <f t="shared" ca="1" si="34"/>
        <v>0.9</v>
      </c>
      <c r="U113" s="1">
        <f t="shared" ca="1" si="34"/>
        <v>23.2</v>
      </c>
      <c r="V113" s="1">
        <f t="shared" ca="1" si="34"/>
        <v>0</v>
      </c>
      <c r="W113" s="1">
        <f t="shared" ca="1" si="34"/>
        <v>0</v>
      </c>
      <c r="X113" s="1">
        <f t="shared" ca="1" si="34"/>
        <v>0</v>
      </c>
      <c r="Y113" s="1">
        <f t="shared" ca="1" si="34"/>
        <v>7.7438848920863297</v>
      </c>
      <c r="Z113" s="1">
        <f t="shared" ca="1" si="34"/>
        <v>0</v>
      </c>
      <c r="AA113" s="1">
        <f t="shared" ca="1" si="34"/>
        <v>0</v>
      </c>
      <c r="AB113" s="1">
        <f t="shared" ca="1" si="32"/>
        <v>0</v>
      </c>
      <c r="AC113" s="1">
        <f t="shared" ca="1" si="34"/>
        <v>17.0001</v>
      </c>
      <c r="AD113" s="1">
        <f t="shared" ca="1" si="34"/>
        <v>17.0001</v>
      </c>
      <c r="AE113" s="1">
        <f t="shared" ca="1" si="34"/>
        <v>17.0001</v>
      </c>
      <c r="AF113" s="1">
        <f t="shared" ca="1" si="34"/>
        <v>22.10013</v>
      </c>
      <c r="AG113" s="1">
        <f t="shared" ca="1" si="34"/>
        <v>17.0001</v>
      </c>
      <c r="AH113" s="1">
        <f t="shared" ca="1" si="34"/>
        <v>17.0001</v>
      </c>
      <c r="AI113" s="1">
        <f t="shared" ca="1" si="26"/>
        <v>17.0001</v>
      </c>
    </row>
    <row r="114" spans="2:35" x14ac:dyDescent="0.15">
      <c r="B114" s="1" t="str">
        <f t="shared" si="21"/>
        <v>龙系13</v>
      </c>
      <c r="C114" s="1">
        <f t="shared" si="29"/>
        <v>13</v>
      </c>
      <c r="D114" s="14" t="s">
        <v>91</v>
      </c>
      <c r="E114" s="14">
        <f t="shared" si="30"/>
        <v>2</v>
      </c>
      <c r="F114" s="1" t="str">
        <f t="shared" si="19"/>
        <v>火炎</v>
      </c>
      <c r="H114" s="1">
        <f t="shared" ca="1" si="20"/>
        <v>346.2859081916439</v>
      </c>
      <c r="I114" s="1">
        <f t="shared" ca="1" si="33"/>
        <v>100</v>
      </c>
      <c r="J114" s="1">
        <f t="shared" ca="1" si="33"/>
        <v>198.74557453416151</v>
      </c>
      <c r="K114" s="1">
        <f t="shared" ca="1" si="33"/>
        <v>18.416775000000001</v>
      </c>
      <c r="L114" s="1">
        <f t="shared" ca="1" si="33"/>
        <v>132.49704968944101</v>
      </c>
      <c r="M114" s="1">
        <f t="shared" ca="1" si="33"/>
        <v>18.416775000000001</v>
      </c>
      <c r="N114" s="1">
        <f t="shared" ca="1" si="33"/>
        <v>0.2</v>
      </c>
      <c r="O114" s="1">
        <f t="shared" ca="1" si="33"/>
        <v>0.2</v>
      </c>
      <c r="P114" s="1">
        <f t="shared" ca="1" si="33"/>
        <v>0.36</v>
      </c>
      <c r="Q114" s="1">
        <f t="shared" ca="1" si="33"/>
        <v>0.1</v>
      </c>
      <c r="R114" s="1">
        <f t="shared" ca="1" si="33"/>
        <v>3</v>
      </c>
      <c r="S114" s="1">
        <f t="shared" ca="1" si="34"/>
        <v>0.1</v>
      </c>
      <c r="T114" s="1">
        <f t="shared" ca="1" si="34"/>
        <v>0.9</v>
      </c>
      <c r="U114" s="1">
        <f t="shared" ca="1" si="34"/>
        <v>25.133333333333301</v>
      </c>
      <c r="V114" s="1">
        <f t="shared" ca="1" si="34"/>
        <v>0</v>
      </c>
      <c r="W114" s="1">
        <f t="shared" ca="1" si="34"/>
        <v>0</v>
      </c>
      <c r="X114" s="1">
        <f t="shared" ca="1" si="34"/>
        <v>0</v>
      </c>
      <c r="Y114" s="1">
        <f t="shared" ca="1" si="34"/>
        <v>9.2110248447204999</v>
      </c>
      <c r="Z114" s="1">
        <f t="shared" ca="1" si="34"/>
        <v>0</v>
      </c>
      <c r="AA114" s="1">
        <f t="shared" ca="1" si="34"/>
        <v>0</v>
      </c>
      <c r="AB114" s="1">
        <f t="shared" ca="1" si="32"/>
        <v>0</v>
      </c>
      <c r="AC114" s="1">
        <f t="shared" ca="1" si="34"/>
        <v>18.416775000000001</v>
      </c>
      <c r="AD114" s="1">
        <f t="shared" ca="1" si="34"/>
        <v>18.416775000000001</v>
      </c>
      <c r="AE114" s="1">
        <f t="shared" ca="1" si="34"/>
        <v>18.416775000000001</v>
      </c>
      <c r="AF114" s="1">
        <f t="shared" ca="1" si="34"/>
        <v>23.941807500000003</v>
      </c>
      <c r="AG114" s="1">
        <f t="shared" ca="1" si="34"/>
        <v>18.416775000000001</v>
      </c>
      <c r="AH114" s="1">
        <f t="shared" ca="1" si="34"/>
        <v>18.416775000000001</v>
      </c>
      <c r="AI114" s="1">
        <f t="shared" ca="1" si="26"/>
        <v>18.416775000000001</v>
      </c>
    </row>
    <row r="115" spans="2:35" x14ac:dyDescent="0.15">
      <c r="B115" s="1" t="str">
        <f t="shared" si="21"/>
        <v>龙系14</v>
      </c>
      <c r="C115" s="1">
        <f t="shared" si="29"/>
        <v>14</v>
      </c>
      <c r="D115" s="14" t="s">
        <v>91</v>
      </c>
      <c r="E115" s="14">
        <f t="shared" si="30"/>
        <v>2</v>
      </c>
      <c r="F115" s="1" t="str">
        <f t="shared" si="19"/>
        <v>火炎</v>
      </c>
      <c r="H115" s="1">
        <f t="shared" ca="1" si="20"/>
        <v>375.22528133586496</v>
      </c>
      <c r="I115" s="1">
        <f t="shared" ca="1" si="33"/>
        <v>100</v>
      </c>
      <c r="J115" s="1">
        <f t="shared" ca="1" si="33"/>
        <v>215.7667883211675</v>
      </c>
      <c r="K115" s="1">
        <f t="shared" ca="1" si="33"/>
        <v>19.833449999999999</v>
      </c>
      <c r="L115" s="1">
        <f t="shared" ca="1" si="33"/>
        <v>143.84452554744499</v>
      </c>
      <c r="M115" s="1">
        <f t="shared" ca="1" si="33"/>
        <v>19.833449999999999</v>
      </c>
      <c r="N115" s="1">
        <f t="shared" ca="1" si="33"/>
        <v>0.2</v>
      </c>
      <c r="O115" s="1">
        <f t="shared" ca="1" si="33"/>
        <v>0.2</v>
      </c>
      <c r="P115" s="1">
        <f t="shared" ca="1" si="33"/>
        <v>0.36</v>
      </c>
      <c r="Q115" s="1">
        <f t="shared" ca="1" si="33"/>
        <v>0.1</v>
      </c>
      <c r="R115" s="1">
        <f t="shared" ca="1" si="33"/>
        <v>3</v>
      </c>
      <c r="S115" s="1">
        <f t="shared" ca="1" si="34"/>
        <v>0.1</v>
      </c>
      <c r="T115" s="1">
        <f t="shared" ca="1" si="34"/>
        <v>0.9</v>
      </c>
      <c r="U115" s="1">
        <f t="shared" ca="1" si="34"/>
        <v>27.066666666666698</v>
      </c>
      <c r="V115" s="1">
        <f t="shared" ca="1" si="34"/>
        <v>0</v>
      </c>
      <c r="W115" s="1">
        <f t="shared" ca="1" si="34"/>
        <v>0</v>
      </c>
      <c r="X115" s="1">
        <f t="shared" ca="1" si="34"/>
        <v>0</v>
      </c>
      <c r="Y115" s="1">
        <f t="shared" ca="1" si="34"/>
        <v>10.8270072992701</v>
      </c>
      <c r="Z115" s="1">
        <f t="shared" ca="1" si="34"/>
        <v>0</v>
      </c>
      <c r="AA115" s="1">
        <f t="shared" ca="1" si="34"/>
        <v>0</v>
      </c>
      <c r="AB115" s="1">
        <f t="shared" ca="1" si="32"/>
        <v>0</v>
      </c>
      <c r="AC115" s="1">
        <f t="shared" ca="1" si="34"/>
        <v>19.833449999999999</v>
      </c>
      <c r="AD115" s="1">
        <f t="shared" ca="1" si="34"/>
        <v>19.833449999999999</v>
      </c>
      <c r="AE115" s="1">
        <f t="shared" ca="1" si="34"/>
        <v>19.833449999999999</v>
      </c>
      <c r="AF115" s="1">
        <f t="shared" ca="1" si="34"/>
        <v>25.783484999999999</v>
      </c>
      <c r="AG115" s="1">
        <f t="shared" ca="1" si="34"/>
        <v>19.833449999999999</v>
      </c>
      <c r="AH115" s="1">
        <f t="shared" ca="1" si="34"/>
        <v>19.833449999999999</v>
      </c>
      <c r="AI115" s="1">
        <f t="shared" ca="1" si="26"/>
        <v>19.833449999999999</v>
      </c>
    </row>
    <row r="116" spans="2:35" x14ac:dyDescent="0.15">
      <c r="B116" s="1" t="str">
        <f t="shared" si="21"/>
        <v>龙系15</v>
      </c>
      <c r="C116" s="1">
        <f t="shared" si="29"/>
        <v>15</v>
      </c>
      <c r="D116" s="14" t="s">
        <v>91</v>
      </c>
      <c r="E116" s="14">
        <f t="shared" si="30"/>
        <v>2</v>
      </c>
      <c r="F116" s="1" t="str">
        <f t="shared" si="19"/>
        <v>火炎</v>
      </c>
      <c r="H116" s="1">
        <f t="shared" ca="1" si="20"/>
        <v>404.49351099308819</v>
      </c>
      <c r="I116" s="1">
        <f t="shared" ca="1" si="33"/>
        <v>100</v>
      </c>
      <c r="J116" s="1">
        <f t="shared" ca="1" si="33"/>
        <v>233.04753151260451</v>
      </c>
      <c r="K116" s="1">
        <f t="shared" ca="1" si="33"/>
        <v>21.250125000000001</v>
      </c>
      <c r="L116" s="1">
        <f t="shared" ca="1" si="33"/>
        <v>155.365021008403</v>
      </c>
      <c r="M116" s="1">
        <f t="shared" ca="1" si="33"/>
        <v>21.250125000000001</v>
      </c>
      <c r="N116" s="1">
        <f t="shared" ca="1" si="33"/>
        <v>0.2</v>
      </c>
      <c r="O116" s="1">
        <f t="shared" ca="1" si="33"/>
        <v>0.2</v>
      </c>
      <c r="P116" s="1">
        <f t="shared" ca="1" si="33"/>
        <v>0.36</v>
      </c>
      <c r="Q116" s="1">
        <f t="shared" ca="1" si="33"/>
        <v>0.1</v>
      </c>
      <c r="R116" s="1">
        <f t="shared" ca="1" si="33"/>
        <v>3</v>
      </c>
      <c r="S116" s="1">
        <f t="shared" ca="1" si="34"/>
        <v>0.1</v>
      </c>
      <c r="T116" s="1">
        <f t="shared" ca="1" si="34"/>
        <v>0.9</v>
      </c>
      <c r="U116" s="1">
        <f t="shared" ca="1" si="34"/>
        <v>29</v>
      </c>
      <c r="V116" s="1">
        <f t="shared" ca="1" si="34"/>
        <v>0</v>
      </c>
      <c r="W116" s="1">
        <f t="shared" ca="1" si="34"/>
        <v>0</v>
      </c>
      <c r="X116" s="1">
        <f t="shared" ca="1" si="34"/>
        <v>0</v>
      </c>
      <c r="Y116" s="1">
        <f t="shared" ca="1" si="34"/>
        <v>12.5971638655462</v>
      </c>
      <c r="Z116" s="1">
        <f t="shared" ca="1" si="34"/>
        <v>0</v>
      </c>
      <c r="AA116" s="1">
        <f t="shared" ca="1" si="34"/>
        <v>0</v>
      </c>
      <c r="AB116" s="1">
        <f t="shared" ca="1" si="32"/>
        <v>0</v>
      </c>
      <c r="AC116" s="1">
        <f t="shared" ca="1" si="34"/>
        <v>21.250125000000001</v>
      </c>
      <c r="AD116" s="1">
        <f t="shared" ca="1" si="34"/>
        <v>21.250125000000001</v>
      </c>
      <c r="AE116" s="1">
        <f t="shared" ca="1" si="34"/>
        <v>21.250125000000001</v>
      </c>
      <c r="AF116" s="1">
        <f t="shared" ca="1" si="34"/>
        <v>27.625162500000002</v>
      </c>
      <c r="AG116" s="1">
        <f t="shared" ca="1" si="34"/>
        <v>21.250125000000001</v>
      </c>
      <c r="AH116" s="1">
        <f t="shared" ca="1" si="34"/>
        <v>21.250125000000001</v>
      </c>
      <c r="AI116" s="1">
        <f t="shared" ca="1" si="26"/>
        <v>21.250125000000001</v>
      </c>
    </row>
    <row r="117" spans="2:35" x14ac:dyDescent="0.15">
      <c r="B117" s="1" t="str">
        <f t="shared" si="21"/>
        <v>龙系16</v>
      </c>
      <c r="C117" s="1">
        <f t="shared" si="29"/>
        <v>16</v>
      </c>
      <c r="D117" s="14" t="s">
        <v>91</v>
      </c>
      <c r="E117" s="14">
        <f t="shared" si="30"/>
        <v>2</v>
      </c>
      <c r="F117" s="1" t="str">
        <f t="shared" si="19"/>
        <v>火炎</v>
      </c>
      <c r="H117" s="1">
        <f t="shared" ca="1" si="20"/>
        <v>434.09059716331461</v>
      </c>
      <c r="I117" s="1">
        <f t="shared" ca="1" si="33"/>
        <v>100</v>
      </c>
      <c r="J117" s="1">
        <f t="shared" ca="1" si="33"/>
        <v>250.5904761904755</v>
      </c>
      <c r="K117" s="1">
        <f t="shared" ca="1" si="33"/>
        <v>22.666799999999999</v>
      </c>
      <c r="L117" s="1">
        <f t="shared" ca="1" si="33"/>
        <v>167.06031746031701</v>
      </c>
      <c r="M117" s="1">
        <f t="shared" ca="1" si="33"/>
        <v>22.666799999999999</v>
      </c>
      <c r="N117" s="1">
        <f t="shared" ca="1" si="33"/>
        <v>0.2</v>
      </c>
      <c r="O117" s="1">
        <f t="shared" ca="1" si="33"/>
        <v>0.2</v>
      </c>
      <c r="P117" s="1">
        <f t="shared" ca="1" si="33"/>
        <v>0.36</v>
      </c>
      <c r="Q117" s="1">
        <f t="shared" ca="1" si="33"/>
        <v>0.1</v>
      </c>
      <c r="R117" s="1">
        <f t="shared" ca="1" si="33"/>
        <v>3</v>
      </c>
      <c r="S117" s="1">
        <f t="shared" ca="1" si="34"/>
        <v>0.1</v>
      </c>
      <c r="T117" s="1">
        <f t="shared" ca="1" si="34"/>
        <v>0.9</v>
      </c>
      <c r="U117" s="1">
        <f t="shared" ca="1" si="34"/>
        <v>30.933333333333302</v>
      </c>
      <c r="V117" s="1">
        <f t="shared" ca="1" si="34"/>
        <v>0</v>
      </c>
      <c r="W117" s="1">
        <f t="shared" ca="1" si="34"/>
        <v>0</v>
      </c>
      <c r="X117" s="1">
        <f t="shared" ca="1" si="34"/>
        <v>0</v>
      </c>
      <c r="Y117" s="1">
        <f t="shared" ca="1" si="34"/>
        <v>14.5269841269841</v>
      </c>
      <c r="Z117" s="1">
        <f t="shared" ca="1" si="34"/>
        <v>0</v>
      </c>
      <c r="AA117" s="1">
        <f t="shared" ca="1" si="34"/>
        <v>0</v>
      </c>
      <c r="AB117" s="1">
        <f t="shared" ca="1" si="32"/>
        <v>0</v>
      </c>
      <c r="AC117" s="1">
        <f t="shared" ca="1" si="34"/>
        <v>22.666799999999999</v>
      </c>
      <c r="AD117" s="1">
        <f t="shared" ca="1" si="34"/>
        <v>22.666799999999999</v>
      </c>
      <c r="AE117" s="1">
        <f t="shared" ca="1" si="34"/>
        <v>22.666799999999999</v>
      </c>
      <c r="AF117" s="1">
        <f t="shared" ca="1" si="34"/>
        <v>29.466839999999998</v>
      </c>
      <c r="AG117" s="1">
        <f t="shared" ca="1" si="34"/>
        <v>22.666799999999999</v>
      </c>
      <c r="AH117" s="1">
        <f t="shared" ca="1" si="34"/>
        <v>22.666799999999999</v>
      </c>
      <c r="AI117" s="1">
        <f t="shared" ca="1" si="26"/>
        <v>22.666799999999999</v>
      </c>
    </row>
    <row r="118" spans="2:35" x14ac:dyDescent="0.15">
      <c r="B118" s="1" t="str">
        <f t="shared" si="21"/>
        <v>龙系17</v>
      </c>
      <c r="C118" s="1">
        <f t="shared" si="29"/>
        <v>17</v>
      </c>
      <c r="D118" s="14" t="s">
        <v>91</v>
      </c>
      <c r="E118" s="14">
        <f t="shared" si="30"/>
        <v>2</v>
      </c>
      <c r="F118" s="1" t="str">
        <f t="shared" si="19"/>
        <v>火炎</v>
      </c>
      <c r="H118" s="1">
        <f t="shared" ca="1" si="20"/>
        <v>464.01653984654308</v>
      </c>
      <c r="I118" s="1">
        <f t="shared" ca="1" si="33"/>
        <v>100</v>
      </c>
      <c r="J118" s="1">
        <f t="shared" ca="1" si="33"/>
        <v>268.39837420042647</v>
      </c>
      <c r="K118" s="1">
        <f t="shared" ca="1" si="33"/>
        <v>24.083475</v>
      </c>
      <c r="L118" s="1">
        <f t="shared" ca="1" si="33"/>
        <v>178.93224946695099</v>
      </c>
      <c r="M118" s="1">
        <f t="shared" ca="1" si="33"/>
        <v>24.083475</v>
      </c>
      <c r="N118" s="1">
        <f t="shared" ca="1" si="33"/>
        <v>0.2</v>
      </c>
      <c r="O118" s="1">
        <f t="shared" ca="1" si="33"/>
        <v>0.2</v>
      </c>
      <c r="P118" s="1">
        <f t="shared" ca="1" si="33"/>
        <v>0.36</v>
      </c>
      <c r="Q118" s="1">
        <f t="shared" ca="1" si="33"/>
        <v>0.1</v>
      </c>
      <c r="R118" s="1">
        <f t="shared" ca="1" si="33"/>
        <v>3</v>
      </c>
      <c r="S118" s="1">
        <f t="shared" ca="1" si="34"/>
        <v>0.1</v>
      </c>
      <c r="T118" s="1">
        <f t="shared" ca="1" si="34"/>
        <v>0.9</v>
      </c>
      <c r="U118" s="1">
        <f t="shared" ca="1" si="34"/>
        <v>32.866666666666703</v>
      </c>
      <c r="V118" s="1">
        <f t="shared" ca="1" si="34"/>
        <v>0</v>
      </c>
      <c r="W118" s="1">
        <f t="shared" ca="1" si="34"/>
        <v>0</v>
      </c>
      <c r="X118" s="1">
        <f t="shared" ca="1" si="34"/>
        <v>0</v>
      </c>
      <c r="Y118" s="1">
        <f t="shared" ca="1" si="34"/>
        <v>16.622121535181201</v>
      </c>
      <c r="Z118" s="1">
        <f t="shared" ca="1" si="34"/>
        <v>0</v>
      </c>
      <c r="AA118" s="1">
        <f t="shared" ca="1" si="34"/>
        <v>0</v>
      </c>
      <c r="AB118" s="1">
        <f t="shared" ca="1" si="32"/>
        <v>0</v>
      </c>
      <c r="AC118" s="1">
        <f t="shared" ca="1" si="34"/>
        <v>24.083475</v>
      </c>
      <c r="AD118" s="1">
        <f t="shared" ca="1" si="34"/>
        <v>24.083475</v>
      </c>
      <c r="AE118" s="1">
        <f t="shared" ca="1" si="34"/>
        <v>24.083475</v>
      </c>
      <c r="AF118" s="1">
        <f t="shared" ca="1" si="34"/>
        <v>31.308517500000001</v>
      </c>
      <c r="AG118" s="1">
        <f t="shared" ca="1" si="34"/>
        <v>24.083475</v>
      </c>
      <c r="AH118" s="1">
        <f t="shared" ca="1" si="34"/>
        <v>24.083475</v>
      </c>
      <c r="AI118" s="1">
        <f t="shared" ca="1" si="26"/>
        <v>24.083475</v>
      </c>
    </row>
    <row r="119" spans="2:35" x14ac:dyDescent="0.15">
      <c r="B119" s="1" t="str">
        <f t="shared" si="21"/>
        <v>龙系18</v>
      </c>
      <c r="C119" s="1">
        <f t="shared" si="29"/>
        <v>18</v>
      </c>
      <c r="D119" s="14" t="s">
        <v>91</v>
      </c>
      <c r="E119" s="14">
        <f t="shared" si="30"/>
        <v>2</v>
      </c>
      <c r="F119" s="1" t="str">
        <f t="shared" si="19"/>
        <v>火炎</v>
      </c>
      <c r="H119" s="1">
        <f t="shared" ca="1" si="20"/>
        <v>494.27133904277474</v>
      </c>
      <c r="I119" s="1">
        <f t="shared" ca="1" si="33"/>
        <v>100</v>
      </c>
      <c r="J119" s="1">
        <f t="shared" ca="1" si="33"/>
        <v>286.47406015037552</v>
      </c>
      <c r="K119" s="1">
        <f t="shared" ca="1" si="33"/>
        <v>25.500150000000001</v>
      </c>
      <c r="L119" s="1">
        <f t="shared" ca="1" si="33"/>
        <v>190.982706766917</v>
      </c>
      <c r="M119" s="1">
        <f t="shared" ca="1" si="33"/>
        <v>25.500150000000001</v>
      </c>
      <c r="N119" s="1">
        <f t="shared" ca="1" si="33"/>
        <v>0.2</v>
      </c>
      <c r="O119" s="1">
        <f t="shared" ca="1" si="33"/>
        <v>0.2</v>
      </c>
      <c r="P119" s="1">
        <f t="shared" ca="1" si="33"/>
        <v>0.36</v>
      </c>
      <c r="Q119" s="1">
        <f t="shared" ca="1" si="33"/>
        <v>0.1</v>
      </c>
      <c r="R119" s="1">
        <f t="shared" ca="1" si="33"/>
        <v>3</v>
      </c>
      <c r="S119" s="1">
        <f t="shared" ca="1" si="34"/>
        <v>0.1</v>
      </c>
      <c r="T119" s="1">
        <f t="shared" ca="1" si="34"/>
        <v>0.9</v>
      </c>
      <c r="U119" s="1">
        <f t="shared" ca="1" si="34"/>
        <v>34.799999999999997</v>
      </c>
      <c r="V119" s="1">
        <f t="shared" ca="1" si="34"/>
        <v>0</v>
      </c>
      <c r="W119" s="1">
        <f t="shared" ca="1" si="34"/>
        <v>0</v>
      </c>
      <c r="X119" s="1">
        <f t="shared" ca="1" si="34"/>
        <v>0</v>
      </c>
      <c r="Y119" s="1">
        <f t="shared" ca="1" si="34"/>
        <v>18.888399570354501</v>
      </c>
      <c r="Z119" s="1">
        <f t="shared" ca="1" si="34"/>
        <v>0</v>
      </c>
      <c r="AA119" s="1">
        <f t="shared" ca="1" si="34"/>
        <v>0</v>
      </c>
      <c r="AB119" s="1">
        <f t="shared" ca="1" si="34"/>
        <v>0</v>
      </c>
      <c r="AC119" s="1">
        <f t="shared" ca="1" si="34"/>
        <v>25.500150000000001</v>
      </c>
      <c r="AD119" s="1">
        <f t="shared" ca="1" si="34"/>
        <v>25.500150000000001</v>
      </c>
      <c r="AE119" s="1">
        <f t="shared" ca="1" si="34"/>
        <v>25.500150000000001</v>
      </c>
      <c r="AF119" s="1">
        <f t="shared" ca="1" si="34"/>
        <v>33.150195000000004</v>
      </c>
      <c r="AG119" s="1">
        <f t="shared" ca="1" si="34"/>
        <v>25.500150000000001</v>
      </c>
      <c r="AH119" s="1">
        <f t="shared" ca="1" si="34"/>
        <v>25.500150000000001</v>
      </c>
      <c r="AI119" s="1">
        <f t="shared" ca="1" si="26"/>
        <v>25.500150000000001</v>
      </c>
    </row>
    <row r="120" spans="2:35" x14ac:dyDescent="0.15">
      <c r="B120" s="1" t="str">
        <f t="shared" si="21"/>
        <v>龙系19</v>
      </c>
      <c r="C120" s="1">
        <f t="shared" si="29"/>
        <v>19</v>
      </c>
      <c r="D120" s="14" t="s">
        <v>91</v>
      </c>
      <c r="E120" s="14">
        <f t="shared" si="30"/>
        <v>2</v>
      </c>
      <c r="F120" s="1" t="str">
        <f t="shared" si="19"/>
        <v>火炎</v>
      </c>
      <c r="H120" s="1">
        <f t="shared" ca="1" si="20"/>
        <v>524.85499475200743</v>
      </c>
      <c r="I120" s="1">
        <f t="shared" ca="1" si="33"/>
        <v>100</v>
      </c>
      <c r="J120" s="1">
        <f t="shared" ca="1" si="33"/>
        <v>304.82045454545403</v>
      </c>
      <c r="K120" s="1">
        <f t="shared" ca="1" si="33"/>
        <v>26.916824999999999</v>
      </c>
      <c r="L120" s="1">
        <f t="shared" ca="1" si="33"/>
        <v>203.213636363636</v>
      </c>
      <c r="M120" s="1">
        <f t="shared" ca="1" si="33"/>
        <v>26.916824999999999</v>
      </c>
      <c r="N120" s="1">
        <f t="shared" ca="1" si="33"/>
        <v>0.2</v>
      </c>
      <c r="O120" s="1">
        <f t="shared" ca="1" si="33"/>
        <v>0.2</v>
      </c>
      <c r="P120" s="1">
        <f t="shared" ca="1" si="33"/>
        <v>0.36</v>
      </c>
      <c r="Q120" s="1">
        <f t="shared" ca="1" si="33"/>
        <v>0.1</v>
      </c>
      <c r="R120" s="1">
        <f t="shared" ca="1" si="33"/>
        <v>3</v>
      </c>
      <c r="S120" s="1">
        <f t="shared" ca="1" si="34"/>
        <v>0.1</v>
      </c>
      <c r="T120" s="1">
        <f t="shared" ca="1" si="34"/>
        <v>0.9</v>
      </c>
      <c r="U120" s="1">
        <f t="shared" ca="1" si="34"/>
        <v>36.733333333333299</v>
      </c>
      <c r="V120" s="1">
        <f t="shared" ca="1" si="34"/>
        <v>0</v>
      </c>
      <c r="W120" s="1">
        <f t="shared" ca="1" si="34"/>
        <v>0</v>
      </c>
      <c r="X120" s="1">
        <f t="shared" ca="1" si="34"/>
        <v>0</v>
      </c>
      <c r="Y120" s="1">
        <f t="shared" ca="1" si="34"/>
        <v>21.3318181818182</v>
      </c>
      <c r="Z120" s="1">
        <f t="shared" ca="1" si="34"/>
        <v>0</v>
      </c>
      <c r="AA120" s="1">
        <f t="shared" ca="1" si="34"/>
        <v>0</v>
      </c>
      <c r="AB120" s="1">
        <f t="shared" ca="1" si="34"/>
        <v>0</v>
      </c>
      <c r="AC120" s="1">
        <f t="shared" ca="1" si="34"/>
        <v>26.916824999999999</v>
      </c>
      <c r="AD120" s="1">
        <f t="shared" ca="1" si="34"/>
        <v>26.916824999999999</v>
      </c>
      <c r="AE120" s="1">
        <f t="shared" ca="1" si="34"/>
        <v>26.916824999999999</v>
      </c>
      <c r="AF120" s="1">
        <f t="shared" ca="1" si="34"/>
        <v>34.991872499999999</v>
      </c>
      <c r="AG120" s="1">
        <f t="shared" ca="1" si="34"/>
        <v>26.916824999999999</v>
      </c>
      <c r="AH120" s="1">
        <f t="shared" ca="1" si="34"/>
        <v>26.916824999999999</v>
      </c>
      <c r="AI120" s="1">
        <f t="shared" ca="1" si="26"/>
        <v>26.916824999999999</v>
      </c>
    </row>
    <row r="121" spans="2:35" x14ac:dyDescent="0.15">
      <c r="B121" s="1" t="str">
        <f t="shared" si="21"/>
        <v>龙系20</v>
      </c>
      <c r="C121" s="1">
        <f t="shared" si="29"/>
        <v>20</v>
      </c>
      <c r="D121" s="14" t="s">
        <v>91</v>
      </c>
      <c r="E121" s="14">
        <f t="shared" si="30"/>
        <v>2</v>
      </c>
      <c r="F121" s="1" t="str">
        <f t="shared" si="19"/>
        <v>火炎</v>
      </c>
      <c r="H121" s="1">
        <f t="shared" ca="1" si="20"/>
        <v>555.76750697424325</v>
      </c>
      <c r="I121" s="1">
        <f t="shared" ca="1" si="33"/>
        <v>100</v>
      </c>
      <c r="J121" s="1">
        <f t="shared" ca="1" si="33"/>
        <v>323.440567066521</v>
      </c>
      <c r="K121" s="1">
        <f t="shared" ca="1" si="33"/>
        <v>28.333500000000001</v>
      </c>
      <c r="L121" s="1">
        <f t="shared" ca="1" si="33"/>
        <v>215.62704471101401</v>
      </c>
      <c r="M121" s="1">
        <f t="shared" ca="1" si="33"/>
        <v>28.333500000000001</v>
      </c>
      <c r="N121" s="1">
        <f t="shared" ca="1" si="33"/>
        <v>0.2</v>
      </c>
      <c r="O121" s="1">
        <f t="shared" ca="1" si="33"/>
        <v>0.2</v>
      </c>
      <c r="P121" s="1">
        <f t="shared" ca="1" si="33"/>
        <v>0.36</v>
      </c>
      <c r="Q121" s="1">
        <f t="shared" ca="1" si="33"/>
        <v>0.1</v>
      </c>
      <c r="R121" s="1">
        <f t="shared" ca="1" si="33"/>
        <v>3</v>
      </c>
      <c r="S121" s="1">
        <f t="shared" ca="1" si="34"/>
        <v>0.1</v>
      </c>
      <c r="T121" s="1">
        <f t="shared" ca="1" si="34"/>
        <v>0.9</v>
      </c>
      <c r="U121" s="1">
        <f t="shared" ca="1" si="34"/>
        <v>38.6666666666667</v>
      </c>
      <c r="V121" s="1">
        <f t="shared" ca="1" si="34"/>
        <v>0</v>
      </c>
      <c r="W121" s="1">
        <f t="shared" ca="1" si="34"/>
        <v>0</v>
      </c>
      <c r="X121" s="1">
        <f t="shared" ca="1" si="34"/>
        <v>0</v>
      </c>
      <c r="Y121" s="1">
        <f t="shared" ca="1" si="34"/>
        <v>23.958560523446</v>
      </c>
      <c r="Z121" s="1">
        <f t="shared" ca="1" si="34"/>
        <v>0</v>
      </c>
      <c r="AA121" s="1">
        <f t="shared" ca="1" si="34"/>
        <v>0</v>
      </c>
      <c r="AB121" s="1">
        <f t="shared" ca="1" si="34"/>
        <v>0</v>
      </c>
      <c r="AC121" s="1">
        <f t="shared" ca="1" si="34"/>
        <v>28.333500000000001</v>
      </c>
      <c r="AD121" s="1">
        <f t="shared" ca="1" si="34"/>
        <v>28.333500000000001</v>
      </c>
      <c r="AE121" s="1">
        <f t="shared" ca="1" si="34"/>
        <v>28.333500000000001</v>
      </c>
      <c r="AF121" s="1">
        <f t="shared" ca="1" si="34"/>
        <v>36.833550000000002</v>
      </c>
      <c r="AG121" s="1">
        <f t="shared" ca="1" si="34"/>
        <v>28.333500000000001</v>
      </c>
      <c r="AH121" s="1">
        <f t="shared" ca="1" si="34"/>
        <v>28.333500000000001</v>
      </c>
      <c r="AI121" s="1">
        <f t="shared" ca="1" si="26"/>
        <v>28.333500000000001</v>
      </c>
    </row>
    <row r="122" spans="2:35" x14ac:dyDescent="0.15">
      <c r="B122" s="1" t="str">
        <f t="shared" si="21"/>
        <v>龙系21</v>
      </c>
      <c r="C122" s="1">
        <f t="shared" si="29"/>
        <v>21</v>
      </c>
      <c r="D122" s="14" t="s">
        <v>91</v>
      </c>
      <c r="E122" s="14">
        <f t="shared" si="30"/>
        <v>2</v>
      </c>
      <c r="F122" s="1" t="str">
        <f t="shared" si="19"/>
        <v>火炎</v>
      </c>
      <c r="H122" s="1">
        <f t="shared" ca="1" si="20"/>
        <v>587.00887570948237</v>
      </c>
      <c r="I122" s="1">
        <f t="shared" ca="1" si="33"/>
        <v>100</v>
      </c>
      <c r="J122" s="1">
        <f t="shared" ca="1" si="33"/>
        <v>342.33749999999998</v>
      </c>
      <c r="K122" s="1">
        <f t="shared" ca="1" si="33"/>
        <v>29.750174999999999</v>
      </c>
      <c r="L122" s="1">
        <f t="shared" ca="1" si="33"/>
        <v>228.22499999999999</v>
      </c>
      <c r="M122" s="1">
        <f t="shared" ca="1" si="33"/>
        <v>29.750174999999999</v>
      </c>
      <c r="N122" s="1">
        <f t="shared" ca="1" si="33"/>
        <v>0.2</v>
      </c>
      <c r="O122" s="1">
        <f t="shared" ca="1" si="33"/>
        <v>0.2</v>
      </c>
      <c r="P122" s="1">
        <f t="shared" ca="1" si="33"/>
        <v>0.36</v>
      </c>
      <c r="Q122" s="1">
        <f t="shared" ca="1" si="33"/>
        <v>0.1</v>
      </c>
      <c r="R122" s="1">
        <f t="shared" ca="1" si="33"/>
        <v>3</v>
      </c>
      <c r="S122" s="1">
        <f t="shared" ca="1" si="34"/>
        <v>0.1</v>
      </c>
      <c r="T122" s="1">
        <f t="shared" ca="1" si="34"/>
        <v>0.9</v>
      </c>
      <c r="U122" s="1">
        <f t="shared" ca="1" si="34"/>
        <v>40.6</v>
      </c>
      <c r="V122" s="1">
        <f t="shared" ca="1" si="34"/>
        <v>0</v>
      </c>
      <c r="W122" s="1">
        <f t="shared" ca="1" si="34"/>
        <v>0</v>
      </c>
      <c r="X122" s="1">
        <f t="shared" ca="1" si="34"/>
        <v>0</v>
      </c>
      <c r="Y122" s="1">
        <f t="shared" ca="1" si="34"/>
        <v>26.774999999999999</v>
      </c>
      <c r="Z122" s="1">
        <f t="shared" ca="1" si="34"/>
        <v>0</v>
      </c>
      <c r="AA122" s="1">
        <f t="shared" ca="1" si="34"/>
        <v>0</v>
      </c>
      <c r="AB122" s="1">
        <f t="shared" ca="1" si="34"/>
        <v>0</v>
      </c>
      <c r="AC122" s="1">
        <f t="shared" ca="1" si="34"/>
        <v>29.750174999999999</v>
      </c>
      <c r="AD122" s="1">
        <f t="shared" ca="1" si="34"/>
        <v>29.750174999999999</v>
      </c>
      <c r="AE122" s="1">
        <f t="shared" ca="1" si="34"/>
        <v>29.750174999999999</v>
      </c>
      <c r="AF122" s="1">
        <f t="shared" ca="1" si="34"/>
        <v>38.675227499999998</v>
      </c>
      <c r="AG122" s="1">
        <f t="shared" ca="1" si="34"/>
        <v>29.750174999999999</v>
      </c>
      <c r="AH122" s="1">
        <f t="shared" ca="1" si="34"/>
        <v>29.750174999999999</v>
      </c>
      <c r="AI122" s="1">
        <f t="shared" ca="1" si="26"/>
        <v>29.750174999999999</v>
      </c>
    </row>
    <row r="123" spans="2:35" x14ac:dyDescent="0.15">
      <c r="B123" s="1" t="str">
        <f t="shared" si="21"/>
        <v>龙系22</v>
      </c>
      <c r="C123" s="1">
        <f t="shared" si="29"/>
        <v>22</v>
      </c>
      <c r="D123" s="14" t="s">
        <v>91</v>
      </c>
      <c r="E123" s="14">
        <f t="shared" si="30"/>
        <v>2</v>
      </c>
      <c r="F123" s="1" t="str">
        <f t="shared" si="19"/>
        <v>火炎</v>
      </c>
      <c r="H123" s="1">
        <f t="shared" ca="1" si="20"/>
        <v>618.57910095772343</v>
      </c>
      <c r="I123" s="1">
        <f t="shared" ref="I123:R132" ca="1" si="35">mVlookup($C123,monsterBaseDate,I$2,FALSE)*(1+mVlookup($E123,monsterType,I$2,FALSE))</f>
        <v>100</v>
      </c>
      <c r="J123" s="1">
        <f t="shared" ca="1" si="35"/>
        <v>361.51445182724251</v>
      </c>
      <c r="K123" s="1">
        <f t="shared" ca="1" si="35"/>
        <v>31.16685</v>
      </c>
      <c r="L123" s="1">
        <f t="shared" ca="1" si="35"/>
        <v>241.009634551495</v>
      </c>
      <c r="M123" s="1">
        <f t="shared" ca="1" si="35"/>
        <v>31.16685</v>
      </c>
      <c r="N123" s="1">
        <f t="shared" ca="1" si="35"/>
        <v>0.2</v>
      </c>
      <c r="O123" s="1">
        <f t="shared" ca="1" si="35"/>
        <v>0.2</v>
      </c>
      <c r="P123" s="1">
        <f t="shared" ca="1" si="35"/>
        <v>0.36</v>
      </c>
      <c r="Q123" s="1">
        <f t="shared" ca="1" si="35"/>
        <v>0.1</v>
      </c>
      <c r="R123" s="1">
        <f t="shared" ca="1" si="35"/>
        <v>3</v>
      </c>
      <c r="S123" s="1">
        <f t="shared" ref="S123:AH138" ca="1" si="36">mVlookup($C123,monsterBaseDate,S$2,FALSE)*(1+mVlookup($E123,monsterType,S$2,FALSE))</f>
        <v>0.1</v>
      </c>
      <c r="T123" s="1">
        <f t="shared" ca="1" si="36"/>
        <v>0.9</v>
      </c>
      <c r="U123" s="1">
        <f t="shared" ca="1" si="36"/>
        <v>42.533333333333303</v>
      </c>
      <c r="V123" s="1">
        <f t="shared" ca="1" si="36"/>
        <v>0</v>
      </c>
      <c r="W123" s="1">
        <f t="shared" ca="1" si="36"/>
        <v>0</v>
      </c>
      <c r="X123" s="1">
        <f t="shared" ca="1" si="36"/>
        <v>0</v>
      </c>
      <c r="Y123" s="1">
        <f t="shared" ca="1" si="36"/>
        <v>29.787707641196</v>
      </c>
      <c r="Z123" s="1">
        <f t="shared" ca="1" si="36"/>
        <v>0</v>
      </c>
      <c r="AA123" s="1">
        <f t="shared" ca="1" si="36"/>
        <v>0</v>
      </c>
      <c r="AB123" s="1">
        <f t="shared" ca="1" si="34"/>
        <v>0</v>
      </c>
      <c r="AC123" s="1">
        <f t="shared" ca="1" si="36"/>
        <v>31.16685</v>
      </c>
      <c r="AD123" s="1">
        <f t="shared" ca="1" si="36"/>
        <v>31.16685</v>
      </c>
      <c r="AE123" s="1">
        <f t="shared" ca="1" si="36"/>
        <v>31.16685</v>
      </c>
      <c r="AF123" s="1">
        <f t="shared" ca="1" si="36"/>
        <v>40.516905000000001</v>
      </c>
      <c r="AG123" s="1">
        <f t="shared" ca="1" si="36"/>
        <v>31.16685</v>
      </c>
      <c r="AH123" s="1">
        <f t="shared" ca="1" si="36"/>
        <v>31.16685</v>
      </c>
      <c r="AI123" s="1">
        <f t="shared" ca="1" si="26"/>
        <v>31.16685</v>
      </c>
    </row>
    <row r="124" spans="2:35" x14ac:dyDescent="0.15">
      <c r="B124" s="1" t="str">
        <f t="shared" si="21"/>
        <v>龙系23</v>
      </c>
      <c r="C124" s="1">
        <f t="shared" si="29"/>
        <v>23</v>
      </c>
      <c r="D124" s="14" t="s">
        <v>91</v>
      </c>
      <c r="E124" s="14">
        <f t="shared" si="30"/>
        <v>2</v>
      </c>
      <c r="F124" s="1" t="str">
        <f t="shared" si="19"/>
        <v>火炎</v>
      </c>
      <c r="H124" s="1">
        <f t="shared" ca="1" si="20"/>
        <v>683.84323704032477</v>
      </c>
      <c r="I124" s="1">
        <f t="shared" ca="1" si="35"/>
        <v>100</v>
      </c>
      <c r="J124" s="1">
        <f t="shared" ca="1" si="35"/>
        <v>380.97472098214348</v>
      </c>
      <c r="K124" s="1">
        <f t="shared" ca="1" si="35"/>
        <v>32.583525000000002</v>
      </c>
      <c r="L124" s="1">
        <f t="shared" ca="1" si="35"/>
        <v>253.98314732142899</v>
      </c>
      <c r="M124" s="1">
        <f t="shared" ca="1" si="35"/>
        <v>32.583525000000002</v>
      </c>
      <c r="N124" s="1">
        <f t="shared" ca="1" si="35"/>
        <v>0.2</v>
      </c>
      <c r="O124" s="1">
        <f t="shared" ca="1" si="35"/>
        <v>0.2</v>
      </c>
      <c r="P124" s="1">
        <f t="shared" ca="1" si="35"/>
        <v>0.36</v>
      </c>
      <c r="Q124" s="1">
        <f t="shared" ca="1" si="35"/>
        <v>0.1</v>
      </c>
      <c r="R124" s="1">
        <f t="shared" ca="1" si="35"/>
        <v>3</v>
      </c>
      <c r="S124" s="1">
        <f t="shared" ca="1" si="36"/>
        <v>0.1</v>
      </c>
      <c r="T124" s="1">
        <f t="shared" ca="1" si="36"/>
        <v>0.9</v>
      </c>
      <c r="U124" s="1">
        <f t="shared" ca="1" si="36"/>
        <v>44.466666666666697</v>
      </c>
      <c r="V124" s="1">
        <f t="shared" ca="1" si="36"/>
        <v>0</v>
      </c>
      <c r="W124" s="1">
        <f t="shared" ca="1" si="36"/>
        <v>0</v>
      </c>
      <c r="X124" s="1">
        <f t="shared" ca="1" si="36"/>
        <v>0</v>
      </c>
      <c r="Y124" s="1">
        <f t="shared" ca="1" si="36"/>
        <v>33.003459821428599</v>
      </c>
      <c r="Z124" s="1">
        <f t="shared" ca="1" si="36"/>
        <v>0</v>
      </c>
      <c r="AA124" s="1">
        <f t="shared" ca="1" si="36"/>
        <v>0</v>
      </c>
      <c r="AB124" s="1">
        <f t="shared" ca="1" si="34"/>
        <v>0</v>
      </c>
      <c r="AC124" s="1">
        <f t="shared" ca="1" si="36"/>
        <v>32.583525000000002</v>
      </c>
      <c r="AD124" s="1">
        <f t="shared" ca="1" si="36"/>
        <v>32.583525000000002</v>
      </c>
      <c r="AE124" s="1">
        <f t="shared" ca="1" si="36"/>
        <v>32.583525000000002</v>
      </c>
      <c r="AF124" s="1">
        <f t="shared" ca="1" si="36"/>
        <v>42.358582500000004</v>
      </c>
      <c r="AG124" s="1">
        <f t="shared" ca="1" si="36"/>
        <v>32.583525000000002</v>
      </c>
      <c r="AH124" s="1">
        <f t="shared" ca="1" si="36"/>
        <v>32.583525000000002</v>
      </c>
      <c r="AI124" s="1">
        <f t="shared" ca="1" si="26"/>
        <v>32.583525000000002</v>
      </c>
    </row>
    <row r="125" spans="2:35" x14ac:dyDescent="0.15">
      <c r="B125" s="1" t="str">
        <f t="shared" si="21"/>
        <v>龙系24</v>
      </c>
      <c r="C125" s="1">
        <f t="shared" si="29"/>
        <v>24</v>
      </c>
      <c r="D125" s="14" t="s">
        <v>91</v>
      </c>
      <c r="E125" s="14">
        <f t="shared" si="30"/>
        <v>2</v>
      </c>
      <c r="F125" s="1" t="str">
        <f t="shared" si="19"/>
        <v>火炎</v>
      </c>
      <c r="H125" s="1">
        <f t="shared" ca="1" si="20"/>
        <v>717.72424676224114</v>
      </c>
      <c r="I125" s="1">
        <f t="shared" ca="1" si="35"/>
        <v>100</v>
      </c>
      <c r="J125" s="1">
        <f t="shared" ca="1" si="35"/>
        <v>400.72170978627594</v>
      </c>
      <c r="K125" s="1">
        <f t="shared" ca="1" si="35"/>
        <v>34.0002</v>
      </c>
      <c r="L125" s="1">
        <f t="shared" ca="1" si="35"/>
        <v>267.14780652418398</v>
      </c>
      <c r="M125" s="1">
        <f t="shared" ca="1" si="35"/>
        <v>34.0002</v>
      </c>
      <c r="N125" s="1">
        <f t="shared" ca="1" si="35"/>
        <v>0.2</v>
      </c>
      <c r="O125" s="1">
        <f t="shared" ca="1" si="35"/>
        <v>0.2</v>
      </c>
      <c r="P125" s="1">
        <f t="shared" ca="1" si="35"/>
        <v>0.36</v>
      </c>
      <c r="Q125" s="1">
        <f t="shared" ca="1" si="35"/>
        <v>0.1</v>
      </c>
      <c r="R125" s="1">
        <f t="shared" ca="1" si="35"/>
        <v>3</v>
      </c>
      <c r="S125" s="1">
        <f t="shared" ca="1" si="36"/>
        <v>0.1</v>
      </c>
      <c r="T125" s="1">
        <f t="shared" ca="1" si="36"/>
        <v>0.9</v>
      </c>
      <c r="U125" s="1">
        <f t="shared" ca="1" si="36"/>
        <v>46.4</v>
      </c>
      <c r="V125" s="1">
        <f t="shared" ca="1" si="36"/>
        <v>0</v>
      </c>
      <c r="W125" s="1">
        <f t="shared" ca="1" si="36"/>
        <v>0</v>
      </c>
      <c r="X125" s="1">
        <f t="shared" ca="1" si="36"/>
        <v>0</v>
      </c>
      <c r="Y125" s="1">
        <f t="shared" ca="1" si="36"/>
        <v>36.429246344207002</v>
      </c>
      <c r="Z125" s="1">
        <f t="shared" ca="1" si="36"/>
        <v>0</v>
      </c>
      <c r="AA125" s="1">
        <f t="shared" ca="1" si="36"/>
        <v>0</v>
      </c>
      <c r="AB125" s="1">
        <f t="shared" ca="1" si="34"/>
        <v>0</v>
      </c>
      <c r="AC125" s="1">
        <f t="shared" ca="1" si="36"/>
        <v>34.0002</v>
      </c>
      <c r="AD125" s="1">
        <f t="shared" ca="1" si="36"/>
        <v>34.0002</v>
      </c>
      <c r="AE125" s="1">
        <f t="shared" ca="1" si="36"/>
        <v>34.0002</v>
      </c>
      <c r="AF125" s="1">
        <f t="shared" ca="1" si="36"/>
        <v>44.20026</v>
      </c>
      <c r="AG125" s="1">
        <f t="shared" ca="1" si="36"/>
        <v>34.0002</v>
      </c>
      <c r="AH125" s="1">
        <f t="shared" ca="1" si="36"/>
        <v>34.0002</v>
      </c>
      <c r="AI125" s="1">
        <f t="shared" ca="1" si="26"/>
        <v>34.0002</v>
      </c>
    </row>
    <row r="126" spans="2:35" x14ac:dyDescent="0.15">
      <c r="B126" s="1" t="str">
        <f t="shared" si="21"/>
        <v>龙系25</v>
      </c>
      <c r="C126" s="1">
        <f t="shared" si="29"/>
        <v>25</v>
      </c>
      <c r="D126" s="14" t="s">
        <v>91</v>
      </c>
      <c r="E126" s="14">
        <f t="shared" si="30"/>
        <v>2</v>
      </c>
      <c r="F126" s="1" t="str">
        <f t="shared" si="19"/>
        <v>火炎</v>
      </c>
      <c r="H126" s="1">
        <f t="shared" ca="1" si="20"/>
        <v>751.95098107315789</v>
      </c>
      <c r="I126" s="1">
        <f t="shared" ca="1" si="35"/>
        <v>100</v>
      </c>
      <c r="J126" s="1">
        <f t="shared" ca="1" si="35"/>
        <v>420.75892857142799</v>
      </c>
      <c r="K126" s="1">
        <f t="shared" ca="1" si="35"/>
        <v>35.416874999999997</v>
      </c>
      <c r="L126" s="1">
        <f t="shared" ca="1" si="35"/>
        <v>280.50595238095201</v>
      </c>
      <c r="M126" s="1">
        <f t="shared" ca="1" si="35"/>
        <v>35.416874999999997</v>
      </c>
      <c r="N126" s="1">
        <f t="shared" ca="1" si="35"/>
        <v>0.2</v>
      </c>
      <c r="O126" s="1">
        <f t="shared" ca="1" si="35"/>
        <v>0.2</v>
      </c>
      <c r="P126" s="1">
        <f t="shared" ca="1" si="35"/>
        <v>0.36</v>
      </c>
      <c r="Q126" s="1">
        <f t="shared" ca="1" si="35"/>
        <v>0.1</v>
      </c>
      <c r="R126" s="1">
        <f t="shared" ca="1" si="35"/>
        <v>3</v>
      </c>
      <c r="S126" s="1">
        <f t="shared" ca="1" si="36"/>
        <v>0.1</v>
      </c>
      <c r="T126" s="1">
        <f t="shared" ca="1" si="36"/>
        <v>0.9</v>
      </c>
      <c r="U126" s="1">
        <f t="shared" ca="1" si="36"/>
        <v>48.3333333333333</v>
      </c>
      <c r="V126" s="1">
        <f t="shared" ca="1" si="36"/>
        <v>0</v>
      </c>
      <c r="W126" s="1">
        <f t="shared" ca="1" si="36"/>
        <v>0</v>
      </c>
      <c r="X126" s="1">
        <f t="shared" ca="1" si="36"/>
        <v>0</v>
      </c>
      <c r="Y126" s="1">
        <f t="shared" ca="1" si="36"/>
        <v>40.072278911564602</v>
      </c>
      <c r="Z126" s="1">
        <f t="shared" ca="1" si="36"/>
        <v>0</v>
      </c>
      <c r="AA126" s="1">
        <f t="shared" ca="1" si="36"/>
        <v>0</v>
      </c>
      <c r="AB126" s="1">
        <f t="shared" ca="1" si="34"/>
        <v>0</v>
      </c>
      <c r="AC126" s="1">
        <f t="shared" ca="1" si="36"/>
        <v>35.416874999999997</v>
      </c>
      <c r="AD126" s="1">
        <f t="shared" ca="1" si="36"/>
        <v>35.416874999999997</v>
      </c>
      <c r="AE126" s="1">
        <f t="shared" ca="1" si="36"/>
        <v>35.416874999999997</v>
      </c>
      <c r="AF126" s="1">
        <f t="shared" ca="1" si="36"/>
        <v>46.041937499999996</v>
      </c>
      <c r="AG126" s="1">
        <f t="shared" ca="1" si="36"/>
        <v>35.416874999999997</v>
      </c>
      <c r="AH126" s="1">
        <f t="shared" ca="1" si="36"/>
        <v>35.416874999999997</v>
      </c>
      <c r="AI126" s="1">
        <f t="shared" ca="1" si="26"/>
        <v>35.416874999999997</v>
      </c>
    </row>
    <row r="127" spans="2:35" x14ac:dyDescent="0.15">
      <c r="B127" s="1" t="str">
        <f t="shared" si="21"/>
        <v>龙系26</v>
      </c>
      <c r="C127" s="1">
        <f t="shared" si="29"/>
        <v>26</v>
      </c>
      <c r="D127" s="14" t="s">
        <v>91</v>
      </c>
      <c r="E127" s="14">
        <f t="shared" si="30"/>
        <v>2</v>
      </c>
      <c r="F127" s="1" t="str">
        <f t="shared" si="19"/>
        <v>火炎</v>
      </c>
      <c r="H127" s="1">
        <f t="shared" ca="1" si="20"/>
        <v>786.5234399730731</v>
      </c>
      <c r="I127" s="1">
        <f t="shared" ca="1" si="35"/>
        <v>100</v>
      </c>
      <c r="J127" s="1">
        <f t="shared" ca="1" si="35"/>
        <v>441.09000000000003</v>
      </c>
      <c r="K127" s="1">
        <f t="shared" ca="1" si="35"/>
        <v>36.833550000000002</v>
      </c>
      <c r="L127" s="1">
        <f t="shared" ca="1" si="35"/>
        <v>294.06</v>
      </c>
      <c r="M127" s="1">
        <f t="shared" ca="1" si="35"/>
        <v>36.833550000000002</v>
      </c>
      <c r="N127" s="1">
        <f t="shared" ca="1" si="35"/>
        <v>0.2</v>
      </c>
      <c r="O127" s="1">
        <f t="shared" ca="1" si="35"/>
        <v>0.2</v>
      </c>
      <c r="P127" s="1">
        <f t="shared" ca="1" si="35"/>
        <v>0.36</v>
      </c>
      <c r="Q127" s="1">
        <f t="shared" ca="1" si="35"/>
        <v>0.1</v>
      </c>
      <c r="R127" s="1">
        <f t="shared" ca="1" si="35"/>
        <v>3</v>
      </c>
      <c r="S127" s="1">
        <f t="shared" ca="1" si="36"/>
        <v>0.1</v>
      </c>
      <c r="T127" s="1">
        <f t="shared" ca="1" si="36"/>
        <v>0.9</v>
      </c>
      <c r="U127" s="1">
        <f t="shared" ca="1" si="36"/>
        <v>50.266666666666701</v>
      </c>
      <c r="V127" s="1">
        <f t="shared" ca="1" si="36"/>
        <v>0</v>
      </c>
      <c r="W127" s="1">
        <f t="shared" ca="1" si="36"/>
        <v>0</v>
      </c>
      <c r="X127" s="1">
        <f t="shared" ca="1" si="36"/>
        <v>0</v>
      </c>
      <c r="Y127" s="1">
        <f t="shared" ca="1" si="36"/>
        <v>43.94</v>
      </c>
      <c r="Z127" s="1">
        <f t="shared" ca="1" si="36"/>
        <v>0</v>
      </c>
      <c r="AA127" s="1">
        <f t="shared" ca="1" si="36"/>
        <v>0</v>
      </c>
      <c r="AB127" s="1">
        <f t="shared" ca="1" si="34"/>
        <v>0</v>
      </c>
      <c r="AC127" s="1">
        <f t="shared" ca="1" si="36"/>
        <v>36.833550000000002</v>
      </c>
      <c r="AD127" s="1">
        <f t="shared" ca="1" si="36"/>
        <v>36.833550000000002</v>
      </c>
      <c r="AE127" s="1">
        <f t="shared" ca="1" si="36"/>
        <v>36.833550000000002</v>
      </c>
      <c r="AF127" s="1">
        <f t="shared" ca="1" si="36"/>
        <v>47.883615000000006</v>
      </c>
      <c r="AG127" s="1">
        <f t="shared" ca="1" si="36"/>
        <v>36.833550000000002</v>
      </c>
      <c r="AH127" s="1">
        <f t="shared" ca="1" si="36"/>
        <v>36.833550000000002</v>
      </c>
      <c r="AI127" s="1">
        <f t="shared" ca="1" si="26"/>
        <v>36.833550000000002</v>
      </c>
    </row>
    <row r="128" spans="2:35" x14ac:dyDescent="0.15">
      <c r="B128" s="1" t="str">
        <f t="shared" si="21"/>
        <v>龙系27</v>
      </c>
      <c r="C128" s="1">
        <f t="shared" si="29"/>
        <v>27</v>
      </c>
      <c r="D128" s="14" t="s">
        <v>91</v>
      </c>
      <c r="E128" s="14">
        <f t="shared" si="30"/>
        <v>2</v>
      </c>
      <c r="F128" s="1" t="str">
        <f t="shared" si="19"/>
        <v>火炎</v>
      </c>
      <c r="H128" s="1">
        <f t="shared" ca="1" si="20"/>
        <v>821.44162346198777</v>
      </c>
      <c r="I128" s="1">
        <f t="shared" ca="1" si="35"/>
        <v>100</v>
      </c>
      <c r="J128" s="1">
        <f t="shared" ca="1" si="35"/>
        <v>461.71866359446949</v>
      </c>
      <c r="K128" s="1">
        <f t="shared" ca="1" si="35"/>
        <v>38.250225</v>
      </c>
      <c r="L128" s="1">
        <f t="shared" ca="1" si="35"/>
        <v>307.81244239631297</v>
      </c>
      <c r="M128" s="1">
        <f t="shared" ca="1" si="35"/>
        <v>38.250225</v>
      </c>
      <c r="N128" s="1">
        <f t="shared" ca="1" si="35"/>
        <v>0.2</v>
      </c>
      <c r="O128" s="1">
        <f t="shared" ca="1" si="35"/>
        <v>0.2</v>
      </c>
      <c r="P128" s="1">
        <f t="shared" ca="1" si="35"/>
        <v>0.36</v>
      </c>
      <c r="Q128" s="1">
        <f t="shared" ca="1" si="35"/>
        <v>0.1</v>
      </c>
      <c r="R128" s="1">
        <f t="shared" ca="1" si="35"/>
        <v>3</v>
      </c>
      <c r="S128" s="1">
        <f t="shared" ca="1" si="36"/>
        <v>0.1</v>
      </c>
      <c r="T128" s="1">
        <f t="shared" ca="1" si="36"/>
        <v>0.9</v>
      </c>
      <c r="U128" s="1">
        <f t="shared" ca="1" si="36"/>
        <v>52.2</v>
      </c>
      <c r="V128" s="1">
        <f t="shared" ca="1" si="36"/>
        <v>0</v>
      </c>
      <c r="W128" s="1">
        <f t="shared" ca="1" si="36"/>
        <v>0</v>
      </c>
      <c r="X128" s="1">
        <f t="shared" ca="1" si="36"/>
        <v>0</v>
      </c>
      <c r="Y128" s="1">
        <f t="shared" ca="1" si="36"/>
        <v>48.040092165898599</v>
      </c>
      <c r="Z128" s="1">
        <f t="shared" ca="1" si="36"/>
        <v>0</v>
      </c>
      <c r="AA128" s="1">
        <f t="shared" ca="1" si="36"/>
        <v>0</v>
      </c>
      <c r="AB128" s="1">
        <f t="shared" ca="1" si="34"/>
        <v>0</v>
      </c>
      <c r="AC128" s="1">
        <f t="shared" ca="1" si="36"/>
        <v>38.250225</v>
      </c>
      <c r="AD128" s="1">
        <f t="shared" ca="1" si="36"/>
        <v>38.250225</v>
      </c>
      <c r="AE128" s="1">
        <f t="shared" ca="1" si="36"/>
        <v>38.250225</v>
      </c>
      <c r="AF128" s="1">
        <f t="shared" ca="1" si="36"/>
        <v>49.725292500000002</v>
      </c>
      <c r="AG128" s="1">
        <f t="shared" ca="1" si="36"/>
        <v>38.250225</v>
      </c>
      <c r="AH128" s="1">
        <f t="shared" ca="1" si="36"/>
        <v>38.250225</v>
      </c>
      <c r="AI128" s="1">
        <f t="shared" ca="1" si="26"/>
        <v>38.250225</v>
      </c>
    </row>
    <row r="129" spans="2:35" x14ac:dyDescent="0.15">
      <c r="B129" s="1" t="str">
        <f t="shared" si="21"/>
        <v>龙系28</v>
      </c>
      <c r="C129" s="1">
        <f t="shared" si="29"/>
        <v>28</v>
      </c>
      <c r="D129" s="14" t="s">
        <v>91</v>
      </c>
      <c r="E129" s="14">
        <f t="shared" si="30"/>
        <v>2</v>
      </c>
      <c r="F129" s="1" t="str">
        <f t="shared" si="19"/>
        <v>火炎</v>
      </c>
      <c r="H129" s="1">
        <f t="shared" ca="1" si="20"/>
        <v>856.70553153990056</v>
      </c>
      <c r="I129" s="1">
        <f t="shared" ca="1" si="35"/>
        <v>100</v>
      </c>
      <c r="J129" s="1">
        <f t="shared" ca="1" si="35"/>
        <v>482.64878048780554</v>
      </c>
      <c r="K129" s="1">
        <f t="shared" ca="1" si="35"/>
        <v>39.666899999999998</v>
      </c>
      <c r="L129" s="1">
        <f t="shared" ca="1" si="35"/>
        <v>321.76585365853703</v>
      </c>
      <c r="M129" s="1">
        <f t="shared" ca="1" si="35"/>
        <v>39.666899999999998</v>
      </c>
      <c r="N129" s="1">
        <f t="shared" ca="1" si="35"/>
        <v>0.2</v>
      </c>
      <c r="O129" s="1">
        <f t="shared" ca="1" si="35"/>
        <v>0.2</v>
      </c>
      <c r="P129" s="1">
        <f t="shared" ca="1" si="35"/>
        <v>0.36</v>
      </c>
      <c r="Q129" s="1">
        <f t="shared" ca="1" si="35"/>
        <v>0.1</v>
      </c>
      <c r="R129" s="1">
        <f t="shared" ca="1" si="35"/>
        <v>3</v>
      </c>
      <c r="S129" s="1">
        <f t="shared" ca="1" si="36"/>
        <v>0.1</v>
      </c>
      <c r="T129" s="1">
        <f t="shared" ca="1" si="36"/>
        <v>0.9</v>
      </c>
      <c r="U129" s="1">
        <f t="shared" ca="1" si="36"/>
        <v>54.133333333333297</v>
      </c>
      <c r="V129" s="1">
        <f t="shared" ca="1" si="36"/>
        <v>0</v>
      </c>
      <c r="W129" s="1">
        <f t="shared" ca="1" si="36"/>
        <v>0</v>
      </c>
      <c r="X129" s="1">
        <f t="shared" ca="1" si="36"/>
        <v>0</v>
      </c>
      <c r="Y129" s="1">
        <f t="shared" ca="1" si="36"/>
        <v>52.380487804878101</v>
      </c>
      <c r="Z129" s="1">
        <f t="shared" ca="1" si="36"/>
        <v>0</v>
      </c>
      <c r="AA129" s="1">
        <f t="shared" ca="1" si="36"/>
        <v>0</v>
      </c>
      <c r="AB129" s="1">
        <f t="shared" ca="1" si="36"/>
        <v>0</v>
      </c>
      <c r="AC129" s="1">
        <f t="shared" ca="1" si="36"/>
        <v>39.666899999999998</v>
      </c>
      <c r="AD129" s="1">
        <f t="shared" ca="1" si="36"/>
        <v>39.666899999999998</v>
      </c>
      <c r="AE129" s="1">
        <f t="shared" ca="1" si="36"/>
        <v>39.666899999999998</v>
      </c>
      <c r="AF129" s="1">
        <f t="shared" ca="1" si="36"/>
        <v>51.566969999999998</v>
      </c>
      <c r="AG129" s="1">
        <f t="shared" ca="1" si="36"/>
        <v>39.666899999999998</v>
      </c>
      <c r="AH129" s="1">
        <f t="shared" ca="1" si="36"/>
        <v>39.666899999999998</v>
      </c>
      <c r="AI129" s="1">
        <f t="shared" ca="1" si="26"/>
        <v>39.666899999999998</v>
      </c>
    </row>
    <row r="130" spans="2:35" x14ac:dyDescent="0.15">
      <c r="B130" s="1" t="str">
        <f t="shared" si="21"/>
        <v>龙系29</v>
      </c>
      <c r="C130" s="1">
        <f t="shared" si="29"/>
        <v>29</v>
      </c>
      <c r="D130" s="14" t="s">
        <v>91</v>
      </c>
      <c r="E130" s="14">
        <f t="shared" si="30"/>
        <v>2</v>
      </c>
      <c r="F130" s="1" t="str">
        <f t="shared" si="19"/>
        <v>火炎</v>
      </c>
      <c r="H130" s="1">
        <f t="shared" ca="1" si="20"/>
        <v>892.31516420681385</v>
      </c>
      <c r="I130" s="1">
        <f t="shared" ca="1" si="35"/>
        <v>100</v>
      </c>
      <c r="J130" s="1">
        <f t="shared" ca="1" si="35"/>
        <v>503.88433840749451</v>
      </c>
      <c r="K130" s="1">
        <f t="shared" ca="1" si="35"/>
        <v>41.083575000000003</v>
      </c>
      <c r="L130" s="1">
        <f t="shared" ca="1" si="35"/>
        <v>335.92289227166299</v>
      </c>
      <c r="M130" s="1">
        <f t="shared" ca="1" si="35"/>
        <v>41.083575000000003</v>
      </c>
      <c r="N130" s="1">
        <f t="shared" ca="1" si="35"/>
        <v>0.2</v>
      </c>
      <c r="O130" s="1">
        <f t="shared" ca="1" si="35"/>
        <v>0.2</v>
      </c>
      <c r="P130" s="1">
        <f t="shared" ca="1" si="35"/>
        <v>0.36</v>
      </c>
      <c r="Q130" s="1">
        <f t="shared" ca="1" si="35"/>
        <v>0.1</v>
      </c>
      <c r="R130" s="1">
        <f t="shared" ca="1" si="35"/>
        <v>3</v>
      </c>
      <c r="S130" s="1">
        <f t="shared" ca="1" si="36"/>
        <v>0.1</v>
      </c>
      <c r="T130" s="1">
        <f t="shared" ca="1" si="36"/>
        <v>0.9</v>
      </c>
      <c r="U130" s="1">
        <f t="shared" ca="1" si="36"/>
        <v>56.066666666666698</v>
      </c>
      <c r="V130" s="1">
        <f t="shared" ca="1" si="36"/>
        <v>0</v>
      </c>
      <c r="W130" s="1">
        <f t="shared" ca="1" si="36"/>
        <v>0</v>
      </c>
      <c r="X130" s="1">
        <f t="shared" ca="1" si="36"/>
        <v>0</v>
      </c>
      <c r="Y130" s="1">
        <f t="shared" ca="1" si="36"/>
        <v>56.969379391100702</v>
      </c>
      <c r="Z130" s="1">
        <f t="shared" ca="1" si="36"/>
        <v>0</v>
      </c>
      <c r="AA130" s="1">
        <f t="shared" ca="1" si="36"/>
        <v>0</v>
      </c>
      <c r="AB130" s="1">
        <f t="shared" ca="1" si="36"/>
        <v>0</v>
      </c>
      <c r="AC130" s="1">
        <f t="shared" ca="1" si="36"/>
        <v>41.083575000000003</v>
      </c>
      <c r="AD130" s="1">
        <f t="shared" ca="1" si="36"/>
        <v>41.083575000000003</v>
      </c>
      <c r="AE130" s="1">
        <f t="shared" ca="1" si="36"/>
        <v>41.083575000000003</v>
      </c>
      <c r="AF130" s="1">
        <f t="shared" ca="1" si="36"/>
        <v>53.408647500000008</v>
      </c>
      <c r="AG130" s="1">
        <f t="shared" ca="1" si="36"/>
        <v>41.083575000000003</v>
      </c>
      <c r="AH130" s="1">
        <f t="shared" ca="1" si="36"/>
        <v>41.083575000000003</v>
      </c>
      <c r="AI130" s="1">
        <f t="shared" ca="1" si="26"/>
        <v>41.083575000000003</v>
      </c>
    </row>
    <row r="131" spans="2:35" x14ac:dyDescent="0.15">
      <c r="B131" s="1" t="str">
        <f t="shared" si="21"/>
        <v>龙系30</v>
      </c>
      <c r="C131" s="1">
        <f t="shared" si="29"/>
        <v>30</v>
      </c>
      <c r="D131" s="14" t="s">
        <v>91</v>
      </c>
      <c r="E131" s="14">
        <f t="shared" si="30"/>
        <v>2</v>
      </c>
      <c r="F131" s="1" t="str">
        <f t="shared" ref="F131:F194" si="37">VLOOKUP(E131,monsterType,4,FALSE)</f>
        <v>火炎</v>
      </c>
      <c r="H131" s="1">
        <f t="shared" ref="H131:H194" ca="1" si="38">mVlookup(C131,monsterBaseDate,H$2,FALSE)*(1+mVlookup(E131,monsterType,H$2,FALSE))*(1+mVlookup(C131,monsterHpRevise,D131,FALSE))</f>
        <v>928.27052146272536</v>
      </c>
      <c r="I131" s="1">
        <f t="shared" ca="1" si="35"/>
        <v>100</v>
      </c>
      <c r="J131" s="1">
        <f t="shared" ca="1" si="35"/>
        <v>525.429456906729</v>
      </c>
      <c r="K131" s="1">
        <f t="shared" ca="1" si="35"/>
        <v>42.500250000000001</v>
      </c>
      <c r="L131" s="1">
        <f t="shared" ca="1" si="35"/>
        <v>350.28630460448602</v>
      </c>
      <c r="M131" s="1">
        <f t="shared" ca="1" si="35"/>
        <v>42.500250000000001</v>
      </c>
      <c r="N131" s="1">
        <f t="shared" ca="1" si="35"/>
        <v>0.2</v>
      </c>
      <c r="O131" s="1">
        <f t="shared" ca="1" si="35"/>
        <v>0.2</v>
      </c>
      <c r="P131" s="1">
        <f t="shared" ca="1" si="35"/>
        <v>0.36</v>
      </c>
      <c r="Q131" s="1">
        <f t="shared" ca="1" si="35"/>
        <v>0.1</v>
      </c>
      <c r="R131" s="1">
        <f t="shared" ca="1" si="35"/>
        <v>3</v>
      </c>
      <c r="S131" s="1">
        <f t="shared" ca="1" si="36"/>
        <v>0.1</v>
      </c>
      <c r="T131" s="1">
        <f t="shared" ca="1" si="36"/>
        <v>0.9</v>
      </c>
      <c r="U131" s="1">
        <f t="shared" ca="1" si="36"/>
        <v>58</v>
      </c>
      <c r="V131" s="1">
        <f t="shared" ca="1" si="36"/>
        <v>0</v>
      </c>
      <c r="W131" s="1">
        <f t="shared" ca="1" si="36"/>
        <v>0</v>
      </c>
      <c r="X131" s="1">
        <f t="shared" ca="1" si="36"/>
        <v>0</v>
      </c>
      <c r="Y131" s="1">
        <f t="shared" ca="1" si="36"/>
        <v>61.815230224321098</v>
      </c>
      <c r="Z131" s="1">
        <f t="shared" ca="1" si="36"/>
        <v>0</v>
      </c>
      <c r="AA131" s="1">
        <f t="shared" ca="1" si="36"/>
        <v>0</v>
      </c>
      <c r="AB131" s="1">
        <f t="shared" ca="1" si="36"/>
        <v>0</v>
      </c>
      <c r="AC131" s="1">
        <f t="shared" ca="1" si="36"/>
        <v>42.500250000000001</v>
      </c>
      <c r="AD131" s="1">
        <f t="shared" ca="1" si="36"/>
        <v>42.500250000000001</v>
      </c>
      <c r="AE131" s="1">
        <f t="shared" ca="1" si="36"/>
        <v>42.500250000000001</v>
      </c>
      <c r="AF131" s="1">
        <f t="shared" ca="1" si="36"/>
        <v>55.250325000000004</v>
      </c>
      <c r="AG131" s="1">
        <f t="shared" ca="1" si="36"/>
        <v>42.500250000000001</v>
      </c>
      <c r="AH131" s="1">
        <f t="shared" ca="1" si="36"/>
        <v>42.500250000000001</v>
      </c>
      <c r="AI131" s="1">
        <f t="shared" ca="1" si="26"/>
        <v>42.500250000000001</v>
      </c>
    </row>
    <row r="132" spans="2:35" x14ac:dyDescent="0.15">
      <c r="B132" s="1" t="str">
        <f t="shared" ref="B132:B195" si="39">D132&amp;C132</f>
        <v>龙系31</v>
      </c>
      <c r="C132" s="1">
        <f t="shared" si="29"/>
        <v>31</v>
      </c>
      <c r="D132" s="14" t="s">
        <v>91</v>
      </c>
      <c r="E132" s="14">
        <f t="shared" si="30"/>
        <v>2</v>
      </c>
      <c r="F132" s="1" t="str">
        <f t="shared" si="37"/>
        <v>火炎</v>
      </c>
      <c r="H132" s="1">
        <f t="shared" ca="1" si="38"/>
        <v>964.57160330763645</v>
      </c>
      <c r="I132" s="1">
        <f t="shared" ca="1" si="35"/>
        <v>100</v>
      </c>
      <c r="J132" s="1">
        <f t="shared" ca="1" si="35"/>
        <v>547.28839285714344</v>
      </c>
      <c r="K132" s="1">
        <f t="shared" ca="1" si="35"/>
        <v>43.916924999999999</v>
      </c>
      <c r="L132" s="1">
        <f t="shared" ca="1" si="35"/>
        <v>364.85892857142898</v>
      </c>
      <c r="M132" s="1">
        <f t="shared" ca="1" si="35"/>
        <v>43.916924999999999</v>
      </c>
      <c r="N132" s="1">
        <f t="shared" ca="1" si="35"/>
        <v>0.2</v>
      </c>
      <c r="O132" s="1">
        <f t="shared" ca="1" si="35"/>
        <v>0.2</v>
      </c>
      <c r="P132" s="1">
        <f t="shared" ca="1" si="35"/>
        <v>0.36</v>
      </c>
      <c r="Q132" s="1">
        <f t="shared" ca="1" si="35"/>
        <v>0.1</v>
      </c>
      <c r="R132" s="1">
        <f t="shared" ca="1" si="35"/>
        <v>3</v>
      </c>
      <c r="S132" s="1">
        <f t="shared" ca="1" si="36"/>
        <v>0.1</v>
      </c>
      <c r="T132" s="1">
        <f t="shared" ca="1" si="36"/>
        <v>0.9</v>
      </c>
      <c r="U132" s="1">
        <f t="shared" ca="1" si="36"/>
        <v>59.933333333333302</v>
      </c>
      <c r="V132" s="1">
        <f t="shared" ca="1" si="36"/>
        <v>0</v>
      </c>
      <c r="W132" s="1">
        <f t="shared" ca="1" si="36"/>
        <v>0</v>
      </c>
      <c r="X132" s="1">
        <f t="shared" ca="1" si="36"/>
        <v>0</v>
      </c>
      <c r="Y132" s="1">
        <f t="shared" ca="1" si="36"/>
        <v>66.9267857142857</v>
      </c>
      <c r="Z132" s="1">
        <f t="shared" ca="1" si="36"/>
        <v>0</v>
      </c>
      <c r="AA132" s="1">
        <f t="shared" ca="1" si="36"/>
        <v>0</v>
      </c>
      <c r="AB132" s="1">
        <f t="shared" ca="1" si="36"/>
        <v>0</v>
      </c>
      <c r="AC132" s="1">
        <f t="shared" ca="1" si="36"/>
        <v>43.916924999999999</v>
      </c>
      <c r="AD132" s="1">
        <f t="shared" ca="1" si="36"/>
        <v>43.916924999999999</v>
      </c>
      <c r="AE132" s="1">
        <f t="shared" ca="1" si="36"/>
        <v>43.916924999999999</v>
      </c>
      <c r="AF132" s="1">
        <f t="shared" ca="1" si="36"/>
        <v>57.0920025</v>
      </c>
      <c r="AG132" s="1">
        <f t="shared" ca="1" si="36"/>
        <v>43.916924999999999</v>
      </c>
      <c r="AH132" s="1">
        <f t="shared" ca="1" si="36"/>
        <v>43.916924999999999</v>
      </c>
      <c r="AI132" s="1">
        <f t="shared" ca="1" si="26"/>
        <v>43.916924999999999</v>
      </c>
    </row>
    <row r="133" spans="2:35" x14ac:dyDescent="0.15">
      <c r="B133" s="1" t="str">
        <f t="shared" si="39"/>
        <v>龙系32</v>
      </c>
      <c r="C133" s="1">
        <f t="shared" si="29"/>
        <v>32</v>
      </c>
      <c r="D133" s="14" t="s">
        <v>91</v>
      </c>
      <c r="E133" s="14">
        <f t="shared" si="30"/>
        <v>2</v>
      </c>
      <c r="F133" s="1" t="str">
        <f t="shared" si="37"/>
        <v>火炎</v>
      </c>
      <c r="H133" s="1">
        <f t="shared" ca="1" si="38"/>
        <v>1001.2184097415468</v>
      </c>
      <c r="I133" s="1">
        <f t="shared" ref="I133:R142" ca="1" si="40">mVlookup($C133,monsterBaseDate,I$2,FALSE)*(1+mVlookup($E133,monsterType,I$2,FALSE))</f>
        <v>100</v>
      </c>
      <c r="J133" s="1">
        <f t="shared" ca="1" si="40"/>
        <v>569.46554621848804</v>
      </c>
      <c r="K133" s="1">
        <f t="shared" ca="1" si="40"/>
        <v>45.333599999999997</v>
      </c>
      <c r="L133" s="1">
        <f t="shared" ca="1" si="40"/>
        <v>379.64369747899201</v>
      </c>
      <c r="M133" s="1">
        <f t="shared" ca="1" si="40"/>
        <v>45.333599999999997</v>
      </c>
      <c r="N133" s="1">
        <f t="shared" ca="1" si="40"/>
        <v>0.2</v>
      </c>
      <c r="O133" s="1">
        <f t="shared" ca="1" si="40"/>
        <v>0.2</v>
      </c>
      <c r="P133" s="1">
        <f t="shared" ca="1" si="40"/>
        <v>0.36</v>
      </c>
      <c r="Q133" s="1">
        <f t="shared" ca="1" si="40"/>
        <v>0.1</v>
      </c>
      <c r="R133" s="1">
        <f t="shared" ca="1" si="40"/>
        <v>3</v>
      </c>
      <c r="S133" s="1">
        <f t="shared" ref="S133:AH148" ca="1" si="41">mVlookup($C133,monsterBaseDate,S$2,FALSE)*(1+mVlookup($E133,monsterType,S$2,FALSE))</f>
        <v>0.1</v>
      </c>
      <c r="T133" s="1">
        <f t="shared" ca="1" si="41"/>
        <v>0.9</v>
      </c>
      <c r="U133" s="1">
        <f t="shared" ca="1" si="41"/>
        <v>61.866666666666703</v>
      </c>
      <c r="V133" s="1">
        <f t="shared" ca="1" si="41"/>
        <v>0</v>
      </c>
      <c r="W133" s="1">
        <f t="shared" ca="1" si="41"/>
        <v>0</v>
      </c>
      <c r="X133" s="1">
        <f t="shared" ca="1" si="41"/>
        <v>0</v>
      </c>
      <c r="Y133" s="1">
        <f t="shared" ca="1" si="41"/>
        <v>72.313085234093606</v>
      </c>
      <c r="Z133" s="1">
        <f t="shared" ca="1" si="41"/>
        <v>0</v>
      </c>
      <c r="AA133" s="1">
        <f t="shared" ca="1" si="41"/>
        <v>0</v>
      </c>
      <c r="AB133" s="1">
        <f t="shared" ca="1" si="36"/>
        <v>0</v>
      </c>
      <c r="AC133" s="1">
        <f t="shared" ca="1" si="41"/>
        <v>45.333599999999997</v>
      </c>
      <c r="AD133" s="1">
        <f t="shared" ca="1" si="41"/>
        <v>45.333599999999997</v>
      </c>
      <c r="AE133" s="1">
        <f t="shared" ca="1" si="41"/>
        <v>45.333599999999997</v>
      </c>
      <c r="AF133" s="1">
        <f t="shared" ca="1" si="41"/>
        <v>58.933679999999995</v>
      </c>
      <c r="AG133" s="1">
        <f t="shared" ca="1" si="41"/>
        <v>45.333599999999997</v>
      </c>
      <c r="AH133" s="1">
        <f t="shared" ca="1" si="41"/>
        <v>45.333599999999997</v>
      </c>
      <c r="AI133" s="1">
        <f t="shared" ca="1" si="26"/>
        <v>45.333599999999997</v>
      </c>
    </row>
    <row r="134" spans="2:35" x14ac:dyDescent="0.15">
      <c r="B134" s="1" t="str">
        <f t="shared" si="39"/>
        <v>龙系33</v>
      </c>
      <c r="C134" s="1">
        <f t="shared" si="29"/>
        <v>33</v>
      </c>
      <c r="D134" s="14" t="s">
        <v>91</v>
      </c>
      <c r="E134" s="14">
        <f t="shared" si="30"/>
        <v>2</v>
      </c>
      <c r="F134" s="1" t="str">
        <f t="shared" si="37"/>
        <v>火炎</v>
      </c>
      <c r="H134" s="1">
        <f t="shared" ca="1" si="38"/>
        <v>1038.2109407644566</v>
      </c>
      <c r="I134" s="1">
        <f t="shared" ca="1" si="40"/>
        <v>100</v>
      </c>
      <c r="J134" s="1">
        <f t="shared" ca="1" si="40"/>
        <v>591.96546610169548</v>
      </c>
      <c r="K134" s="1">
        <f t="shared" ca="1" si="40"/>
        <v>46.750275000000002</v>
      </c>
      <c r="L134" s="1">
        <f t="shared" ca="1" si="40"/>
        <v>394.64364406779703</v>
      </c>
      <c r="M134" s="1">
        <f t="shared" ca="1" si="40"/>
        <v>46.750275000000002</v>
      </c>
      <c r="N134" s="1">
        <f t="shared" ca="1" si="40"/>
        <v>0.2</v>
      </c>
      <c r="O134" s="1">
        <f t="shared" ca="1" si="40"/>
        <v>0.2</v>
      </c>
      <c r="P134" s="1">
        <f t="shared" ca="1" si="40"/>
        <v>0.36</v>
      </c>
      <c r="Q134" s="1">
        <f t="shared" ca="1" si="40"/>
        <v>0.1</v>
      </c>
      <c r="R134" s="1">
        <f t="shared" ca="1" si="40"/>
        <v>3</v>
      </c>
      <c r="S134" s="1">
        <f t="shared" ca="1" si="41"/>
        <v>0.1</v>
      </c>
      <c r="T134" s="1">
        <f t="shared" ca="1" si="41"/>
        <v>0.9</v>
      </c>
      <c r="U134" s="1">
        <f t="shared" ca="1" si="41"/>
        <v>63.8</v>
      </c>
      <c r="V134" s="1">
        <f t="shared" ca="1" si="41"/>
        <v>0</v>
      </c>
      <c r="W134" s="1">
        <f t="shared" ca="1" si="41"/>
        <v>0</v>
      </c>
      <c r="X134" s="1">
        <f t="shared" ca="1" si="41"/>
        <v>0</v>
      </c>
      <c r="Y134" s="1">
        <f t="shared" ca="1" si="41"/>
        <v>77.983474576271206</v>
      </c>
      <c r="Z134" s="1">
        <f t="shared" ca="1" si="41"/>
        <v>0</v>
      </c>
      <c r="AA134" s="1">
        <f t="shared" ca="1" si="41"/>
        <v>0</v>
      </c>
      <c r="AB134" s="1">
        <f t="shared" ca="1" si="36"/>
        <v>0</v>
      </c>
      <c r="AC134" s="1">
        <f t="shared" ca="1" si="41"/>
        <v>46.750275000000002</v>
      </c>
      <c r="AD134" s="1">
        <f t="shared" ca="1" si="41"/>
        <v>46.750275000000002</v>
      </c>
      <c r="AE134" s="1">
        <f t="shared" ca="1" si="41"/>
        <v>46.750275000000002</v>
      </c>
      <c r="AF134" s="1">
        <f t="shared" ca="1" si="41"/>
        <v>60.775357500000005</v>
      </c>
      <c r="AG134" s="1">
        <f t="shared" ca="1" si="41"/>
        <v>46.750275000000002</v>
      </c>
      <c r="AH134" s="1">
        <f t="shared" ca="1" si="41"/>
        <v>46.750275000000002</v>
      </c>
      <c r="AI134" s="1">
        <f t="shared" ca="1" si="26"/>
        <v>46.750275000000002</v>
      </c>
    </row>
    <row r="135" spans="2:35" x14ac:dyDescent="0.15">
      <c r="B135" s="1" t="str">
        <f t="shared" si="39"/>
        <v>龙系34</v>
      </c>
      <c r="C135" s="1">
        <f t="shared" si="29"/>
        <v>34</v>
      </c>
      <c r="D135" s="14" t="s">
        <v>91</v>
      </c>
      <c r="E135" s="14">
        <f t="shared" si="30"/>
        <v>2</v>
      </c>
      <c r="F135" s="1" t="str">
        <f t="shared" si="37"/>
        <v>火炎</v>
      </c>
      <c r="H135" s="1">
        <f t="shared" ca="1" si="38"/>
        <v>1131.2096938533705</v>
      </c>
      <c r="I135" s="1">
        <f t="shared" ca="1" si="40"/>
        <v>100</v>
      </c>
      <c r="J135" s="1">
        <f t="shared" ca="1" si="40"/>
        <v>614.79285714285754</v>
      </c>
      <c r="K135" s="1">
        <f t="shared" ca="1" si="40"/>
        <v>48.16695</v>
      </c>
      <c r="L135" s="1">
        <f t="shared" ca="1" si="40"/>
        <v>409.86190476190501</v>
      </c>
      <c r="M135" s="1">
        <f t="shared" ca="1" si="40"/>
        <v>48.16695</v>
      </c>
      <c r="N135" s="1">
        <f t="shared" ca="1" si="40"/>
        <v>0.2</v>
      </c>
      <c r="O135" s="1">
        <f t="shared" ca="1" si="40"/>
        <v>0.2</v>
      </c>
      <c r="P135" s="1">
        <f t="shared" ca="1" si="40"/>
        <v>0.36</v>
      </c>
      <c r="Q135" s="1">
        <f t="shared" ca="1" si="40"/>
        <v>0.1</v>
      </c>
      <c r="R135" s="1">
        <f t="shared" ca="1" si="40"/>
        <v>3</v>
      </c>
      <c r="S135" s="1">
        <f t="shared" ca="1" si="41"/>
        <v>0.1</v>
      </c>
      <c r="T135" s="1">
        <f t="shared" ca="1" si="41"/>
        <v>0.9</v>
      </c>
      <c r="U135" s="1">
        <f t="shared" ca="1" si="41"/>
        <v>65.733333333333306</v>
      </c>
      <c r="V135" s="1">
        <f t="shared" ca="1" si="41"/>
        <v>0</v>
      </c>
      <c r="W135" s="1">
        <f t="shared" ca="1" si="41"/>
        <v>0</v>
      </c>
      <c r="X135" s="1">
        <f t="shared" ca="1" si="41"/>
        <v>0</v>
      </c>
      <c r="Y135" s="1">
        <f t="shared" ca="1" si="41"/>
        <v>83.947619047619099</v>
      </c>
      <c r="Z135" s="1">
        <f t="shared" ca="1" si="41"/>
        <v>0</v>
      </c>
      <c r="AA135" s="1">
        <f t="shared" ca="1" si="41"/>
        <v>0</v>
      </c>
      <c r="AB135" s="1">
        <f t="shared" ca="1" si="36"/>
        <v>0</v>
      </c>
      <c r="AC135" s="1">
        <f t="shared" ca="1" si="41"/>
        <v>48.16695</v>
      </c>
      <c r="AD135" s="1">
        <f t="shared" ca="1" si="41"/>
        <v>48.16695</v>
      </c>
      <c r="AE135" s="1">
        <f t="shared" ca="1" si="41"/>
        <v>48.16695</v>
      </c>
      <c r="AF135" s="1">
        <f t="shared" ca="1" si="41"/>
        <v>62.617035000000001</v>
      </c>
      <c r="AG135" s="1">
        <f t="shared" ca="1" si="41"/>
        <v>48.16695</v>
      </c>
      <c r="AH135" s="1">
        <f t="shared" ca="1" si="41"/>
        <v>48.16695</v>
      </c>
      <c r="AI135" s="1">
        <f t="shared" ca="1" si="26"/>
        <v>48.16695</v>
      </c>
    </row>
    <row r="136" spans="2:35" x14ac:dyDescent="0.15">
      <c r="B136" s="1" t="str">
        <f t="shared" si="39"/>
        <v>龙系35</v>
      </c>
      <c r="C136" s="1">
        <f t="shared" si="29"/>
        <v>35</v>
      </c>
      <c r="D136" s="14" t="s">
        <v>91</v>
      </c>
      <c r="E136" s="14">
        <f t="shared" si="30"/>
        <v>2</v>
      </c>
      <c r="F136" s="1" t="str">
        <f t="shared" si="37"/>
        <v>火炎</v>
      </c>
      <c r="H136" s="1">
        <f t="shared" ca="1" si="38"/>
        <v>1170.8438489899875</v>
      </c>
      <c r="I136" s="1">
        <f t="shared" ca="1" si="40"/>
        <v>100</v>
      </c>
      <c r="J136" s="1">
        <f t="shared" ca="1" si="40"/>
        <v>637.95258620689651</v>
      </c>
      <c r="K136" s="1">
        <f t="shared" ca="1" si="40"/>
        <v>49.583624999999998</v>
      </c>
      <c r="L136" s="1">
        <f t="shared" ca="1" si="40"/>
        <v>425.30172413793099</v>
      </c>
      <c r="M136" s="1">
        <f t="shared" ca="1" si="40"/>
        <v>49.583624999999998</v>
      </c>
      <c r="N136" s="1">
        <f t="shared" ca="1" si="40"/>
        <v>0.2</v>
      </c>
      <c r="O136" s="1">
        <f t="shared" ca="1" si="40"/>
        <v>0.2</v>
      </c>
      <c r="P136" s="1">
        <f t="shared" ca="1" si="40"/>
        <v>0.36</v>
      </c>
      <c r="Q136" s="1">
        <f t="shared" ca="1" si="40"/>
        <v>0.1</v>
      </c>
      <c r="R136" s="1">
        <f t="shared" ca="1" si="40"/>
        <v>3</v>
      </c>
      <c r="S136" s="1">
        <f t="shared" ca="1" si="41"/>
        <v>0.1</v>
      </c>
      <c r="T136" s="1">
        <f t="shared" ca="1" si="41"/>
        <v>0.9</v>
      </c>
      <c r="U136" s="1">
        <f t="shared" ca="1" si="41"/>
        <v>67.6666666666667</v>
      </c>
      <c r="V136" s="1">
        <f t="shared" ca="1" si="41"/>
        <v>0</v>
      </c>
      <c r="W136" s="1">
        <f t="shared" ca="1" si="41"/>
        <v>0</v>
      </c>
      <c r="X136" s="1">
        <f t="shared" ca="1" si="41"/>
        <v>0</v>
      </c>
      <c r="Y136" s="1">
        <f t="shared" ca="1" si="41"/>
        <v>90.215517241379303</v>
      </c>
      <c r="Z136" s="1">
        <f t="shared" ca="1" si="41"/>
        <v>0</v>
      </c>
      <c r="AA136" s="1">
        <f t="shared" ca="1" si="41"/>
        <v>0</v>
      </c>
      <c r="AB136" s="1">
        <f t="shared" ca="1" si="36"/>
        <v>0</v>
      </c>
      <c r="AC136" s="1">
        <f t="shared" ca="1" si="41"/>
        <v>49.583624999999998</v>
      </c>
      <c r="AD136" s="1">
        <f t="shared" ca="1" si="41"/>
        <v>49.583624999999998</v>
      </c>
      <c r="AE136" s="1">
        <f t="shared" ca="1" si="41"/>
        <v>49.583624999999998</v>
      </c>
      <c r="AF136" s="1">
        <f t="shared" ca="1" si="41"/>
        <v>64.458712500000004</v>
      </c>
      <c r="AG136" s="1">
        <f t="shared" ca="1" si="41"/>
        <v>49.583624999999998</v>
      </c>
      <c r="AH136" s="1">
        <f t="shared" ca="1" si="41"/>
        <v>49.583624999999998</v>
      </c>
      <c r="AI136" s="1">
        <f t="shared" ca="1" si="26"/>
        <v>49.583624999999998</v>
      </c>
    </row>
    <row r="137" spans="2:35" x14ac:dyDescent="0.15">
      <c r="B137" s="1" t="str">
        <f t="shared" si="39"/>
        <v>龙系36</v>
      </c>
      <c r="C137" s="1">
        <f t="shared" si="29"/>
        <v>36</v>
      </c>
      <c r="D137" s="14" t="s">
        <v>91</v>
      </c>
      <c r="E137" s="14">
        <f t="shared" si="30"/>
        <v>2</v>
      </c>
      <c r="F137" s="1" t="str">
        <f t="shared" si="37"/>
        <v>火炎</v>
      </c>
      <c r="H137" s="1">
        <f t="shared" ca="1" si="38"/>
        <v>1210.8416202287819</v>
      </c>
      <c r="I137" s="1">
        <f t="shared" ca="1" si="40"/>
        <v>100</v>
      </c>
      <c r="J137" s="1">
        <f t="shared" ca="1" si="40"/>
        <v>661.44968944099355</v>
      </c>
      <c r="K137" s="1">
        <f t="shared" ca="1" si="40"/>
        <v>51.000300000000003</v>
      </c>
      <c r="L137" s="1">
        <f t="shared" ca="1" si="40"/>
        <v>440.96645962732902</v>
      </c>
      <c r="M137" s="1">
        <f t="shared" ca="1" si="40"/>
        <v>51.000300000000003</v>
      </c>
      <c r="N137" s="1">
        <f t="shared" ca="1" si="40"/>
        <v>0.2</v>
      </c>
      <c r="O137" s="1">
        <f t="shared" ca="1" si="40"/>
        <v>0.2</v>
      </c>
      <c r="P137" s="1">
        <f t="shared" ca="1" si="40"/>
        <v>0.36</v>
      </c>
      <c r="Q137" s="1">
        <f t="shared" ca="1" si="40"/>
        <v>0.1</v>
      </c>
      <c r="R137" s="1">
        <f t="shared" ca="1" si="40"/>
        <v>3</v>
      </c>
      <c r="S137" s="1">
        <f t="shared" ca="1" si="41"/>
        <v>0.1</v>
      </c>
      <c r="T137" s="1">
        <f t="shared" ca="1" si="41"/>
        <v>0.9</v>
      </c>
      <c r="U137" s="1">
        <f t="shared" ca="1" si="41"/>
        <v>69.599999999999994</v>
      </c>
      <c r="V137" s="1">
        <f t="shared" ca="1" si="41"/>
        <v>0</v>
      </c>
      <c r="W137" s="1">
        <f t="shared" ca="1" si="41"/>
        <v>0</v>
      </c>
      <c r="X137" s="1">
        <f t="shared" ca="1" si="41"/>
        <v>0</v>
      </c>
      <c r="Y137" s="1">
        <f t="shared" ca="1" si="41"/>
        <v>96.797515527950296</v>
      </c>
      <c r="Z137" s="1">
        <f t="shared" ca="1" si="41"/>
        <v>0</v>
      </c>
      <c r="AA137" s="1">
        <f t="shared" ca="1" si="41"/>
        <v>0</v>
      </c>
      <c r="AB137" s="1">
        <f t="shared" ca="1" si="36"/>
        <v>0</v>
      </c>
      <c r="AC137" s="1">
        <f t="shared" ca="1" si="41"/>
        <v>51.000300000000003</v>
      </c>
      <c r="AD137" s="1">
        <f t="shared" ca="1" si="41"/>
        <v>51.000300000000003</v>
      </c>
      <c r="AE137" s="1">
        <f t="shared" ca="1" si="41"/>
        <v>51.000300000000003</v>
      </c>
      <c r="AF137" s="1">
        <f t="shared" ca="1" si="41"/>
        <v>66.300390000000007</v>
      </c>
      <c r="AG137" s="1">
        <f t="shared" ca="1" si="41"/>
        <v>51.000300000000003</v>
      </c>
      <c r="AH137" s="1">
        <f t="shared" ca="1" si="41"/>
        <v>51.000300000000003</v>
      </c>
      <c r="AI137" s="1">
        <f t="shared" ca="1" si="26"/>
        <v>51.000300000000003</v>
      </c>
    </row>
    <row r="138" spans="2:35" x14ac:dyDescent="0.15">
      <c r="B138" s="1" t="str">
        <f t="shared" si="39"/>
        <v>龙系37</v>
      </c>
      <c r="C138" s="1">
        <f t="shared" si="29"/>
        <v>37</v>
      </c>
      <c r="D138" s="14" t="s">
        <v>91</v>
      </c>
      <c r="E138" s="14">
        <f t="shared" si="30"/>
        <v>2</v>
      </c>
      <c r="F138" s="1" t="str">
        <f t="shared" si="37"/>
        <v>火炎</v>
      </c>
      <c r="H138" s="1">
        <f t="shared" ca="1" si="38"/>
        <v>1251.2030075697344</v>
      </c>
      <c r="I138" s="1">
        <f t="shared" ca="1" si="40"/>
        <v>100</v>
      </c>
      <c r="J138" s="1">
        <f t="shared" ca="1" si="40"/>
        <v>685.28937969924755</v>
      </c>
      <c r="K138" s="1">
        <f t="shared" ca="1" si="40"/>
        <v>52.416975000000001</v>
      </c>
      <c r="L138" s="1">
        <f t="shared" ca="1" si="40"/>
        <v>456.85958646616501</v>
      </c>
      <c r="M138" s="1">
        <f t="shared" ca="1" si="40"/>
        <v>52.416975000000001</v>
      </c>
      <c r="N138" s="1">
        <f t="shared" ca="1" si="40"/>
        <v>0.2</v>
      </c>
      <c r="O138" s="1">
        <f t="shared" ca="1" si="40"/>
        <v>0.2</v>
      </c>
      <c r="P138" s="1">
        <f t="shared" ca="1" si="40"/>
        <v>0.36</v>
      </c>
      <c r="Q138" s="1">
        <f t="shared" ca="1" si="40"/>
        <v>0.1</v>
      </c>
      <c r="R138" s="1">
        <f t="shared" ca="1" si="40"/>
        <v>3</v>
      </c>
      <c r="S138" s="1">
        <f t="shared" ca="1" si="41"/>
        <v>0.1</v>
      </c>
      <c r="T138" s="1">
        <f t="shared" ca="1" si="41"/>
        <v>0.9</v>
      </c>
      <c r="U138" s="1">
        <f t="shared" ca="1" si="41"/>
        <v>71.533333333333303</v>
      </c>
      <c r="V138" s="1">
        <f t="shared" ca="1" si="41"/>
        <v>0</v>
      </c>
      <c r="W138" s="1">
        <f t="shared" ca="1" si="41"/>
        <v>0</v>
      </c>
      <c r="X138" s="1">
        <f t="shared" ca="1" si="41"/>
        <v>0</v>
      </c>
      <c r="Y138" s="1">
        <f t="shared" ca="1" si="41"/>
        <v>103.704323308271</v>
      </c>
      <c r="Z138" s="1">
        <f t="shared" ca="1" si="41"/>
        <v>0</v>
      </c>
      <c r="AA138" s="1">
        <f t="shared" ca="1" si="41"/>
        <v>0</v>
      </c>
      <c r="AB138" s="1">
        <f t="shared" ca="1" si="36"/>
        <v>0</v>
      </c>
      <c r="AC138" s="1">
        <f t="shared" ca="1" si="41"/>
        <v>52.416975000000001</v>
      </c>
      <c r="AD138" s="1">
        <f t="shared" ca="1" si="41"/>
        <v>52.416975000000001</v>
      </c>
      <c r="AE138" s="1">
        <f t="shared" ca="1" si="41"/>
        <v>52.416975000000001</v>
      </c>
      <c r="AF138" s="1">
        <f t="shared" ca="1" si="41"/>
        <v>68.14206750000001</v>
      </c>
      <c r="AG138" s="1">
        <f t="shared" ca="1" si="41"/>
        <v>52.416975000000001</v>
      </c>
      <c r="AH138" s="1">
        <f t="shared" ca="1" si="41"/>
        <v>52.416975000000001</v>
      </c>
      <c r="AI138" s="1">
        <f t="shared" ca="1" si="26"/>
        <v>52.416975000000001</v>
      </c>
    </row>
    <row r="139" spans="2:35" x14ac:dyDescent="0.15">
      <c r="B139" s="1" t="str">
        <f t="shared" si="39"/>
        <v>龙系38</v>
      </c>
      <c r="C139" s="1">
        <f t="shared" si="29"/>
        <v>38</v>
      </c>
      <c r="D139" s="14" t="s">
        <v>91</v>
      </c>
      <c r="E139" s="14">
        <f t="shared" si="30"/>
        <v>2</v>
      </c>
      <c r="F139" s="1" t="str">
        <f t="shared" si="37"/>
        <v>火炎</v>
      </c>
      <c r="H139" s="1">
        <f t="shared" ca="1" si="38"/>
        <v>1291.9280110128677</v>
      </c>
      <c r="I139" s="1">
        <f t="shared" ca="1" si="40"/>
        <v>100</v>
      </c>
      <c r="J139" s="1">
        <f t="shared" ca="1" si="40"/>
        <v>709.47705436156798</v>
      </c>
      <c r="K139" s="1">
        <f t="shared" ca="1" si="40"/>
        <v>53.833649999999999</v>
      </c>
      <c r="L139" s="1">
        <f t="shared" ca="1" si="40"/>
        <v>472.98470290771201</v>
      </c>
      <c r="M139" s="1">
        <f t="shared" ca="1" si="40"/>
        <v>53.833649999999999</v>
      </c>
      <c r="N139" s="1">
        <f t="shared" ca="1" si="40"/>
        <v>0.2</v>
      </c>
      <c r="O139" s="1">
        <f t="shared" ca="1" si="40"/>
        <v>0.2</v>
      </c>
      <c r="P139" s="1">
        <f t="shared" ca="1" si="40"/>
        <v>0.36</v>
      </c>
      <c r="Q139" s="1">
        <f t="shared" ca="1" si="40"/>
        <v>0.1</v>
      </c>
      <c r="R139" s="1">
        <f t="shared" ca="1" si="40"/>
        <v>3</v>
      </c>
      <c r="S139" s="1">
        <f t="shared" ca="1" si="41"/>
        <v>0.1</v>
      </c>
      <c r="T139" s="1">
        <f t="shared" ca="1" si="41"/>
        <v>0.9</v>
      </c>
      <c r="U139" s="1">
        <f t="shared" ca="1" si="41"/>
        <v>73.466666666666697</v>
      </c>
      <c r="V139" s="1">
        <f t="shared" ca="1" si="41"/>
        <v>0</v>
      </c>
      <c r="W139" s="1">
        <f t="shared" ca="1" si="41"/>
        <v>0</v>
      </c>
      <c r="X139" s="1">
        <f t="shared" ca="1" si="41"/>
        <v>0</v>
      </c>
      <c r="Y139" s="1">
        <f t="shared" ca="1" si="41"/>
        <v>110.947029077118</v>
      </c>
      <c r="Z139" s="1">
        <f t="shared" ca="1" si="41"/>
        <v>0</v>
      </c>
      <c r="AA139" s="1">
        <f t="shared" ca="1" si="41"/>
        <v>0</v>
      </c>
      <c r="AB139" s="1">
        <f t="shared" ca="1" si="41"/>
        <v>0</v>
      </c>
      <c r="AC139" s="1">
        <f t="shared" ca="1" si="41"/>
        <v>53.833649999999999</v>
      </c>
      <c r="AD139" s="1">
        <f t="shared" ca="1" si="41"/>
        <v>53.833649999999999</v>
      </c>
      <c r="AE139" s="1">
        <f t="shared" ca="1" si="41"/>
        <v>53.833649999999999</v>
      </c>
      <c r="AF139" s="1">
        <f t="shared" ca="1" si="41"/>
        <v>69.983744999999999</v>
      </c>
      <c r="AG139" s="1">
        <f t="shared" ca="1" si="41"/>
        <v>53.833649999999999</v>
      </c>
      <c r="AH139" s="1">
        <f t="shared" ca="1" si="41"/>
        <v>53.833649999999999</v>
      </c>
      <c r="AI139" s="1">
        <f t="shared" ca="1" si="26"/>
        <v>53.833649999999999</v>
      </c>
    </row>
    <row r="140" spans="2:35" x14ac:dyDescent="0.15">
      <c r="B140" s="1" t="str">
        <f t="shared" si="39"/>
        <v>龙系39</v>
      </c>
      <c r="C140" s="1">
        <f t="shared" si="29"/>
        <v>39</v>
      </c>
      <c r="D140" s="14" t="s">
        <v>91</v>
      </c>
      <c r="E140" s="14">
        <f t="shared" si="30"/>
        <v>2</v>
      </c>
      <c r="F140" s="1" t="str">
        <f t="shared" si="37"/>
        <v>火炎</v>
      </c>
      <c r="H140" s="1">
        <f t="shared" ca="1" si="38"/>
        <v>1333.0166305581708</v>
      </c>
      <c r="I140" s="1">
        <f t="shared" ca="1" si="40"/>
        <v>100</v>
      </c>
      <c r="J140" s="1">
        <f t="shared" ca="1" si="40"/>
        <v>734.01830357142899</v>
      </c>
      <c r="K140" s="1">
        <f t="shared" ca="1" si="40"/>
        <v>55.250324999999997</v>
      </c>
      <c r="L140" s="1">
        <f t="shared" ca="1" si="40"/>
        <v>489.34553571428597</v>
      </c>
      <c r="M140" s="1">
        <f t="shared" ca="1" si="40"/>
        <v>55.250324999999997</v>
      </c>
      <c r="N140" s="1">
        <f t="shared" ca="1" si="40"/>
        <v>0.2</v>
      </c>
      <c r="O140" s="1">
        <f t="shared" ca="1" si="40"/>
        <v>0.2</v>
      </c>
      <c r="P140" s="1">
        <f t="shared" ca="1" si="40"/>
        <v>0.36</v>
      </c>
      <c r="Q140" s="1">
        <f t="shared" ca="1" si="40"/>
        <v>0.1</v>
      </c>
      <c r="R140" s="1">
        <f t="shared" ca="1" si="40"/>
        <v>3</v>
      </c>
      <c r="S140" s="1">
        <f t="shared" ca="1" si="41"/>
        <v>0.1</v>
      </c>
      <c r="T140" s="1">
        <f t="shared" ca="1" si="41"/>
        <v>0.9</v>
      </c>
      <c r="U140" s="1">
        <f t="shared" ca="1" si="41"/>
        <v>75.400000000000006</v>
      </c>
      <c r="V140" s="1">
        <f t="shared" ca="1" si="41"/>
        <v>0</v>
      </c>
      <c r="W140" s="1">
        <f t="shared" ca="1" si="41"/>
        <v>0</v>
      </c>
      <c r="X140" s="1">
        <f t="shared" ca="1" si="41"/>
        <v>0</v>
      </c>
      <c r="Y140" s="1">
        <f t="shared" ca="1" si="41"/>
        <v>118.537117346939</v>
      </c>
      <c r="Z140" s="1">
        <f t="shared" ca="1" si="41"/>
        <v>0</v>
      </c>
      <c r="AA140" s="1">
        <f t="shared" ca="1" si="41"/>
        <v>0</v>
      </c>
      <c r="AB140" s="1">
        <f t="shared" ca="1" si="41"/>
        <v>0</v>
      </c>
      <c r="AC140" s="1">
        <f t="shared" ca="1" si="41"/>
        <v>55.250324999999997</v>
      </c>
      <c r="AD140" s="1">
        <f t="shared" ca="1" si="41"/>
        <v>55.250324999999997</v>
      </c>
      <c r="AE140" s="1">
        <f t="shared" ca="1" si="41"/>
        <v>55.250324999999997</v>
      </c>
      <c r="AF140" s="1">
        <f t="shared" ca="1" si="41"/>
        <v>71.825422500000002</v>
      </c>
      <c r="AG140" s="1">
        <f t="shared" ca="1" si="41"/>
        <v>55.250324999999997</v>
      </c>
      <c r="AH140" s="1">
        <f t="shared" ca="1" si="41"/>
        <v>55.250324999999997</v>
      </c>
      <c r="AI140" s="1">
        <f t="shared" ca="1" si="26"/>
        <v>55.250324999999997</v>
      </c>
    </row>
    <row r="141" spans="2:35" x14ac:dyDescent="0.15">
      <c r="B141" s="1" t="str">
        <f t="shared" si="39"/>
        <v>龙系40</v>
      </c>
      <c r="C141" s="1">
        <f t="shared" si="29"/>
        <v>40</v>
      </c>
      <c r="D141" s="14" t="s">
        <v>91</v>
      </c>
      <c r="E141" s="14">
        <f t="shared" si="30"/>
        <v>2</v>
      </c>
      <c r="F141" s="1" t="str">
        <f t="shared" si="37"/>
        <v>火炎</v>
      </c>
      <c r="H141" s="1">
        <f t="shared" ca="1" si="38"/>
        <v>1374.4688662056433</v>
      </c>
      <c r="I141" s="1">
        <f t="shared" ca="1" si="40"/>
        <v>100</v>
      </c>
      <c r="J141" s="1">
        <f t="shared" ca="1" si="40"/>
        <v>758.91891891891896</v>
      </c>
      <c r="K141" s="1">
        <f t="shared" ca="1" si="40"/>
        <v>56.667000000000002</v>
      </c>
      <c r="L141" s="1">
        <f t="shared" ca="1" si="40"/>
        <v>505.94594594594599</v>
      </c>
      <c r="M141" s="1">
        <f t="shared" ca="1" si="40"/>
        <v>56.667000000000002</v>
      </c>
      <c r="N141" s="1">
        <f t="shared" ca="1" si="40"/>
        <v>0.2</v>
      </c>
      <c r="O141" s="1">
        <f t="shared" ca="1" si="40"/>
        <v>0.2</v>
      </c>
      <c r="P141" s="1">
        <f t="shared" ca="1" si="40"/>
        <v>0.36</v>
      </c>
      <c r="Q141" s="1">
        <f t="shared" ca="1" si="40"/>
        <v>0.1</v>
      </c>
      <c r="R141" s="1">
        <f t="shared" ca="1" si="40"/>
        <v>3</v>
      </c>
      <c r="S141" s="1">
        <f t="shared" ca="1" si="41"/>
        <v>0.1</v>
      </c>
      <c r="T141" s="1">
        <f t="shared" ca="1" si="41"/>
        <v>0.9</v>
      </c>
      <c r="U141" s="1">
        <f t="shared" ca="1" si="41"/>
        <v>77.3333333333333</v>
      </c>
      <c r="V141" s="1">
        <f t="shared" ca="1" si="41"/>
        <v>0</v>
      </c>
      <c r="W141" s="1">
        <f t="shared" ca="1" si="41"/>
        <v>0</v>
      </c>
      <c r="X141" s="1">
        <f t="shared" ca="1" si="41"/>
        <v>0</v>
      </c>
      <c r="Y141" s="1">
        <f t="shared" ca="1" si="41"/>
        <v>126.486486486487</v>
      </c>
      <c r="Z141" s="1">
        <f t="shared" ca="1" si="41"/>
        <v>0</v>
      </c>
      <c r="AA141" s="1">
        <f t="shared" ca="1" si="41"/>
        <v>0</v>
      </c>
      <c r="AB141" s="1">
        <f t="shared" ca="1" si="41"/>
        <v>0</v>
      </c>
      <c r="AC141" s="1">
        <f t="shared" ca="1" si="41"/>
        <v>56.667000000000002</v>
      </c>
      <c r="AD141" s="1">
        <f t="shared" ca="1" si="41"/>
        <v>56.667000000000002</v>
      </c>
      <c r="AE141" s="1">
        <f t="shared" ca="1" si="41"/>
        <v>56.667000000000002</v>
      </c>
      <c r="AF141" s="1">
        <f t="shared" ca="1" si="41"/>
        <v>73.667100000000005</v>
      </c>
      <c r="AG141" s="1">
        <f t="shared" ca="1" si="41"/>
        <v>56.667000000000002</v>
      </c>
      <c r="AH141" s="1">
        <f t="shared" ca="1" si="41"/>
        <v>56.667000000000002</v>
      </c>
      <c r="AI141" s="1">
        <f t="shared" ca="1" si="26"/>
        <v>56.667000000000002</v>
      </c>
    </row>
    <row r="142" spans="2:35" x14ac:dyDescent="0.15">
      <c r="B142" s="1" t="str">
        <f t="shared" si="39"/>
        <v>龙系41</v>
      </c>
      <c r="C142" s="1">
        <f t="shared" si="29"/>
        <v>41</v>
      </c>
      <c r="D142" s="14" t="s">
        <v>91</v>
      </c>
      <c r="E142" s="14">
        <f t="shared" si="30"/>
        <v>2</v>
      </c>
      <c r="F142" s="1" t="str">
        <f t="shared" si="37"/>
        <v>火炎</v>
      </c>
      <c r="H142" s="1">
        <f t="shared" ca="1" si="38"/>
        <v>1416.2847179552855</v>
      </c>
      <c r="I142" s="1">
        <f t="shared" ca="1" si="40"/>
        <v>100</v>
      </c>
      <c r="J142" s="1">
        <f t="shared" ca="1" si="40"/>
        <v>784.18490259740247</v>
      </c>
      <c r="K142" s="1">
        <f t="shared" ca="1" si="40"/>
        <v>58.083674999999999</v>
      </c>
      <c r="L142" s="1">
        <f t="shared" ca="1" si="40"/>
        <v>522.78993506493498</v>
      </c>
      <c r="M142" s="1">
        <f t="shared" ca="1" si="40"/>
        <v>58.083674999999999</v>
      </c>
      <c r="N142" s="1">
        <f t="shared" ca="1" si="40"/>
        <v>0.2</v>
      </c>
      <c r="O142" s="1">
        <f t="shared" ca="1" si="40"/>
        <v>0.2</v>
      </c>
      <c r="P142" s="1">
        <f t="shared" ca="1" si="40"/>
        <v>0.36</v>
      </c>
      <c r="Q142" s="1">
        <f t="shared" ca="1" si="40"/>
        <v>0.1</v>
      </c>
      <c r="R142" s="1">
        <f t="shared" ca="1" si="40"/>
        <v>3</v>
      </c>
      <c r="S142" s="1">
        <f t="shared" ca="1" si="41"/>
        <v>0.1</v>
      </c>
      <c r="T142" s="1">
        <f t="shared" ca="1" si="41"/>
        <v>0.9</v>
      </c>
      <c r="U142" s="1">
        <f t="shared" ca="1" si="41"/>
        <v>79.266666666666694</v>
      </c>
      <c r="V142" s="1">
        <f t="shared" ca="1" si="41"/>
        <v>0</v>
      </c>
      <c r="W142" s="1">
        <f t="shared" ca="1" si="41"/>
        <v>0</v>
      </c>
      <c r="X142" s="1">
        <f t="shared" ca="1" si="41"/>
        <v>0</v>
      </c>
      <c r="Y142" s="1">
        <f t="shared" ca="1" si="41"/>
        <v>134.807467532468</v>
      </c>
      <c r="Z142" s="1">
        <f t="shared" ca="1" si="41"/>
        <v>0</v>
      </c>
      <c r="AA142" s="1">
        <f t="shared" ca="1" si="41"/>
        <v>0</v>
      </c>
      <c r="AB142" s="1">
        <f t="shared" ca="1" si="41"/>
        <v>0</v>
      </c>
      <c r="AC142" s="1">
        <f t="shared" ca="1" si="41"/>
        <v>58.083674999999999</v>
      </c>
      <c r="AD142" s="1">
        <f t="shared" ca="1" si="41"/>
        <v>58.083674999999999</v>
      </c>
      <c r="AE142" s="1">
        <f t="shared" ca="1" si="41"/>
        <v>58.083674999999999</v>
      </c>
      <c r="AF142" s="1">
        <f t="shared" ca="1" si="41"/>
        <v>75.508777500000008</v>
      </c>
      <c r="AG142" s="1">
        <f t="shared" ca="1" si="41"/>
        <v>58.083674999999999</v>
      </c>
      <c r="AH142" s="1">
        <f t="shared" ca="1" si="41"/>
        <v>58.083674999999999</v>
      </c>
      <c r="AI142" s="1">
        <f t="shared" ca="1" si="26"/>
        <v>58.083674999999999</v>
      </c>
    </row>
    <row r="143" spans="2:35" x14ac:dyDescent="0.15">
      <c r="B143" s="1" t="str">
        <f t="shared" si="39"/>
        <v>龙系42</v>
      </c>
      <c r="C143" s="1">
        <f t="shared" si="29"/>
        <v>42</v>
      </c>
      <c r="D143" s="14" t="s">
        <v>91</v>
      </c>
      <c r="E143" s="14">
        <f t="shared" si="30"/>
        <v>2</v>
      </c>
      <c r="F143" s="1" t="str">
        <f t="shared" si="37"/>
        <v>火炎</v>
      </c>
      <c r="H143" s="1">
        <f t="shared" ca="1" si="38"/>
        <v>1458.4641858070968</v>
      </c>
      <c r="I143" s="1">
        <f t="shared" ref="I143:R152" ca="1" si="42">mVlookup($C143,monsterBaseDate,I$2,FALSE)*(1+mVlookup($E143,monsterType,I$2,FALSE))</f>
        <v>100</v>
      </c>
      <c r="J143" s="1">
        <f t="shared" ca="1" si="42"/>
        <v>809.82247706422049</v>
      </c>
      <c r="K143" s="1">
        <f t="shared" ca="1" si="42"/>
        <v>59.500349999999997</v>
      </c>
      <c r="L143" s="1">
        <f t="shared" ca="1" si="42"/>
        <v>539.88165137614703</v>
      </c>
      <c r="M143" s="1">
        <f t="shared" ca="1" si="42"/>
        <v>59.500349999999997</v>
      </c>
      <c r="N143" s="1">
        <f t="shared" ca="1" si="42"/>
        <v>0.2</v>
      </c>
      <c r="O143" s="1">
        <f t="shared" ca="1" si="42"/>
        <v>0.2</v>
      </c>
      <c r="P143" s="1">
        <f t="shared" ca="1" si="42"/>
        <v>0.36</v>
      </c>
      <c r="Q143" s="1">
        <f t="shared" ca="1" si="42"/>
        <v>0.1</v>
      </c>
      <c r="R143" s="1">
        <f t="shared" ca="1" si="42"/>
        <v>3</v>
      </c>
      <c r="S143" s="1">
        <f t="shared" ref="S143:AH158" ca="1" si="43">mVlookup($C143,monsterBaseDate,S$2,FALSE)*(1+mVlookup($E143,monsterType,S$2,FALSE))</f>
        <v>0.1</v>
      </c>
      <c r="T143" s="1">
        <f t="shared" ca="1" si="43"/>
        <v>0.9</v>
      </c>
      <c r="U143" s="1">
        <f t="shared" ca="1" si="43"/>
        <v>81.2</v>
      </c>
      <c r="V143" s="1">
        <f t="shared" ca="1" si="43"/>
        <v>0</v>
      </c>
      <c r="W143" s="1">
        <f t="shared" ca="1" si="43"/>
        <v>0</v>
      </c>
      <c r="X143" s="1">
        <f t="shared" ca="1" si="43"/>
        <v>0</v>
      </c>
      <c r="Y143" s="1">
        <f t="shared" ca="1" si="43"/>
        <v>143.512844036697</v>
      </c>
      <c r="Z143" s="1">
        <f t="shared" ca="1" si="43"/>
        <v>0</v>
      </c>
      <c r="AA143" s="1">
        <f t="shared" ca="1" si="43"/>
        <v>0</v>
      </c>
      <c r="AB143" s="1">
        <f t="shared" ca="1" si="41"/>
        <v>0</v>
      </c>
      <c r="AC143" s="1">
        <f t="shared" ca="1" si="43"/>
        <v>59.500349999999997</v>
      </c>
      <c r="AD143" s="1">
        <f t="shared" ca="1" si="43"/>
        <v>59.500349999999997</v>
      </c>
      <c r="AE143" s="1">
        <f t="shared" ca="1" si="43"/>
        <v>59.500349999999997</v>
      </c>
      <c r="AF143" s="1">
        <f t="shared" ca="1" si="43"/>
        <v>77.350454999999997</v>
      </c>
      <c r="AG143" s="1">
        <f t="shared" ca="1" si="43"/>
        <v>59.500349999999997</v>
      </c>
      <c r="AH143" s="1">
        <f t="shared" ca="1" si="43"/>
        <v>59.500349999999997</v>
      </c>
      <c r="AI143" s="1">
        <f t="shared" ca="1" si="26"/>
        <v>59.500349999999997</v>
      </c>
    </row>
    <row r="144" spans="2:35" x14ac:dyDescent="0.15">
      <c r="B144" s="1" t="str">
        <f t="shared" si="39"/>
        <v>龙系43</v>
      </c>
      <c r="C144" s="1">
        <f t="shared" si="29"/>
        <v>43</v>
      </c>
      <c r="D144" s="14" t="s">
        <v>91</v>
      </c>
      <c r="E144" s="14">
        <f t="shared" si="30"/>
        <v>2</v>
      </c>
      <c r="F144" s="1" t="str">
        <f t="shared" si="37"/>
        <v>火炎</v>
      </c>
      <c r="H144" s="1">
        <f t="shared" ca="1" si="38"/>
        <v>1501.0072697610781</v>
      </c>
      <c r="I144" s="1">
        <f t="shared" ca="1" si="42"/>
        <v>100</v>
      </c>
      <c r="J144" s="1">
        <f t="shared" ca="1" si="42"/>
        <v>835.83809523809543</v>
      </c>
      <c r="K144" s="1">
        <f t="shared" ca="1" si="42"/>
        <v>60.917025000000002</v>
      </c>
      <c r="L144" s="1">
        <f t="shared" ca="1" si="42"/>
        <v>557.22539682539696</v>
      </c>
      <c r="M144" s="1">
        <f t="shared" ca="1" si="42"/>
        <v>60.917025000000002</v>
      </c>
      <c r="N144" s="1">
        <f t="shared" ca="1" si="42"/>
        <v>0.2</v>
      </c>
      <c r="O144" s="1">
        <f t="shared" ca="1" si="42"/>
        <v>0.2</v>
      </c>
      <c r="P144" s="1">
        <f t="shared" ca="1" si="42"/>
        <v>0.36</v>
      </c>
      <c r="Q144" s="1">
        <f t="shared" ca="1" si="42"/>
        <v>0.1</v>
      </c>
      <c r="R144" s="1">
        <f t="shared" ca="1" si="42"/>
        <v>3</v>
      </c>
      <c r="S144" s="1">
        <f t="shared" ca="1" si="43"/>
        <v>0.1</v>
      </c>
      <c r="T144" s="1">
        <f t="shared" ca="1" si="43"/>
        <v>0.9</v>
      </c>
      <c r="U144" s="1">
        <f t="shared" ca="1" si="43"/>
        <v>83.133333333333297</v>
      </c>
      <c r="V144" s="1">
        <f t="shared" ca="1" si="43"/>
        <v>0</v>
      </c>
      <c r="W144" s="1">
        <f t="shared" ca="1" si="43"/>
        <v>0</v>
      </c>
      <c r="X144" s="1">
        <f t="shared" ca="1" si="43"/>
        <v>0</v>
      </c>
      <c r="Y144" s="1">
        <f t="shared" ca="1" si="43"/>
        <v>152.61587301587301</v>
      </c>
      <c r="Z144" s="1">
        <f t="shared" ca="1" si="43"/>
        <v>0</v>
      </c>
      <c r="AA144" s="1">
        <f t="shared" ca="1" si="43"/>
        <v>0</v>
      </c>
      <c r="AB144" s="1">
        <f t="shared" ca="1" si="41"/>
        <v>0</v>
      </c>
      <c r="AC144" s="1">
        <f t="shared" ca="1" si="43"/>
        <v>60.917025000000002</v>
      </c>
      <c r="AD144" s="1">
        <f t="shared" ca="1" si="43"/>
        <v>60.917025000000002</v>
      </c>
      <c r="AE144" s="1">
        <f t="shared" ca="1" si="43"/>
        <v>60.917025000000002</v>
      </c>
      <c r="AF144" s="1">
        <f t="shared" ca="1" si="43"/>
        <v>79.1921325</v>
      </c>
      <c r="AG144" s="1">
        <f t="shared" ca="1" si="43"/>
        <v>60.917025000000002</v>
      </c>
      <c r="AH144" s="1">
        <f t="shared" ca="1" si="43"/>
        <v>60.917025000000002</v>
      </c>
      <c r="AI144" s="1">
        <f t="shared" ca="1" si="26"/>
        <v>60.917025000000002</v>
      </c>
    </row>
    <row r="145" spans="2:35" x14ac:dyDescent="0.15">
      <c r="B145" s="1" t="str">
        <f t="shared" si="39"/>
        <v>龙系44</v>
      </c>
      <c r="C145" s="1">
        <f t="shared" si="29"/>
        <v>44</v>
      </c>
      <c r="D145" s="14" t="s">
        <v>91</v>
      </c>
      <c r="E145" s="14">
        <f t="shared" si="30"/>
        <v>2</v>
      </c>
      <c r="F145" s="1" t="str">
        <f t="shared" si="37"/>
        <v>火炎</v>
      </c>
      <c r="H145" s="1">
        <f t="shared" ca="1" si="38"/>
        <v>1543.9139698172282</v>
      </c>
      <c r="I145" s="1">
        <f t="shared" ca="1" si="42"/>
        <v>100</v>
      </c>
      <c r="J145" s="1">
        <f t="shared" ca="1" si="42"/>
        <v>862.23845126835749</v>
      </c>
      <c r="K145" s="1">
        <f t="shared" ca="1" si="42"/>
        <v>62.3337</v>
      </c>
      <c r="L145" s="1">
        <f t="shared" ca="1" si="42"/>
        <v>574.82563417890503</v>
      </c>
      <c r="M145" s="1">
        <f t="shared" ca="1" si="42"/>
        <v>62.3337</v>
      </c>
      <c r="N145" s="1">
        <f t="shared" ca="1" si="42"/>
        <v>0.2</v>
      </c>
      <c r="O145" s="1">
        <f t="shared" ca="1" si="42"/>
        <v>0.2</v>
      </c>
      <c r="P145" s="1">
        <f t="shared" ca="1" si="42"/>
        <v>0.36</v>
      </c>
      <c r="Q145" s="1">
        <f t="shared" ca="1" si="42"/>
        <v>0.1</v>
      </c>
      <c r="R145" s="1">
        <f t="shared" ca="1" si="42"/>
        <v>3</v>
      </c>
      <c r="S145" s="1">
        <f t="shared" ca="1" si="43"/>
        <v>0.1</v>
      </c>
      <c r="T145" s="1">
        <f t="shared" ca="1" si="43"/>
        <v>0.9</v>
      </c>
      <c r="U145" s="1">
        <f t="shared" ca="1" si="43"/>
        <v>85.066666666666706</v>
      </c>
      <c r="V145" s="1">
        <f t="shared" ca="1" si="43"/>
        <v>0</v>
      </c>
      <c r="W145" s="1">
        <f t="shared" ca="1" si="43"/>
        <v>0</v>
      </c>
      <c r="X145" s="1">
        <f t="shared" ca="1" si="43"/>
        <v>0</v>
      </c>
      <c r="Y145" s="1">
        <f t="shared" ca="1" si="43"/>
        <v>162.13030707610201</v>
      </c>
      <c r="Z145" s="1">
        <f t="shared" ca="1" si="43"/>
        <v>0</v>
      </c>
      <c r="AA145" s="1">
        <f t="shared" ca="1" si="43"/>
        <v>0</v>
      </c>
      <c r="AB145" s="1">
        <f t="shared" ca="1" si="41"/>
        <v>0</v>
      </c>
      <c r="AC145" s="1">
        <f t="shared" ca="1" si="43"/>
        <v>62.3337</v>
      </c>
      <c r="AD145" s="1">
        <f t="shared" ca="1" si="43"/>
        <v>62.3337</v>
      </c>
      <c r="AE145" s="1">
        <f t="shared" ca="1" si="43"/>
        <v>62.3337</v>
      </c>
      <c r="AF145" s="1">
        <f t="shared" ca="1" si="43"/>
        <v>81.033810000000003</v>
      </c>
      <c r="AG145" s="1">
        <f t="shared" ca="1" si="43"/>
        <v>62.3337</v>
      </c>
      <c r="AH145" s="1">
        <f t="shared" ca="1" si="43"/>
        <v>62.3337</v>
      </c>
      <c r="AI145" s="1">
        <f t="shared" ca="1" si="26"/>
        <v>62.3337</v>
      </c>
    </row>
    <row r="146" spans="2:35" x14ac:dyDescent="0.15">
      <c r="B146" s="1" t="str">
        <f t="shared" si="39"/>
        <v>龙系45</v>
      </c>
      <c r="C146" s="1">
        <f t="shared" si="29"/>
        <v>45</v>
      </c>
      <c r="D146" s="14" t="s">
        <v>91</v>
      </c>
      <c r="E146" s="14">
        <f t="shared" si="30"/>
        <v>2</v>
      </c>
      <c r="F146" s="1" t="str">
        <f t="shared" si="37"/>
        <v>火炎</v>
      </c>
      <c r="H146" s="1">
        <f t="shared" ca="1" si="38"/>
        <v>1669.927958628301</v>
      </c>
      <c r="I146" s="1">
        <f t="shared" ca="1" si="42"/>
        <v>100</v>
      </c>
      <c r="J146" s="1">
        <f t="shared" ca="1" si="42"/>
        <v>889.03049191374748</v>
      </c>
      <c r="K146" s="1">
        <f t="shared" ca="1" si="42"/>
        <v>63.750374999999998</v>
      </c>
      <c r="L146" s="1">
        <f t="shared" ca="1" si="42"/>
        <v>592.68699460916503</v>
      </c>
      <c r="M146" s="1">
        <f t="shared" ca="1" si="42"/>
        <v>63.750374999999998</v>
      </c>
      <c r="N146" s="1">
        <f t="shared" ca="1" si="42"/>
        <v>0.2</v>
      </c>
      <c r="O146" s="1">
        <f t="shared" ca="1" si="42"/>
        <v>0.2</v>
      </c>
      <c r="P146" s="1">
        <f t="shared" ca="1" si="42"/>
        <v>0.36</v>
      </c>
      <c r="Q146" s="1">
        <f t="shared" ca="1" si="42"/>
        <v>0.1</v>
      </c>
      <c r="R146" s="1">
        <f t="shared" ca="1" si="42"/>
        <v>3</v>
      </c>
      <c r="S146" s="1">
        <f t="shared" ca="1" si="43"/>
        <v>0.1</v>
      </c>
      <c r="T146" s="1">
        <f t="shared" ca="1" si="43"/>
        <v>0.9</v>
      </c>
      <c r="U146" s="1">
        <f t="shared" ca="1" si="43"/>
        <v>87</v>
      </c>
      <c r="V146" s="1">
        <f t="shared" ca="1" si="43"/>
        <v>0</v>
      </c>
      <c r="W146" s="1">
        <f t="shared" ca="1" si="43"/>
        <v>0</v>
      </c>
      <c r="X146" s="1">
        <f t="shared" ca="1" si="43"/>
        <v>0</v>
      </c>
      <c r="Y146" s="1">
        <f t="shared" ca="1" si="43"/>
        <v>172.07041778975801</v>
      </c>
      <c r="Z146" s="1">
        <f t="shared" ca="1" si="43"/>
        <v>0</v>
      </c>
      <c r="AA146" s="1">
        <f t="shared" ca="1" si="43"/>
        <v>0</v>
      </c>
      <c r="AB146" s="1">
        <f t="shared" ca="1" si="41"/>
        <v>0</v>
      </c>
      <c r="AC146" s="1">
        <f t="shared" ca="1" si="43"/>
        <v>63.750374999999998</v>
      </c>
      <c r="AD146" s="1">
        <f t="shared" ca="1" si="43"/>
        <v>63.750374999999998</v>
      </c>
      <c r="AE146" s="1">
        <f t="shared" ca="1" si="43"/>
        <v>63.750374999999998</v>
      </c>
      <c r="AF146" s="1">
        <f t="shared" ca="1" si="43"/>
        <v>82.875487500000006</v>
      </c>
      <c r="AG146" s="1">
        <f t="shared" ca="1" si="43"/>
        <v>63.750374999999998</v>
      </c>
      <c r="AH146" s="1">
        <f t="shared" ca="1" si="43"/>
        <v>63.750374999999998</v>
      </c>
      <c r="AI146" s="1">
        <f t="shared" ca="1" si="26"/>
        <v>63.750374999999998</v>
      </c>
    </row>
    <row r="147" spans="2:35" x14ac:dyDescent="0.15">
      <c r="B147" s="1" t="str">
        <f t="shared" si="39"/>
        <v>龙系46</v>
      </c>
      <c r="C147" s="1">
        <f t="shared" si="29"/>
        <v>46</v>
      </c>
      <c r="D147" s="14" t="s">
        <v>91</v>
      </c>
      <c r="E147" s="14">
        <f t="shared" si="30"/>
        <v>2</v>
      </c>
      <c r="F147" s="1" t="str">
        <f t="shared" si="37"/>
        <v>火炎</v>
      </c>
      <c r="H147" s="1">
        <f t="shared" ca="1" si="38"/>
        <v>1715.8366310304527</v>
      </c>
      <c r="I147" s="1">
        <f t="shared" ca="1" si="42"/>
        <v>100</v>
      </c>
      <c r="J147" s="1">
        <f t="shared" ca="1" si="42"/>
        <v>916.22142857142899</v>
      </c>
      <c r="K147" s="1">
        <f t="shared" ca="1" si="42"/>
        <v>65.167050000000003</v>
      </c>
      <c r="L147" s="1">
        <f t="shared" ca="1" si="42"/>
        <v>610.81428571428603</v>
      </c>
      <c r="M147" s="1">
        <f t="shared" ca="1" si="42"/>
        <v>65.167050000000003</v>
      </c>
      <c r="N147" s="1">
        <f t="shared" ca="1" si="42"/>
        <v>0.2</v>
      </c>
      <c r="O147" s="1">
        <f t="shared" ca="1" si="42"/>
        <v>0.2</v>
      </c>
      <c r="P147" s="1">
        <f t="shared" ca="1" si="42"/>
        <v>0.36</v>
      </c>
      <c r="Q147" s="1">
        <f t="shared" ca="1" si="42"/>
        <v>0.1</v>
      </c>
      <c r="R147" s="1">
        <f t="shared" ca="1" si="42"/>
        <v>3</v>
      </c>
      <c r="S147" s="1">
        <f t="shared" ca="1" si="43"/>
        <v>0.1</v>
      </c>
      <c r="T147" s="1">
        <f t="shared" ca="1" si="43"/>
        <v>0.9</v>
      </c>
      <c r="U147" s="1">
        <f t="shared" ca="1" si="43"/>
        <v>88.933333333333294</v>
      </c>
      <c r="V147" s="1">
        <f t="shared" ca="1" si="43"/>
        <v>0</v>
      </c>
      <c r="W147" s="1">
        <f t="shared" ca="1" si="43"/>
        <v>0</v>
      </c>
      <c r="X147" s="1">
        <f t="shared" ca="1" si="43"/>
        <v>0</v>
      </c>
      <c r="Y147" s="1">
        <f t="shared" ca="1" si="43"/>
        <v>182.451020408163</v>
      </c>
      <c r="Z147" s="1">
        <f t="shared" ca="1" si="43"/>
        <v>0</v>
      </c>
      <c r="AA147" s="1">
        <f t="shared" ca="1" si="43"/>
        <v>0</v>
      </c>
      <c r="AB147" s="1">
        <f t="shared" ca="1" si="41"/>
        <v>0</v>
      </c>
      <c r="AC147" s="1">
        <f t="shared" ca="1" si="43"/>
        <v>65.167050000000003</v>
      </c>
      <c r="AD147" s="1">
        <f t="shared" ca="1" si="43"/>
        <v>65.167050000000003</v>
      </c>
      <c r="AE147" s="1">
        <f t="shared" ca="1" si="43"/>
        <v>65.167050000000003</v>
      </c>
      <c r="AF147" s="1">
        <f t="shared" ca="1" si="43"/>
        <v>84.717165000000008</v>
      </c>
      <c r="AG147" s="1">
        <f t="shared" ca="1" si="43"/>
        <v>65.167050000000003</v>
      </c>
      <c r="AH147" s="1">
        <f t="shared" ca="1" si="43"/>
        <v>65.167050000000003</v>
      </c>
      <c r="AI147" s="1">
        <f t="shared" ref="AI147:AI210" ca="1" si="44">mVlookup($C147,monsterBaseDate,AI$2,FALSE)*(1+mVlookup($E147,monsterType,AI$2,FALSE))</f>
        <v>65.167050000000003</v>
      </c>
    </row>
    <row r="148" spans="2:35" x14ac:dyDescent="0.15">
      <c r="B148" s="1" t="str">
        <f t="shared" si="39"/>
        <v>龙系47</v>
      </c>
      <c r="C148" s="1">
        <f t="shared" si="29"/>
        <v>47</v>
      </c>
      <c r="D148" s="14" t="s">
        <v>91</v>
      </c>
      <c r="E148" s="14">
        <f t="shared" si="30"/>
        <v>2</v>
      </c>
      <c r="F148" s="1" t="str">
        <f t="shared" si="37"/>
        <v>火炎</v>
      </c>
      <c r="H148" s="1">
        <f t="shared" ca="1" si="38"/>
        <v>1762.1278757026253</v>
      </c>
      <c r="I148" s="1">
        <f t="shared" ca="1" si="42"/>
        <v>100</v>
      </c>
      <c r="J148" s="1">
        <f t="shared" ca="1" si="42"/>
        <v>943.81874999999991</v>
      </c>
      <c r="K148" s="1">
        <f t="shared" ca="1" si="42"/>
        <v>66.583725000000001</v>
      </c>
      <c r="L148" s="1">
        <f t="shared" ca="1" si="42"/>
        <v>629.21249999999998</v>
      </c>
      <c r="M148" s="1">
        <f t="shared" ca="1" si="42"/>
        <v>66.583725000000001</v>
      </c>
      <c r="N148" s="1">
        <f t="shared" ca="1" si="42"/>
        <v>0.2</v>
      </c>
      <c r="O148" s="1">
        <f t="shared" ca="1" si="42"/>
        <v>0.2</v>
      </c>
      <c r="P148" s="1">
        <f t="shared" ca="1" si="42"/>
        <v>0.36</v>
      </c>
      <c r="Q148" s="1">
        <f t="shared" ca="1" si="42"/>
        <v>0.1</v>
      </c>
      <c r="R148" s="1">
        <f t="shared" ca="1" si="42"/>
        <v>3</v>
      </c>
      <c r="S148" s="1">
        <f t="shared" ca="1" si="43"/>
        <v>0.1</v>
      </c>
      <c r="T148" s="1">
        <f t="shared" ca="1" si="43"/>
        <v>0.9</v>
      </c>
      <c r="U148" s="1">
        <f t="shared" ca="1" si="43"/>
        <v>90.866666666666703</v>
      </c>
      <c r="V148" s="1">
        <f t="shared" ca="1" si="43"/>
        <v>0</v>
      </c>
      <c r="W148" s="1">
        <f t="shared" ca="1" si="43"/>
        <v>0</v>
      </c>
      <c r="X148" s="1">
        <f t="shared" ca="1" si="43"/>
        <v>0</v>
      </c>
      <c r="Y148" s="1">
        <f t="shared" ca="1" si="43"/>
        <v>193.28749999999999</v>
      </c>
      <c r="Z148" s="1">
        <f t="shared" ca="1" si="43"/>
        <v>0</v>
      </c>
      <c r="AA148" s="1">
        <f t="shared" ca="1" si="43"/>
        <v>0</v>
      </c>
      <c r="AB148" s="1">
        <f t="shared" ca="1" si="41"/>
        <v>0</v>
      </c>
      <c r="AC148" s="1">
        <f t="shared" ca="1" si="43"/>
        <v>66.583725000000001</v>
      </c>
      <c r="AD148" s="1">
        <f t="shared" ca="1" si="43"/>
        <v>66.583725000000001</v>
      </c>
      <c r="AE148" s="1">
        <f t="shared" ca="1" si="43"/>
        <v>66.583725000000001</v>
      </c>
      <c r="AF148" s="1">
        <f t="shared" ca="1" si="43"/>
        <v>86.558842500000011</v>
      </c>
      <c r="AG148" s="1">
        <f t="shared" ca="1" si="43"/>
        <v>66.583725000000001</v>
      </c>
      <c r="AH148" s="1">
        <f t="shared" ca="1" si="43"/>
        <v>66.583725000000001</v>
      </c>
      <c r="AI148" s="1">
        <f t="shared" ca="1" si="44"/>
        <v>66.583725000000001</v>
      </c>
    </row>
    <row r="149" spans="2:35" x14ac:dyDescent="0.15">
      <c r="B149" s="1" t="str">
        <f t="shared" si="39"/>
        <v>龙系48</v>
      </c>
      <c r="C149" s="1">
        <f t="shared" si="29"/>
        <v>48</v>
      </c>
      <c r="D149" s="14" t="s">
        <v>91</v>
      </c>
      <c r="E149" s="14">
        <f t="shared" si="30"/>
        <v>2</v>
      </c>
      <c r="F149" s="1" t="str">
        <f t="shared" si="37"/>
        <v>火炎</v>
      </c>
      <c r="H149" s="1">
        <f t="shared" ca="1" si="38"/>
        <v>1808.8016926448065</v>
      </c>
      <c r="I149" s="1">
        <f t="shared" ca="1" si="42"/>
        <v>100</v>
      </c>
      <c r="J149" s="1">
        <f t="shared" ca="1" si="42"/>
        <v>971.83023578363395</v>
      </c>
      <c r="K149" s="1">
        <f t="shared" ca="1" si="42"/>
        <v>68.000399999999999</v>
      </c>
      <c r="L149" s="1">
        <f t="shared" ca="1" si="42"/>
        <v>647.88682385575601</v>
      </c>
      <c r="M149" s="1">
        <f t="shared" ca="1" si="42"/>
        <v>68.000399999999999</v>
      </c>
      <c r="N149" s="1">
        <f t="shared" ca="1" si="42"/>
        <v>0.2</v>
      </c>
      <c r="O149" s="1">
        <f t="shared" ca="1" si="42"/>
        <v>0.2</v>
      </c>
      <c r="P149" s="1">
        <f t="shared" ca="1" si="42"/>
        <v>0.36</v>
      </c>
      <c r="Q149" s="1">
        <f t="shared" ca="1" si="42"/>
        <v>0.1</v>
      </c>
      <c r="R149" s="1">
        <f t="shared" ca="1" si="42"/>
        <v>3</v>
      </c>
      <c r="S149" s="1">
        <f t="shared" ca="1" si="43"/>
        <v>0.1</v>
      </c>
      <c r="T149" s="1">
        <f t="shared" ca="1" si="43"/>
        <v>0.9</v>
      </c>
      <c r="U149" s="1">
        <f t="shared" ca="1" si="43"/>
        <v>92.8</v>
      </c>
      <c r="V149" s="1">
        <f t="shared" ca="1" si="43"/>
        <v>0</v>
      </c>
      <c r="W149" s="1">
        <f t="shared" ca="1" si="43"/>
        <v>0</v>
      </c>
      <c r="X149" s="1">
        <f t="shared" ca="1" si="43"/>
        <v>0</v>
      </c>
      <c r="Y149" s="1">
        <f t="shared" ca="1" si="43"/>
        <v>204.59583911234401</v>
      </c>
      <c r="Z149" s="1">
        <f t="shared" ca="1" si="43"/>
        <v>0</v>
      </c>
      <c r="AA149" s="1">
        <f t="shared" ca="1" si="43"/>
        <v>0</v>
      </c>
      <c r="AB149" s="1">
        <f t="shared" ca="1" si="43"/>
        <v>0</v>
      </c>
      <c r="AC149" s="1">
        <f t="shared" ca="1" si="43"/>
        <v>68.000399999999999</v>
      </c>
      <c r="AD149" s="1">
        <f t="shared" ca="1" si="43"/>
        <v>68.000399999999999</v>
      </c>
      <c r="AE149" s="1">
        <f t="shared" ca="1" si="43"/>
        <v>68.000399999999999</v>
      </c>
      <c r="AF149" s="1">
        <f t="shared" ca="1" si="43"/>
        <v>88.40052</v>
      </c>
      <c r="AG149" s="1">
        <f t="shared" ca="1" si="43"/>
        <v>68.000399999999999</v>
      </c>
      <c r="AH149" s="1">
        <f t="shared" ca="1" si="43"/>
        <v>68.000399999999999</v>
      </c>
      <c r="AI149" s="1">
        <f t="shared" ca="1" si="44"/>
        <v>68.000399999999999</v>
      </c>
    </row>
    <row r="150" spans="2:35" x14ac:dyDescent="0.15">
      <c r="B150" s="1" t="str">
        <f t="shared" si="39"/>
        <v>龙系49</v>
      </c>
      <c r="C150" s="1">
        <f t="shared" si="29"/>
        <v>49</v>
      </c>
      <c r="D150" s="14" t="s">
        <v>91</v>
      </c>
      <c r="E150" s="14">
        <f t="shared" si="30"/>
        <v>2</v>
      </c>
      <c r="F150" s="1" t="str">
        <f t="shared" si="37"/>
        <v>火炎</v>
      </c>
      <c r="H150" s="1">
        <f t="shared" ca="1" si="38"/>
        <v>1855.8580818570204</v>
      </c>
      <c r="I150" s="1">
        <f t="shared" ca="1" si="42"/>
        <v>100</v>
      </c>
      <c r="J150" s="1">
        <f t="shared" ca="1" si="42"/>
        <v>1000.263970588236</v>
      </c>
      <c r="K150" s="1">
        <f t="shared" ca="1" si="42"/>
        <v>69.417074999999997</v>
      </c>
      <c r="L150" s="1">
        <f t="shared" ca="1" si="42"/>
        <v>666.84264705882401</v>
      </c>
      <c r="M150" s="1">
        <f t="shared" ca="1" si="42"/>
        <v>69.417074999999997</v>
      </c>
      <c r="N150" s="1">
        <f t="shared" ca="1" si="42"/>
        <v>0.2</v>
      </c>
      <c r="O150" s="1">
        <f t="shared" ca="1" si="42"/>
        <v>0.2</v>
      </c>
      <c r="P150" s="1">
        <f t="shared" ca="1" si="42"/>
        <v>0.36</v>
      </c>
      <c r="Q150" s="1">
        <f t="shared" ca="1" si="42"/>
        <v>0.1</v>
      </c>
      <c r="R150" s="1">
        <f t="shared" ca="1" si="42"/>
        <v>3</v>
      </c>
      <c r="S150" s="1">
        <f t="shared" ca="1" si="43"/>
        <v>0.1</v>
      </c>
      <c r="T150" s="1">
        <f t="shared" ca="1" si="43"/>
        <v>0.9</v>
      </c>
      <c r="U150" s="1">
        <f t="shared" ca="1" si="43"/>
        <v>94.733333333333306</v>
      </c>
      <c r="V150" s="1">
        <f t="shared" ca="1" si="43"/>
        <v>0</v>
      </c>
      <c r="W150" s="1">
        <f t="shared" ca="1" si="43"/>
        <v>0</v>
      </c>
      <c r="X150" s="1">
        <f t="shared" ca="1" si="43"/>
        <v>0</v>
      </c>
      <c r="Y150" s="1">
        <f t="shared" ca="1" si="43"/>
        <v>216.392647058824</v>
      </c>
      <c r="Z150" s="1">
        <f t="shared" ca="1" si="43"/>
        <v>0</v>
      </c>
      <c r="AA150" s="1">
        <f t="shared" ca="1" si="43"/>
        <v>0</v>
      </c>
      <c r="AB150" s="1">
        <f t="shared" ca="1" si="43"/>
        <v>0</v>
      </c>
      <c r="AC150" s="1">
        <f t="shared" ca="1" si="43"/>
        <v>69.417074999999997</v>
      </c>
      <c r="AD150" s="1">
        <f t="shared" ca="1" si="43"/>
        <v>69.417074999999997</v>
      </c>
      <c r="AE150" s="1">
        <f t="shared" ca="1" si="43"/>
        <v>69.417074999999997</v>
      </c>
      <c r="AF150" s="1">
        <f t="shared" ca="1" si="43"/>
        <v>90.242197500000003</v>
      </c>
      <c r="AG150" s="1">
        <f t="shared" ca="1" si="43"/>
        <v>69.417074999999997</v>
      </c>
      <c r="AH150" s="1">
        <f t="shared" ca="1" si="43"/>
        <v>69.417074999999997</v>
      </c>
      <c r="AI150" s="1">
        <f t="shared" ca="1" si="44"/>
        <v>69.417074999999997</v>
      </c>
    </row>
    <row r="151" spans="2:35" x14ac:dyDescent="0.15">
      <c r="B151" s="1" t="str">
        <f t="shared" si="39"/>
        <v>龙系50</v>
      </c>
      <c r="C151" s="1">
        <f t="shared" si="29"/>
        <v>50</v>
      </c>
      <c r="D151" s="14" t="s">
        <v>91</v>
      </c>
      <c r="E151" s="14">
        <f t="shared" si="30"/>
        <v>2</v>
      </c>
      <c r="F151" s="1" t="str">
        <f t="shared" si="37"/>
        <v>火炎</v>
      </c>
      <c r="H151" s="1">
        <f t="shared" ca="1" si="38"/>
        <v>1903.2970433392431</v>
      </c>
      <c r="I151" s="1">
        <f t="shared" ca="1" si="42"/>
        <v>100</v>
      </c>
      <c r="J151" s="1">
        <f t="shared" ca="1" si="42"/>
        <v>1029.1283592644986</v>
      </c>
      <c r="K151" s="1">
        <f t="shared" ca="1" si="42"/>
        <v>70.833749999999995</v>
      </c>
      <c r="L151" s="1">
        <f t="shared" ca="1" si="42"/>
        <v>686.085572842999</v>
      </c>
      <c r="M151" s="1">
        <f t="shared" ca="1" si="42"/>
        <v>70.833749999999995</v>
      </c>
      <c r="N151" s="1">
        <f t="shared" ca="1" si="42"/>
        <v>0.2</v>
      </c>
      <c r="O151" s="1">
        <f t="shared" ca="1" si="42"/>
        <v>0.2</v>
      </c>
      <c r="P151" s="1">
        <f t="shared" ca="1" si="42"/>
        <v>0.36</v>
      </c>
      <c r="Q151" s="1">
        <f t="shared" ca="1" si="42"/>
        <v>0.1</v>
      </c>
      <c r="R151" s="1">
        <f t="shared" ca="1" si="42"/>
        <v>3</v>
      </c>
      <c r="S151" s="1">
        <f t="shared" ca="1" si="43"/>
        <v>0.1</v>
      </c>
      <c r="T151" s="1">
        <f t="shared" ca="1" si="43"/>
        <v>0.9</v>
      </c>
      <c r="U151" s="1">
        <f t="shared" ca="1" si="43"/>
        <v>96.6666666666667</v>
      </c>
      <c r="V151" s="1">
        <f t="shared" ca="1" si="43"/>
        <v>0</v>
      </c>
      <c r="W151" s="1">
        <f t="shared" ca="1" si="43"/>
        <v>0</v>
      </c>
      <c r="X151" s="1">
        <f t="shared" ca="1" si="43"/>
        <v>0</v>
      </c>
      <c r="Y151" s="1">
        <f t="shared" ca="1" si="43"/>
        <v>228.69519094766599</v>
      </c>
      <c r="Z151" s="1">
        <f t="shared" ca="1" si="43"/>
        <v>0</v>
      </c>
      <c r="AA151" s="1">
        <f t="shared" ca="1" si="43"/>
        <v>0</v>
      </c>
      <c r="AB151" s="1">
        <f t="shared" ca="1" si="43"/>
        <v>0</v>
      </c>
      <c r="AC151" s="1">
        <f t="shared" ca="1" si="43"/>
        <v>70.833749999999995</v>
      </c>
      <c r="AD151" s="1">
        <f t="shared" ca="1" si="43"/>
        <v>70.833749999999995</v>
      </c>
      <c r="AE151" s="1">
        <f t="shared" ca="1" si="43"/>
        <v>70.833749999999995</v>
      </c>
      <c r="AF151" s="1">
        <f t="shared" ca="1" si="43"/>
        <v>92.083874999999992</v>
      </c>
      <c r="AG151" s="1">
        <f t="shared" ca="1" si="43"/>
        <v>70.833749999999995</v>
      </c>
      <c r="AH151" s="1">
        <f t="shared" ca="1" si="43"/>
        <v>70.833749999999995</v>
      </c>
      <c r="AI151" s="1">
        <f t="shared" ca="1" si="44"/>
        <v>70.833749999999995</v>
      </c>
    </row>
    <row r="152" spans="2:35" x14ac:dyDescent="0.15">
      <c r="B152" s="1" t="str">
        <f t="shared" si="39"/>
        <v>龙系51</v>
      </c>
      <c r="C152" s="1">
        <f t="shared" si="29"/>
        <v>51</v>
      </c>
      <c r="D152" s="14" t="s">
        <v>91</v>
      </c>
      <c r="E152" s="14">
        <f t="shared" si="30"/>
        <v>2</v>
      </c>
      <c r="F152" s="1" t="str">
        <f t="shared" si="37"/>
        <v>火炎</v>
      </c>
      <c r="H152" s="1">
        <f t="shared" ca="1" si="38"/>
        <v>1951.1185770914865</v>
      </c>
      <c r="I152" s="1">
        <f t="shared" ca="1" si="42"/>
        <v>100</v>
      </c>
      <c r="J152" s="1">
        <f t="shared" ca="1" si="42"/>
        <v>1058.4321428571434</v>
      </c>
      <c r="K152" s="1">
        <f t="shared" ca="1" si="42"/>
        <v>72.250425000000007</v>
      </c>
      <c r="L152" s="1">
        <f t="shared" ca="1" si="42"/>
        <v>705.62142857142896</v>
      </c>
      <c r="M152" s="1">
        <f t="shared" ca="1" si="42"/>
        <v>72.250425000000007</v>
      </c>
      <c r="N152" s="1">
        <f t="shared" ca="1" si="42"/>
        <v>0.2</v>
      </c>
      <c r="O152" s="1">
        <f t="shared" ca="1" si="42"/>
        <v>0.2</v>
      </c>
      <c r="P152" s="1">
        <f t="shared" ca="1" si="42"/>
        <v>0.36</v>
      </c>
      <c r="Q152" s="1">
        <f t="shared" ca="1" si="42"/>
        <v>0.1</v>
      </c>
      <c r="R152" s="1">
        <f t="shared" ca="1" si="42"/>
        <v>3</v>
      </c>
      <c r="S152" s="1">
        <f t="shared" ca="1" si="43"/>
        <v>0.1</v>
      </c>
      <c r="T152" s="1">
        <f t="shared" ca="1" si="43"/>
        <v>0.9</v>
      </c>
      <c r="U152" s="1">
        <f t="shared" ca="1" si="43"/>
        <v>98.6</v>
      </c>
      <c r="V152" s="1">
        <f t="shared" ca="1" si="43"/>
        <v>0</v>
      </c>
      <c r="W152" s="1">
        <f t="shared" ca="1" si="43"/>
        <v>0</v>
      </c>
      <c r="X152" s="1">
        <f t="shared" ca="1" si="43"/>
        <v>0</v>
      </c>
      <c r="Y152" s="1">
        <f t="shared" ca="1" si="43"/>
        <v>241.521428571429</v>
      </c>
      <c r="Z152" s="1">
        <f t="shared" ca="1" si="43"/>
        <v>0</v>
      </c>
      <c r="AA152" s="1">
        <f t="shared" ca="1" si="43"/>
        <v>0</v>
      </c>
      <c r="AB152" s="1">
        <f t="shared" ca="1" si="43"/>
        <v>0</v>
      </c>
      <c r="AC152" s="1">
        <f t="shared" ca="1" si="43"/>
        <v>72.250425000000007</v>
      </c>
      <c r="AD152" s="1">
        <f t="shared" ca="1" si="43"/>
        <v>72.250425000000007</v>
      </c>
      <c r="AE152" s="1">
        <f t="shared" ca="1" si="43"/>
        <v>72.250425000000007</v>
      </c>
      <c r="AF152" s="1">
        <f t="shared" ca="1" si="43"/>
        <v>93.925552500000009</v>
      </c>
      <c r="AG152" s="1">
        <f t="shared" ca="1" si="43"/>
        <v>72.250425000000007</v>
      </c>
      <c r="AH152" s="1">
        <f t="shared" ca="1" si="43"/>
        <v>72.250425000000007</v>
      </c>
      <c r="AI152" s="1">
        <f t="shared" ca="1" si="44"/>
        <v>72.250425000000007</v>
      </c>
    </row>
    <row r="153" spans="2:35" x14ac:dyDescent="0.15">
      <c r="B153" s="1" t="str">
        <f t="shared" si="39"/>
        <v>龙系52</v>
      </c>
      <c r="C153" s="1">
        <f t="shared" si="29"/>
        <v>52</v>
      </c>
      <c r="D153" s="14" t="s">
        <v>91</v>
      </c>
      <c r="E153" s="14">
        <f t="shared" si="30"/>
        <v>2</v>
      </c>
      <c r="F153" s="1" t="str">
        <f t="shared" si="37"/>
        <v>火炎</v>
      </c>
      <c r="H153" s="1">
        <f t="shared" ca="1" si="38"/>
        <v>1999.3226831137388</v>
      </c>
      <c r="I153" s="1">
        <f t="shared" ref="I153:R162" ca="1" si="45">mVlookup($C153,monsterBaseDate,I$2,FALSE)*(1+mVlookup($E153,monsterType,I$2,FALSE))</f>
        <v>100</v>
      </c>
      <c r="J153" s="1">
        <f t="shared" ca="1" si="45"/>
        <v>1088.1844155844155</v>
      </c>
      <c r="K153" s="1">
        <f t="shared" ca="1" si="45"/>
        <v>73.667100000000005</v>
      </c>
      <c r="L153" s="1">
        <f t="shared" ca="1" si="45"/>
        <v>725.45627705627703</v>
      </c>
      <c r="M153" s="1">
        <f t="shared" ca="1" si="45"/>
        <v>73.667100000000005</v>
      </c>
      <c r="N153" s="1">
        <f t="shared" ca="1" si="45"/>
        <v>0.2</v>
      </c>
      <c r="O153" s="1">
        <f t="shared" ca="1" si="45"/>
        <v>0.2</v>
      </c>
      <c r="P153" s="1">
        <f t="shared" ca="1" si="45"/>
        <v>0.36</v>
      </c>
      <c r="Q153" s="1">
        <f t="shared" ca="1" si="45"/>
        <v>0.1</v>
      </c>
      <c r="R153" s="1">
        <f t="shared" ca="1" si="45"/>
        <v>3</v>
      </c>
      <c r="S153" s="1">
        <f t="shared" ref="S153:AH168" ca="1" si="46">mVlookup($C153,monsterBaseDate,S$2,FALSE)*(1+mVlookup($E153,monsterType,S$2,FALSE))</f>
        <v>0.1</v>
      </c>
      <c r="T153" s="1">
        <f t="shared" ca="1" si="46"/>
        <v>0.9</v>
      </c>
      <c r="U153" s="1">
        <f t="shared" ca="1" si="46"/>
        <v>100.533333333333</v>
      </c>
      <c r="V153" s="1">
        <f t="shared" ca="1" si="46"/>
        <v>0</v>
      </c>
      <c r="W153" s="1">
        <f t="shared" ca="1" si="46"/>
        <v>0</v>
      </c>
      <c r="X153" s="1">
        <f t="shared" ca="1" si="46"/>
        <v>0</v>
      </c>
      <c r="Y153" s="1">
        <f t="shared" ca="1" si="46"/>
        <v>254.890043290043</v>
      </c>
      <c r="Z153" s="1">
        <f t="shared" ca="1" si="46"/>
        <v>0</v>
      </c>
      <c r="AA153" s="1">
        <f t="shared" ca="1" si="46"/>
        <v>0</v>
      </c>
      <c r="AB153" s="1">
        <f t="shared" ca="1" si="43"/>
        <v>0</v>
      </c>
      <c r="AC153" s="1">
        <f t="shared" ca="1" si="46"/>
        <v>73.667100000000005</v>
      </c>
      <c r="AD153" s="1">
        <f t="shared" ca="1" si="46"/>
        <v>73.667100000000005</v>
      </c>
      <c r="AE153" s="1">
        <f t="shared" ca="1" si="46"/>
        <v>73.667100000000005</v>
      </c>
      <c r="AF153" s="1">
        <f t="shared" ca="1" si="46"/>
        <v>95.767230000000012</v>
      </c>
      <c r="AG153" s="1">
        <f t="shared" ca="1" si="46"/>
        <v>73.667100000000005</v>
      </c>
      <c r="AH153" s="1">
        <f t="shared" ca="1" si="46"/>
        <v>73.667100000000005</v>
      </c>
      <c r="AI153" s="1">
        <f t="shared" ca="1" si="44"/>
        <v>73.667100000000005</v>
      </c>
    </row>
    <row r="154" spans="2:35" x14ac:dyDescent="0.15">
      <c r="B154" s="1" t="str">
        <f t="shared" si="39"/>
        <v>龙系53</v>
      </c>
      <c r="C154" s="1">
        <f t="shared" si="29"/>
        <v>53</v>
      </c>
      <c r="D154" s="14" t="s">
        <v>91</v>
      </c>
      <c r="E154" s="14">
        <f t="shared" si="30"/>
        <v>2</v>
      </c>
      <c r="F154" s="1" t="str">
        <f t="shared" si="37"/>
        <v>火炎</v>
      </c>
      <c r="H154" s="1">
        <f t="shared" ca="1" si="38"/>
        <v>2047.9093614060237</v>
      </c>
      <c r="I154" s="1">
        <f t="shared" ca="1" si="45"/>
        <v>100</v>
      </c>
      <c r="J154" s="1">
        <f t="shared" ca="1" si="45"/>
        <v>1118.3946428571435</v>
      </c>
      <c r="K154" s="1">
        <f t="shared" ca="1" si="45"/>
        <v>75.083775000000003</v>
      </c>
      <c r="L154" s="1">
        <f t="shared" ca="1" si="45"/>
        <v>745.59642857142899</v>
      </c>
      <c r="M154" s="1">
        <f t="shared" ca="1" si="45"/>
        <v>75.083775000000003</v>
      </c>
      <c r="N154" s="1">
        <f t="shared" ca="1" si="45"/>
        <v>0.2</v>
      </c>
      <c r="O154" s="1">
        <f t="shared" ca="1" si="45"/>
        <v>0.2</v>
      </c>
      <c r="P154" s="1">
        <f t="shared" ca="1" si="45"/>
        <v>0.36</v>
      </c>
      <c r="Q154" s="1">
        <f t="shared" ca="1" si="45"/>
        <v>0.1</v>
      </c>
      <c r="R154" s="1">
        <f t="shared" ca="1" si="45"/>
        <v>3</v>
      </c>
      <c r="S154" s="1">
        <f t="shared" ca="1" si="46"/>
        <v>0.1</v>
      </c>
      <c r="T154" s="1">
        <f t="shared" ca="1" si="46"/>
        <v>0.9</v>
      </c>
      <c r="U154" s="1">
        <f t="shared" ca="1" si="46"/>
        <v>102.466666666667</v>
      </c>
      <c r="V154" s="1">
        <f t="shared" ca="1" si="46"/>
        <v>0</v>
      </c>
      <c r="W154" s="1">
        <f t="shared" ca="1" si="46"/>
        <v>0</v>
      </c>
      <c r="X154" s="1">
        <f t="shared" ca="1" si="46"/>
        <v>0</v>
      </c>
      <c r="Y154" s="1">
        <f t="shared" ca="1" si="46"/>
        <v>268.820481049563</v>
      </c>
      <c r="Z154" s="1">
        <f t="shared" ca="1" si="46"/>
        <v>0</v>
      </c>
      <c r="AA154" s="1">
        <f t="shared" ca="1" si="46"/>
        <v>0</v>
      </c>
      <c r="AB154" s="1">
        <f t="shared" ca="1" si="43"/>
        <v>0</v>
      </c>
      <c r="AC154" s="1">
        <f t="shared" ca="1" si="46"/>
        <v>75.083775000000003</v>
      </c>
      <c r="AD154" s="1">
        <f t="shared" ca="1" si="46"/>
        <v>75.083775000000003</v>
      </c>
      <c r="AE154" s="1">
        <f t="shared" ca="1" si="46"/>
        <v>75.083775000000003</v>
      </c>
      <c r="AF154" s="1">
        <f t="shared" ca="1" si="46"/>
        <v>97.608907500000001</v>
      </c>
      <c r="AG154" s="1">
        <f t="shared" ca="1" si="46"/>
        <v>75.083775000000003</v>
      </c>
      <c r="AH154" s="1">
        <f t="shared" ca="1" si="46"/>
        <v>75.083775000000003</v>
      </c>
      <c r="AI154" s="1">
        <f t="shared" ca="1" si="44"/>
        <v>75.083775000000003</v>
      </c>
    </row>
    <row r="155" spans="2:35" x14ac:dyDescent="0.15">
      <c r="B155" s="1" t="str">
        <f t="shared" si="39"/>
        <v>龙系54</v>
      </c>
      <c r="C155" s="1">
        <f t="shared" si="29"/>
        <v>54</v>
      </c>
      <c r="D155" s="14" t="s">
        <v>91</v>
      </c>
      <c r="E155" s="14">
        <f t="shared" si="30"/>
        <v>2</v>
      </c>
      <c r="F155" s="1" t="str">
        <f t="shared" si="37"/>
        <v>火炎</v>
      </c>
      <c r="H155" s="1">
        <f t="shared" ca="1" si="38"/>
        <v>2096.8786119683173</v>
      </c>
      <c r="I155" s="1">
        <f t="shared" ca="1" si="45"/>
        <v>100</v>
      </c>
      <c r="J155" s="1">
        <f t="shared" ca="1" si="45"/>
        <v>1149.0726804123719</v>
      </c>
      <c r="K155" s="1">
        <f t="shared" ca="1" si="45"/>
        <v>76.500450000000001</v>
      </c>
      <c r="L155" s="1">
        <f t="shared" ca="1" si="45"/>
        <v>766.048453608248</v>
      </c>
      <c r="M155" s="1">
        <f t="shared" ca="1" si="45"/>
        <v>76.500450000000001</v>
      </c>
      <c r="N155" s="1">
        <f t="shared" ca="1" si="45"/>
        <v>0.2</v>
      </c>
      <c r="O155" s="1">
        <f t="shared" ca="1" si="45"/>
        <v>0.2</v>
      </c>
      <c r="P155" s="1">
        <f t="shared" ca="1" si="45"/>
        <v>0.36</v>
      </c>
      <c r="Q155" s="1">
        <f t="shared" ca="1" si="45"/>
        <v>0.1</v>
      </c>
      <c r="R155" s="1">
        <f t="shared" ca="1" si="45"/>
        <v>3</v>
      </c>
      <c r="S155" s="1">
        <f t="shared" ca="1" si="46"/>
        <v>0.1</v>
      </c>
      <c r="T155" s="1">
        <f t="shared" ca="1" si="46"/>
        <v>0.9</v>
      </c>
      <c r="U155" s="1">
        <f t="shared" ca="1" si="46"/>
        <v>104.4</v>
      </c>
      <c r="V155" s="1">
        <f t="shared" ca="1" si="46"/>
        <v>0</v>
      </c>
      <c r="W155" s="1">
        <f t="shared" ca="1" si="46"/>
        <v>0</v>
      </c>
      <c r="X155" s="1">
        <f t="shared" ca="1" si="46"/>
        <v>0</v>
      </c>
      <c r="Y155" s="1">
        <f t="shared" ca="1" si="46"/>
        <v>283.332989690722</v>
      </c>
      <c r="Z155" s="1">
        <f t="shared" ca="1" si="46"/>
        <v>0</v>
      </c>
      <c r="AA155" s="1">
        <f t="shared" ca="1" si="46"/>
        <v>0</v>
      </c>
      <c r="AB155" s="1">
        <f t="shared" ca="1" si="43"/>
        <v>0</v>
      </c>
      <c r="AC155" s="1">
        <f t="shared" ca="1" si="46"/>
        <v>76.500450000000001</v>
      </c>
      <c r="AD155" s="1">
        <f t="shared" ca="1" si="46"/>
        <v>76.500450000000001</v>
      </c>
      <c r="AE155" s="1">
        <f t="shared" ca="1" si="46"/>
        <v>76.500450000000001</v>
      </c>
      <c r="AF155" s="1">
        <f t="shared" ca="1" si="46"/>
        <v>99.450585000000004</v>
      </c>
      <c r="AG155" s="1">
        <f t="shared" ca="1" si="46"/>
        <v>76.500450000000001</v>
      </c>
      <c r="AH155" s="1">
        <f t="shared" ca="1" si="46"/>
        <v>76.500450000000001</v>
      </c>
      <c r="AI155" s="1">
        <f t="shared" ca="1" si="44"/>
        <v>76.500450000000001</v>
      </c>
    </row>
    <row r="156" spans="2:35" x14ac:dyDescent="0.15">
      <c r="B156" s="1" t="str">
        <f t="shared" si="39"/>
        <v>龙系55</v>
      </c>
      <c r="C156" s="1">
        <f t="shared" si="29"/>
        <v>55</v>
      </c>
      <c r="D156" s="14" t="s">
        <v>91</v>
      </c>
      <c r="E156" s="14">
        <f t="shared" si="30"/>
        <v>2</v>
      </c>
      <c r="F156" s="1" t="str">
        <f t="shared" si="37"/>
        <v>火炎</v>
      </c>
      <c r="H156" s="1">
        <f t="shared" ca="1" si="38"/>
        <v>2146.2304348006314</v>
      </c>
      <c r="I156" s="1">
        <f t="shared" ca="1" si="45"/>
        <v>100</v>
      </c>
      <c r="J156" s="1">
        <f t="shared" ca="1" si="45"/>
        <v>1180.228794642858</v>
      </c>
      <c r="K156" s="1">
        <f t="shared" ca="1" si="45"/>
        <v>77.917124999999999</v>
      </c>
      <c r="L156" s="1">
        <f t="shared" ca="1" si="45"/>
        <v>786.81919642857201</v>
      </c>
      <c r="M156" s="1">
        <f t="shared" ca="1" si="45"/>
        <v>77.917124999999999</v>
      </c>
      <c r="N156" s="1">
        <f t="shared" ca="1" si="45"/>
        <v>0.2</v>
      </c>
      <c r="O156" s="1">
        <f t="shared" ca="1" si="45"/>
        <v>0.2</v>
      </c>
      <c r="P156" s="1">
        <f t="shared" ca="1" si="45"/>
        <v>0.36</v>
      </c>
      <c r="Q156" s="1">
        <f t="shared" ca="1" si="45"/>
        <v>0.1</v>
      </c>
      <c r="R156" s="1">
        <f t="shared" ca="1" si="45"/>
        <v>3</v>
      </c>
      <c r="S156" s="1">
        <f t="shared" ca="1" si="46"/>
        <v>0.1</v>
      </c>
      <c r="T156" s="1">
        <f t="shared" ca="1" si="46"/>
        <v>0.9</v>
      </c>
      <c r="U156" s="1">
        <f t="shared" ca="1" si="46"/>
        <v>106.333333333333</v>
      </c>
      <c r="V156" s="1">
        <f t="shared" ca="1" si="46"/>
        <v>0</v>
      </c>
      <c r="W156" s="1">
        <f t="shared" ca="1" si="46"/>
        <v>0</v>
      </c>
      <c r="X156" s="1">
        <f t="shared" ca="1" si="46"/>
        <v>0</v>
      </c>
      <c r="Y156" s="1">
        <f t="shared" ca="1" si="46"/>
        <v>298.44866071428601</v>
      </c>
      <c r="Z156" s="1">
        <f t="shared" ca="1" si="46"/>
        <v>0</v>
      </c>
      <c r="AA156" s="1">
        <f t="shared" ca="1" si="46"/>
        <v>0</v>
      </c>
      <c r="AB156" s="1">
        <f t="shared" ca="1" si="43"/>
        <v>0</v>
      </c>
      <c r="AC156" s="1">
        <f t="shared" ca="1" si="46"/>
        <v>77.917124999999999</v>
      </c>
      <c r="AD156" s="1">
        <f t="shared" ca="1" si="46"/>
        <v>77.917124999999999</v>
      </c>
      <c r="AE156" s="1">
        <f t="shared" ca="1" si="46"/>
        <v>77.917124999999999</v>
      </c>
      <c r="AF156" s="1">
        <f t="shared" ca="1" si="46"/>
        <v>101.29226250000001</v>
      </c>
      <c r="AG156" s="1">
        <f t="shared" ca="1" si="46"/>
        <v>77.917124999999999</v>
      </c>
      <c r="AH156" s="1">
        <f t="shared" ca="1" si="46"/>
        <v>77.917124999999999</v>
      </c>
      <c r="AI156" s="1">
        <f t="shared" ca="1" si="44"/>
        <v>77.917124999999999</v>
      </c>
    </row>
    <row r="157" spans="2:35" x14ac:dyDescent="0.15">
      <c r="B157" s="1" t="str">
        <f t="shared" si="39"/>
        <v>龙系56</v>
      </c>
      <c r="C157" s="1">
        <f t="shared" si="29"/>
        <v>56</v>
      </c>
      <c r="D157" s="14" t="s">
        <v>91</v>
      </c>
      <c r="E157" s="14">
        <f t="shared" si="30"/>
        <v>2</v>
      </c>
      <c r="F157" s="1" t="str">
        <f t="shared" si="37"/>
        <v>火炎</v>
      </c>
      <c r="H157" s="1">
        <f t="shared" ca="1" si="38"/>
        <v>2311.1250963872421</v>
      </c>
      <c r="I157" s="1">
        <f t="shared" ca="1" si="45"/>
        <v>100</v>
      </c>
      <c r="J157" s="1">
        <f t="shared" ca="1" si="45"/>
        <v>1211.8736842105275</v>
      </c>
      <c r="K157" s="1">
        <f t="shared" ca="1" si="45"/>
        <v>79.333799999999997</v>
      </c>
      <c r="L157" s="1">
        <f t="shared" ca="1" si="45"/>
        <v>807.91578947368498</v>
      </c>
      <c r="M157" s="1">
        <f t="shared" ca="1" si="45"/>
        <v>79.333799999999997</v>
      </c>
      <c r="N157" s="1">
        <f t="shared" ca="1" si="45"/>
        <v>0.2</v>
      </c>
      <c r="O157" s="1">
        <f t="shared" ca="1" si="45"/>
        <v>0.2</v>
      </c>
      <c r="P157" s="1">
        <f t="shared" ca="1" si="45"/>
        <v>0.36</v>
      </c>
      <c r="Q157" s="1">
        <f t="shared" ca="1" si="45"/>
        <v>0.1</v>
      </c>
      <c r="R157" s="1">
        <f t="shared" ca="1" si="45"/>
        <v>3</v>
      </c>
      <c r="S157" s="1">
        <f t="shared" ca="1" si="46"/>
        <v>0.1</v>
      </c>
      <c r="T157" s="1">
        <f t="shared" ca="1" si="46"/>
        <v>0.9</v>
      </c>
      <c r="U157" s="1">
        <f t="shared" ca="1" si="46"/>
        <v>108.26666666666701</v>
      </c>
      <c r="V157" s="1">
        <f t="shared" ca="1" si="46"/>
        <v>0</v>
      </c>
      <c r="W157" s="1">
        <f t="shared" ca="1" si="46"/>
        <v>0</v>
      </c>
      <c r="X157" s="1">
        <f t="shared" ca="1" si="46"/>
        <v>0</v>
      </c>
      <c r="Y157" s="1">
        <f t="shared" ca="1" si="46"/>
        <v>314.18947368421101</v>
      </c>
      <c r="Z157" s="1">
        <f t="shared" ca="1" si="46"/>
        <v>0</v>
      </c>
      <c r="AA157" s="1">
        <f t="shared" ca="1" si="46"/>
        <v>0</v>
      </c>
      <c r="AB157" s="1">
        <f t="shared" ca="1" si="43"/>
        <v>0</v>
      </c>
      <c r="AC157" s="1">
        <f t="shared" ca="1" si="46"/>
        <v>79.333799999999997</v>
      </c>
      <c r="AD157" s="1">
        <f t="shared" ca="1" si="46"/>
        <v>79.333799999999997</v>
      </c>
      <c r="AE157" s="1">
        <f t="shared" ca="1" si="46"/>
        <v>79.333799999999997</v>
      </c>
      <c r="AF157" s="1">
        <f t="shared" ca="1" si="46"/>
        <v>103.13394</v>
      </c>
      <c r="AG157" s="1">
        <f t="shared" ca="1" si="46"/>
        <v>79.333799999999997</v>
      </c>
      <c r="AH157" s="1">
        <f t="shared" ca="1" si="46"/>
        <v>79.333799999999997</v>
      </c>
      <c r="AI157" s="1">
        <f t="shared" ca="1" si="44"/>
        <v>79.333799999999997</v>
      </c>
    </row>
    <row r="158" spans="2:35" x14ac:dyDescent="0.15">
      <c r="B158" s="1" t="str">
        <f t="shared" si="39"/>
        <v>龙系57</v>
      </c>
      <c r="C158" s="1">
        <f t="shared" si="29"/>
        <v>57</v>
      </c>
      <c r="D158" s="14" t="s">
        <v>91</v>
      </c>
      <c r="E158" s="14">
        <f t="shared" si="30"/>
        <v>2</v>
      </c>
      <c r="F158" s="1" t="str">
        <f t="shared" si="37"/>
        <v>火炎</v>
      </c>
      <c r="H158" s="1">
        <f t="shared" ca="1" si="38"/>
        <v>2363.8702858692432</v>
      </c>
      <c r="I158" s="1">
        <f t="shared" ca="1" si="45"/>
        <v>100</v>
      </c>
      <c r="J158" s="1">
        <f t="shared" ca="1" si="45"/>
        <v>1244.0185030395151</v>
      </c>
      <c r="K158" s="1">
        <f t="shared" ca="1" si="45"/>
        <v>80.750474999999994</v>
      </c>
      <c r="L158" s="1">
        <f t="shared" ca="1" si="45"/>
        <v>829.34566869301</v>
      </c>
      <c r="M158" s="1">
        <f t="shared" ca="1" si="45"/>
        <v>80.750474999999994</v>
      </c>
      <c r="N158" s="1">
        <f t="shared" ca="1" si="45"/>
        <v>0.2</v>
      </c>
      <c r="O158" s="1">
        <f t="shared" ca="1" si="45"/>
        <v>0.2</v>
      </c>
      <c r="P158" s="1">
        <f t="shared" ca="1" si="45"/>
        <v>0.36</v>
      </c>
      <c r="Q158" s="1">
        <f t="shared" ca="1" si="45"/>
        <v>0.1</v>
      </c>
      <c r="R158" s="1">
        <f t="shared" ca="1" si="45"/>
        <v>3</v>
      </c>
      <c r="S158" s="1">
        <f t="shared" ca="1" si="46"/>
        <v>0.1</v>
      </c>
      <c r="T158" s="1">
        <f t="shared" ca="1" si="46"/>
        <v>0.9</v>
      </c>
      <c r="U158" s="1">
        <f t="shared" ca="1" si="46"/>
        <v>110.2</v>
      </c>
      <c r="V158" s="1">
        <f t="shared" ca="1" si="46"/>
        <v>0</v>
      </c>
      <c r="W158" s="1">
        <f t="shared" ca="1" si="46"/>
        <v>0</v>
      </c>
      <c r="X158" s="1">
        <f t="shared" ca="1" si="46"/>
        <v>0</v>
      </c>
      <c r="Y158" s="1">
        <f t="shared" ca="1" si="46"/>
        <v>330.57834346504598</v>
      </c>
      <c r="Z158" s="1">
        <f t="shared" ca="1" si="46"/>
        <v>0</v>
      </c>
      <c r="AA158" s="1">
        <f t="shared" ca="1" si="46"/>
        <v>0</v>
      </c>
      <c r="AB158" s="1">
        <f t="shared" ca="1" si="43"/>
        <v>0</v>
      </c>
      <c r="AC158" s="1">
        <f t="shared" ca="1" si="46"/>
        <v>80.750474999999994</v>
      </c>
      <c r="AD158" s="1">
        <f t="shared" ca="1" si="46"/>
        <v>80.750474999999994</v>
      </c>
      <c r="AE158" s="1">
        <f t="shared" ca="1" si="46"/>
        <v>80.750474999999994</v>
      </c>
      <c r="AF158" s="1">
        <f t="shared" ca="1" si="46"/>
        <v>104.9756175</v>
      </c>
      <c r="AG158" s="1">
        <f t="shared" ca="1" si="46"/>
        <v>80.750474999999994</v>
      </c>
      <c r="AH158" s="1">
        <f t="shared" ca="1" si="46"/>
        <v>80.750474999999994</v>
      </c>
      <c r="AI158" s="1">
        <f t="shared" ca="1" si="44"/>
        <v>80.750474999999994</v>
      </c>
    </row>
    <row r="159" spans="2:35" x14ac:dyDescent="0.15">
      <c r="B159" s="1" t="str">
        <f t="shared" si="39"/>
        <v>龙系58</v>
      </c>
      <c r="C159" s="1">
        <f t="shared" si="29"/>
        <v>58</v>
      </c>
      <c r="D159" s="14" t="s">
        <v>91</v>
      </c>
      <c r="E159" s="14">
        <f t="shared" si="30"/>
        <v>2</v>
      </c>
      <c r="F159" s="1" t="str">
        <f t="shared" si="37"/>
        <v>火炎</v>
      </c>
      <c r="H159" s="1">
        <f t="shared" ca="1" si="38"/>
        <v>2417.0181103854707</v>
      </c>
      <c r="I159" s="1">
        <f t="shared" ca="1" si="45"/>
        <v>100</v>
      </c>
      <c r="J159" s="1">
        <f t="shared" ca="1" si="45"/>
        <v>1276.6748847926281</v>
      </c>
      <c r="K159" s="1">
        <f t="shared" ca="1" si="45"/>
        <v>82.167150000000007</v>
      </c>
      <c r="L159" s="1">
        <f t="shared" ca="1" si="45"/>
        <v>851.116589861752</v>
      </c>
      <c r="M159" s="1">
        <f t="shared" ca="1" si="45"/>
        <v>82.167150000000007</v>
      </c>
      <c r="N159" s="1">
        <f t="shared" ca="1" si="45"/>
        <v>0.2</v>
      </c>
      <c r="O159" s="1">
        <f t="shared" ca="1" si="45"/>
        <v>0.2</v>
      </c>
      <c r="P159" s="1">
        <f t="shared" ca="1" si="45"/>
        <v>0.36</v>
      </c>
      <c r="Q159" s="1">
        <f t="shared" ca="1" si="45"/>
        <v>0.1</v>
      </c>
      <c r="R159" s="1">
        <f t="shared" ca="1" si="45"/>
        <v>3</v>
      </c>
      <c r="S159" s="1">
        <f t="shared" ca="1" si="46"/>
        <v>0.1</v>
      </c>
      <c r="T159" s="1">
        <f t="shared" ca="1" si="46"/>
        <v>0.9</v>
      </c>
      <c r="U159" s="1">
        <f t="shared" ca="1" si="46"/>
        <v>112.133333333333</v>
      </c>
      <c r="V159" s="1">
        <f t="shared" ca="1" si="46"/>
        <v>0</v>
      </c>
      <c r="W159" s="1">
        <f t="shared" ca="1" si="46"/>
        <v>0</v>
      </c>
      <c r="X159" s="1">
        <f t="shared" ca="1" si="46"/>
        <v>0</v>
      </c>
      <c r="Y159" s="1">
        <f t="shared" ca="1" si="46"/>
        <v>347.63917050691299</v>
      </c>
      <c r="Z159" s="1">
        <f t="shared" ca="1" si="46"/>
        <v>0</v>
      </c>
      <c r="AA159" s="1">
        <f t="shared" ca="1" si="46"/>
        <v>0</v>
      </c>
      <c r="AB159" s="1">
        <f t="shared" ca="1" si="46"/>
        <v>0</v>
      </c>
      <c r="AC159" s="1">
        <f t="shared" ca="1" si="46"/>
        <v>82.167150000000007</v>
      </c>
      <c r="AD159" s="1">
        <f t="shared" ca="1" si="46"/>
        <v>82.167150000000007</v>
      </c>
      <c r="AE159" s="1">
        <f t="shared" ca="1" si="46"/>
        <v>82.167150000000007</v>
      </c>
      <c r="AF159" s="1">
        <f t="shared" ca="1" si="46"/>
        <v>106.81729500000002</v>
      </c>
      <c r="AG159" s="1">
        <f t="shared" ca="1" si="46"/>
        <v>82.167150000000007</v>
      </c>
      <c r="AH159" s="1">
        <f t="shared" ca="1" si="46"/>
        <v>82.167150000000007</v>
      </c>
      <c r="AI159" s="1">
        <f t="shared" ca="1" si="44"/>
        <v>82.167150000000007</v>
      </c>
    </row>
    <row r="160" spans="2:35" x14ac:dyDescent="0.15">
      <c r="B160" s="1" t="str">
        <f t="shared" si="39"/>
        <v>龙系59</v>
      </c>
      <c r="C160" s="1">
        <f t="shared" si="29"/>
        <v>59</v>
      </c>
      <c r="D160" s="14" t="s">
        <v>91</v>
      </c>
      <c r="E160" s="14">
        <f t="shared" si="30"/>
        <v>2</v>
      </c>
      <c r="F160" s="1" t="str">
        <f t="shared" si="37"/>
        <v>火炎</v>
      </c>
      <c r="H160" s="1">
        <f t="shared" ca="1" si="38"/>
        <v>2470.5685699359001</v>
      </c>
      <c r="I160" s="1">
        <f t="shared" ca="1" si="45"/>
        <v>100</v>
      </c>
      <c r="J160" s="1">
        <f t="shared" ca="1" si="45"/>
        <v>1309.8549689440995</v>
      </c>
      <c r="K160" s="1">
        <f t="shared" ca="1" si="45"/>
        <v>83.583825000000004</v>
      </c>
      <c r="L160" s="1">
        <f t="shared" ca="1" si="45"/>
        <v>873.23664596273295</v>
      </c>
      <c r="M160" s="1">
        <f t="shared" ca="1" si="45"/>
        <v>83.583825000000004</v>
      </c>
      <c r="N160" s="1">
        <f t="shared" ca="1" si="45"/>
        <v>0.2</v>
      </c>
      <c r="O160" s="1">
        <f t="shared" ca="1" si="45"/>
        <v>0.2</v>
      </c>
      <c r="P160" s="1">
        <f t="shared" ca="1" si="45"/>
        <v>0.36</v>
      </c>
      <c r="Q160" s="1">
        <f t="shared" ca="1" si="45"/>
        <v>0.1</v>
      </c>
      <c r="R160" s="1">
        <f t="shared" ca="1" si="45"/>
        <v>3</v>
      </c>
      <c r="S160" s="1">
        <f t="shared" ca="1" si="46"/>
        <v>0.1</v>
      </c>
      <c r="T160" s="1">
        <f t="shared" ca="1" si="46"/>
        <v>0.9</v>
      </c>
      <c r="U160" s="1">
        <f t="shared" ca="1" si="46"/>
        <v>114.066666666667</v>
      </c>
      <c r="V160" s="1">
        <f t="shared" ca="1" si="46"/>
        <v>0</v>
      </c>
      <c r="W160" s="1">
        <f t="shared" ca="1" si="46"/>
        <v>0</v>
      </c>
      <c r="X160" s="1">
        <f t="shared" ca="1" si="46"/>
        <v>0</v>
      </c>
      <c r="Y160" s="1">
        <f t="shared" ca="1" si="46"/>
        <v>365.396894409938</v>
      </c>
      <c r="Z160" s="1">
        <f t="shared" ca="1" si="46"/>
        <v>0</v>
      </c>
      <c r="AA160" s="1">
        <f t="shared" ca="1" si="46"/>
        <v>0</v>
      </c>
      <c r="AB160" s="1">
        <f t="shared" ca="1" si="46"/>
        <v>0</v>
      </c>
      <c r="AC160" s="1">
        <f t="shared" ca="1" si="46"/>
        <v>83.583825000000004</v>
      </c>
      <c r="AD160" s="1">
        <f t="shared" ca="1" si="46"/>
        <v>83.583825000000004</v>
      </c>
      <c r="AE160" s="1">
        <f t="shared" ca="1" si="46"/>
        <v>83.583825000000004</v>
      </c>
      <c r="AF160" s="1">
        <f t="shared" ca="1" si="46"/>
        <v>108.6589725</v>
      </c>
      <c r="AG160" s="1">
        <f t="shared" ca="1" si="46"/>
        <v>83.583825000000004</v>
      </c>
      <c r="AH160" s="1">
        <f t="shared" ca="1" si="46"/>
        <v>83.583825000000004</v>
      </c>
      <c r="AI160" s="1">
        <f t="shared" ca="1" si="44"/>
        <v>83.583825000000004</v>
      </c>
    </row>
    <row r="161" spans="2:35" x14ac:dyDescent="0.15">
      <c r="B161" s="1" t="str">
        <f t="shared" si="39"/>
        <v>龙系60</v>
      </c>
      <c r="C161" s="1">
        <f t="shared" si="29"/>
        <v>60</v>
      </c>
      <c r="D161" s="14" t="s">
        <v>91</v>
      </c>
      <c r="E161" s="14">
        <f t="shared" si="30"/>
        <v>2</v>
      </c>
      <c r="F161" s="1" t="str">
        <f t="shared" si="37"/>
        <v>火炎</v>
      </c>
      <c r="H161" s="1">
        <f t="shared" ca="1" si="38"/>
        <v>2524.521664520556</v>
      </c>
      <c r="I161" s="1">
        <f t="shared" ca="1" si="45"/>
        <v>100</v>
      </c>
      <c r="J161" s="1">
        <f t="shared" ca="1" si="45"/>
        <v>1343.5714285714289</v>
      </c>
      <c r="K161" s="1">
        <f t="shared" ca="1" si="45"/>
        <v>85.000500000000002</v>
      </c>
      <c r="L161" s="1">
        <f t="shared" ca="1" si="45"/>
        <v>895.71428571428601</v>
      </c>
      <c r="M161" s="1">
        <f t="shared" ca="1" si="45"/>
        <v>85.000500000000002</v>
      </c>
      <c r="N161" s="1">
        <f t="shared" ca="1" si="45"/>
        <v>0.2</v>
      </c>
      <c r="O161" s="1">
        <f t="shared" ca="1" si="45"/>
        <v>0.2</v>
      </c>
      <c r="P161" s="1">
        <f t="shared" ca="1" si="45"/>
        <v>0.36</v>
      </c>
      <c r="Q161" s="1">
        <f t="shared" ca="1" si="45"/>
        <v>0.1</v>
      </c>
      <c r="R161" s="1">
        <f t="shared" ca="1" si="45"/>
        <v>3</v>
      </c>
      <c r="S161" s="1">
        <f t="shared" ca="1" si="46"/>
        <v>0.1</v>
      </c>
      <c r="T161" s="1">
        <f t="shared" ca="1" si="46"/>
        <v>0.9</v>
      </c>
      <c r="U161" s="1">
        <f t="shared" ca="1" si="46"/>
        <v>116</v>
      </c>
      <c r="V161" s="1">
        <f t="shared" ca="1" si="46"/>
        <v>0</v>
      </c>
      <c r="W161" s="1">
        <f t="shared" ca="1" si="46"/>
        <v>0</v>
      </c>
      <c r="X161" s="1">
        <f t="shared" ca="1" si="46"/>
        <v>0</v>
      </c>
      <c r="Y161" s="1">
        <f t="shared" ca="1" si="46"/>
        <v>383.87755102040802</v>
      </c>
      <c r="Z161" s="1">
        <f t="shared" ca="1" si="46"/>
        <v>0</v>
      </c>
      <c r="AA161" s="1">
        <f t="shared" ca="1" si="46"/>
        <v>0</v>
      </c>
      <c r="AB161" s="1">
        <f t="shared" ca="1" si="46"/>
        <v>0</v>
      </c>
      <c r="AC161" s="1">
        <f t="shared" ca="1" si="46"/>
        <v>85.000500000000002</v>
      </c>
      <c r="AD161" s="1">
        <f t="shared" ca="1" si="46"/>
        <v>85.000500000000002</v>
      </c>
      <c r="AE161" s="1">
        <f t="shared" ca="1" si="46"/>
        <v>85.000500000000002</v>
      </c>
      <c r="AF161" s="1">
        <f t="shared" ca="1" si="46"/>
        <v>110.50065000000001</v>
      </c>
      <c r="AG161" s="1">
        <f t="shared" ca="1" si="46"/>
        <v>85.000500000000002</v>
      </c>
      <c r="AH161" s="1">
        <f t="shared" ca="1" si="46"/>
        <v>85.000500000000002</v>
      </c>
      <c r="AI161" s="1">
        <f t="shared" ca="1" si="44"/>
        <v>85.000500000000002</v>
      </c>
    </row>
    <row r="162" spans="2:35" x14ac:dyDescent="0.15">
      <c r="B162" s="1" t="str">
        <f t="shared" si="39"/>
        <v>龙系61</v>
      </c>
      <c r="C162" s="1">
        <f t="shared" si="29"/>
        <v>61</v>
      </c>
      <c r="D162" s="14" t="s">
        <v>91</v>
      </c>
      <c r="E162" s="14">
        <f t="shared" si="30"/>
        <v>2</v>
      </c>
      <c r="F162" s="1" t="str">
        <f t="shared" si="37"/>
        <v>火炎</v>
      </c>
      <c r="H162" s="1">
        <f t="shared" ca="1" si="38"/>
        <v>2578.8773941394138</v>
      </c>
      <c r="I162" s="1">
        <f t="shared" ca="1" si="45"/>
        <v>100</v>
      </c>
      <c r="J162" s="1">
        <f t="shared" ca="1" si="45"/>
        <v>1377.837500000001</v>
      </c>
      <c r="K162" s="1">
        <f t="shared" ca="1" si="45"/>
        <v>86.417175</v>
      </c>
      <c r="L162" s="1">
        <f t="shared" ca="1" si="45"/>
        <v>918.55833333333396</v>
      </c>
      <c r="M162" s="1">
        <f t="shared" ca="1" si="45"/>
        <v>86.417175</v>
      </c>
      <c r="N162" s="1">
        <f t="shared" ca="1" si="45"/>
        <v>0.2</v>
      </c>
      <c r="O162" s="1">
        <f t="shared" ca="1" si="45"/>
        <v>0.2</v>
      </c>
      <c r="P162" s="1">
        <f t="shared" ca="1" si="45"/>
        <v>0.36</v>
      </c>
      <c r="Q162" s="1">
        <f t="shared" ca="1" si="45"/>
        <v>0.1</v>
      </c>
      <c r="R162" s="1">
        <f t="shared" ca="1" si="45"/>
        <v>3</v>
      </c>
      <c r="S162" s="1">
        <f t="shared" ca="1" si="46"/>
        <v>0.1</v>
      </c>
      <c r="T162" s="1">
        <f t="shared" ca="1" si="46"/>
        <v>0.9</v>
      </c>
      <c r="U162" s="1">
        <f t="shared" ca="1" si="46"/>
        <v>117.933333333333</v>
      </c>
      <c r="V162" s="1">
        <f t="shared" ca="1" si="46"/>
        <v>0</v>
      </c>
      <c r="W162" s="1">
        <f t="shared" ca="1" si="46"/>
        <v>0</v>
      </c>
      <c r="X162" s="1">
        <f t="shared" ca="1" si="46"/>
        <v>0</v>
      </c>
      <c r="Y162" s="1">
        <f t="shared" ca="1" si="46"/>
        <v>403.10833333333397</v>
      </c>
      <c r="Z162" s="1">
        <f t="shared" ca="1" si="46"/>
        <v>0</v>
      </c>
      <c r="AA162" s="1">
        <f t="shared" ca="1" si="46"/>
        <v>0</v>
      </c>
      <c r="AB162" s="1">
        <f t="shared" ca="1" si="46"/>
        <v>0</v>
      </c>
      <c r="AC162" s="1">
        <f t="shared" ca="1" si="46"/>
        <v>86.417175</v>
      </c>
      <c r="AD162" s="1">
        <f t="shared" ca="1" si="46"/>
        <v>86.417175</v>
      </c>
      <c r="AE162" s="1">
        <f t="shared" ca="1" si="46"/>
        <v>86.417175</v>
      </c>
      <c r="AF162" s="1">
        <f t="shared" ca="1" si="46"/>
        <v>112.34232750000001</v>
      </c>
      <c r="AG162" s="1">
        <f t="shared" ca="1" si="46"/>
        <v>86.417175</v>
      </c>
      <c r="AH162" s="1">
        <f t="shared" ca="1" si="46"/>
        <v>86.417175</v>
      </c>
      <c r="AI162" s="1">
        <f t="shared" ca="1" si="44"/>
        <v>86.417175</v>
      </c>
    </row>
    <row r="163" spans="2:35" x14ac:dyDescent="0.15">
      <c r="B163" s="1" t="str">
        <f t="shared" si="39"/>
        <v>龙系62</v>
      </c>
      <c r="C163" s="1">
        <f t="shared" si="29"/>
        <v>62</v>
      </c>
      <c r="D163" s="14" t="s">
        <v>91</v>
      </c>
      <c r="E163" s="14">
        <f t="shared" si="30"/>
        <v>2</v>
      </c>
      <c r="F163" s="1" t="str">
        <f t="shared" si="37"/>
        <v>火炎</v>
      </c>
      <c r="H163" s="1">
        <f t="shared" ca="1" si="38"/>
        <v>2633.6357587924977</v>
      </c>
      <c r="I163" s="1">
        <f t="shared" ref="I163:R172" ca="1" si="47">mVlookup($C163,monsterBaseDate,I$2,FALSE)*(1+mVlookup($E163,monsterType,I$2,FALSE))</f>
        <v>100</v>
      </c>
      <c r="J163" s="1">
        <f t="shared" ca="1" si="47"/>
        <v>1412.6670144462287</v>
      </c>
      <c r="K163" s="1">
        <f t="shared" ca="1" si="47"/>
        <v>87.833849999999998</v>
      </c>
      <c r="L163" s="1">
        <f t="shared" ca="1" si="47"/>
        <v>941.77800963081904</v>
      </c>
      <c r="M163" s="1">
        <f t="shared" ca="1" si="47"/>
        <v>87.833849999999998</v>
      </c>
      <c r="N163" s="1">
        <f t="shared" ca="1" si="47"/>
        <v>0.2</v>
      </c>
      <c r="O163" s="1">
        <f t="shared" ca="1" si="47"/>
        <v>0.2</v>
      </c>
      <c r="P163" s="1">
        <f t="shared" ca="1" si="47"/>
        <v>0.36</v>
      </c>
      <c r="Q163" s="1">
        <f t="shared" ca="1" si="47"/>
        <v>0.1</v>
      </c>
      <c r="R163" s="1">
        <f t="shared" ca="1" si="47"/>
        <v>3</v>
      </c>
      <c r="S163" s="1">
        <f t="shared" ref="S163:AH178" ca="1" si="48">mVlookup($C163,monsterBaseDate,S$2,FALSE)*(1+mVlookup($E163,monsterType,S$2,FALSE))</f>
        <v>0.1</v>
      </c>
      <c r="T163" s="1">
        <f t="shared" ca="1" si="48"/>
        <v>0.9</v>
      </c>
      <c r="U163" s="1">
        <f t="shared" ca="1" si="48"/>
        <v>119.866666666667</v>
      </c>
      <c r="V163" s="1">
        <f t="shared" ca="1" si="48"/>
        <v>0</v>
      </c>
      <c r="W163" s="1">
        <f t="shared" ca="1" si="48"/>
        <v>0</v>
      </c>
      <c r="X163" s="1">
        <f t="shared" ca="1" si="48"/>
        <v>0</v>
      </c>
      <c r="Y163" s="1">
        <f t="shared" ca="1" si="48"/>
        <v>423.11765650080298</v>
      </c>
      <c r="Z163" s="1">
        <f t="shared" ca="1" si="48"/>
        <v>0</v>
      </c>
      <c r="AA163" s="1">
        <f t="shared" ca="1" si="48"/>
        <v>0</v>
      </c>
      <c r="AB163" s="1">
        <f t="shared" ca="1" si="46"/>
        <v>0</v>
      </c>
      <c r="AC163" s="1">
        <f t="shared" ca="1" si="48"/>
        <v>87.833849999999998</v>
      </c>
      <c r="AD163" s="1">
        <f t="shared" ca="1" si="48"/>
        <v>87.833849999999998</v>
      </c>
      <c r="AE163" s="1">
        <f t="shared" ca="1" si="48"/>
        <v>87.833849999999998</v>
      </c>
      <c r="AF163" s="1">
        <f t="shared" ca="1" si="48"/>
        <v>114.184005</v>
      </c>
      <c r="AG163" s="1">
        <f t="shared" ca="1" si="48"/>
        <v>87.833849999999998</v>
      </c>
      <c r="AH163" s="1">
        <f t="shared" ca="1" si="48"/>
        <v>87.833849999999998</v>
      </c>
      <c r="AI163" s="1">
        <f t="shared" ca="1" si="44"/>
        <v>87.833849999999998</v>
      </c>
    </row>
    <row r="164" spans="2:35" x14ac:dyDescent="0.15">
      <c r="B164" s="1" t="str">
        <f t="shared" si="39"/>
        <v>龙系63</v>
      </c>
      <c r="C164" s="1">
        <f t="shared" si="29"/>
        <v>63</v>
      </c>
      <c r="D164" s="14" t="s">
        <v>91</v>
      </c>
      <c r="E164" s="14">
        <f t="shared" si="30"/>
        <v>2</v>
      </c>
      <c r="F164" s="1" t="str">
        <f t="shared" si="37"/>
        <v>火炎</v>
      </c>
      <c r="H164" s="1">
        <f t="shared" ca="1" si="38"/>
        <v>2688.7967584797839</v>
      </c>
      <c r="I164" s="1">
        <f t="shared" ca="1" si="47"/>
        <v>100</v>
      </c>
      <c r="J164" s="1">
        <f t="shared" ca="1" si="47"/>
        <v>1448.0744318181826</v>
      </c>
      <c r="K164" s="1">
        <f t="shared" ca="1" si="47"/>
        <v>89.250524999999996</v>
      </c>
      <c r="L164" s="1">
        <f t="shared" ca="1" si="47"/>
        <v>965.38295454545505</v>
      </c>
      <c r="M164" s="1">
        <f t="shared" ca="1" si="47"/>
        <v>89.250524999999996</v>
      </c>
      <c r="N164" s="1">
        <f t="shared" ca="1" si="47"/>
        <v>0.2</v>
      </c>
      <c r="O164" s="1">
        <f t="shared" ca="1" si="47"/>
        <v>0.2</v>
      </c>
      <c r="P164" s="1">
        <f t="shared" ca="1" si="47"/>
        <v>0.36</v>
      </c>
      <c r="Q164" s="1">
        <f t="shared" ca="1" si="47"/>
        <v>0.1</v>
      </c>
      <c r="R164" s="1">
        <f t="shared" ca="1" si="47"/>
        <v>3</v>
      </c>
      <c r="S164" s="1">
        <f t="shared" ca="1" si="48"/>
        <v>0.1</v>
      </c>
      <c r="T164" s="1">
        <f t="shared" ca="1" si="48"/>
        <v>0.9</v>
      </c>
      <c r="U164" s="1">
        <f t="shared" ca="1" si="48"/>
        <v>121.8</v>
      </c>
      <c r="V164" s="1">
        <f t="shared" ca="1" si="48"/>
        <v>0</v>
      </c>
      <c r="W164" s="1">
        <f t="shared" ca="1" si="48"/>
        <v>0</v>
      </c>
      <c r="X164" s="1">
        <f t="shared" ca="1" si="48"/>
        <v>0</v>
      </c>
      <c r="Y164" s="1">
        <f t="shared" ca="1" si="48"/>
        <v>443.93522727272801</v>
      </c>
      <c r="Z164" s="1">
        <f t="shared" ca="1" si="48"/>
        <v>0</v>
      </c>
      <c r="AA164" s="1">
        <f t="shared" ca="1" si="48"/>
        <v>0</v>
      </c>
      <c r="AB164" s="1">
        <f t="shared" ca="1" si="46"/>
        <v>0</v>
      </c>
      <c r="AC164" s="1">
        <f t="shared" ca="1" si="48"/>
        <v>89.250524999999996</v>
      </c>
      <c r="AD164" s="1">
        <f t="shared" ca="1" si="48"/>
        <v>89.250524999999996</v>
      </c>
      <c r="AE164" s="1">
        <f t="shared" ca="1" si="48"/>
        <v>89.250524999999996</v>
      </c>
      <c r="AF164" s="1">
        <f t="shared" ca="1" si="48"/>
        <v>116.0256825</v>
      </c>
      <c r="AG164" s="1">
        <f t="shared" ca="1" si="48"/>
        <v>89.250524999999996</v>
      </c>
      <c r="AH164" s="1">
        <f t="shared" ca="1" si="48"/>
        <v>89.250524999999996</v>
      </c>
      <c r="AI164" s="1">
        <f t="shared" ca="1" si="44"/>
        <v>89.250524999999996</v>
      </c>
    </row>
    <row r="165" spans="2:35" x14ac:dyDescent="0.15">
      <c r="B165" s="1" t="str">
        <f t="shared" si="39"/>
        <v>龙系64</v>
      </c>
      <c r="C165" s="1">
        <f t="shared" si="29"/>
        <v>64</v>
      </c>
      <c r="D165" s="14" t="s">
        <v>91</v>
      </c>
      <c r="E165" s="14">
        <f t="shared" si="30"/>
        <v>2</v>
      </c>
      <c r="F165" s="1" t="str">
        <f t="shared" si="37"/>
        <v>火炎</v>
      </c>
      <c r="H165" s="1">
        <f t="shared" ca="1" si="38"/>
        <v>2744.3603932012848</v>
      </c>
      <c r="I165" s="1">
        <f t="shared" ca="1" si="47"/>
        <v>100</v>
      </c>
      <c r="J165" s="1">
        <f t="shared" ca="1" si="47"/>
        <v>1484.074876847292</v>
      </c>
      <c r="K165" s="1">
        <f t="shared" ca="1" si="47"/>
        <v>90.667199999999994</v>
      </c>
      <c r="L165" s="1">
        <f t="shared" ca="1" si="47"/>
        <v>989.38325123152799</v>
      </c>
      <c r="M165" s="1">
        <f t="shared" ca="1" si="47"/>
        <v>90.667199999999994</v>
      </c>
      <c r="N165" s="1">
        <f t="shared" ca="1" si="47"/>
        <v>0.2</v>
      </c>
      <c r="O165" s="1">
        <f t="shared" ca="1" si="47"/>
        <v>0.2</v>
      </c>
      <c r="P165" s="1">
        <f t="shared" ca="1" si="47"/>
        <v>0.36</v>
      </c>
      <c r="Q165" s="1">
        <f t="shared" ca="1" si="47"/>
        <v>0.1</v>
      </c>
      <c r="R165" s="1">
        <f t="shared" ca="1" si="47"/>
        <v>3</v>
      </c>
      <c r="S165" s="1">
        <f t="shared" ca="1" si="48"/>
        <v>0.1</v>
      </c>
      <c r="T165" s="1">
        <f t="shared" ca="1" si="48"/>
        <v>0.9</v>
      </c>
      <c r="U165" s="1">
        <f t="shared" ca="1" si="48"/>
        <v>123.73333333333299</v>
      </c>
      <c r="V165" s="1">
        <f t="shared" ca="1" si="48"/>
        <v>0</v>
      </c>
      <c r="W165" s="1">
        <f t="shared" ca="1" si="48"/>
        <v>0</v>
      </c>
      <c r="X165" s="1">
        <f t="shared" ca="1" si="48"/>
        <v>0</v>
      </c>
      <c r="Y165" s="1">
        <f t="shared" ca="1" si="48"/>
        <v>465.59211822660097</v>
      </c>
      <c r="Z165" s="1">
        <f t="shared" ca="1" si="48"/>
        <v>0</v>
      </c>
      <c r="AA165" s="1">
        <f t="shared" ca="1" si="48"/>
        <v>0</v>
      </c>
      <c r="AB165" s="1">
        <f t="shared" ca="1" si="46"/>
        <v>0</v>
      </c>
      <c r="AC165" s="1">
        <f t="shared" ca="1" si="48"/>
        <v>90.667199999999994</v>
      </c>
      <c r="AD165" s="1">
        <f t="shared" ca="1" si="48"/>
        <v>90.667199999999994</v>
      </c>
      <c r="AE165" s="1">
        <f t="shared" ca="1" si="48"/>
        <v>90.667199999999994</v>
      </c>
      <c r="AF165" s="1">
        <f t="shared" ca="1" si="48"/>
        <v>117.86735999999999</v>
      </c>
      <c r="AG165" s="1">
        <f t="shared" ca="1" si="48"/>
        <v>90.667199999999994</v>
      </c>
      <c r="AH165" s="1">
        <f t="shared" ca="1" si="48"/>
        <v>90.667199999999994</v>
      </c>
      <c r="AI165" s="1">
        <f t="shared" ca="1" si="44"/>
        <v>90.667199999999994</v>
      </c>
    </row>
    <row r="166" spans="2:35" x14ac:dyDescent="0.15">
      <c r="B166" s="1" t="str">
        <f t="shared" si="39"/>
        <v>龙系65</v>
      </c>
      <c r="C166" s="1">
        <f t="shared" si="29"/>
        <v>65</v>
      </c>
      <c r="D166" s="14" t="s">
        <v>91</v>
      </c>
      <c r="E166" s="14">
        <f t="shared" si="30"/>
        <v>2</v>
      </c>
      <c r="F166" s="1" t="str">
        <f t="shared" si="37"/>
        <v>火炎</v>
      </c>
      <c r="H166" s="1">
        <f t="shared" ca="1" si="38"/>
        <v>2800.3266629570116</v>
      </c>
      <c r="I166" s="1">
        <f t="shared" ca="1" si="47"/>
        <v>100</v>
      </c>
      <c r="J166" s="1">
        <f t="shared" ca="1" si="47"/>
        <v>1520.6841777408599</v>
      </c>
      <c r="K166" s="1">
        <f t="shared" ca="1" si="47"/>
        <v>92.083875000000006</v>
      </c>
      <c r="L166" s="1">
        <f t="shared" ca="1" si="47"/>
        <v>1013.78945182724</v>
      </c>
      <c r="M166" s="1">
        <f t="shared" ca="1" si="47"/>
        <v>92.083875000000006</v>
      </c>
      <c r="N166" s="1">
        <f t="shared" ca="1" si="47"/>
        <v>0.2</v>
      </c>
      <c r="O166" s="1">
        <f t="shared" ca="1" si="47"/>
        <v>0.2</v>
      </c>
      <c r="P166" s="1">
        <f t="shared" ca="1" si="47"/>
        <v>0.36</v>
      </c>
      <c r="Q166" s="1">
        <f t="shared" ca="1" si="47"/>
        <v>0.1</v>
      </c>
      <c r="R166" s="1">
        <f t="shared" ca="1" si="47"/>
        <v>3</v>
      </c>
      <c r="S166" s="1">
        <f t="shared" ca="1" si="48"/>
        <v>0.1</v>
      </c>
      <c r="T166" s="1">
        <f t="shared" ca="1" si="48"/>
        <v>0.9</v>
      </c>
      <c r="U166" s="1">
        <f t="shared" ca="1" si="48"/>
        <v>125.666666666667</v>
      </c>
      <c r="V166" s="1">
        <f t="shared" ca="1" si="48"/>
        <v>0</v>
      </c>
      <c r="W166" s="1">
        <f t="shared" ca="1" si="48"/>
        <v>0</v>
      </c>
      <c r="X166" s="1">
        <f t="shared" ca="1" si="48"/>
        <v>0</v>
      </c>
      <c r="Y166" s="1">
        <f t="shared" ca="1" si="48"/>
        <v>488.12084717608002</v>
      </c>
      <c r="Z166" s="1">
        <f t="shared" ca="1" si="48"/>
        <v>0</v>
      </c>
      <c r="AA166" s="1">
        <f t="shared" ca="1" si="48"/>
        <v>0</v>
      </c>
      <c r="AB166" s="1">
        <f t="shared" ca="1" si="46"/>
        <v>0</v>
      </c>
      <c r="AC166" s="1">
        <f t="shared" ca="1" si="48"/>
        <v>92.083875000000006</v>
      </c>
      <c r="AD166" s="1">
        <f t="shared" ca="1" si="48"/>
        <v>92.083875000000006</v>
      </c>
      <c r="AE166" s="1">
        <f t="shared" ca="1" si="48"/>
        <v>92.083875000000006</v>
      </c>
      <c r="AF166" s="1">
        <f t="shared" ca="1" si="48"/>
        <v>119.70903750000001</v>
      </c>
      <c r="AG166" s="1">
        <f t="shared" ca="1" si="48"/>
        <v>92.083875000000006</v>
      </c>
      <c r="AH166" s="1">
        <f t="shared" ca="1" si="48"/>
        <v>92.083875000000006</v>
      </c>
      <c r="AI166" s="1">
        <f t="shared" ca="1" si="44"/>
        <v>92.083875000000006</v>
      </c>
    </row>
    <row r="167" spans="2:35" x14ac:dyDescent="0.15">
      <c r="B167" s="1" t="str">
        <f t="shared" si="39"/>
        <v>龙系66</v>
      </c>
      <c r="C167" s="1">
        <f t="shared" ref="C167:C230" si="49">C68</f>
        <v>66</v>
      </c>
      <c r="D167" s="14" t="s">
        <v>91</v>
      </c>
      <c r="E167" s="14">
        <f t="shared" ref="E167:E230" si="50">E68+1</f>
        <v>2</v>
      </c>
      <c r="F167" s="1" t="str">
        <f t="shared" si="37"/>
        <v>火炎</v>
      </c>
      <c r="H167" s="1">
        <f t="shared" ca="1" si="38"/>
        <v>2856.6955677469405</v>
      </c>
      <c r="I167" s="1">
        <f t="shared" ca="1" si="47"/>
        <v>100</v>
      </c>
      <c r="J167" s="1">
        <f t="shared" ca="1" si="47"/>
        <v>1557.9189075630302</v>
      </c>
      <c r="K167" s="1">
        <f t="shared" ca="1" si="47"/>
        <v>93.500550000000004</v>
      </c>
      <c r="L167" s="1">
        <f t="shared" ca="1" si="47"/>
        <v>1038.61260504202</v>
      </c>
      <c r="M167" s="1">
        <f t="shared" ca="1" si="47"/>
        <v>93.500550000000004</v>
      </c>
      <c r="N167" s="1">
        <f t="shared" ca="1" si="47"/>
        <v>0.2</v>
      </c>
      <c r="O167" s="1">
        <f t="shared" ca="1" si="47"/>
        <v>0.2</v>
      </c>
      <c r="P167" s="1">
        <f t="shared" ca="1" si="47"/>
        <v>0.36</v>
      </c>
      <c r="Q167" s="1">
        <f t="shared" ca="1" si="47"/>
        <v>0.1</v>
      </c>
      <c r="R167" s="1">
        <f t="shared" ca="1" si="47"/>
        <v>3</v>
      </c>
      <c r="S167" s="1">
        <f t="shared" ca="1" si="48"/>
        <v>0.1</v>
      </c>
      <c r="T167" s="1">
        <f t="shared" ca="1" si="48"/>
        <v>0.9</v>
      </c>
      <c r="U167" s="1">
        <f t="shared" ca="1" si="48"/>
        <v>127.6</v>
      </c>
      <c r="V167" s="1">
        <f t="shared" ca="1" si="48"/>
        <v>0</v>
      </c>
      <c r="W167" s="1">
        <f t="shared" ca="1" si="48"/>
        <v>0</v>
      </c>
      <c r="X167" s="1">
        <f t="shared" ca="1" si="48"/>
        <v>0</v>
      </c>
      <c r="Y167" s="1">
        <f t="shared" ca="1" si="48"/>
        <v>511.55546218487399</v>
      </c>
      <c r="Z167" s="1">
        <f t="shared" ca="1" si="48"/>
        <v>0</v>
      </c>
      <c r="AA167" s="1">
        <f t="shared" ca="1" si="48"/>
        <v>0</v>
      </c>
      <c r="AB167" s="1">
        <f t="shared" ca="1" si="46"/>
        <v>0</v>
      </c>
      <c r="AC167" s="1">
        <f t="shared" ca="1" si="48"/>
        <v>93.500550000000004</v>
      </c>
      <c r="AD167" s="1">
        <f t="shared" ca="1" si="48"/>
        <v>93.500550000000004</v>
      </c>
      <c r="AE167" s="1">
        <f t="shared" ca="1" si="48"/>
        <v>93.500550000000004</v>
      </c>
      <c r="AF167" s="1">
        <f t="shared" ca="1" si="48"/>
        <v>121.55071500000001</v>
      </c>
      <c r="AG167" s="1">
        <f t="shared" ca="1" si="48"/>
        <v>93.500550000000004</v>
      </c>
      <c r="AH167" s="1">
        <f t="shared" ca="1" si="48"/>
        <v>93.500550000000004</v>
      </c>
      <c r="AI167" s="1">
        <f t="shared" ca="1" si="44"/>
        <v>93.500550000000004</v>
      </c>
    </row>
    <row r="168" spans="2:35" x14ac:dyDescent="0.15">
      <c r="B168" s="1" t="str">
        <f t="shared" si="39"/>
        <v>龙系67</v>
      </c>
      <c r="C168" s="1">
        <f t="shared" si="49"/>
        <v>67</v>
      </c>
      <c r="D168" s="14" t="s">
        <v>91</v>
      </c>
      <c r="E168" s="14">
        <f t="shared" si="50"/>
        <v>2</v>
      </c>
      <c r="F168" s="1" t="str">
        <f t="shared" si="37"/>
        <v>火炎</v>
      </c>
      <c r="H168" s="1">
        <f t="shared" ca="1" si="38"/>
        <v>3066.9573305336407</v>
      </c>
      <c r="I168" s="1">
        <f t="shared" ca="1" si="47"/>
        <v>100</v>
      </c>
      <c r="J168" s="1">
        <f t="shared" ca="1" si="47"/>
        <v>1595.7964285714349</v>
      </c>
      <c r="K168" s="1">
        <f t="shared" ca="1" si="47"/>
        <v>94.917225000000002</v>
      </c>
      <c r="L168" s="1">
        <f t="shared" ca="1" si="47"/>
        <v>1063.86428571429</v>
      </c>
      <c r="M168" s="1">
        <f t="shared" ca="1" si="47"/>
        <v>94.917225000000002</v>
      </c>
      <c r="N168" s="1">
        <f t="shared" ca="1" si="47"/>
        <v>0.2</v>
      </c>
      <c r="O168" s="1">
        <f t="shared" ca="1" si="47"/>
        <v>0.2</v>
      </c>
      <c r="P168" s="1">
        <f t="shared" ca="1" si="47"/>
        <v>0.36</v>
      </c>
      <c r="Q168" s="1">
        <f t="shared" ca="1" si="47"/>
        <v>0.1</v>
      </c>
      <c r="R168" s="1">
        <f t="shared" ca="1" si="47"/>
        <v>3</v>
      </c>
      <c r="S168" s="1">
        <f t="shared" ca="1" si="48"/>
        <v>0.1</v>
      </c>
      <c r="T168" s="1">
        <f t="shared" ca="1" si="48"/>
        <v>0.9</v>
      </c>
      <c r="U168" s="1">
        <f t="shared" ca="1" si="48"/>
        <v>129.53333333333299</v>
      </c>
      <c r="V168" s="1">
        <f t="shared" ca="1" si="48"/>
        <v>0</v>
      </c>
      <c r="W168" s="1">
        <f t="shared" ca="1" si="48"/>
        <v>0</v>
      </c>
      <c r="X168" s="1">
        <f t="shared" ca="1" si="48"/>
        <v>0</v>
      </c>
      <c r="Y168" s="1">
        <f t="shared" ca="1" si="48"/>
        <v>535.93163265306202</v>
      </c>
      <c r="Z168" s="1">
        <f t="shared" ca="1" si="48"/>
        <v>0</v>
      </c>
      <c r="AA168" s="1">
        <f t="shared" ca="1" si="48"/>
        <v>0</v>
      </c>
      <c r="AB168" s="1">
        <f t="shared" ca="1" si="46"/>
        <v>0</v>
      </c>
      <c r="AC168" s="1">
        <f t="shared" ca="1" si="48"/>
        <v>94.917225000000002</v>
      </c>
      <c r="AD168" s="1">
        <f t="shared" ca="1" si="48"/>
        <v>94.917225000000002</v>
      </c>
      <c r="AE168" s="1">
        <f t="shared" ca="1" si="48"/>
        <v>94.917225000000002</v>
      </c>
      <c r="AF168" s="1">
        <f t="shared" ca="1" si="48"/>
        <v>123.3923925</v>
      </c>
      <c r="AG168" s="1">
        <f t="shared" ca="1" si="48"/>
        <v>94.917225000000002</v>
      </c>
      <c r="AH168" s="1">
        <f t="shared" ca="1" si="48"/>
        <v>94.917225000000002</v>
      </c>
      <c r="AI168" s="1">
        <f t="shared" ca="1" si="44"/>
        <v>94.917225000000002</v>
      </c>
    </row>
    <row r="169" spans="2:35" x14ac:dyDescent="0.15">
      <c r="B169" s="1" t="str">
        <f t="shared" si="39"/>
        <v>龙系68</v>
      </c>
      <c r="C169" s="1">
        <f t="shared" si="49"/>
        <v>68</v>
      </c>
      <c r="D169" s="14" t="s">
        <v>91</v>
      </c>
      <c r="E169" s="14">
        <f t="shared" si="50"/>
        <v>2</v>
      </c>
      <c r="F169" s="1" t="str">
        <f t="shared" si="37"/>
        <v>火炎</v>
      </c>
      <c r="H169" s="1">
        <f t="shared" ca="1" si="38"/>
        <v>3127.1436131394707</v>
      </c>
      <c r="I169" s="1">
        <f t="shared" ca="1" si="47"/>
        <v>100</v>
      </c>
      <c r="J169" s="1">
        <f t="shared" ca="1" si="47"/>
        <v>1634.33493975903</v>
      </c>
      <c r="K169" s="1">
        <f t="shared" ca="1" si="47"/>
        <v>96.3339</v>
      </c>
      <c r="L169" s="1">
        <f t="shared" ca="1" si="47"/>
        <v>1089.5566265060199</v>
      </c>
      <c r="M169" s="1">
        <f t="shared" ca="1" si="47"/>
        <v>96.3339</v>
      </c>
      <c r="N169" s="1">
        <f t="shared" ca="1" si="47"/>
        <v>0.2</v>
      </c>
      <c r="O169" s="1">
        <f t="shared" ca="1" si="47"/>
        <v>0.2</v>
      </c>
      <c r="P169" s="1">
        <f t="shared" ca="1" si="47"/>
        <v>0.36</v>
      </c>
      <c r="Q169" s="1">
        <f t="shared" ca="1" si="47"/>
        <v>0.1</v>
      </c>
      <c r="R169" s="1">
        <f t="shared" ca="1" si="47"/>
        <v>3</v>
      </c>
      <c r="S169" s="1">
        <f t="shared" ca="1" si="48"/>
        <v>0.1</v>
      </c>
      <c r="T169" s="1">
        <f t="shared" ca="1" si="48"/>
        <v>0.9</v>
      </c>
      <c r="U169" s="1">
        <f t="shared" ca="1" si="48"/>
        <v>131.46666666666701</v>
      </c>
      <c r="V169" s="1">
        <f t="shared" ca="1" si="48"/>
        <v>0</v>
      </c>
      <c r="W169" s="1">
        <f t="shared" ca="1" si="48"/>
        <v>0</v>
      </c>
      <c r="X169" s="1">
        <f t="shared" ca="1" si="48"/>
        <v>0</v>
      </c>
      <c r="Y169" s="1">
        <f t="shared" ca="1" si="48"/>
        <v>561.28674698795203</v>
      </c>
      <c r="Z169" s="1">
        <f t="shared" ca="1" si="48"/>
        <v>0</v>
      </c>
      <c r="AA169" s="1">
        <f t="shared" ca="1" si="48"/>
        <v>0</v>
      </c>
      <c r="AB169" s="1">
        <f t="shared" ca="1" si="48"/>
        <v>0</v>
      </c>
      <c r="AC169" s="1">
        <f t="shared" ca="1" si="48"/>
        <v>96.3339</v>
      </c>
      <c r="AD169" s="1">
        <f t="shared" ca="1" si="48"/>
        <v>96.3339</v>
      </c>
      <c r="AE169" s="1">
        <f t="shared" ca="1" si="48"/>
        <v>96.3339</v>
      </c>
      <c r="AF169" s="1">
        <f t="shared" ca="1" si="48"/>
        <v>125.23407</v>
      </c>
      <c r="AG169" s="1">
        <f t="shared" ca="1" si="48"/>
        <v>96.3339</v>
      </c>
      <c r="AH169" s="1">
        <f t="shared" ca="1" si="48"/>
        <v>96.3339</v>
      </c>
      <c r="AI169" s="1">
        <f t="shared" ca="1" si="44"/>
        <v>96.3339</v>
      </c>
    </row>
    <row r="170" spans="2:35" x14ac:dyDescent="0.15">
      <c r="B170" s="1" t="str">
        <f t="shared" si="39"/>
        <v>龙系69</v>
      </c>
      <c r="C170" s="1">
        <f t="shared" si="49"/>
        <v>69</v>
      </c>
      <c r="D170" s="14" t="s">
        <v>91</v>
      </c>
      <c r="E170" s="14">
        <f t="shared" si="50"/>
        <v>2</v>
      </c>
      <c r="F170" s="1" t="str">
        <f t="shared" si="37"/>
        <v>火炎</v>
      </c>
      <c r="H170" s="1">
        <f t="shared" ca="1" si="38"/>
        <v>3187.7537428059022</v>
      </c>
      <c r="I170" s="1">
        <f t="shared" ca="1" si="47"/>
        <v>100</v>
      </c>
      <c r="J170" s="1">
        <f t="shared" ca="1" si="47"/>
        <v>1673.5535278745699</v>
      </c>
      <c r="K170" s="1">
        <f t="shared" ca="1" si="47"/>
        <v>97.750574999999998</v>
      </c>
      <c r="L170" s="1">
        <f t="shared" ca="1" si="47"/>
        <v>1115.7023519163799</v>
      </c>
      <c r="M170" s="1">
        <f t="shared" ca="1" si="47"/>
        <v>97.750574999999998</v>
      </c>
      <c r="N170" s="1">
        <f t="shared" ca="1" si="47"/>
        <v>0.2</v>
      </c>
      <c r="O170" s="1">
        <f t="shared" ca="1" si="47"/>
        <v>0.2</v>
      </c>
      <c r="P170" s="1">
        <f t="shared" ca="1" si="47"/>
        <v>0.36</v>
      </c>
      <c r="Q170" s="1">
        <f t="shared" ca="1" si="47"/>
        <v>0.1</v>
      </c>
      <c r="R170" s="1">
        <f t="shared" ca="1" si="47"/>
        <v>3</v>
      </c>
      <c r="S170" s="1">
        <f t="shared" ca="1" si="48"/>
        <v>0.1</v>
      </c>
      <c r="T170" s="1">
        <f t="shared" ca="1" si="48"/>
        <v>0.9</v>
      </c>
      <c r="U170" s="1">
        <f t="shared" ca="1" si="48"/>
        <v>133.4</v>
      </c>
      <c r="V170" s="1">
        <f t="shared" ca="1" si="48"/>
        <v>0</v>
      </c>
      <c r="W170" s="1">
        <f t="shared" ca="1" si="48"/>
        <v>0</v>
      </c>
      <c r="X170" s="1">
        <f t="shared" ca="1" si="48"/>
        <v>0</v>
      </c>
      <c r="Y170" s="1">
        <f t="shared" ca="1" si="48"/>
        <v>587.66001742160302</v>
      </c>
      <c r="Z170" s="1">
        <f t="shared" ca="1" si="48"/>
        <v>0</v>
      </c>
      <c r="AA170" s="1">
        <f t="shared" ca="1" si="48"/>
        <v>0</v>
      </c>
      <c r="AB170" s="1">
        <f t="shared" ca="1" si="48"/>
        <v>0</v>
      </c>
      <c r="AC170" s="1">
        <f t="shared" ca="1" si="48"/>
        <v>97.750574999999998</v>
      </c>
      <c r="AD170" s="1">
        <f t="shared" ca="1" si="48"/>
        <v>97.750574999999998</v>
      </c>
      <c r="AE170" s="1">
        <f t="shared" ca="1" si="48"/>
        <v>97.750574999999998</v>
      </c>
      <c r="AF170" s="1">
        <f t="shared" ca="1" si="48"/>
        <v>127.07574750000001</v>
      </c>
      <c r="AG170" s="1">
        <f t="shared" ca="1" si="48"/>
        <v>97.750574999999998</v>
      </c>
      <c r="AH170" s="1">
        <f t="shared" ca="1" si="48"/>
        <v>97.750574999999998</v>
      </c>
      <c r="AI170" s="1">
        <f t="shared" ca="1" si="44"/>
        <v>97.750574999999998</v>
      </c>
    </row>
    <row r="171" spans="2:35" x14ac:dyDescent="0.15">
      <c r="B171" s="1" t="str">
        <f t="shared" si="39"/>
        <v>龙系70</v>
      </c>
      <c r="C171" s="1">
        <f t="shared" si="49"/>
        <v>70</v>
      </c>
      <c r="D171" s="14" t="s">
        <v>91</v>
      </c>
      <c r="E171" s="14">
        <f t="shared" si="50"/>
        <v>2</v>
      </c>
      <c r="F171" s="1" t="str">
        <f t="shared" si="37"/>
        <v>火炎</v>
      </c>
      <c r="H171" s="1">
        <f t="shared" ca="1" si="38"/>
        <v>3248.7877195329329</v>
      </c>
      <c r="I171" s="1">
        <f t="shared" ca="1" si="47"/>
        <v>100</v>
      </c>
      <c r="J171" s="1">
        <f t="shared" ca="1" si="47"/>
        <v>1713.4722222222299</v>
      </c>
      <c r="K171" s="1">
        <f t="shared" ca="1" si="47"/>
        <v>99.167249999999996</v>
      </c>
      <c r="L171" s="1">
        <f t="shared" ca="1" si="47"/>
        <v>1142.31481481482</v>
      </c>
      <c r="M171" s="1">
        <f t="shared" ca="1" si="47"/>
        <v>99.167249999999996</v>
      </c>
      <c r="N171" s="1">
        <f t="shared" ca="1" si="47"/>
        <v>0.2</v>
      </c>
      <c r="O171" s="1">
        <f t="shared" ca="1" si="47"/>
        <v>0.2</v>
      </c>
      <c r="P171" s="1">
        <f t="shared" ca="1" si="47"/>
        <v>0.36</v>
      </c>
      <c r="Q171" s="1">
        <f t="shared" ca="1" si="47"/>
        <v>0.1</v>
      </c>
      <c r="R171" s="1">
        <f t="shared" ca="1" si="47"/>
        <v>3</v>
      </c>
      <c r="S171" s="1">
        <f t="shared" ca="1" si="48"/>
        <v>0.1</v>
      </c>
      <c r="T171" s="1">
        <f t="shared" ca="1" si="48"/>
        <v>0.9</v>
      </c>
      <c r="U171" s="1">
        <f t="shared" ca="1" si="48"/>
        <v>135.333333333333</v>
      </c>
      <c r="V171" s="1">
        <f t="shared" ca="1" si="48"/>
        <v>0</v>
      </c>
      <c r="W171" s="1">
        <f t="shared" ca="1" si="48"/>
        <v>0</v>
      </c>
      <c r="X171" s="1">
        <f t="shared" ca="1" si="48"/>
        <v>0</v>
      </c>
      <c r="Y171" s="1">
        <f t="shared" ca="1" si="48"/>
        <v>615.09259259259295</v>
      </c>
      <c r="Z171" s="1">
        <f t="shared" ca="1" si="48"/>
        <v>0</v>
      </c>
      <c r="AA171" s="1">
        <f t="shared" ca="1" si="48"/>
        <v>0</v>
      </c>
      <c r="AB171" s="1">
        <f t="shared" ca="1" si="48"/>
        <v>0</v>
      </c>
      <c r="AC171" s="1">
        <f t="shared" ca="1" si="48"/>
        <v>99.167249999999996</v>
      </c>
      <c r="AD171" s="1">
        <f t="shared" ca="1" si="48"/>
        <v>99.167249999999996</v>
      </c>
      <c r="AE171" s="1">
        <f t="shared" ca="1" si="48"/>
        <v>99.167249999999996</v>
      </c>
      <c r="AF171" s="1">
        <f t="shared" ca="1" si="48"/>
        <v>128.91742500000001</v>
      </c>
      <c r="AG171" s="1">
        <f t="shared" ca="1" si="48"/>
        <v>99.167249999999996</v>
      </c>
      <c r="AH171" s="1">
        <f t="shared" ca="1" si="48"/>
        <v>99.167249999999996</v>
      </c>
      <c r="AI171" s="1">
        <f t="shared" ca="1" si="44"/>
        <v>99.167249999999996</v>
      </c>
    </row>
    <row r="172" spans="2:35" x14ac:dyDescent="0.15">
      <c r="B172" s="1" t="str">
        <f t="shared" si="39"/>
        <v>龙系71</v>
      </c>
      <c r="C172" s="1">
        <f t="shared" si="49"/>
        <v>71</v>
      </c>
      <c r="D172" s="14" t="s">
        <v>91</v>
      </c>
      <c r="E172" s="14">
        <f t="shared" si="50"/>
        <v>2</v>
      </c>
      <c r="F172" s="1" t="str">
        <f t="shared" si="37"/>
        <v>火炎</v>
      </c>
      <c r="H172" s="1">
        <f t="shared" ca="1" si="38"/>
        <v>3310.2455433205769</v>
      </c>
      <c r="I172" s="1">
        <f t="shared" ca="1" si="47"/>
        <v>100</v>
      </c>
      <c r="J172" s="1">
        <f t="shared" ca="1" si="47"/>
        <v>1754.1120535714349</v>
      </c>
      <c r="K172" s="1">
        <f t="shared" ca="1" si="47"/>
        <v>100.58392499999999</v>
      </c>
      <c r="L172" s="1">
        <f t="shared" ca="1" si="47"/>
        <v>1169.40803571429</v>
      </c>
      <c r="M172" s="1">
        <f t="shared" ca="1" si="47"/>
        <v>100.58392499999999</v>
      </c>
      <c r="N172" s="1">
        <f t="shared" ca="1" si="47"/>
        <v>0.2</v>
      </c>
      <c r="O172" s="1">
        <f t="shared" ca="1" si="47"/>
        <v>0.2</v>
      </c>
      <c r="P172" s="1">
        <f t="shared" ca="1" si="47"/>
        <v>0.36</v>
      </c>
      <c r="Q172" s="1">
        <f t="shared" ca="1" si="47"/>
        <v>0.1</v>
      </c>
      <c r="R172" s="1">
        <f t="shared" ca="1" si="47"/>
        <v>3</v>
      </c>
      <c r="S172" s="1">
        <f t="shared" ca="1" si="48"/>
        <v>0.1</v>
      </c>
      <c r="T172" s="1">
        <f t="shared" ca="1" si="48"/>
        <v>0.9</v>
      </c>
      <c r="U172" s="1">
        <f t="shared" ca="1" si="48"/>
        <v>137.26666666666699</v>
      </c>
      <c r="V172" s="1">
        <f t="shared" ca="1" si="48"/>
        <v>0</v>
      </c>
      <c r="W172" s="1">
        <f t="shared" ca="1" si="48"/>
        <v>0</v>
      </c>
      <c r="X172" s="1">
        <f t="shared" ca="1" si="48"/>
        <v>0</v>
      </c>
      <c r="Y172" s="1">
        <f t="shared" ca="1" si="48"/>
        <v>643.62767857142899</v>
      </c>
      <c r="Z172" s="1">
        <f t="shared" ca="1" si="48"/>
        <v>0</v>
      </c>
      <c r="AA172" s="1">
        <f t="shared" ca="1" si="48"/>
        <v>0</v>
      </c>
      <c r="AB172" s="1">
        <f t="shared" ca="1" si="48"/>
        <v>0</v>
      </c>
      <c r="AC172" s="1">
        <f t="shared" ca="1" si="48"/>
        <v>100.58392499999999</v>
      </c>
      <c r="AD172" s="1">
        <f t="shared" ca="1" si="48"/>
        <v>100.58392499999999</v>
      </c>
      <c r="AE172" s="1">
        <f t="shared" ca="1" si="48"/>
        <v>100.58392499999999</v>
      </c>
      <c r="AF172" s="1">
        <f t="shared" ca="1" si="48"/>
        <v>130.75910249999998</v>
      </c>
      <c r="AG172" s="1">
        <f t="shared" ca="1" si="48"/>
        <v>100.58392499999999</v>
      </c>
      <c r="AH172" s="1">
        <f t="shared" ca="1" si="48"/>
        <v>100.58392499999999</v>
      </c>
      <c r="AI172" s="1">
        <f t="shared" ca="1" si="44"/>
        <v>100.58392499999999</v>
      </c>
    </row>
    <row r="173" spans="2:35" x14ac:dyDescent="0.15">
      <c r="B173" s="1" t="str">
        <f t="shared" si="39"/>
        <v>龙系72</v>
      </c>
      <c r="C173" s="1">
        <f t="shared" si="49"/>
        <v>72</v>
      </c>
      <c r="D173" s="14" t="s">
        <v>91</v>
      </c>
      <c r="E173" s="14">
        <f t="shared" si="50"/>
        <v>2</v>
      </c>
      <c r="F173" s="1" t="str">
        <f t="shared" si="37"/>
        <v>火炎</v>
      </c>
      <c r="H173" s="1">
        <f t="shared" ca="1" si="38"/>
        <v>3372.127214168821</v>
      </c>
      <c r="I173" s="1">
        <f t="shared" ref="I173:R182" ca="1" si="51">mVlookup($C173,monsterBaseDate,I$2,FALSE)*(1+mVlookup($E173,monsterType,I$2,FALSE))</f>
        <v>100</v>
      </c>
      <c r="J173" s="1">
        <f t="shared" ca="1" si="51"/>
        <v>1795.495117540695</v>
      </c>
      <c r="K173" s="1">
        <f t="shared" ca="1" si="51"/>
        <v>102.00060000000001</v>
      </c>
      <c r="L173" s="1">
        <f t="shared" ca="1" si="51"/>
        <v>1196.9967450271299</v>
      </c>
      <c r="M173" s="1">
        <f t="shared" ca="1" si="51"/>
        <v>102.00060000000001</v>
      </c>
      <c r="N173" s="1">
        <f t="shared" ca="1" si="51"/>
        <v>0.2</v>
      </c>
      <c r="O173" s="1">
        <f t="shared" ca="1" si="51"/>
        <v>0.2</v>
      </c>
      <c r="P173" s="1">
        <f t="shared" ca="1" si="51"/>
        <v>0.36</v>
      </c>
      <c r="Q173" s="1">
        <f t="shared" ca="1" si="51"/>
        <v>0.1</v>
      </c>
      <c r="R173" s="1">
        <f t="shared" ca="1" si="51"/>
        <v>3</v>
      </c>
      <c r="S173" s="1">
        <f t="shared" ref="S173:AH188" ca="1" si="52">mVlookup($C173,monsterBaseDate,S$2,FALSE)*(1+mVlookup($E173,monsterType,S$2,FALSE))</f>
        <v>0.1</v>
      </c>
      <c r="T173" s="1">
        <f t="shared" ca="1" si="52"/>
        <v>0.9</v>
      </c>
      <c r="U173" s="1">
        <f t="shared" ca="1" si="52"/>
        <v>139.19999999999999</v>
      </c>
      <c r="V173" s="1">
        <f t="shared" ca="1" si="52"/>
        <v>0</v>
      </c>
      <c r="W173" s="1">
        <f t="shared" ca="1" si="52"/>
        <v>0</v>
      </c>
      <c r="X173" s="1">
        <f t="shared" ca="1" si="52"/>
        <v>0</v>
      </c>
      <c r="Y173" s="1">
        <f t="shared" ca="1" si="52"/>
        <v>673.31066907775801</v>
      </c>
      <c r="Z173" s="1">
        <f t="shared" ca="1" si="52"/>
        <v>0</v>
      </c>
      <c r="AA173" s="1">
        <f t="shared" ca="1" si="52"/>
        <v>0</v>
      </c>
      <c r="AB173" s="1">
        <f t="shared" ca="1" si="48"/>
        <v>0</v>
      </c>
      <c r="AC173" s="1">
        <f t="shared" ca="1" si="52"/>
        <v>102.00060000000001</v>
      </c>
      <c r="AD173" s="1">
        <f t="shared" ca="1" si="52"/>
        <v>102.00060000000001</v>
      </c>
      <c r="AE173" s="1">
        <f t="shared" ca="1" si="52"/>
        <v>102.00060000000001</v>
      </c>
      <c r="AF173" s="1">
        <f t="shared" ca="1" si="52"/>
        <v>132.60078000000001</v>
      </c>
      <c r="AG173" s="1">
        <f t="shared" ca="1" si="52"/>
        <v>102.00060000000001</v>
      </c>
      <c r="AH173" s="1">
        <f t="shared" ca="1" si="52"/>
        <v>102.00060000000001</v>
      </c>
      <c r="AI173" s="1">
        <f t="shared" ca="1" si="44"/>
        <v>102.00060000000001</v>
      </c>
    </row>
    <row r="174" spans="2:35" x14ac:dyDescent="0.15">
      <c r="B174" s="1" t="str">
        <f t="shared" si="39"/>
        <v>龙系73</v>
      </c>
      <c r="C174" s="1">
        <f t="shared" si="49"/>
        <v>73</v>
      </c>
      <c r="D174" s="14" t="s">
        <v>91</v>
      </c>
      <c r="E174" s="14">
        <f t="shared" si="50"/>
        <v>2</v>
      </c>
      <c r="F174" s="1" t="str">
        <f t="shared" si="37"/>
        <v>火炎</v>
      </c>
      <c r="H174" s="1">
        <f t="shared" ca="1" si="38"/>
        <v>3434.432732077677</v>
      </c>
      <c r="I174" s="1">
        <f t="shared" ca="1" si="51"/>
        <v>100</v>
      </c>
      <c r="J174" s="1">
        <f t="shared" ca="1" si="51"/>
        <v>1837.6446428571448</v>
      </c>
      <c r="K174" s="1">
        <f t="shared" ca="1" si="51"/>
        <v>103.417275</v>
      </c>
      <c r="L174" s="1">
        <f t="shared" ca="1" si="51"/>
        <v>1225.0964285714299</v>
      </c>
      <c r="M174" s="1">
        <f t="shared" ca="1" si="51"/>
        <v>103.417275</v>
      </c>
      <c r="N174" s="1">
        <f t="shared" ca="1" si="51"/>
        <v>0.2</v>
      </c>
      <c r="O174" s="1">
        <f t="shared" ca="1" si="51"/>
        <v>0.2</v>
      </c>
      <c r="P174" s="1">
        <f t="shared" ca="1" si="51"/>
        <v>0.36</v>
      </c>
      <c r="Q174" s="1">
        <f t="shared" ca="1" si="51"/>
        <v>0.1</v>
      </c>
      <c r="R174" s="1">
        <f t="shared" ca="1" si="51"/>
        <v>3</v>
      </c>
      <c r="S174" s="1">
        <f t="shared" ca="1" si="52"/>
        <v>0.1</v>
      </c>
      <c r="T174" s="1">
        <f t="shared" ca="1" si="52"/>
        <v>0.9</v>
      </c>
      <c r="U174" s="1">
        <f t="shared" ca="1" si="52"/>
        <v>141.13333333333301</v>
      </c>
      <c r="V174" s="1">
        <f t="shared" ca="1" si="52"/>
        <v>0</v>
      </c>
      <c r="W174" s="1">
        <f t="shared" ca="1" si="52"/>
        <v>0</v>
      </c>
      <c r="X174" s="1">
        <f t="shared" ca="1" si="52"/>
        <v>0</v>
      </c>
      <c r="Y174" s="1">
        <f t="shared" ca="1" si="52"/>
        <v>704.18928571428603</v>
      </c>
      <c r="Z174" s="1">
        <f t="shared" ca="1" si="52"/>
        <v>0</v>
      </c>
      <c r="AA174" s="1">
        <f t="shared" ca="1" si="52"/>
        <v>0</v>
      </c>
      <c r="AB174" s="1">
        <f t="shared" ca="1" si="48"/>
        <v>0</v>
      </c>
      <c r="AC174" s="1">
        <f t="shared" ca="1" si="52"/>
        <v>103.417275</v>
      </c>
      <c r="AD174" s="1">
        <f t="shared" ca="1" si="52"/>
        <v>103.417275</v>
      </c>
      <c r="AE174" s="1">
        <f t="shared" ca="1" si="52"/>
        <v>103.417275</v>
      </c>
      <c r="AF174" s="1">
        <f t="shared" ca="1" si="52"/>
        <v>134.44245750000002</v>
      </c>
      <c r="AG174" s="1">
        <f t="shared" ca="1" si="52"/>
        <v>103.417275</v>
      </c>
      <c r="AH174" s="1">
        <f t="shared" ca="1" si="52"/>
        <v>103.417275</v>
      </c>
      <c r="AI174" s="1">
        <f t="shared" ca="1" si="44"/>
        <v>103.417275</v>
      </c>
    </row>
    <row r="175" spans="2:35" x14ac:dyDescent="0.15">
      <c r="B175" s="1" t="str">
        <f t="shared" si="39"/>
        <v>龙系74</v>
      </c>
      <c r="C175" s="1">
        <f t="shared" si="49"/>
        <v>74</v>
      </c>
      <c r="D175" s="14" t="s">
        <v>91</v>
      </c>
      <c r="E175" s="14">
        <f t="shared" si="50"/>
        <v>2</v>
      </c>
      <c r="F175" s="1" t="str">
        <f t="shared" si="37"/>
        <v>火炎</v>
      </c>
      <c r="H175" s="1">
        <f t="shared" ca="1" si="38"/>
        <v>3497.1620970471336</v>
      </c>
      <c r="I175" s="1">
        <f t="shared" ca="1" si="51"/>
        <v>100</v>
      </c>
      <c r="J175" s="1">
        <f t="shared" ca="1" si="51"/>
        <v>1880.58506493507</v>
      </c>
      <c r="K175" s="1">
        <f t="shared" ca="1" si="51"/>
        <v>104.83395</v>
      </c>
      <c r="L175" s="1">
        <f t="shared" ca="1" si="51"/>
        <v>1253.7233766233801</v>
      </c>
      <c r="M175" s="1">
        <f t="shared" ca="1" si="51"/>
        <v>104.83395</v>
      </c>
      <c r="N175" s="1">
        <f t="shared" ca="1" si="51"/>
        <v>0.2</v>
      </c>
      <c r="O175" s="1">
        <f t="shared" ca="1" si="51"/>
        <v>0.2</v>
      </c>
      <c r="P175" s="1">
        <f t="shared" ca="1" si="51"/>
        <v>0.36</v>
      </c>
      <c r="Q175" s="1">
        <f t="shared" ca="1" si="51"/>
        <v>0.1</v>
      </c>
      <c r="R175" s="1">
        <f t="shared" ca="1" si="51"/>
        <v>3</v>
      </c>
      <c r="S175" s="1">
        <f t="shared" ca="1" si="52"/>
        <v>0.1</v>
      </c>
      <c r="T175" s="1">
        <f t="shared" ca="1" si="52"/>
        <v>0.9</v>
      </c>
      <c r="U175" s="1">
        <f t="shared" ca="1" si="52"/>
        <v>143.066666666667</v>
      </c>
      <c r="V175" s="1">
        <f t="shared" ca="1" si="52"/>
        <v>0</v>
      </c>
      <c r="W175" s="1">
        <f t="shared" ca="1" si="52"/>
        <v>0</v>
      </c>
      <c r="X175" s="1">
        <f t="shared" ca="1" si="52"/>
        <v>0</v>
      </c>
      <c r="Y175" s="1">
        <f t="shared" ca="1" si="52"/>
        <v>736.31372912801601</v>
      </c>
      <c r="Z175" s="1">
        <f t="shared" ca="1" si="52"/>
        <v>0</v>
      </c>
      <c r="AA175" s="1">
        <f t="shared" ca="1" si="52"/>
        <v>0</v>
      </c>
      <c r="AB175" s="1">
        <f t="shared" ca="1" si="48"/>
        <v>0</v>
      </c>
      <c r="AC175" s="1">
        <f t="shared" ca="1" si="52"/>
        <v>104.83395</v>
      </c>
      <c r="AD175" s="1">
        <f t="shared" ca="1" si="52"/>
        <v>104.83395</v>
      </c>
      <c r="AE175" s="1">
        <f t="shared" ca="1" si="52"/>
        <v>104.83395</v>
      </c>
      <c r="AF175" s="1">
        <f t="shared" ca="1" si="52"/>
        <v>136.28413500000002</v>
      </c>
      <c r="AG175" s="1">
        <f t="shared" ca="1" si="52"/>
        <v>104.83395</v>
      </c>
      <c r="AH175" s="1">
        <f t="shared" ca="1" si="52"/>
        <v>104.83395</v>
      </c>
      <c r="AI175" s="1">
        <f t="shared" ca="1" si="44"/>
        <v>104.83395</v>
      </c>
    </row>
    <row r="176" spans="2:35" x14ac:dyDescent="0.15">
      <c r="B176" s="1" t="str">
        <f t="shared" si="39"/>
        <v>龙系75</v>
      </c>
      <c r="C176" s="1">
        <f t="shared" si="49"/>
        <v>75</v>
      </c>
      <c r="D176" s="14" t="s">
        <v>91</v>
      </c>
      <c r="E176" s="14">
        <f t="shared" si="50"/>
        <v>2</v>
      </c>
      <c r="F176" s="1" t="str">
        <f t="shared" si="37"/>
        <v>火炎</v>
      </c>
      <c r="H176" s="1">
        <f t="shared" ca="1" si="38"/>
        <v>3560.3153090771907</v>
      </c>
      <c r="I176" s="1">
        <f t="shared" ca="1" si="51"/>
        <v>100</v>
      </c>
      <c r="J176" s="1">
        <f t="shared" ca="1" si="51"/>
        <v>1924.342105263165</v>
      </c>
      <c r="K176" s="1">
        <f t="shared" ca="1" si="51"/>
        <v>106.250625</v>
      </c>
      <c r="L176" s="1">
        <f t="shared" ca="1" si="51"/>
        <v>1282.89473684211</v>
      </c>
      <c r="M176" s="1">
        <f t="shared" ca="1" si="51"/>
        <v>106.250625</v>
      </c>
      <c r="N176" s="1">
        <f t="shared" ca="1" si="51"/>
        <v>0.2</v>
      </c>
      <c r="O176" s="1">
        <f t="shared" ca="1" si="51"/>
        <v>0.2</v>
      </c>
      <c r="P176" s="1">
        <f t="shared" ca="1" si="51"/>
        <v>0.36</v>
      </c>
      <c r="Q176" s="1">
        <f t="shared" ca="1" si="51"/>
        <v>0.1</v>
      </c>
      <c r="R176" s="1">
        <f t="shared" ca="1" si="51"/>
        <v>3</v>
      </c>
      <c r="S176" s="1">
        <f t="shared" ca="1" si="52"/>
        <v>0.1</v>
      </c>
      <c r="T176" s="1">
        <f t="shared" ca="1" si="52"/>
        <v>0.9</v>
      </c>
      <c r="U176" s="1">
        <f t="shared" ca="1" si="52"/>
        <v>145</v>
      </c>
      <c r="V176" s="1">
        <f t="shared" ca="1" si="52"/>
        <v>0</v>
      </c>
      <c r="W176" s="1">
        <f t="shared" ca="1" si="52"/>
        <v>0</v>
      </c>
      <c r="X176" s="1">
        <f t="shared" ca="1" si="52"/>
        <v>0</v>
      </c>
      <c r="Y176" s="1">
        <f t="shared" ca="1" si="52"/>
        <v>769.73684210526403</v>
      </c>
      <c r="Z176" s="1">
        <f t="shared" ca="1" si="52"/>
        <v>0</v>
      </c>
      <c r="AA176" s="1">
        <f t="shared" ca="1" si="52"/>
        <v>0</v>
      </c>
      <c r="AB176" s="1">
        <f t="shared" ca="1" si="48"/>
        <v>0</v>
      </c>
      <c r="AC176" s="1">
        <f t="shared" ca="1" si="52"/>
        <v>106.250625</v>
      </c>
      <c r="AD176" s="1">
        <f t="shared" ca="1" si="52"/>
        <v>106.250625</v>
      </c>
      <c r="AE176" s="1">
        <f t="shared" ca="1" si="52"/>
        <v>106.250625</v>
      </c>
      <c r="AF176" s="1">
        <f t="shared" ca="1" si="52"/>
        <v>138.12581249999999</v>
      </c>
      <c r="AG176" s="1">
        <f t="shared" ca="1" si="52"/>
        <v>106.250625</v>
      </c>
      <c r="AH176" s="1">
        <f t="shared" ca="1" si="52"/>
        <v>106.250625</v>
      </c>
      <c r="AI176" s="1">
        <f t="shared" ca="1" si="44"/>
        <v>106.250625</v>
      </c>
    </row>
    <row r="177" spans="2:35" x14ac:dyDescent="0.15">
      <c r="B177" s="1" t="str">
        <f t="shared" si="39"/>
        <v>龙系76</v>
      </c>
      <c r="C177" s="1">
        <f t="shared" si="49"/>
        <v>76</v>
      </c>
      <c r="D177" s="14" t="s">
        <v>91</v>
      </c>
      <c r="E177" s="14">
        <f t="shared" si="50"/>
        <v>2</v>
      </c>
      <c r="F177" s="1" t="str">
        <f t="shared" si="37"/>
        <v>火炎</v>
      </c>
      <c r="H177" s="1">
        <f t="shared" ca="1" si="38"/>
        <v>3623.8923681678602</v>
      </c>
      <c r="I177" s="1">
        <f t="shared" ca="1" si="51"/>
        <v>100</v>
      </c>
      <c r="J177" s="1">
        <f t="shared" ca="1" si="51"/>
        <v>1968.942857142855</v>
      </c>
      <c r="K177" s="1">
        <f t="shared" ca="1" si="51"/>
        <v>107.6673</v>
      </c>
      <c r="L177" s="1">
        <f t="shared" ca="1" si="51"/>
        <v>1312.62857142857</v>
      </c>
      <c r="M177" s="1">
        <f t="shared" ca="1" si="51"/>
        <v>107.6673</v>
      </c>
      <c r="N177" s="1">
        <f t="shared" ca="1" si="51"/>
        <v>0.2</v>
      </c>
      <c r="O177" s="1">
        <f t="shared" ca="1" si="51"/>
        <v>0.2</v>
      </c>
      <c r="P177" s="1">
        <f t="shared" ca="1" si="51"/>
        <v>0.36</v>
      </c>
      <c r="Q177" s="1">
        <f t="shared" ca="1" si="51"/>
        <v>0.1</v>
      </c>
      <c r="R177" s="1">
        <f t="shared" ca="1" si="51"/>
        <v>3</v>
      </c>
      <c r="S177" s="1">
        <f t="shared" ca="1" si="52"/>
        <v>0.1</v>
      </c>
      <c r="T177" s="1">
        <f t="shared" ca="1" si="52"/>
        <v>0.9</v>
      </c>
      <c r="U177" s="1">
        <f t="shared" ca="1" si="52"/>
        <v>146.933333333333</v>
      </c>
      <c r="V177" s="1">
        <f t="shared" ca="1" si="52"/>
        <v>0</v>
      </c>
      <c r="W177" s="1">
        <f t="shared" ca="1" si="52"/>
        <v>0</v>
      </c>
      <c r="X177" s="1">
        <f t="shared" ca="1" si="52"/>
        <v>0</v>
      </c>
      <c r="Y177" s="1">
        <f t="shared" ca="1" si="52"/>
        <v>804.51428571428596</v>
      </c>
      <c r="Z177" s="1">
        <f t="shared" ca="1" si="52"/>
        <v>0</v>
      </c>
      <c r="AA177" s="1">
        <f t="shared" ca="1" si="52"/>
        <v>0</v>
      </c>
      <c r="AB177" s="1">
        <f t="shared" ca="1" si="48"/>
        <v>0</v>
      </c>
      <c r="AC177" s="1">
        <f t="shared" ca="1" si="52"/>
        <v>107.6673</v>
      </c>
      <c r="AD177" s="1">
        <f t="shared" ca="1" si="52"/>
        <v>107.6673</v>
      </c>
      <c r="AE177" s="1">
        <f t="shared" ca="1" si="52"/>
        <v>107.6673</v>
      </c>
      <c r="AF177" s="1">
        <f t="shared" ca="1" si="52"/>
        <v>139.96749</v>
      </c>
      <c r="AG177" s="1">
        <f t="shared" ca="1" si="52"/>
        <v>107.6673</v>
      </c>
      <c r="AH177" s="1">
        <f t="shared" ca="1" si="52"/>
        <v>107.6673</v>
      </c>
      <c r="AI177" s="1">
        <f t="shared" ca="1" si="44"/>
        <v>107.6673</v>
      </c>
    </row>
    <row r="178" spans="2:35" x14ac:dyDescent="0.15">
      <c r="B178" s="1" t="str">
        <f t="shared" si="39"/>
        <v>龙系77</v>
      </c>
      <c r="C178" s="1">
        <f t="shared" si="49"/>
        <v>77</v>
      </c>
      <c r="D178" s="14" t="s">
        <v>91</v>
      </c>
      <c r="E178" s="14">
        <f t="shared" si="50"/>
        <v>2</v>
      </c>
      <c r="F178" s="1" t="str">
        <f t="shared" si="37"/>
        <v>火炎</v>
      </c>
      <c r="H178" s="1">
        <f t="shared" ca="1" si="38"/>
        <v>3687.8932743191299</v>
      </c>
      <c r="I178" s="1">
        <f t="shared" ca="1" si="51"/>
        <v>100</v>
      </c>
      <c r="J178" s="1">
        <f t="shared" ca="1" si="51"/>
        <v>2014.4158783783801</v>
      </c>
      <c r="K178" s="1">
        <f t="shared" ca="1" si="51"/>
        <v>109.083975</v>
      </c>
      <c r="L178" s="1">
        <f t="shared" ca="1" si="51"/>
        <v>1342.94391891892</v>
      </c>
      <c r="M178" s="1">
        <f t="shared" ca="1" si="51"/>
        <v>109.083975</v>
      </c>
      <c r="N178" s="1">
        <f t="shared" ca="1" si="51"/>
        <v>0.2</v>
      </c>
      <c r="O178" s="1">
        <f t="shared" ca="1" si="51"/>
        <v>0.2</v>
      </c>
      <c r="P178" s="1">
        <f t="shared" ca="1" si="51"/>
        <v>0.36</v>
      </c>
      <c r="Q178" s="1">
        <f t="shared" ca="1" si="51"/>
        <v>0.1</v>
      </c>
      <c r="R178" s="1">
        <f t="shared" ca="1" si="51"/>
        <v>3</v>
      </c>
      <c r="S178" s="1">
        <f t="shared" ca="1" si="52"/>
        <v>0.1</v>
      </c>
      <c r="T178" s="1">
        <f t="shared" ca="1" si="52"/>
        <v>0.9</v>
      </c>
      <c r="U178" s="1">
        <f t="shared" ca="1" si="52"/>
        <v>148.86666666666699</v>
      </c>
      <c r="V178" s="1">
        <f t="shared" ca="1" si="52"/>
        <v>0</v>
      </c>
      <c r="W178" s="1">
        <f t="shared" ca="1" si="52"/>
        <v>0</v>
      </c>
      <c r="X178" s="1">
        <f t="shared" ca="1" si="52"/>
        <v>0</v>
      </c>
      <c r="Y178" s="1">
        <f t="shared" ca="1" si="52"/>
        <v>840.70472972973096</v>
      </c>
      <c r="Z178" s="1">
        <f t="shared" ca="1" si="52"/>
        <v>0</v>
      </c>
      <c r="AA178" s="1">
        <f t="shared" ca="1" si="52"/>
        <v>0</v>
      </c>
      <c r="AB178" s="1">
        <f t="shared" ca="1" si="48"/>
        <v>0</v>
      </c>
      <c r="AC178" s="1">
        <f t="shared" ca="1" si="52"/>
        <v>109.083975</v>
      </c>
      <c r="AD178" s="1">
        <f t="shared" ca="1" si="52"/>
        <v>109.083975</v>
      </c>
      <c r="AE178" s="1">
        <f t="shared" ca="1" si="52"/>
        <v>109.083975</v>
      </c>
      <c r="AF178" s="1">
        <f t="shared" ca="1" si="52"/>
        <v>141.8091675</v>
      </c>
      <c r="AG178" s="1">
        <f t="shared" ca="1" si="52"/>
        <v>109.083975</v>
      </c>
      <c r="AH178" s="1">
        <f t="shared" ca="1" si="52"/>
        <v>109.083975</v>
      </c>
      <c r="AI178" s="1">
        <f t="shared" ca="1" si="44"/>
        <v>109.083975</v>
      </c>
    </row>
    <row r="179" spans="2:35" x14ac:dyDescent="0.15">
      <c r="B179" s="1" t="str">
        <f t="shared" si="39"/>
        <v>龙系78</v>
      </c>
      <c r="C179" s="1">
        <f t="shared" si="49"/>
        <v>78</v>
      </c>
      <c r="D179" s="14" t="s">
        <v>91</v>
      </c>
      <c r="E179" s="14">
        <f t="shared" si="50"/>
        <v>2</v>
      </c>
      <c r="F179" s="1" t="str">
        <f t="shared" si="37"/>
        <v>火炎</v>
      </c>
      <c r="H179" s="1">
        <f t="shared" ca="1" si="38"/>
        <v>3950.6666472138077</v>
      </c>
      <c r="I179" s="1">
        <f t="shared" ca="1" si="51"/>
        <v>100</v>
      </c>
      <c r="J179" s="1">
        <f t="shared" ca="1" si="51"/>
        <v>2060.7912915851252</v>
      </c>
      <c r="K179" s="1">
        <f t="shared" ca="1" si="51"/>
        <v>110.50064999999999</v>
      </c>
      <c r="L179" s="1">
        <f t="shared" ca="1" si="51"/>
        <v>1373.8608610567501</v>
      </c>
      <c r="M179" s="1">
        <f t="shared" ca="1" si="51"/>
        <v>110.50064999999999</v>
      </c>
      <c r="N179" s="1">
        <f t="shared" ca="1" si="51"/>
        <v>0.2</v>
      </c>
      <c r="O179" s="1">
        <f t="shared" ca="1" si="51"/>
        <v>0.2</v>
      </c>
      <c r="P179" s="1">
        <f t="shared" ca="1" si="51"/>
        <v>0.36</v>
      </c>
      <c r="Q179" s="1">
        <f t="shared" ca="1" si="51"/>
        <v>0.1</v>
      </c>
      <c r="R179" s="1">
        <f t="shared" ca="1" si="51"/>
        <v>3</v>
      </c>
      <c r="S179" s="1">
        <f t="shared" ca="1" si="52"/>
        <v>0.1</v>
      </c>
      <c r="T179" s="1">
        <f t="shared" ca="1" si="52"/>
        <v>0.9</v>
      </c>
      <c r="U179" s="1">
        <f t="shared" ca="1" si="52"/>
        <v>150.80000000000001</v>
      </c>
      <c r="V179" s="1">
        <f t="shared" ca="1" si="52"/>
        <v>0</v>
      </c>
      <c r="W179" s="1">
        <f t="shared" ca="1" si="52"/>
        <v>0</v>
      </c>
      <c r="X179" s="1">
        <f t="shared" ca="1" si="52"/>
        <v>0</v>
      </c>
      <c r="Y179" s="1">
        <f t="shared" ca="1" si="52"/>
        <v>878.37005870841597</v>
      </c>
      <c r="Z179" s="1">
        <f t="shared" ca="1" si="52"/>
        <v>0</v>
      </c>
      <c r="AA179" s="1">
        <f t="shared" ca="1" si="52"/>
        <v>0</v>
      </c>
      <c r="AB179" s="1">
        <f t="shared" ca="1" si="52"/>
        <v>0</v>
      </c>
      <c r="AC179" s="1">
        <f t="shared" ca="1" si="52"/>
        <v>110.50064999999999</v>
      </c>
      <c r="AD179" s="1">
        <f t="shared" ca="1" si="52"/>
        <v>110.50064999999999</v>
      </c>
      <c r="AE179" s="1">
        <f t="shared" ca="1" si="52"/>
        <v>110.50064999999999</v>
      </c>
      <c r="AF179" s="1">
        <f t="shared" ca="1" si="52"/>
        <v>143.650845</v>
      </c>
      <c r="AG179" s="1">
        <f t="shared" ca="1" si="52"/>
        <v>110.50064999999999</v>
      </c>
      <c r="AH179" s="1">
        <f t="shared" ca="1" si="52"/>
        <v>110.50064999999999</v>
      </c>
      <c r="AI179" s="1">
        <f t="shared" ca="1" si="44"/>
        <v>110.50064999999999</v>
      </c>
    </row>
    <row r="180" spans="2:35" x14ac:dyDescent="0.15">
      <c r="B180" s="1" t="str">
        <f t="shared" si="39"/>
        <v>龙系79</v>
      </c>
      <c r="C180" s="1">
        <f t="shared" si="49"/>
        <v>79</v>
      </c>
      <c r="D180" s="14" t="s">
        <v>91</v>
      </c>
      <c r="E180" s="14">
        <f t="shared" si="50"/>
        <v>2</v>
      </c>
      <c r="F180" s="1" t="str">
        <f t="shared" si="37"/>
        <v>火炎</v>
      </c>
      <c r="H180" s="1">
        <f t="shared" ca="1" si="38"/>
        <v>4018.9431633127215</v>
      </c>
      <c r="I180" s="1">
        <f t="shared" ca="1" si="51"/>
        <v>100</v>
      </c>
      <c r="J180" s="1">
        <f t="shared" ca="1" si="51"/>
        <v>2108.10089285715</v>
      </c>
      <c r="K180" s="1">
        <f t="shared" ca="1" si="51"/>
        <v>111.91732500000001</v>
      </c>
      <c r="L180" s="1">
        <f t="shared" ca="1" si="51"/>
        <v>1405.4005952381001</v>
      </c>
      <c r="M180" s="1">
        <f t="shared" ca="1" si="51"/>
        <v>111.91732500000001</v>
      </c>
      <c r="N180" s="1">
        <f t="shared" ca="1" si="51"/>
        <v>0.2</v>
      </c>
      <c r="O180" s="1">
        <f t="shared" ca="1" si="51"/>
        <v>0.2</v>
      </c>
      <c r="P180" s="1">
        <f t="shared" ca="1" si="51"/>
        <v>0.36</v>
      </c>
      <c r="Q180" s="1">
        <f t="shared" ca="1" si="51"/>
        <v>0.1</v>
      </c>
      <c r="R180" s="1">
        <f t="shared" ca="1" si="51"/>
        <v>3</v>
      </c>
      <c r="S180" s="1">
        <f t="shared" ca="1" si="52"/>
        <v>0.1</v>
      </c>
      <c r="T180" s="1">
        <f t="shared" ca="1" si="52"/>
        <v>0.9</v>
      </c>
      <c r="U180" s="1">
        <f t="shared" ca="1" si="52"/>
        <v>152.73333333333301</v>
      </c>
      <c r="V180" s="1">
        <f t="shared" ca="1" si="52"/>
        <v>0</v>
      </c>
      <c r="W180" s="1">
        <f t="shared" ca="1" si="52"/>
        <v>0</v>
      </c>
      <c r="X180" s="1">
        <f t="shared" ca="1" si="52"/>
        <v>0</v>
      </c>
      <c r="Y180" s="1">
        <f t="shared" ca="1" si="52"/>
        <v>917.57559523809596</v>
      </c>
      <c r="Z180" s="1">
        <f t="shared" ca="1" si="52"/>
        <v>0</v>
      </c>
      <c r="AA180" s="1">
        <f t="shared" ca="1" si="52"/>
        <v>0</v>
      </c>
      <c r="AB180" s="1">
        <f t="shared" ca="1" si="52"/>
        <v>0</v>
      </c>
      <c r="AC180" s="1">
        <f t="shared" ca="1" si="52"/>
        <v>111.91732500000001</v>
      </c>
      <c r="AD180" s="1">
        <f t="shared" ca="1" si="52"/>
        <v>111.91732500000001</v>
      </c>
      <c r="AE180" s="1">
        <f t="shared" ca="1" si="52"/>
        <v>111.91732500000001</v>
      </c>
      <c r="AF180" s="1">
        <f t="shared" ca="1" si="52"/>
        <v>145.49252250000001</v>
      </c>
      <c r="AG180" s="1">
        <f t="shared" ca="1" si="52"/>
        <v>111.91732500000001</v>
      </c>
      <c r="AH180" s="1">
        <f t="shared" ca="1" si="52"/>
        <v>111.91732500000001</v>
      </c>
      <c r="AI180" s="1">
        <f t="shared" ca="1" si="44"/>
        <v>111.91732500000001</v>
      </c>
    </row>
    <row r="181" spans="2:35" x14ac:dyDescent="0.15">
      <c r="B181" s="1" t="str">
        <f t="shared" si="39"/>
        <v>龙系80</v>
      </c>
      <c r="C181" s="1">
        <f t="shared" si="49"/>
        <v>80</v>
      </c>
      <c r="D181" s="14" t="s">
        <v>91</v>
      </c>
      <c r="E181" s="14">
        <f t="shared" si="50"/>
        <v>2</v>
      </c>
      <c r="F181" s="1" t="str">
        <f t="shared" si="37"/>
        <v>火炎</v>
      </c>
      <c r="H181" s="1">
        <f t="shared" ca="1" si="38"/>
        <v>4087.6659311508502</v>
      </c>
      <c r="I181" s="1">
        <f t="shared" ca="1" si="51"/>
        <v>100</v>
      </c>
      <c r="J181" s="1">
        <f t="shared" ca="1" si="51"/>
        <v>2156.378269617705</v>
      </c>
      <c r="K181" s="1">
        <f t="shared" ca="1" si="51"/>
        <v>113.334</v>
      </c>
      <c r="L181" s="1">
        <f t="shared" ca="1" si="51"/>
        <v>1437.5855130784701</v>
      </c>
      <c r="M181" s="1">
        <f t="shared" ca="1" si="51"/>
        <v>113.334</v>
      </c>
      <c r="N181" s="1">
        <f t="shared" ca="1" si="51"/>
        <v>0.2</v>
      </c>
      <c r="O181" s="1">
        <f t="shared" ca="1" si="51"/>
        <v>0.2</v>
      </c>
      <c r="P181" s="1">
        <f t="shared" ca="1" si="51"/>
        <v>0.36</v>
      </c>
      <c r="Q181" s="1">
        <f t="shared" ca="1" si="51"/>
        <v>0.1</v>
      </c>
      <c r="R181" s="1">
        <f t="shared" ca="1" si="51"/>
        <v>3</v>
      </c>
      <c r="S181" s="1">
        <f t="shared" ca="1" si="52"/>
        <v>0.1</v>
      </c>
      <c r="T181" s="1">
        <f t="shared" ca="1" si="52"/>
        <v>0.9</v>
      </c>
      <c r="U181" s="1">
        <f t="shared" ca="1" si="52"/>
        <v>154.666666666667</v>
      </c>
      <c r="V181" s="1">
        <f t="shared" ca="1" si="52"/>
        <v>0</v>
      </c>
      <c r="W181" s="1">
        <f t="shared" ca="1" si="52"/>
        <v>0</v>
      </c>
      <c r="X181" s="1">
        <f t="shared" ca="1" si="52"/>
        <v>0</v>
      </c>
      <c r="Y181" s="1">
        <f t="shared" ca="1" si="52"/>
        <v>958.39034205231496</v>
      </c>
      <c r="Z181" s="1">
        <f t="shared" ca="1" si="52"/>
        <v>0</v>
      </c>
      <c r="AA181" s="1">
        <f t="shared" ca="1" si="52"/>
        <v>0</v>
      </c>
      <c r="AB181" s="1">
        <f t="shared" ca="1" si="52"/>
        <v>0</v>
      </c>
      <c r="AC181" s="1">
        <f t="shared" ca="1" si="52"/>
        <v>113.334</v>
      </c>
      <c r="AD181" s="1">
        <f t="shared" ca="1" si="52"/>
        <v>113.334</v>
      </c>
      <c r="AE181" s="1">
        <f t="shared" ca="1" si="52"/>
        <v>113.334</v>
      </c>
      <c r="AF181" s="1">
        <f t="shared" ca="1" si="52"/>
        <v>147.33420000000001</v>
      </c>
      <c r="AG181" s="1">
        <f t="shared" ca="1" si="52"/>
        <v>113.334</v>
      </c>
      <c r="AH181" s="1">
        <f t="shared" ca="1" si="52"/>
        <v>113.334</v>
      </c>
      <c r="AI181" s="1">
        <f t="shared" ca="1" si="44"/>
        <v>113.334</v>
      </c>
    </row>
    <row r="182" spans="2:35" x14ac:dyDescent="0.15">
      <c r="B182" s="1" t="str">
        <f t="shared" si="39"/>
        <v>龙系81</v>
      </c>
      <c r="C182" s="1">
        <f t="shared" si="49"/>
        <v>81</v>
      </c>
      <c r="D182" s="14" t="s">
        <v>91</v>
      </c>
      <c r="E182" s="14">
        <f t="shared" si="50"/>
        <v>2</v>
      </c>
      <c r="F182" s="1" t="str">
        <f t="shared" si="37"/>
        <v>火炎</v>
      </c>
      <c r="H182" s="1">
        <f t="shared" ca="1" si="38"/>
        <v>4156.8349507281819</v>
      </c>
      <c r="I182" s="1">
        <f t="shared" ca="1" si="51"/>
        <v>100</v>
      </c>
      <c r="J182" s="1">
        <f t="shared" ca="1" si="51"/>
        <v>2205.6589285714349</v>
      </c>
      <c r="K182" s="1">
        <f t="shared" ca="1" si="51"/>
        <v>114.750675</v>
      </c>
      <c r="L182" s="1">
        <f t="shared" ca="1" si="51"/>
        <v>1470.43928571429</v>
      </c>
      <c r="M182" s="1">
        <f t="shared" ca="1" si="51"/>
        <v>114.750675</v>
      </c>
      <c r="N182" s="1">
        <f t="shared" ca="1" si="51"/>
        <v>0.2</v>
      </c>
      <c r="O182" s="1">
        <f t="shared" ca="1" si="51"/>
        <v>0.2</v>
      </c>
      <c r="P182" s="1">
        <f t="shared" ca="1" si="51"/>
        <v>0.36</v>
      </c>
      <c r="Q182" s="1">
        <f t="shared" ca="1" si="51"/>
        <v>0.1</v>
      </c>
      <c r="R182" s="1">
        <f t="shared" ca="1" si="51"/>
        <v>3</v>
      </c>
      <c r="S182" s="1">
        <f t="shared" ca="1" si="52"/>
        <v>0.1</v>
      </c>
      <c r="T182" s="1">
        <f t="shared" ca="1" si="52"/>
        <v>0.9</v>
      </c>
      <c r="U182" s="1">
        <f t="shared" ca="1" si="52"/>
        <v>156.6</v>
      </c>
      <c r="V182" s="1">
        <f t="shared" ca="1" si="52"/>
        <v>0</v>
      </c>
      <c r="W182" s="1">
        <f t="shared" ca="1" si="52"/>
        <v>0</v>
      </c>
      <c r="X182" s="1">
        <f t="shared" ca="1" si="52"/>
        <v>0</v>
      </c>
      <c r="Y182" s="1">
        <f t="shared" ca="1" si="52"/>
        <v>1000.88724489796</v>
      </c>
      <c r="Z182" s="1">
        <f t="shared" ca="1" si="52"/>
        <v>0</v>
      </c>
      <c r="AA182" s="1">
        <f t="shared" ca="1" si="52"/>
        <v>0</v>
      </c>
      <c r="AB182" s="1">
        <f t="shared" ca="1" si="52"/>
        <v>0</v>
      </c>
      <c r="AC182" s="1">
        <f t="shared" ca="1" si="52"/>
        <v>114.750675</v>
      </c>
      <c r="AD182" s="1">
        <f t="shared" ca="1" si="52"/>
        <v>114.750675</v>
      </c>
      <c r="AE182" s="1">
        <f t="shared" ca="1" si="52"/>
        <v>114.750675</v>
      </c>
      <c r="AF182" s="1">
        <f t="shared" ca="1" si="52"/>
        <v>149.17587750000001</v>
      </c>
      <c r="AG182" s="1">
        <f t="shared" ca="1" si="52"/>
        <v>114.750675</v>
      </c>
      <c r="AH182" s="1">
        <f t="shared" ca="1" si="52"/>
        <v>114.750675</v>
      </c>
      <c r="AI182" s="1">
        <f t="shared" ca="1" si="44"/>
        <v>114.750675</v>
      </c>
    </row>
    <row r="183" spans="2:35" x14ac:dyDescent="0.15">
      <c r="B183" s="1" t="str">
        <f t="shared" si="39"/>
        <v>龙系82</v>
      </c>
      <c r="C183" s="1">
        <f t="shared" si="49"/>
        <v>82</v>
      </c>
      <c r="D183" s="14" t="s">
        <v>91</v>
      </c>
      <c r="E183" s="14">
        <f t="shared" si="50"/>
        <v>2</v>
      </c>
      <c r="F183" s="1" t="str">
        <f t="shared" si="37"/>
        <v>火炎</v>
      </c>
      <c r="H183" s="1">
        <f t="shared" ca="1" si="38"/>
        <v>4226.4502220447275</v>
      </c>
      <c r="I183" s="1">
        <f t="shared" ref="I183:R192" ca="1" si="53">mVlookup($C183,monsterBaseDate,I$2,FALSE)*(1+mVlookup($E183,monsterType,I$2,FALSE))</f>
        <v>100</v>
      </c>
      <c r="J183" s="1">
        <f t="shared" ca="1" si="53"/>
        <v>2255.9804347826102</v>
      </c>
      <c r="K183" s="1">
        <f t="shared" ca="1" si="53"/>
        <v>116.16735</v>
      </c>
      <c r="L183" s="1">
        <f t="shared" ca="1" si="53"/>
        <v>1503.98695652174</v>
      </c>
      <c r="M183" s="1">
        <f t="shared" ca="1" si="53"/>
        <v>116.16735</v>
      </c>
      <c r="N183" s="1">
        <f t="shared" ca="1" si="53"/>
        <v>0.2</v>
      </c>
      <c r="O183" s="1">
        <f t="shared" ca="1" si="53"/>
        <v>0.2</v>
      </c>
      <c r="P183" s="1">
        <f t="shared" ca="1" si="53"/>
        <v>0.36</v>
      </c>
      <c r="Q183" s="1">
        <f t="shared" ca="1" si="53"/>
        <v>0.1</v>
      </c>
      <c r="R183" s="1">
        <f t="shared" ca="1" si="53"/>
        <v>3</v>
      </c>
      <c r="S183" s="1">
        <f t="shared" ref="S183:AH198" ca="1" si="54">mVlookup($C183,monsterBaseDate,S$2,FALSE)*(1+mVlookup($E183,monsterType,S$2,FALSE))</f>
        <v>0.1</v>
      </c>
      <c r="T183" s="1">
        <f t="shared" ca="1" si="54"/>
        <v>0.9</v>
      </c>
      <c r="U183" s="1">
        <f t="shared" ca="1" si="54"/>
        <v>158.53333333333299</v>
      </c>
      <c r="V183" s="1">
        <f t="shared" ca="1" si="54"/>
        <v>0</v>
      </c>
      <c r="W183" s="1">
        <f t="shared" ca="1" si="54"/>
        <v>0</v>
      </c>
      <c r="X183" s="1">
        <f t="shared" ca="1" si="54"/>
        <v>0</v>
      </c>
      <c r="Y183" s="1">
        <f t="shared" ca="1" si="54"/>
        <v>1045.1434782608701</v>
      </c>
      <c r="Z183" s="1">
        <f t="shared" ca="1" si="54"/>
        <v>0</v>
      </c>
      <c r="AA183" s="1">
        <f t="shared" ca="1" si="54"/>
        <v>0</v>
      </c>
      <c r="AB183" s="1">
        <f t="shared" ca="1" si="52"/>
        <v>0</v>
      </c>
      <c r="AC183" s="1">
        <f t="shared" ca="1" si="54"/>
        <v>116.16735</v>
      </c>
      <c r="AD183" s="1">
        <f t="shared" ca="1" si="54"/>
        <v>116.16735</v>
      </c>
      <c r="AE183" s="1">
        <f t="shared" ca="1" si="54"/>
        <v>116.16735</v>
      </c>
      <c r="AF183" s="1">
        <f t="shared" ca="1" si="54"/>
        <v>151.01755500000002</v>
      </c>
      <c r="AG183" s="1">
        <f t="shared" ca="1" si="54"/>
        <v>116.16735</v>
      </c>
      <c r="AH183" s="1">
        <f t="shared" ca="1" si="54"/>
        <v>116.16735</v>
      </c>
      <c r="AI183" s="1">
        <f t="shared" ca="1" si="44"/>
        <v>116.16735</v>
      </c>
    </row>
    <row r="184" spans="2:35" x14ac:dyDescent="0.15">
      <c r="B184" s="1" t="str">
        <f t="shared" si="39"/>
        <v>龙系83</v>
      </c>
      <c r="C184" s="1">
        <f t="shared" si="49"/>
        <v>83</v>
      </c>
      <c r="D184" s="14" t="s">
        <v>91</v>
      </c>
      <c r="E184" s="14">
        <f t="shared" si="50"/>
        <v>2</v>
      </c>
      <c r="F184" s="1" t="str">
        <f t="shared" si="37"/>
        <v>火炎</v>
      </c>
      <c r="H184" s="1">
        <f t="shared" ca="1" si="38"/>
        <v>4296.5117451004753</v>
      </c>
      <c r="I184" s="1">
        <f t="shared" ca="1" si="53"/>
        <v>100</v>
      </c>
      <c r="J184" s="1">
        <f t="shared" ca="1" si="53"/>
        <v>2307.3825630252149</v>
      </c>
      <c r="K184" s="1">
        <f t="shared" ca="1" si="53"/>
        <v>117.584025</v>
      </c>
      <c r="L184" s="1">
        <f t="shared" ca="1" si="53"/>
        <v>1538.25504201681</v>
      </c>
      <c r="M184" s="1">
        <f t="shared" ca="1" si="53"/>
        <v>117.584025</v>
      </c>
      <c r="N184" s="1">
        <f t="shared" ca="1" si="53"/>
        <v>0.2</v>
      </c>
      <c r="O184" s="1">
        <f t="shared" ca="1" si="53"/>
        <v>0.2</v>
      </c>
      <c r="P184" s="1">
        <f t="shared" ca="1" si="53"/>
        <v>0.36</v>
      </c>
      <c r="Q184" s="1">
        <f t="shared" ca="1" si="53"/>
        <v>0.1</v>
      </c>
      <c r="R184" s="1">
        <f t="shared" ca="1" si="53"/>
        <v>3</v>
      </c>
      <c r="S184" s="1">
        <f t="shared" ca="1" si="54"/>
        <v>0.1</v>
      </c>
      <c r="T184" s="1">
        <f t="shared" ca="1" si="54"/>
        <v>0.9</v>
      </c>
      <c r="U184" s="1">
        <f t="shared" ca="1" si="54"/>
        <v>160.46666666666701</v>
      </c>
      <c r="V184" s="1">
        <f t="shared" ca="1" si="54"/>
        <v>0</v>
      </c>
      <c r="W184" s="1">
        <f t="shared" ca="1" si="54"/>
        <v>0</v>
      </c>
      <c r="X184" s="1">
        <f t="shared" ca="1" si="54"/>
        <v>0</v>
      </c>
      <c r="Y184" s="1">
        <f t="shared" ca="1" si="54"/>
        <v>1091.2407563025199</v>
      </c>
      <c r="Z184" s="1">
        <f t="shared" ca="1" si="54"/>
        <v>0</v>
      </c>
      <c r="AA184" s="1">
        <f t="shared" ca="1" si="54"/>
        <v>0</v>
      </c>
      <c r="AB184" s="1">
        <f t="shared" ca="1" si="52"/>
        <v>0</v>
      </c>
      <c r="AC184" s="1">
        <f t="shared" ca="1" si="54"/>
        <v>117.584025</v>
      </c>
      <c r="AD184" s="1">
        <f t="shared" ca="1" si="54"/>
        <v>117.584025</v>
      </c>
      <c r="AE184" s="1">
        <f t="shared" ca="1" si="54"/>
        <v>117.584025</v>
      </c>
      <c r="AF184" s="1">
        <f t="shared" ca="1" si="54"/>
        <v>152.85923249999999</v>
      </c>
      <c r="AG184" s="1">
        <f t="shared" ca="1" si="54"/>
        <v>117.584025</v>
      </c>
      <c r="AH184" s="1">
        <f t="shared" ca="1" si="54"/>
        <v>117.584025</v>
      </c>
      <c r="AI184" s="1">
        <f t="shared" ca="1" si="44"/>
        <v>117.584025</v>
      </c>
    </row>
    <row r="185" spans="2:35" x14ac:dyDescent="0.15">
      <c r="B185" s="1" t="str">
        <f t="shared" si="39"/>
        <v>龙系84</v>
      </c>
      <c r="C185" s="1">
        <f t="shared" si="49"/>
        <v>84</v>
      </c>
      <c r="D185" s="14" t="s">
        <v>91</v>
      </c>
      <c r="E185" s="14">
        <f t="shared" si="50"/>
        <v>2</v>
      </c>
      <c r="F185" s="1" t="str">
        <f t="shared" si="37"/>
        <v>火炎</v>
      </c>
      <c r="H185" s="1">
        <f t="shared" ca="1" si="38"/>
        <v>4367.0195198954389</v>
      </c>
      <c r="I185" s="1">
        <f t="shared" ca="1" si="53"/>
        <v>100</v>
      </c>
      <c r="J185" s="1">
        <f t="shared" ca="1" si="53"/>
        <v>2359.9074626865749</v>
      </c>
      <c r="K185" s="1">
        <f t="shared" ca="1" si="53"/>
        <v>119.00069999999999</v>
      </c>
      <c r="L185" s="1">
        <f t="shared" ca="1" si="53"/>
        <v>1573.2716417910499</v>
      </c>
      <c r="M185" s="1">
        <f t="shared" ca="1" si="53"/>
        <v>119.00069999999999</v>
      </c>
      <c r="N185" s="1">
        <f t="shared" ca="1" si="53"/>
        <v>0.2</v>
      </c>
      <c r="O185" s="1">
        <f t="shared" ca="1" si="53"/>
        <v>0.2</v>
      </c>
      <c r="P185" s="1">
        <f t="shared" ca="1" si="53"/>
        <v>0.36</v>
      </c>
      <c r="Q185" s="1">
        <f t="shared" ca="1" si="53"/>
        <v>0.1</v>
      </c>
      <c r="R185" s="1">
        <f t="shared" ca="1" si="53"/>
        <v>3</v>
      </c>
      <c r="S185" s="1">
        <f t="shared" ca="1" si="54"/>
        <v>0.1</v>
      </c>
      <c r="T185" s="1">
        <f t="shared" ca="1" si="54"/>
        <v>0.9</v>
      </c>
      <c r="U185" s="1">
        <f t="shared" ca="1" si="54"/>
        <v>162.4</v>
      </c>
      <c r="V185" s="1">
        <f t="shared" ca="1" si="54"/>
        <v>0</v>
      </c>
      <c r="W185" s="1">
        <f t="shared" ca="1" si="54"/>
        <v>0</v>
      </c>
      <c r="X185" s="1">
        <f t="shared" ca="1" si="54"/>
        <v>0</v>
      </c>
      <c r="Y185" s="1">
        <f t="shared" ca="1" si="54"/>
        <v>1139.26567164179</v>
      </c>
      <c r="Z185" s="1">
        <f t="shared" ca="1" si="54"/>
        <v>0</v>
      </c>
      <c r="AA185" s="1">
        <f t="shared" ca="1" si="54"/>
        <v>0</v>
      </c>
      <c r="AB185" s="1">
        <f t="shared" ca="1" si="52"/>
        <v>0</v>
      </c>
      <c r="AC185" s="1">
        <f t="shared" ca="1" si="54"/>
        <v>119.00069999999999</v>
      </c>
      <c r="AD185" s="1">
        <f t="shared" ca="1" si="54"/>
        <v>119.00069999999999</v>
      </c>
      <c r="AE185" s="1">
        <f t="shared" ca="1" si="54"/>
        <v>119.00069999999999</v>
      </c>
      <c r="AF185" s="1">
        <f t="shared" ca="1" si="54"/>
        <v>154.70090999999999</v>
      </c>
      <c r="AG185" s="1">
        <f t="shared" ca="1" si="54"/>
        <v>119.00069999999999</v>
      </c>
      <c r="AH185" s="1">
        <f t="shared" ca="1" si="54"/>
        <v>119.00069999999999</v>
      </c>
      <c r="AI185" s="1">
        <f t="shared" ca="1" si="44"/>
        <v>119.00069999999999</v>
      </c>
    </row>
    <row r="186" spans="2:35" x14ac:dyDescent="0.15">
      <c r="B186" s="1" t="str">
        <f t="shared" si="39"/>
        <v>龙系85</v>
      </c>
      <c r="C186" s="1">
        <f t="shared" si="49"/>
        <v>85</v>
      </c>
      <c r="D186" s="14" t="s">
        <v>91</v>
      </c>
      <c r="E186" s="14">
        <f t="shared" si="50"/>
        <v>2</v>
      </c>
      <c r="F186" s="1" t="str">
        <f t="shared" si="37"/>
        <v>火炎</v>
      </c>
      <c r="H186" s="1">
        <f t="shared" ca="1" si="38"/>
        <v>4437.9735464296045</v>
      </c>
      <c r="I186" s="1">
        <f t="shared" ca="1" si="53"/>
        <v>100</v>
      </c>
      <c r="J186" s="1">
        <f t="shared" ca="1" si="53"/>
        <v>2413.5998376623397</v>
      </c>
      <c r="K186" s="1">
        <f t="shared" ca="1" si="53"/>
        <v>120.41737500000001</v>
      </c>
      <c r="L186" s="1">
        <f t="shared" ca="1" si="53"/>
        <v>1609.0665584415599</v>
      </c>
      <c r="M186" s="1">
        <f t="shared" ca="1" si="53"/>
        <v>120.41737500000001</v>
      </c>
      <c r="N186" s="1">
        <f t="shared" ca="1" si="53"/>
        <v>0.2</v>
      </c>
      <c r="O186" s="1">
        <f t="shared" ca="1" si="53"/>
        <v>0.2</v>
      </c>
      <c r="P186" s="1">
        <f t="shared" ca="1" si="53"/>
        <v>0.36</v>
      </c>
      <c r="Q186" s="1">
        <f t="shared" ca="1" si="53"/>
        <v>0.1</v>
      </c>
      <c r="R186" s="1">
        <f t="shared" ca="1" si="53"/>
        <v>3</v>
      </c>
      <c r="S186" s="1">
        <f t="shared" ca="1" si="54"/>
        <v>0.1</v>
      </c>
      <c r="T186" s="1">
        <f t="shared" ca="1" si="54"/>
        <v>0.9</v>
      </c>
      <c r="U186" s="1">
        <f t="shared" ca="1" si="54"/>
        <v>164.333333333333</v>
      </c>
      <c r="V186" s="1">
        <f t="shared" ca="1" si="54"/>
        <v>0</v>
      </c>
      <c r="W186" s="1">
        <f t="shared" ca="1" si="54"/>
        <v>0</v>
      </c>
      <c r="X186" s="1">
        <f t="shared" ca="1" si="54"/>
        <v>0</v>
      </c>
      <c r="Y186" s="1">
        <f t="shared" ca="1" si="54"/>
        <v>1189.3100649350699</v>
      </c>
      <c r="Z186" s="1">
        <f t="shared" ca="1" si="54"/>
        <v>0</v>
      </c>
      <c r="AA186" s="1">
        <f t="shared" ca="1" si="54"/>
        <v>0</v>
      </c>
      <c r="AB186" s="1">
        <f t="shared" ca="1" si="52"/>
        <v>0</v>
      </c>
      <c r="AC186" s="1">
        <f t="shared" ca="1" si="54"/>
        <v>120.41737500000001</v>
      </c>
      <c r="AD186" s="1">
        <f t="shared" ca="1" si="54"/>
        <v>120.41737500000001</v>
      </c>
      <c r="AE186" s="1">
        <f t="shared" ca="1" si="54"/>
        <v>120.41737500000001</v>
      </c>
      <c r="AF186" s="1">
        <f t="shared" ca="1" si="54"/>
        <v>156.54258750000002</v>
      </c>
      <c r="AG186" s="1">
        <f t="shared" ca="1" si="54"/>
        <v>120.41737500000001</v>
      </c>
      <c r="AH186" s="1">
        <f t="shared" ca="1" si="54"/>
        <v>120.41737500000001</v>
      </c>
      <c r="AI186" s="1">
        <f t="shared" ca="1" si="44"/>
        <v>120.41737500000001</v>
      </c>
    </row>
    <row r="187" spans="2:35" x14ac:dyDescent="0.15">
      <c r="B187" s="1" t="str">
        <f t="shared" si="39"/>
        <v>龙系86</v>
      </c>
      <c r="C187" s="1">
        <f t="shared" si="49"/>
        <v>86</v>
      </c>
      <c r="D187" s="14" t="s">
        <v>91</v>
      </c>
      <c r="E187" s="14">
        <f t="shared" si="50"/>
        <v>2</v>
      </c>
      <c r="F187" s="1" t="str">
        <f t="shared" si="37"/>
        <v>火炎</v>
      </c>
      <c r="H187" s="1">
        <f t="shared" ca="1" si="38"/>
        <v>4509.3738247029842</v>
      </c>
      <c r="I187" s="1">
        <f t="shared" ca="1" si="53"/>
        <v>100</v>
      </c>
      <c r="J187" s="1">
        <f t="shared" ca="1" si="53"/>
        <v>2468.507142857145</v>
      </c>
      <c r="K187" s="1">
        <f t="shared" ca="1" si="53"/>
        <v>121.83405</v>
      </c>
      <c r="L187" s="1">
        <f t="shared" ca="1" si="53"/>
        <v>1645.6714285714299</v>
      </c>
      <c r="M187" s="1">
        <f t="shared" ca="1" si="53"/>
        <v>121.83405</v>
      </c>
      <c r="N187" s="1">
        <f t="shared" ca="1" si="53"/>
        <v>0.2</v>
      </c>
      <c r="O187" s="1">
        <f t="shared" ca="1" si="53"/>
        <v>0.2</v>
      </c>
      <c r="P187" s="1">
        <f t="shared" ca="1" si="53"/>
        <v>0.36</v>
      </c>
      <c r="Q187" s="1">
        <f t="shared" ca="1" si="53"/>
        <v>0.1</v>
      </c>
      <c r="R187" s="1">
        <f t="shared" ca="1" si="53"/>
        <v>3</v>
      </c>
      <c r="S187" s="1">
        <f t="shared" ca="1" si="54"/>
        <v>0.1</v>
      </c>
      <c r="T187" s="1">
        <f t="shared" ca="1" si="54"/>
        <v>0.9</v>
      </c>
      <c r="U187" s="1">
        <f t="shared" ca="1" si="54"/>
        <v>166.26666666666699</v>
      </c>
      <c r="V187" s="1">
        <f t="shared" ca="1" si="54"/>
        <v>0</v>
      </c>
      <c r="W187" s="1">
        <f t="shared" ca="1" si="54"/>
        <v>0</v>
      </c>
      <c r="X187" s="1">
        <f t="shared" ca="1" si="54"/>
        <v>0</v>
      </c>
      <c r="Y187" s="1">
        <f t="shared" ca="1" si="54"/>
        <v>1241.4714285714299</v>
      </c>
      <c r="Z187" s="1">
        <f t="shared" ca="1" si="54"/>
        <v>0</v>
      </c>
      <c r="AA187" s="1">
        <f t="shared" ca="1" si="54"/>
        <v>0</v>
      </c>
      <c r="AB187" s="1">
        <f t="shared" ca="1" si="52"/>
        <v>0</v>
      </c>
      <c r="AC187" s="1">
        <f t="shared" ca="1" si="54"/>
        <v>121.83405</v>
      </c>
      <c r="AD187" s="1">
        <f t="shared" ca="1" si="54"/>
        <v>121.83405</v>
      </c>
      <c r="AE187" s="1">
        <f t="shared" ca="1" si="54"/>
        <v>121.83405</v>
      </c>
      <c r="AF187" s="1">
        <f t="shared" ca="1" si="54"/>
        <v>158.384265</v>
      </c>
      <c r="AG187" s="1">
        <f t="shared" ca="1" si="54"/>
        <v>121.83405</v>
      </c>
      <c r="AH187" s="1">
        <f t="shared" ca="1" si="54"/>
        <v>121.83405</v>
      </c>
      <c r="AI187" s="1">
        <f t="shared" ca="1" si="44"/>
        <v>121.83405</v>
      </c>
    </row>
    <row r="188" spans="2:35" x14ac:dyDescent="0.15">
      <c r="B188" s="1" t="str">
        <f t="shared" si="39"/>
        <v>龙系87</v>
      </c>
      <c r="C188" s="1">
        <f t="shared" si="49"/>
        <v>87</v>
      </c>
      <c r="D188" s="14" t="s">
        <v>91</v>
      </c>
      <c r="E188" s="14">
        <f t="shared" si="50"/>
        <v>2</v>
      </c>
      <c r="F188" s="1" t="str">
        <f t="shared" si="37"/>
        <v>火炎</v>
      </c>
      <c r="H188" s="1">
        <f t="shared" ca="1" si="38"/>
        <v>4581.2203547155668</v>
      </c>
      <c r="I188" s="1">
        <f t="shared" ca="1" si="53"/>
        <v>100</v>
      </c>
      <c r="J188" s="1">
        <f t="shared" ca="1" si="53"/>
        <v>2524.6797991071448</v>
      </c>
      <c r="K188" s="1">
        <f t="shared" ca="1" si="53"/>
        <v>123.250725</v>
      </c>
      <c r="L188" s="1">
        <f t="shared" ca="1" si="53"/>
        <v>1683.1198660714299</v>
      </c>
      <c r="M188" s="1">
        <f t="shared" ca="1" si="53"/>
        <v>123.250725</v>
      </c>
      <c r="N188" s="1">
        <f t="shared" ca="1" si="53"/>
        <v>0.2</v>
      </c>
      <c r="O188" s="1">
        <f t="shared" ca="1" si="53"/>
        <v>0.2</v>
      </c>
      <c r="P188" s="1">
        <f t="shared" ca="1" si="53"/>
        <v>0.36</v>
      </c>
      <c r="Q188" s="1">
        <f t="shared" ca="1" si="53"/>
        <v>0.1</v>
      </c>
      <c r="R188" s="1">
        <f t="shared" ca="1" si="53"/>
        <v>3</v>
      </c>
      <c r="S188" s="1">
        <f t="shared" ca="1" si="54"/>
        <v>0.1</v>
      </c>
      <c r="T188" s="1">
        <f t="shared" ca="1" si="54"/>
        <v>0.9</v>
      </c>
      <c r="U188" s="1">
        <f t="shared" ca="1" si="54"/>
        <v>168.2</v>
      </c>
      <c r="V188" s="1">
        <f t="shared" ca="1" si="54"/>
        <v>0</v>
      </c>
      <c r="W188" s="1">
        <f t="shared" ca="1" si="54"/>
        <v>0</v>
      </c>
      <c r="X188" s="1">
        <f t="shared" ca="1" si="54"/>
        <v>0</v>
      </c>
      <c r="Y188" s="1">
        <f t="shared" ca="1" si="54"/>
        <v>1295.85334821429</v>
      </c>
      <c r="Z188" s="1">
        <f t="shared" ca="1" si="54"/>
        <v>0</v>
      </c>
      <c r="AA188" s="1">
        <f t="shared" ca="1" si="54"/>
        <v>0</v>
      </c>
      <c r="AB188" s="1">
        <f t="shared" ca="1" si="52"/>
        <v>0</v>
      </c>
      <c r="AC188" s="1">
        <f t="shared" ca="1" si="54"/>
        <v>123.250725</v>
      </c>
      <c r="AD188" s="1">
        <f t="shared" ca="1" si="54"/>
        <v>123.250725</v>
      </c>
      <c r="AE188" s="1">
        <f t="shared" ca="1" si="54"/>
        <v>123.250725</v>
      </c>
      <c r="AF188" s="1">
        <f t="shared" ca="1" si="54"/>
        <v>160.2259425</v>
      </c>
      <c r="AG188" s="1">
        <f t="shared" ca="1" si="54"/>
        <v>123.250725</v>
      </c>
      <c r="AH188" s="1">
        <f t="shared" ca="1" si="54"/>
        <v>123.250725</v>
      </c>
      <c r="AI188" s="1">
        <f t="shared" ca="1" si="44"/>
        <v>123.250725</v>
      </c>
    </row>
    <row r="189" spans="2:35" x14ac:dyDescent="0.15">
      <c r="B189" s="1" t="str">
        <f t="shared" si="39"/>
        <v>龙系88</v>
      </c>
      <c r="C189" s="1">
        <f t="shared" si="49"/>
        <v>88</v>
      </c>
      <c r="D189" s="14" t="s">
        <v>91</v>
      </c>
      <c r="E189" s="14">
        <f t="shared" si="50"/>
        <v>2</v>
      </c>
      <c r="F189" s="1" t="str">
        <f t="shared" si="37"/>
        <v>火炎</v>
      </c>
      <c r="H189" s="1">
        <f t="shared" ca="1" si="38"/>
        <v>4653.5131364673643</v>
      </c>
      <c r="I189" s="1">
        <f t="shared" ca="1" si="53"/>
        <v>100</v>
      </c>
      <c r="J189" s="1">
        <f t="shared" ca="1" si="53"/>
        <v>2582.1714285714302</v>
      </c>
      <c r="K189" s="1">
        <f t="shared" ca="1" si="53"/>
        <v>124.6674</v>
      </c>
      <c r="L189" s="1">
        <f t="shared" ca="1" si="53"/>
        <v>1721.44761904762</v>
      </c>
      <c r="M189" s="1">
        <f t="shared" ca="1" si="53"/>
        <v>124.6674</v>
      </c>
      <c r="N189" s="1">
        <f t="shared" ca="1" si="53"/>
        <v>0.2</v>
      </c>
      <c r="O189" s="1">
        <f t="shared" ca="1" si="53"/>
        <v>0.2</v>
      </c>
      <c r="P189" s="1">
        <f t="shared" ca="1" si="53"/>
        <v>0.36</v>
      </c>
      <c r="Q189" s="1">
        <f t="shared" ca="1" si="53"/>
        <v>0.1</v>
      </c>
      <c r="R189" s="1">
        <f t="shared" ca="1" si="53"/>
        <v>3</v>
      </c>
      <c r="S189" s="1">
        <f t="shared" ca="1" si="54"/>
        <v>0.1</v>
      </c>
      <c r="T189" s="1">
        <f t="shared" ca="1" si="54"/>
        <v>0.9</v>
      </c>
      <c r="U189" s="1">
        <f t="shared" ca="1" si="54"/>
        <v>170.13333333333301</v>
      </c>
      <c r="V189" s="1">
        <f t="shared" ca="1" si="54"/>
        <v>0</v>
      </c>
      <c r="W189" s="1">
        <f t="shared" ca="1" si="54"/>
        <v>0</v>
      </c>
      <c r="X189" s="1">
        <f t="shared" ca="1" si="54"/>
        <v>0</v>
      </c>
      <c r="Y189" s="1">
        <f t="shared" ca="1" si="54"/>
        <v>1352.56598639456</v>
      </c>
      <c r="Z189" s="1">
        <f t="shared" ca="1" si="54"/>
        <v>0</v>
      </c>
      <c r="AA189" s="1">
        <f t="shared" ca="1" si="54"/>
        <v>0</v>
      </c>
      <c r="AB189" s="1">
        <f t="shared" ca="1" si="54"/>
        <v>0</v>
      </c>
      <c r="AC189" s="1">
        <f t="shared" ca="1" si="54"/>
        <v>124.6674</v>
      </c>
      <c r="AD189" s="1">
        <f t="shared" ca="1" si="54"/>
        <v>124.6674</v>
      </c>
      <c r="AE189" s="1">
        <f t="shared" ca="1" si="54"/>
        <v>124.6674</v>
      </c>
      <c r="AF189" s="1">
        <f t="shared" ca="1" si="54"/>
        <v>162.06762000000001</v>
      </c>
      <c r="AG189" s="1">
        <f t="shared" ca="1" si="54"/>
        <v>124.6674</v>
      </c>
      <c r="AH189" s="1">
        <f t="shared" ca="1" si="54"/>
        <v>124.6674</v>
      </c>
      <c r="AI189" s="1">
        <f t="shared" ca="1" si="44"/>
        <v>124.6674</v>
      </c>
    </row>
    <row r="190" spans="2:35" x14ac:dyDescent="0.15">
      <c r="B190" s="1" t="str">
        <f t="shared" si="39"/>
        <v>龙系89</v>
      </c>
      <c r="C190" s="1">
        <f t="shared" si="49"/>
        <v>89</v>
      </c>
      <c r="D190" s="14" t="s">
        <v>91</v>
      </c>
      <c r="E190" s="14">
        <f t="shared" si="50"/>
        <v>2</v>
      </c>
      <c r="F190" s="1" t="str">
        <f t="shared" si="37"/>
        <v>火炎</v>
      </c>
      <c r="H190" s="1">
        <f t="shared" ca="1" si="38"/>
        <v>4976.6387140519964</v>
      </c>
      <c r="I190" s="1">
        <f t="shared" ca="1" si="53"/>
        <v>100</v>
      </c>
      <c r="J190" s="1">
        <f t="shared" ca="1" si="53"/>
        <v>2641.039112903235</v>
      </c>
      <c r="K190" s="1">
        <f t="shared" ca="1" si="53"/>
        <v>126.084075</v>
      </c>
      <c r="L190" s="1">
        <f t="shared" ca="1" si="53"/>
        <v>1760.6927419354899</v>
      </c>
      <c r="M190" s="1">
        <f t="shared" ca="1" si="53"/>
        <v>126.084075</v>
      </c>
      <c r="N190" s="1">
        <f t="shared" ca="1" si="53"/>
        <v>0.2</v>
      </c>
      <c r="O190" s="1">
        <f t="shared" ca="1" si="53"/>
        <v>0.2</v>
      </c>
      <c r="P190" s="1">
        <f t="shared" ca="1" si="53"/>
        <v>0.36</v>
      </c>
      <c r="Q190" s="1">
        <f t="shared" ca="1" si="53"/>
        <v>0.1</v>
      </c>
      <c r="R190" s="1">
        <f t="shared" ca="1" si="53"/>
        <v>3</v>
      </c>
      <c r="S190" s="1">
        <f t="shared" ca="1" si="54"/>
        <v>0.1</v>
      </c>
      <c r="T190" s="1">
        <f t="shared" ca="1" si="54"/>
        <v>0.9</v>
      </c>
      <c r="U190" s="1">
        <f t="shared" ca="1" si="54"/>
        <v>172.066666666667</v>
      </c>
      <c r="V190" s="1">
        <f t="shared" ca="1" si="54"/>
        <v>0</v>
      </c>
      <c r="W190" s="1">
        <f t="shared" ca="1" si="54"/>
        <v>0</v>
      </c>
      <c r="X190" s="1">
        <f t="shared" ca="1" si="54"/>
        <v>0</v>
      </c>
      <c r="Y190" s="1">
        <f t="shared" ca="1" si="54"/>
        <v>1411.72661290323</v>
      </c>
      <c r="Z190" s="1">
        <f t="shared" ca="1" si="54"/>
        <v>0</v>
      </c>
      <c r="AA190" s="1">
        <f t="shared" ca="1" si="54"/>
        <v>0</v>
      </c>
      <c r="AB190" s="1">
        <f t="shared" ca="1" si="54"/>
        <v>0</v>
      </c>
      <c r="AC190" s="1">
        <f t="shared" ca="1" si="54"/>
        <v>126.084075</v>
      </c>
      <c r="AD190" s="1">
        <f t="shared" ca="1" si="54"/>
        <v>126.084075</v>
      </c>
      <c r="AE190" s="1">
        <f t="shared" ca="1" si="54"/>
        <v>126.084075</v>
      </c>
      <c r="AF190" s="1">
        <f t="shared" ca="1" si="54"/>
        <v>163.90929750000001</v>
      </c>
      <c r="AG190" s="1">
        <f t="shared" ca="1" si="54"/>
        <v>126.084075</v>
      </c>
      <c r="AH190" s="1">
        <f t="shared" ca="1" si="54"/>
        <v>126.084075</v>
      </c>
      <c r="AI190" s="1">
        <f t="shared" ca="1" si="44"/>
        <v>126.084075</v>
      </c>
    </row>
    <row r="191" spans="2:35" x14ac:dyDescent="0.15">
      <c r="B191" s="1" t="str">
        <f t="shared" si="39"/>
        <v>龙系90</v>
      </c>
      <c r="C191" s="1">
        <f t="shared" si="49"/>
        <v>90</v>
      </c>
      <c r="D191" s="14" t="s">
        <v>91</v>
      </c>
      <c r="E191" s="14">
        <f t="shared" si="50"/>
        <v>2</v>
      </c>
      <c r="F191" s="1" t="str">
        <f t="shared" si="37"/>
        <v>火炎</v>
      </c>
      <c r="H191" s="1">
        <f t="shared" ca="1" si="38"/>
        <v>5053.7011962637398</v>
      </c>
      <c r="I191" s="1">
        <f t="shared" ca="1" si="53"/>
        <v>100</v>
      </c>
      <c r="J191" s="1">
        <f t="shared" ca="1" si="53"/>
        <v>2701.343676814995</v>
      </c>
      <c r="K191" s="1">
        <f t="shared" ca="1" si="53"/>
        <v>127.50075</v>
      </c>
      <c r="L191" s="1">
        <f t="shared" ca="1" si="53"/>
        <v>1800.8957845433299</v>
      </c>
      <c r="M191" s="1">
        <f t="shared" ca="1" si="53"/>
        <v>127.50075</v>
      </c>
      <c r="N191" s="1">
        <f t="shared" ca="1" si="53"/>
        <v>0.2</v>
      </c>
      <c r="O191" s="1">
        <f t="shared" ca="1" si="53"/>
        <v>0.2</v>
      </c>
      <c r="P191" s="1">
        <f t="shared" ca="1" si="53"/>
        <v>0.36</v>
      </c>
      <c r="Q191" s="1">
        <f t="shared" ca="1" si="53"/>
        <v>0.1</v>
      </c>
      <c r="R191" s="1">
        <f t="shared" ca="1" si="53"/>
        <v>3</v>
      </c>
      <c r="S191" s="1">
        <f t="shared" ca="1" si="54"/>
        <v>0.1</v>
      </c>
      <c r="T191" s="1">
        <f t="shared" ca="1" si="54"/>
        <v>0.9</v>
      </c>
      <c r="U191" s="1">
        <f t="shared" ca="1" si="54"/>
        <v>174</v>
      </c>
      <c r="V191" s="1">
        <f t="shared" ca="1" si="54"/>
        <v>0</v>
      </c>
      <c r="W191" s="1">
        <f t="shared" ca="1" si="54"/>
        <v>0</v>
      </c>
      <c r="X191" s="1">
        <f t="shared" ca="1" si="54"/>
        <v>0</v>
      </c>
      <c r="Y191" s="1">
        <f t="shared" ca="1" si="54"/>
        <v>1473.4601873536301</v>
      </c>
      <c r="Z191" s="1">
        <f t="shared" ca="1" si="54"/>
        <v>0</v>
      </c>
      <c r="AA191" s="1">
        <f t="shared" ca="1" si="54"/>
        <v>0</v>
      </c>
      <c r="AB191" s="1">
        <f t="shared" ca="1" si="54"/>
        <v>0</v>
      </c>
      <c r="AC191" s="1">
        <f t="shared" ca="1" si="54"/>
        <v>127.50075</v>
      </c>
      <c r="AD191" s="1">
        <f t="shared" ca="1" si="54"/>
        <v>127.50075</v>
      </c>
      <c r="AE191" s="1">
        <f t="shared" ca="1" si="54"/>
        <v>127.50075</v>
      </c>
      <c r="AF191" s="1">
        <f t="shared" ca="1" si="54"/>
        <v>165.75097500000001</v>
      </c>
      <c r="AG191" s="1">
        <f t="shared" ca="1" si="54"/>
        <v>127.50075</v>
      </c>
      <c r="AH191" s="1">
        <f t="shared" ca="1" si="54"/>
        <v>127.50075</v>
      </c>
      <c r="AI191" s="1">
        <f t="shared" ca="1" si="44"/>
        <v>127.50075</v>
      </c>
    </row>
    <row r="192" spans="2:35" x14ac:dyDescent="0.15">
      <c r="B192" s="1" t="str">
        <f t="shared" si="39"/>
        <v>龙系91</v>
      </c>
      <c r="C192" s="1">
        <f t="shared" si="49"/>
        <v>91</v>
      </c>
      <c r="D192" s="14" t="s">
        <v>91</v>
      </c>
      <c r="E192" s="14">
        <f t="shared" si="50"/>
        <v>2</v>
      </c>
      <c r="F192" s="1" t="str">
        <f t="shared" si="37"/>
        <v>火炎</v>
      </c>
      <c r="H192" s="1">
        <f t="shared" ca="1" si="38"/>
        <v>5131.2335716596872</v>
      </c>
      <c r="I192" s="1">
        <f t="shared" ca="1" si="53"/>
        <v>100</v>
      </c>
      <c r="J192" s="1">
        <f t="shared" ca="1" si="53"/>
        <v>2763.1499999999996</v>
      </c>
      <c r="K192" s="1">
        <f t="shared" ca="1" si="53"/>
        <v>128.91742500000001</v>
      </c>
      <c r="L192" s="1">
        <f t="shared" ca="1" si="53"/>
        <v>1842.1</v>
      </c>
      <c r="M192" s="1">
        <f t="shared" ca="1" si="53"/>
        <v>128.91742500000001</v>
      </c>
      <c r="N192" s="1">
        <f t="shared" ca="1" si="53"/>
        <v>0.2</v>
      </c>
      <c r="O192" s="1">
        <f t="shared" ca="1" si="53"/>
        <v>0.2</v>
      </c>
      <c r="P192" s="1">
        <f t="shared" ca="1" si="53"/>
        <v>0.36</v>
      </c>
      <c r="Q192" s="1">
        <f t="shared" ca="1" si="53"/>
        <v>0.1</v>
      </c>
      <c r="R192" s="1">
        <f t="shared" ca="1" si="53"/>
        <v>3</v>
      </c>
      <c r="S192" s="1">
        <f t="shared" ca="1" si="54"/>
        <v>0.1</v>
      </c>
      <c r="T192" s="1">
        <f t="shared" ca="1" si="54"/>
        <v>0.9</v>
      </c>
      <c r="U192" s="1">
        <f t="shared" ca="1" si="54"/>
        <v>175.933333333333</v>
      </c>
      <c r="V192" s="1">
        <f t="shared" ca="1" si="54"/>
        <v>0</v>
      </c>
      <c r="W192" s="1">
        <f t="shared" ca="1" si="54"/>
        <v>0</v>
      </c>
      <c r="X192" s="1">
        <f t="shared" ca="1" si="54"/>
        <v>0</v>
      </c>
      <c r="Y192" s="1">
        <f t="shared" ca="1" si="54"/>
        <v>1537.9</v>
      </c>
      <c r="Z192" s="1">
        <f t="shared" ca="1" si="54"/>
        <v>0</v>
      </c>
      <c r="AA192" s="1">
        <f t="shared" ca="1" si="54"/>
        <v>0</v>
      </c>
      <c r="AB192" s="1">
        <f t="shared" ca="1" si="54"/>
        <v>0</v>
      </c>
      <c r="AC192" s="1">
        <f t="shared" ca="1" si="54"/>
        <v>128.91742500000001</v>
      </c>
      <c r="AD192" s="1">
        <f t="shared" ca="1" si="54"/>
        <v>128.91742500000001</v>
      </c>
      <c r="AE192" s="1">
        <f t="shared" ca="1" si="54"/>
        <v>128.91742500000001</v>
      </c>
      <c r="AF192" s="1">
        <f t="shared" ca="1" si="54"/>
        <v>167.59265250000001</v>
      </c>
      <c r="AG192" s="1">
        <f t="shared" ca="1" si="54"/>
        <v>128.91742500000001</v>
      </c>
      <c r="AH192" s="1">
        <f t="shared" ca="1" si="54"/>
        <v>128.91742500000001</v>
      </c>
      <c r="AI192" s="1">
        <f t="shared" ca="1" si="44"/>
        <v>128.91742500000001</v>
      </c>
    </row>
    <row r="193" spans="2:35" x14ac:dyDescent="0.15">
      <c r="B193" s="1" t="str">
        <f t="shared" si="39"/>
        <v>龙系92</v>
      </c>
      <c r="C193" s="1">
        <f t="shared" si="49"/>
        <v>92</v>
      </c>
      <c r="D193" s="14" t="s">
        <v>91</v>
      </c>
      <c r="E193" s="14">
        <f t="shared" si="50"/>
        <v>2</v>
      </c>
      <c r="F193" s="1" t="str">
        <f t="shared" si="37"/>
        <v>火炎</v>
      </c>
      <c r="H193" s="1">
        <f t="shared" ca="1" si="38"/>
        <v>5209.235840239864</v>
      </c>
      <c r="I193" s="1">
        <f t="shared" ref="I193:R202" ca="1" si="55">mVlookup($C193,monsterBaseDate,I$2,FALSE)*(1+mVlookup($E193,monsterType,I$2,FALSE))</f>
        <v>100</v>
      </c>
      <c r="J193" s="1">
        <f t="shared" ca="1" si="55"/>
        <v>2826.52736077482</v>
      </c>
      <c r="K193" s="1">
        <f t="shared" ca="1" si="55"/>
        <v>130.33410000000001</v>
      </c>
      <c r="L193" s="1">
        <f t="shared" ca="1" si="55"/>
        <v>1884.35157384988</v>
      </c>
      <c r="M193" s="1">
        <f t="shared" ca="1" si="55"/>
        <v>130.33410000000001</v>
      </c>
      <c r="N193" s="1">
        <f t="shared" ca="1" si="55"/>
        <v>0.2</v>
      </c>
      <c r="O193" s="1">
        <f t="shared" ca="1" si="55"/>
        <v>0.2</v>
      </c>
      <c r="P193" s="1">
        <f t="shared" ca="1" si="55"/>
        <v>0.36</v>
      </c>
      <c r="Q193" s="1">
        <f t="shared" ca="1" si="55"/>
        <v>0.1</v>
      </c>
      <c r="R193" s="1">
        <f t="shared" ca="1" si="55"/>
        <v>3</v>
      </c>
      <c r="S193" s="1">
        <f t="shared" ref="S193:AH208" ca="1" si="56">mVlookup($C193,monsterBaseDate,S$2,FALSE)*(1+mVlookup($E193,monsterType,S$2,FALSE))</f>
        <v>0.1</v>
      </c>
      <c r="T193" s="1">
        <f t="shared" ca="1" si="56"/>
        <v>0.9</v>
      </c>
      <c r="U193" s="1">
        <f t="shared" ca="1" si="56"/>
        <v>177.86666666666699</v>
      </c>
      <c r="V193" s="1">
        <f t="shared" ca="1" si="56"/>
        <v>0</v>
      </c>
      <c r="W193" s="1">
        <f t="shared" ca="1" si="56"/>
        <v>0</v>
      </c>
      <c r="X193" s="1">
        <f t="shared" ca="1" si="56"/>
        <v>0</v>
      </c>
      <c r="Y193" s="1">
        <f t="shared" ca="1" si="56"/>
        <v>1605.18837772397</v>
      </c>
      <c r="Z193" s="1">
        <f t="shared" ca="1" si="56"/>
        <v>0</v>
      </c>
      <c r="AA193" s="1">
        <f t="shared" ca="1" si="56"/>
        <v>0</v>
      </c>
      <c r="AB193" s="1">
        <f t="shared" ca="1" si="54"/>
        <v>0</v>
      </c>
      <c r="AC193" s="1">
        <f t="shared" ca="1" si="56"/>
        <v>130.33410000000001</v>
      </c>
      <c r="AD193" s="1">
        <f t="shared" ca="1" si="56"/>
        <v>130.33410000000001</v>
      </c>
      <c r="AE193" s="1">
        <f t="shared" ca="1" si="56"/>
        <v>130.33410000000001</v>
      </c>
      <c r="AF193" s="1">
        <f t="shared" ca="1" si="56"/>
        <v>169.43433000000002</v>
      </c>
      <c r="AG193" s="1">
        <f t="shared" ca="1" si="56"/>
        <v>130.33410000000001</v>
      </c>
      <c r="AH193" s="1">
        <f t="shared" ca="1" si="56"/>
        <v>130.33410000000001</v>
      </c>
      <c r="AI193" s="1">
        <f t="shared" ca="1" si="44"/>
        <v>130.33410000000001</v>
      </c>
    </row>
    <row r="194" spans="2:35" x14ac:dyDescent="0.15">
      <c r="B194" s="1" t="str">
        <f t="shared" si="39"/>
        <v>龙系93</v>
      </c>
      <c r="C194" s="1">
        <f t="shared" si="49"/>
        <v>93</v>
      </c>
      <c r="D194" s="14" t="s">
        <v>91</v>
      </c>
      <c r="E194" s="14">
        <f t="shared" si="50"/>
        <v>2</v>
      </c>
      <c r="F194" s="1" t="str">
        <f t="shared" si="37"/>
        <v>火炎</v>
      </c>
      <c r="H194" s="1">
        <f t="shared" ca="1" si="38"/>
        <v>5287.7080020042567</v>
      </c>
      <c r="I194" s="1">
        <f t="shared" ca="1" si="55"/>
        <v>100</v>
      </c>
      <c r="J194" s="1">
        <f t="shared" ca="1" si="55"/>
        <v>2891.5498152709351</v>
      </c>
      <c r="K194" s="1">
        <f t="shared" ca="1" si="55"/>
        <v>131.750775</v>
      </c>
      <c r="L194" s="1">
        <f t="shared" ca="1" si="55"/>
        <v>1927.6998768472899</v>
      </c>
      <c r="M194" s="1">
        <f t="shared" ca="1" si="55"/>
        <v>131.750775</v>
      </c>
      <c r="N194" s="1">
        <f t="shared" ca="1" si="55"/>
        <v>0.2</v>
      </c>
      <c r="O194" s="1">
        <f t="shared" ca="1" si="55"/>
        <v>0.2</v>
      </c>
      <c r="P194" s="1">
        <f t="shared" ca="1" si="55"/>
        <v>0.36</v>
      </c>
      <c r="Q194" s="1">
        <f t="shared" ca="1" si="55"/>
        <v>0.1</v>
      </c>
      <c r="R194" s="1">
        <f t="shared" ca="1" si="55"/>
        <v>3</v>
      </c>
      <c r="S194" s="1">
        <f t="shared" ca="1" si="56"/>
        <v>0.1</v>
      </c>
      <c r="T194" s="1">
        <f t="shared" ca="1" si="56"/>
        <v>0.9</v>
      </c>
      <c r="U194" s="1">
        <f t="shared" ca="1" si="56"/>
        <v>179.8</v>
      </c>
      <c r="V194" s="1">
        <f t="shared" ca="1" si="56"/>
        <v>0</v>
      </c>
      <c r="W194" s="1">
        <f t="shared" ca="1" si="56"/>
        <v>0</v>
      </c>
      <c r="X194" s="1">
        <f t="shared" ca="1" si="56"/>
        <v>0</v>
      </c>
      <c r="Y194" s="1">
        <f t="shared" ca="1" si="56"/>
        <v>1675.4774630541899</v>
      </c>
      <c r="Z194" s="1">
        <f t="shared" ca="1" si="56"/>
        <v>0</v>
      </c>
      <c r="AA194" s="1">
        <f t="shared" ca="1" si="56"/>
        <v>0</v>
      </c>
      <c r="AB194" s="1">
        <f t="shared" ca="1" si="54"/>
        <v>0</v>
      </c>
      <c r="AC194" s="1">
        <f t="shared" ca="1" si="56"/>
        <v>131.750775</v>
      </c>
      <c r="AD194" s="1">
        <f t="shared" ca="1" si="56"/>
        <v>131.750775</v>
      </c>
      <c r="AE194" s="1">
        <f t="shared" ca="1" si="56"/>
        <v>131.750775</v>
      </c>
      <c r="AF194" s="1">
        <f t="shared" ca="1" si="56"/>
        <v>171.27600750000002</v>
      </c>
      <c r="AG194" s="1">
        <f t="shared" ca="1" si="56"/>
        <v>131.750775</v>
      </c>
      <c r="AH194" s="1">
        <f t="shared" ca="1" si="56"/>
        <v>131.750775</v>
      </c>
      <c r="AI194" s="1">
        <f t="shared" ca="1" si="44"/>
        <v>131.750775</v>
      </c>
    </row>
    <row r="195" spans="2:35" x14ac:dyDescent="0.15">
      <c r="B195" s="1" t="str">
        <f t="shared" si="39"/>
        <v>龙系94</v>
      </c>
      <c r="C195" s="1">
        <f t="shared" si="49"/>
        <v>94</v>
      </c>
      <c r="D195" s="14" t="s">
        <v>91</v>
      </c>
      <c r="E195" s="14">
        <f t="shared" si="50"/>
        <v>2</v>
      </c>
      <c r="F195" s="1" t="str">
        <f t="shared" ref="F195:F258" si="57">VLOOKUP(E195,monsterType,4,FALSE)</f>
        <v>火炎</v>
      </c>
      <c r="H195" s="1">
        <f t="shared" ref="H195:H258" ca="1" si="58">mVlookup(C195,monsterBaseDate,H$2,FALSE)*(1+mVlookup(E195,monsterType,H$2,FALSE))*(1+mVlookup(C195,monsterHpRevise,D195,FALSE))</f>
        <v>5366.6500569528671</v>
      </c>
      <c r="I195" s="1">
        <f t="shared" ca="1" si="55"/>
        <v>100</v>
      </c>
      <c r="J195" s="1">
        <f t="shared" ca="1" si="55"/>
        <v>2958.296616541365</v>
      </c>
      <c r="K195" s="1">
        <f t="shared" ca="1" si="55"/>
        <v>133.16745</v>
      </c>
      <c r="L195" s="1">
        <f t="shared" ca="1" si="55"/>
        <v>1972.1977443609101</v>
      </c>
      <c r="M195" s="1">
        <f t="shared" ca="1" si="55"/>
        <v>133.16745</v>
      </c>
      <c r="N195" s="1">
        <f t="shared" ca="1" si="55"/>
        <v>0.2</v>
      </c>
      <c r="O195" s="1">
        <f t="shared" ca="1" si="55"/>
        <v>0.2</v>
      </c>
      <c r="P195" s="1">
        <f t="shared" ca="1" si="55"/>
        <v>0.36</v>
      </c>
      <c r="Q195" s="1">
        <f t="shared" ca="1" si="55"/>
        <v>0.1</v>
      </c>
      <c r="R195" s="1">
        <f t="shared" ca="1" si="55"/>
        <v>3</v>
      </c>
      <c r="S195" s="1">
        <f t="shared" ca="1" si="56"/>
        <v>0.1</v>
      </c>
      <c r="T195" s="1">
        <f t="shared" ca="1" si="56"/>
        <v>0.9</v>
      </c>
      <c r="U195" s="1">
        <f t="shared" ca="1" si="56"/>
        <v>181.73333333333301</v>
      </c>
      <c r="V195" s="1">
        <f t="shared" ca="1" si="56"/>
        <v>0</v>
      </c>
      <c r="W195" s="1">
        <f t="shared" ca="1" si="56"/>
        <v>0</v>
      </c>
      <c r="X195" s="1">
        <f t="shared" ca="1" si="56"/>
        <v>0</v>
      </c>
      <c r="Y195" s="1">
        <f t="shared" ca="1" si="56"/>
        <v>1748.93007518797</v>
      </c>
      <c r="Z195" s="1">
        <f t="shared" ca="1" si="56"/>
        <v>0</v>
      </c>
      <c r="AA195" s="1">
        <f t="shared" ca="1" si="56"/>
        <v>0</v>
      </c>
      <c r="AB195" s="1">
        <f t="shared" ca="1" si="54"/>
        <v>0</v>
      </c>
      <c r="AC195" s="1">
        <f t="shared" ca="1" si="56"/>
        <v>133.16745</v>
      </c>
      <c r="AD195" s="1">
        <f t="shared" ca="1" si="56"/>
        <v>133.16745</v>
      </c>
      <c r="AE195" s="1">
        <f t="shared" ca="1" si="56"/>
        <v>133.16745</v>
      </c>
      <c r="AF195" s="1">
        <f t="shared" ca="1" si="56"/>
        <v>173.11768500000002</v>
      </c>
      <c r="AG195" s="1">
        <f t="shared" ca="1" si="56"/>
        <v>133.16745</v>
      </c>
      <c r="AH195" s="1">
        <f t="shared" ca="1" si="56"/>
        <v>133.16745</v>
      </c>
      <c r="AI195" s="1">
        <f t="shared" ca="1" si="44"/>
        <v>133.16745</v>
      </c>
    </row>
    <row r="196" spans="2:35" x14ac:dyDescent="0.15">
      <c r="B196" s="1" t="str">
        <f t="shared" ref="B196:B259" si="59">D196&amp;C196</f>
        <v>龙系95</v>
      </c>
      <c r="C196" s="1">
        <f t="shared" si="49"/>
        <v>95</v>
      </c>
      <c r="D196" s="14" t="s">
        <v>91</v>
      </c>
      <c r="E196" s="14">
        <f t="shared" si="50"/>
        <v>2</v>
      </c>
      <c r="F196" s="1" t="str">
        <f t="shared" si="57"/>
        <v>火炎</v>
      </c>
      <c r="H196" s="1">
        <f t="shared" ca="1" si="58"/>
        <v>5446.0620050856933</v>
      </c>
      <c r="I196" s="1">
        <f t="shared" ca="1" si="55"/>
        <v>100</v>
      </c>
      <c r="J196" s="1">
        <f t="shared" ca="1" si="55"/>
        <v>3026.8526785714353</v>
      </c>
      <c r="K196" s="1">
        <f t="shared" ca="1" si="55"/>
        <v>134.584125</v>
      </c>
      <c r="L196" s="1">
        <f t="shared" ca="1" si="55"/>
        <v>2017.9017857142901</v>
      </c>
      <c r="M196" s="1">
        <f t="shared" ca="1" si="55"/>
        <v>134.584125</v>
      </c>
      <c r="N196" s="1">
        <f t="shared" ca="1" si="55"/>
        <v>0.2</v>
      </c>
      <c r="O196" s="1">
        <f t="shared" ca="1" si="55"/>
        <v>0.2</v>
      </c>
      <c r="P196" s="1">
        <f t="shared" ca="1" si="55"/>
        <v>0.36</v>
      </c>
      <c r="Q196" s="1">
        <f t="shared" ca="1" si="55"/>
        <v>0.1</v>
      </c>
      <c r="R196" s="1">
        <f t="shared" ca="1" si="55"/>
        <v>3</v>
      </c>
      <c r="S196" s="1">
        <f t="shared" ca="1" si="56"/>
        <v>0.1</v>
      </c>
      <c r="T196" s="1">
        <f t="shared" ca="1" si="56"/>
        <v>0.9</v>
      </c>
      <c r="U196" s="1">
        <f t="shared" ca="1" si="56"/>
        <v>183.666666666667</v>
      </c>
      <c r="V196" s="1">
        <f t="shared" ca="1" si="56"/>
        <v>0</v>
      </c>
      <c r="W196" s="1">
        <f t="shared" ca="1" si="56"/>
        <v>0</v>
      </c>
      <c r="X196" s="1">
        <f t="shared" ca="1" si="56"/>
        <v>0</v>
      </c>
      <c r="Y196" s="1">
        <f t="shared" ca="1" si="56"/>
        <v>1825.7206632653099</v>
      </c>
      <c r="Z196" s="1">
        <f t="shared" ca="1" si="56"/>
        <v>0</v>
      </c>
      <c r="AA196" s="1">
        <f t="shared" ca="1" si="56"/>
        <v>0</v>
      </c>
      <c r="AB196" s="1">
        <f t="shared" ca="1" si="54"/>
        <v>0</v>
      </c>
      <c r="AC196" s="1">
        <f t="shared" ca="1" si="56"/>
        <v>134.584125</v>
      </c>
      <c r="AD196" s="1">
        <f t="shared" ca="1" si="56"/>
        <v>134.584125</v>
      </c>
      <c r="AE196" s="1">
        <f t="shared" ca="1" si="56"/>
        <v>134.584125</v>
      </c>
      <c r="AF196" s="1">
        <f t="shared" ca="1" si="56"/>
        <v>174.9593625</v>
      </c>
      <c r="AG196" s="1">
        <f t="shared" ca="1" si="56"/>
        <v>134.584125</v>
      </c>
      <c r="AH196" s="1">
        <f t="shared" ca="1" si="56"/>
        <v>134.584125</v>
      </c>
      <c r="AI196" s="1">
        <f t="shared" ca="1" si="44"/>
        <v>134.584125</v>
      </c>
    </row>
    <row r="197" spans="2:35" x14ac:dyDescent="0.15">
      <c r="B197" s="1" t="str">
        <f t="shared" si="59"/>
        <v>龙系96</v>
      </c>
      <c r="C197" s="1">
        <f t="shared" si="49"/>
        <v>96</v>
      </c>
      <c r="D197" s="14" t="s">
        <v>91</v>
      </c>
      <c r="E197" s="14">
        <f t="shared" si="50"/>
        <v>2</v>
      </c>
      <c r="F197" s="1" t="str">
        <f t="shared" si="57"/>
        <v>火炎</v>
      </c>
      <c r="H197" s="1">
        <f t="shared" ca="1" si="58"/>
        <v>5525.9438464027489</v>
      </c>
      <c r="I197" s="1">
        <f t="shared" ca="1" si="55"/>
        <v>100</v>
      </c>
      <c r="J197" s="1">
        <f t="shared" ca="1" si="55"/>
        <v>3097.3090909090952</v>
      </c>
      <c r="K197" s="1">
        <f t="shared" ca="1" si="55"/>
        <v>136.0008</v>
      </c>
      <c r="L197" s="1">
        <f t="shared" ca="1" si="55"/>
        <v>2064.8727272727301</v>
      </c>
      <c r="M197" s="1">
        <f t="shared" ca="1" si="55"/>
        <v>136.0008</v>
      </c>
      <c r="N197" s="1">
        <f t="shared" ca="1" si="55"/>
        <v>0.2</v>
      </c>
      <c r="O197" s="1">
        <f t="shared" ca="1" si="55"/>
        <v>0.2</v>
      </c>
      <c r="P197" s="1">
        <f t="shared" ca="1" si="55"/>
        <v>0.36</v>
      </c>
      <c r="Q197" s="1">
        <f t="shared" ca="1" si="55"/>
        <v>0.1</v>
      </c>
      <c r="R197" s="1">
        <f t="shared" ca="1" si="55"/>
        <v>3</v>
      </c>
      <c r="S197" s="1">
        <f t="shared" ca="1" si="56"/>
        <v>0.1</v>
      </c>
      <c r="T197" s="1">
        <f t="shared" ca="1" si="56"/>
        <v>0.9</v>
      </c>
      <c r="U197" s="1">
        <f t="shared" ca="1" si="56"/>
        <v>185.6</v>
      </c>
      <c r="V197" s="1">
        <f t="shared" ca="1" si="56"/>
        <v>0</v>
      </c>
      <c r="W197" s="1">
        <f t="shared" ca="1" si="56"/>
        <v>0</v>
      </c>
      <c r="X197" s="1">
        <f t="shared" ca="1" si="56"/>
        <v>0</v>
      </c>
      <c r="Y197" s="1">
        <f t="shared" ca="1" si="56"/>
        <v>1906.03636363637</v>
      </c>
      <c r="Z197" s="1">
        <f t="shared" ca="1" si="56"/>
        <v>0</v>
      </c>
      <c r="AA197" s="1">
        <f t="shared" ca="1" si="56"/>
        <v>0</v>
      </c>
      <c r="AB197" s="1">
        <f t="shared" ca="1" si="54"/>
        <v>0</v>
      </c>
      <c r="AC197" s="1">
        <f t="shared" ca="1" si="56"/>
        <v>136.0008</v>
      </c>
      <c r="AD197" s="1">
        <f t="shared" ca="1" si="56"/>
        <v>136.0008</v>
      </c>
      <c r="AE197" s="1">
        <f t="shared" ca="1" si="56"/>
        <v>136.0008</v>
      </c>
      <c r="AF197" s="1">
        <f t="shared" ca="1" si="56"/>
        <v>176.80104</v>
      </c>
      <c r="AG197" s="1">
        <f t="shared" ca="1" si="56"/>
        <v>136.0008</v>
      </c>
      <c r="AH197" s="1">
        <f t="shared" ca="1" si="56"/>
        <v>136.0008</v>
      </c>
      <c r="AI197" s="1">
        <f t="shared" ca="1" si="44"/>
        <v>136.0008</v>
      </c>
    </row>
    <row r="198" spans="2:35" x14ac:dyDescent="0.15">
      <c r="B198" s="1" t="str">
        <f t="shared" si="59"/>
        <v>龙系97</v>
      </c>
      <c r="C198" s="1">
        <f t="shared" si="49"/>
        <v>97</v>
      </c>
      <c r="D198" s="14" t="s">
        <v>91</v>
      </c>
      <c r="E198" s="14">
        <f t="shared" si="50"/>
        <v>2</v>
      </c>
      <c r="F198" s="1" t="str">
        <f t="shared" si="57"/>
        <v>火炎</v>
      </c>
      <c r="H198" s="1">
        <f t="shared" ca="1" si="58"/>
        <v>5606.2955809040095</v>
      </c>
      <c r="I198" s="1">
        <f t="shared" ca="1" si="55"/>
        <v>100</v>
      </c>
      <c r="J198" s="1">
        <f t="shared" ca="1" si="55"/>
        <v>3169.7636904762003</v>
      </c>
      <c r="K198" s="1">
        <f t="shared" ca="1" si="55"/>
        <v>137.417475</v>
      </c>
      <c r="L198" s="1">
        <f t="shared" ca="1" si="55"/>
        <v>2113.1757936508002</v>
      </c>
      <c r="M198" s="1">
        <f t="shared" ca="1" si="55"/>
        <v>137.417475</v>
      </c>
      <c r="N198" s="1">
        <f t="shared" ca="1" si="55"/>
        <v>0.2</v>
      </c>
      <c r="O198" s="1">
        <f t="shared" ca="1" si="55"/>
        <v>0.2</v>
      </c>
      <c r="P198" s="1">
        <f t="shared" ca="1" si="55"/>
        <v>0.36</v>
      </c>
      <c r="Q198" s="1">
        <f t="shared" ca="1" si="55"/>
        <v>0.1</v>
      </c>
      <c r="R198" s="1">
        <f t="shared" ca="1" si="55"/>
        <v>3</v>
      </c>
      <c r="S198" s="1">
        <f t="shared" ca="1" si="56"/>
        <v>0.1</v>
      </c>
      <c r="T198" s="1">
        <f t="shared" ca="1" si="56"/>
        <v>0.9</v>
      </c>
      <c r="U198" s="1">
        <f t="shared" ca="1" si="56"/>
        <v>187.53333333333299</v>
      </c>
      <c r="V198" s="1">
        <f t="shared" ca="1" si="56"/>
        <v>0</v>
      </c>
      <c r="W198" s="1">
        <f t="shared" ca="1" si="56"/>
        <v>0</v>
      </c>
      <c r="X198" s="1">
        <f t="shared" ca="1" si="56"/>
        <v>0</v>
      </c>
      <c r="Y198" s="1">
        <f t="shared" ca="1" si="56"/>
        <v>1990.0781746031801</v>
      </c>
      <c r="Z198" s="1">
        <f t="shared" ca="1" si="56"/>
        <v>0</v>
      </c>
      <c r="AA198" s="1">
        <f t="shared" ca="1" si="56"/>
        <v>0</v>
      </c>
      <c r="AB198" s="1">
        <f t="shared" ca="1" si="54"/>
        <v>0</v>
      </c>
      <c r="AC198" s="1">
        <f t="shared" ca="1" si="56"/>
        <v>137.417475</v>
      </c>
      <c r="AD198" s="1">
        <f t="shared" ca="1" si="56"/>
        <v>137.417475</v>
      </c>
      <c r="AE198" s="1">
        <f t="shared" ca="1" si="56"/>
        <v>137.417475</v>
      </c>
      <c r="AF198" s="1">
        <f t="shared" ca="1" si="56"/>
        <v>178.6427175</v>
      </c>
      <c r="AG198" s="1">
        <f t="shared" ca="1" si="56"/>
        <v>137.417475</v>
      </c>
      <c r="AH198" s="1">
        <f t="shared" ca="1" si="56"/>
        <v>137.417475</v>
      </c>
      <c r="AI198" s="1">
        <f t="shared" ca="1" si="44"/>
        <v>137.417475</v>
      </c>
    </row>
    <row r="199" spans="2:35" x14ac:dyDescent="0.15">
      <c r="B199" s="1" t="str">
        <f t="shared" si="59"/>
        <v>龙系98</v>
      </c>
      <c r="C199" s="1">
        <f t="shared" si="49"/>
        <v>98</v>
      </c>
      <c r="D199" s="14" t="s">
        <v>91</v>
      </c>
      <c r="E199" s="14">
        <f t="shared" si="50"/>
        <v>2</v>
      </c>
      <c r="F199" s="1" t="str">
        <f t="shared" si="57"/>
        <v>火炎</v>
      </c>
      <c r="H199" s="1">
        <f t="shared" ca="1" si="58"/>
        <v>5687.1172085894868</v>
      </c>
      <c r="I199" s="1">
        <f t="shared" ca="1" si="55"/>
        <v>100</v>
      </c>
      <c r="J199" s="1">
        <f t="shared" ca="1" si="55"/>
        <v>3244.32169811322</v>
      </c>
      <c r="K199" s="1">
        <f t="shared" ca="1" si="55"/>
        <v>138.83414999999999</v>
      </c>
      <c r="L199" s="1">
        <f t="shared" ca="1" si="55"/>
        <v>2162.8811320754799</v>
      </c>
      <c r="M199" s="1">
        <f t="shared" ca="1" si="55"/>
        <v>138.83414999999999</v>
      </c>
      <c r="N199" s="1">
        <f t="shared" ca="1" si="55"/>
        <v>0.2</v>
      </c>
      <c r="O199" s="1">
        <f t="shared" ca="1" si="55"/>
        <v>0.2</v>
      </c>
      <c r="P199" s="1">
        <f t="shared" ca="1" si="55"/>
        <v>0.36</v>
      </c>
      <c r="Q199" s="1">
        <f t="shared" ca="1" si="55"/>
        <v>0.1</v>
      </c>
      <c r="R199" s="1">
        <f t="shared" ca="1" si="55"/>
        <v>3</v>
      </c>
      <c r="S199" s="1">
        <f t="shared" ca="1" si="56"/>
        <v>0.1</v>
      </c>
      <c r="T199" s="1">
        <f t="shared" ca="1" si="56"/>
        <v>0.9</v>
      </c>
      <c r="U199" s="1">
        <f t="shared" ca="1" si="56"/>
        <v>189.46666666666701</v>
      </c>
      <c r="V199" s="1">
        <f t="shared" ca="1" si="56"/>
        <v>0</v>
      </c>
      <c r="W199" s="1">
        <f t="shared" ca="1" si="56"/>
        <v>0</v>
      </c>
      <c r="X199" s="1">
        <f t="shared" ca="1" si="56"/>
        <v>0</v>
      </c>
      <c r="Y199" s="1">
        <f t="shared" ca="1" si="56"/>
        <v>2078.0622641509499</v>
      </c>
      <c r="Z199" s="1">
        <f t="shared" ca="1" si="56"/>
        <v>0</v>
      </c>
      <c r="AA199" s="1">
        <f t="shared" ca="1" si="56"/>
        <v>0</v>
      </c>
      <c r="AB199" s="1">
        <f t="shared" ca="1" si="56"/>
        <v>0</v>
      </c>
      <c r="AC199" s="1">
        <f t="shared" ca="1" si="56"/>
        <v>138.83414999999999</v>
      </c>
      <c r="AD199" s="1">
        <f t="shared" ca="1" si="56"/>
        <v>138.83414999999999</v>
      </c>
      <c r="AE199" s="1">
        <f t="shared" ca="1" si="56"/>
        <v>138.83414999999999</v>
      </c>
      <c r="AF199" s="1">
        <f t="shared" ca="1" si="56"/>
        <v>180.48439500000001</v>
      </c>
      <c r="AG199" s="1">
        <f t="shared" ca="1" si="56"/>
        <v>138.83414999999999</v>
      </c>
      <c r="AH199" s="1">
        <f t="shared" ca="1" si="56"/>
        <v>138.83414999999999</v>
      </c>
      <c r="AI199" s="1">
        <f t="shared" ca="1" si="44"/>
        <v>138.83414999999999</v>
      </c>
    </row>
    <row r="200" spans="2:35" x14ac:dyDescent="0.15">
      <c r="B200" s="1" t="str">
        <f t="shared" si="59"/>
        <v>龙系99</v>
      </c>
      <c r="C200" s="1">
        <f t="shared" si="49"/>
        <v>99</v>
      </c>
      <c r="D200" s="14" t="s">
        <v>91</v>
      </c>
      <c r="E200" s="14">
        <f t="shared" si="50"/>
        <v>2</v>
      </c>
      <c r="F200" s="1" t="str">
        <f t="shared" si="57"/>
        <v>火炎</v>
      </c>
      <c r="H200" s="1">
        <f t="shared" ca="1" si="58"/>
        <v>5768.4087294591918</v>
      </c>
      <c r="I200" s="1">
        <f t="shared" ca="1" si="55"/>
        <v>100</v>
      </c>
      <c r="J200" s="1">
        <f t="shared" ca="1" si="55"/>
        <v>3321.0964285714344</v>
      </c>
      <c r="K200" s="1">
        <f t="shared" ca="1" si="55"/>
        <v>140.25082499999999</v>
      </c>
      <c r="L200" s="1">
        <f t="shared" ca="1" si="55"/>
        <v>2214.0642857142898</v>
      </c>
      <c r="M200" s="1">
        <f t="shared" ca="1" si="55"/>
        <v>140.25082499999999</v>
      </c>
      <c r="N200" s="1">
        <f t="shared" ca="1" si="55"/>
        <v>0.2</v>
      </c>
      <c r="O200" s="1">
        <f t="shared" ca="1" si="55"/>
        <v>0.2</v>
      </c>
      <c r="P200" s="1">
        <f t="shared" ca="1" si="55"/>
        <v>0.36</v>
      </c>
      <c r="Q200" s="1">
        <f t="shared" ca="1" si="55"/>
        <v>0.1</v>
      </c>
      <c r="R200" s="1">
        <f t="shared" ca="1" si="55"/>
        <v>3</v>
      </c>
      <c r="S200" s="1">
        <f t="shared" ca="1" si="56"/>
        <v>0.1</v>
      </c>
      <c r="T200" s="1">
        <f t="shared" ca="1" si="56"/>
        <v>0.9</v>
      </c>
      <c r="U200" s="1">
        <f t="shared" ca="1" si="56"/>
        <v>191.4</v>
      </c>
      <c r="V200" s="1">
        <f t="shared" ca="1" si="56"/>
        <v>0</v>
      </c>
      <c r="W200" s="1">
        <f t="shared" ca="1" si="56"/>
        <v>0</v>
      </c>
      <c r="X200" s="1">
        <f t="shared" ca="1" si="56"/>
        <v>0</v>
      </c>
      <c r="Y200" s="1">
        <f t="shared" ca="1" si="56"/>
        <v>2170.2214285714299</v>
      </c>
      <c r="Z200" s="1">
        <f t="shared" ca="1" si="56"/>
        <v>0</v>
      </c>
      <c r="AA200" s="1">
        <f t="shared" ca="1" si="56"/>
        <v>0</v>
      </c>
      <c r="AB200" s="1">
        <f t="shared" ca="1" si="56"/>
        <v>0</v>
      </c>
      <c r="AC200" s="1">
        <f t="shared" ca="1" si="56"/>
        <v>140.25082499999999</v>
      </c>
      <c r="AD200" s="1">
        <f t="shared" ca="1" si="56"/>
        <v>140.25082499999999</v>
      </c>
      <c r="AE200" s="1">
        <f t="shared" ca="1" si="56"/>
        <v>140.25082499999999</v>
      </c>
      <c r="AF200" s="1">
        <f t="shared" ca="1" si="56"/>
        <v>182.32607250000001</v>
      </c>
      <c r="AG200" s="1">
        <f t="shared" ca="1" si="56"/>
        <v>140.25082499999999</v>
      </c>
      <c r="AH200" s="1">
        <f t="shared" ca="1" si="56"/>
        <v>140.25082499999999</v>
      </c>
      <c r="AI200" s="1">
        <f t="shared" ca="1" si="44"/>
        <v>140.25082499999999</v>
      </c>
    </row>
    <row r="201" spans="2:35" x14ac:dyDescent="0.15">
      <c r="B201" s="1" t="str">
        <f t="shared" si="59"/>
        <v>僵尸系1</v>
      </c>
      <c r="C201" s="1">
        <f t="shared" si="49"/>
        <v>1</v>
      </c>
      <c r="D201" s="14" t="s">
        <v>92</v>
      </c>
      <c r="E201" s="14">
        <f t="shared" si="50"/>
        <v>3</v>
      </c>
      <c r="F201" s="1" t="str">
        <f t="shared" si="57"/>
        <v>黑暗</v>
      </c>
      <c r="H201" s="1">
        <f t="shared" ca="1" si="58"/>
        <v>11.619062514174292</v>
      </c>
      <c r="I201" s="1">
        <f t="shared" ca="1" si="55"/>
        <v>100</v>
      </c>
      <c r="J201" s="1">
        <f t="shared" ca="1" si="55"/>
        <v>8.8928124999999998</v>
      </c>
      <c r="K201" s="1">
        <f t="shared" ca="1" si="55"/>
        <v>1.4166749999999999</v>
      </c>
      <c r="L201" s="1">
        <f t="shared" ca="1" si="55"/>
        <v>12.126562499999999</v>
      </c>
      <c r="M201" s="1">
        <f t="shared" ca="1" si="55"/>
        <v>1.4166749999999999</v>
      </c>
      <c r="N201" s="1">
        <f t="shared" ca="1" si="55"/>
        <v>0.2</v>
      </c>
      <c r="O201" s="1">
        <f t="shared" ca="1" si="55"/>
        <v>0.2</v>
      </c>
      <c r="P201" s="1">
        <f t="shared" ca="1" si="55"/>
        <v>0.36</v>
      </c>
      <c r="Q201" s="1">
        <f t="shared" ca="1" si="55"/>
        <v>0.1</v>
      </c>
      <c r="R201" s="1">
        <f t="shared" ca="1" si="55"/>
        <v>2.2000000000000002</v>
      </c>
      <c r="S201" s="1">
        <f t="shared" ca="1" si="56"/>
        <v>0.1</v>
      </c>
      <c r="T201" s="1">
        <f t="shared" ca="1" si="56"/>
        <v>1.1700000000000002</v>
      </c>
      <c r="U201" s="1">
        <f t="shared" ca="1" si="56"/>
        <v>2.5133333333333292</v>
      </c>
      <c r="V201" s="1">
        <f t="shared" ca="1" si="56"/>
        <v>0</v>
      </c>
      <c r="W201" s="1">
        <f t="shared" ca="1" si="56"/>
        <v>0</v>
      </c>
      <c r="X201" s="1">
        <f t="shared" ca="1" si="56"/>
        <v>0</v>
      </c>
      <c r="Y201" s="1">
        <f t="shared" ca="1" si="56"/>
        <v>0</v>
      </c>
      <c r="Z201" s="1">
        <f t="shared" ca="1" si="56"/>
        <v>0</v>
      </c>
      <c r="AA201" s="1">
        <f t="shared" ca="1" si="56"/>
        <v>4.0625000000000001E-2</v>
      </c>
      <c r="AB201" s="1">
        <f t="shared" ca="1" si="56"/>
        <v>0</v>
      </c>
      <c r="AC201" s="1">
        <f t="shared" ca="1" si="56"/>
        <v>1.4166749999999999</v>
      </c>
      <c r="AD201" s="1">
        <f t="shared" ca="1" si="56"/>
        <v>1.4166749999999999</v>
      </c>
      <c r="AE201" s="1">
        <f t="shared" ca="1" si="56"/>
        <v>1.4166749999999999</v>
      </c>
      <c r="AF201" s="1">
        <f t="shared" ca="1" si="56"/>
        <v>1.4166749999999999</v>
      </c>
      <c r="AG201" s="1">
        <f t="shared" ca="1" si="56"/>
        <v>1.4166749999999999</v>
      </c>
      <c r="AH201" s="1">
        <f t="shared" ca="1" si="56"/>
        <v>1.8416774999999999</v>
      </c>
      <c r="AI201" s="1">
        <f t="shared" ca="1" si="44"/>
        <v>1.4166749999999999</v>
      </c>
    </row>
    <row r="202" spans="2:35" x14ac:dyDescent="0.15">
      <c r="B202" s="1" t="str">
        <f t="shared" si="59"/>
        <v>僵尸系2</v>
      </c>
      <c r="C202" s="1">
        <f t="shared" si="49"/>
        <v>2</v>
      </c>
      <c r="D202" s="14" t="s">
        <v>92</v>
      </c>
      <c r="E202" s="14">
        <f t="shared" si="50"/>
        <v>3</v>
      </c>
      <c r="F202" s="1" t="str">
        <f t="shared" si="57"/>
        <v>黑暗</v>
      </c>
      <c r="H202" s="1">
        <f t="shared" ca="1" si="58"/>
        <v>25.519686394768353</v>
      </c>
      <c r="I202" s="1">
        <f t="shared" ca="1" si="55"/>
        <v>100</v>
      </c>
      <c r="J202" s="1">
        <f t="shared" ca="1" si="55"/>
        <v>18.393624161073809</v>
      </c>
      <c r="K202" s="1">
        <f t="shared" ca="1" si="55"/>
        <v>2.8333499999999998</v>
      </c>
      <c r="L202" s="1">
        <f t="shared" ca="1" si="55"/>
        <v>25.082214765100648</v>
      </c>
      <c r="M202" s="1">
        <f t="shared" ca="1" si="55"/>
        <v>2.8333499999999998</v>
      </c>
      <c r="N202" s="1">
        <f t="shared" ca="1" si="55"/>
        <v>0.2</v>
      </c>
      <c r="O202" s="1">
        <f t="shared" ca="1" si="55"/>
        <v>0.2</v>
      </c>
      <c r="P202" s="1">
        <f t="shared" ca="1" si="55"/>
        <v>0.36</v>
      </c>
      <c r="Q202" s="1">
        <f t="shared" ca="1" si="55"/>
        <v>0.1</v>
      </c>
      <c r="R202" s="1">
        <f t="shared" ca="1" si="55"/>
        <v>2.2000000000000002</v>
      </c>
      <c r="S202" s="1">
        <f t="shared" ca="1" si="56"/>
        <v>0.1</v>
      </c>
      <c r="T202" s="1">
        <f t="shared" ca="1" si="56"/>
        <v>1.1700000000000002</v>
      </c>
      <c r="U202" s="1">
        <f t="shared" ca="1" si="56"/>
        <v>5.0266666666666708</v>
      </c>
      <c r="V202" s="1">
        <f t="shared" ca="1" si="56"/>
        <v>0</v>
      </c>
      <c r="W202" s="1">
        <f t="shared" ca="1" si="56"/>
        <v>0</v>
      </c>
      <c r="X202" s="1">
        <f t="shared" ca="1" si="56"/>
        <v>0</v>
      </c>
      <c r="Y202" s="1">
        <f t="shared" ca="1" si="56"/>
        <v>0</v>
      </c>
      <c r="Z202" s="1">
        <f t="shared" ca="1" si="56"/>
        <v>0</v>
      </c>
      <c r="AA202" s="1">
        <f t="shared" ca="1" si="56"/>
        <v>0.16890380313199099</v>
      </c>
      <c r="AB202" s="1">
        <f t="shared" ca="1" si="56"/>
        <v>0</v>
      </c>
      <c r="AC202" s="1">
        <f t="shared" ca="1" si="56"/>
        <v>2.8333499999999998</v>
      </c>
      <c r="AD202" s="1">
        <f t="shared" ca="1" si="56"/>
        <v>2.8333499999999998</v>
      </c>
      <c r="AE202" s="1">
        <f t="shared" ca="1" si="56"/>
        <v>2.8333499999999998</v>
      </c>
      <c r="AF202" s="1">
        <f t="shared" ca="1" si="56"/>
        <v>2.8333499999999998</v>
      </c>
      <c r="AG202" s="1">
        <f t="shared" ca="1" si="56"/>
        <v>2.8333499999999998</v>
      </c>
      <c r="AH202" s="1">
        <f t="shared" ca="1" si="56"/>
        <v>3.6833549999999997</v>
      </c>
      <c r="AI202" s="1">
        <f t="shared" ca="1" si="44"/>
        <v>2.8333499999999998</v>
      </c>
    </row>
    <row r="203" spans="2:35" x14ac:dyDescent="0.15">
      <c r="B203" s="1" t="str">
        <f t="shared" si="59"/>
        <v>僵尸系3</v>
      </c>
      <c r="C203" s="1">
        <f t="shared" si="49"/>
        <v>3</v>
      </c>
      <c r="D203" s="14" t="s">
        <v>92</v>
      </c>
      <c r="E203" s="14">
        <f t="shared" si="50"/>
        <v>3</v>
      </c>
      <c r="F203" s="1" t="str">
        <f t="shared" si="57"/>
        <v>黑暗</v>
      </c>
      <c r="H203" s="1">
        <f t="shared" ca="1" si="58"/>
        <v>41.744122778197315</v>
      </c>
      <c r="I203" s="1">
        <f t="shared" ref="I203:R212" ca="1" si="60">mVlookup($C203,monsterBaseDate,I$2,FALSE)*(1+mVlookup($E203,monsterType,I$2,FALSE))</f>
        <v>100</v>
      </c>
      <c r="J203" s="1">
        <f t="shared" ca="1" si="60"/>
        <v>28.551689189189212</v>
      </c>
      <c r="K203" s="1">
        <f t="shared" ca="1" si="60"/>
        <v>4.2500249999999999</v>
      </c>
      <c r="L203" s="1">
        <f t="shared" ca="1" si="60"/>
        <v>38.934121621621649</v>
      </c>
      <c r="M203" s="1">
        <f t="shared" ca="1" si="60"/>
        <v>4.2500249999999999</v>
      </c>
      <c r="N203" s="1">
        <f t="shared" ca="1" si="60"/>
        <v>0.2</v>
      </c>
      <c r="O203" s="1">
        <f t="shared" ca="1" si="60"/>
        <v>0.2</v>
      </c>
      <c r="P203" s="1">
        <f t="shared" ca="1" si="60"/>
        <v>0.36</v>
      </c>
      <c r="Q203" s="1">
        <f t="shared" ca="1" si="60"/>
        <v>0.1</v>
      </c>
      <c r="R203" s="1">
        <f t="shared" ca="1" si="60"/>
        <v>2.2000000000000002</v>
      </c>
      <c r="S203" s="1">
        <f t="shared" ref="S203:AH218" ca="1" si="61">mVlookup($C203,monsterBaseDate,S$2,FALSE)*(1+mVlookup($E203,monsterType,S$2,FALSE))</f>
        <v>0.1</v>
      </c>
      <c r="T203" s="1">
        <f t="shared" ca="1" si="61"/>
        <v>1.1700000000000002</v>
      </c>
      <c r="U203" s="1">
        <f t="shared" ca="1" si="61"/>
        <v>7.54</v>
      </c>
      <c r="V203" s="1">
        <f t="shared" ca="1" si="61"/>
        <v>0</v>
      </c>
      <c r="W203" s="1">
        <f t="shared" ca="1" si="61"/>
        <v>0</v>
      </c>
      <c r="X203" s="1">
        <f t="shared" ca="1" si="61"/>
        <v>0</v>
      </c>
      <c r="Y203" s="1">
        <f t="shared" ca="1" si="61"/>
        <v>0</v>
      </c>
      <c r="Z203" s="1">
        <f t="shared" ca="1" si="61"/>
        <v>0</v>
      </c>
      <c r="AA203" s="1">
        <f t="shared" ca="1" si="61"/>
        <v>0.39527027027027001</v>
      </c>
      <c r="AB203" s="1">
        <f t="shared" ca="1" si="56"/>
        <v>0</v>
      </c>
      <c r="AC203" s="1">
        <f t="shared" ca="1" si="61"/>
        <v>4.2500249999999999</v>
      </c>
      <c r="AD203" s="1">
        <f t="shared" ca="1" si="61"/>
        <v>4.2500249999999999</v>
      </c>
      <c r="AE203" s="1">
        <f t="shared" ca="1" si="61"/>
        <v>4.2500249999999999</v>
      </c>
      <c r="AF203" s="1">
        <f t="shared" ca="1" si="61"/>
        <v>4.2500249999999999</v>
      </c>
      <c r="AG203" s="1">
        <f t="shared" ca="1" si="61"/>
        <v>4.2500249999999999</v>
      </c>
      <c r="AH203" s="1">
        <f t="shared" ca="1" si="61"/>
        <v>5.5250325</v>
      </c>
      <c r="AI203" s="1">
        <f t="shared" ca="1" si="44"/>
        <v>4.2500249999999999</v>
      </c>
    </row>
    <row r="204" spans="2:35" x14ac:dyDescent="0.15">
      <c r="B204" s="1" t="str">
        <f t="shared" si="59"/>
        <v>僵尸系4</v>
      </c>
      <c r="C204" s="1">
        <f t="shared" si="49"/>
        <v>4</v>
      </c>
      <c r="D204" s="14" t="s">
        <v>92</v>
      </c>
      <c r="E204" s="14">
        <f t="shared" si="50"/>
        <v>3</v>
      </c>
      <c r="F204" s="1" t="str">
        <f t="shared" si="57"/>
        <v>黑暗</v>
      </c>
      <c r="H204" s="1">
        <f t="shared" ca="1" si="58"/>
        <v>60.334622800876204</v>
      </c>
      <c r="I204" s="1">
        <f t="shared" ca="1" si="60"/>
        <v>100</v>
      </c>
      <c r="J204" s="1">
        <f t="shared" ca="1" si="60"/>
        <v>39.42162162162159</v>
      </c>
      <c r="K204" s="1">
        <f t="shared" ca="1" si="60"/>
        <v>5.6666999999999996</v>
      </c>
      <c r="L204" s="1">
        <f t="shared" ca="1" si="60"/>
        <v>53.756756756756701</v>
      </c>
      <c r="M204" s="1">
        <f t="shared" ca="1" si="60"/>
        <v>5.6666999999999996</v>
      </c>
      <c r="N204" s="1">
        <f t="shared" ca="1" si="60"/>
        <v>0.2</v>
      </c>
      <c r="O204" s="1">
        <f t="shared" ca="1" si="60"/>
        <v>0.2</v>
      </c>
      <c r="P204" s="1">
        <f t="shared" ca="1" si="60"/>
        <v>0.36</v>
      </c>
      <c r="Q204" s="1">
        <f t="shared" ca="1" si="60"/>
        <v>0.1</v>
      </c>
      <c r="R204" s="1">
        <f t="shared" ca="1" si="60"/>
        <v>2.2000000000000002</v>
      </c>
      <c r="S204" s="1">
        <f t="shared" ca="1" si="61"/>
        <v>0.1</v>
      </c>
      <c r="T204" s="1">
        <f t="shared" ca="1" si="61"/>
        <v>1.1700000000000002</v>
      </c>
      <c r="U204" s="1">
        <f t="shared" ca="1" si="61"/>
        <v>10.053333333333329</v>
      </c>
      <c r="V204" s="1">
        <f t="shared" ca="1" si="61"/>
        <v>0</v>
      </c>
      <c r="W204" s="1">
        <f t="shared" ca="1" si="61"/>
        <v>0</v>
      </c>
      <c r="X204" s="1">
        <f t="shared" ca="1" si="61"/>
        <v>0</v>
      </c>
      <c r="Y204" s="1">
        <f t="shared" ca="1" si="61"/>
        <v>0</v>
      </c>
      <c r="Z204" s="1">
        <f t="shared" ca="1" si="61"/>
        <v>0</v>
      </c>
      <c r="AA204" s="1">
        <f t="shared" ca="1" si="61"/>
        <v>0.73138444567016003</v>
      </c>
      <c r="AB204" s="1">
        <f t="shared" ca="1" si="56"/>
        <v>0</v>
      </c>
      <c r="AC204" s="1">
        <f t="shared" ca="1" si="61"/>
        <v>5.6666999999999996</v>
      </c>
      <c r="AD204" s="1">
        <f t="shared" ca="1" si="61"/>
        <v>5.6666999999999996</v>
      </c>
      <c r="AE204" s="1">
        <f t="shared" ca="1" si="61"/>
        <v>5.6666999999999996</v>
      </c>
      <c r="AF204" s="1">
        <f t="shared" ca="1" si="61"/>
        <v>5.6666999999999996</v>
      </c>
      <c r="AG204" s="1">
        <f t="shared" ca="1" si="61"/>
        <v>5.6666999999999996</v>
      </c>
      <c r="AH204" s="1">
        <f t="shared" ca="1" si="61"/>
        <v>7.3667099999999994</v>
      </c>
      <c r="AI204" s="1">
        <f t="shared" ca="1" si="44"/>
        <v>5.6666999999999996</v>
      </c>
    </row>
    <row r="205" spans="2:35" x14ac:dyDescent="0.15">
      <c r="B205" s="1" t="str">
        <f t="shared" si="59"/>
        <v>僵尸系5</v>
      </c>
      <c r="C205" s="1">
        <f t="shared" si="49"/>
        <v>5</v>
      </c>
      <c r="D205" s="14" t="s">
        <v>92</v>
      </c>
      <c r="E205" s="14">
        <f t="shared" si="50"/>
        <v>3</v>
      </c>
      <c r="F205" s="1" t="str">
        <f t="shared" si="57"/>
        <v>黑暗</v>
      </c>
      <c r="H205" s="1">
        <f t="shared" ca="1" si="58"/>
        <v>81.33343759922046</v>
      </c>
      <c r="I205" s="1">
        <f t="shared" ca="1" si="60"/>
        <v>100</v>
      </c>
      <c r="J205" s="1">
        <f t="shared" ca="1" si="60"/>
        <v>51.0641409817352</v>
      </c>
      <c r="K205" s="1">
        <f t="shared" ca="1" si="60"/>
        <v>7.0833750000000002</v>
      </c>
      <c r="L205" s="1">
        <f t="shared" ca="1" si="60"/>
        <v>69.632919520548</v>
      </c>
      <c r="M205" s="1">
        <f t="shared" ca="1" si="60"/>
        <v>7.0833750000000002</v>
      </c>
      <c r="N205" s="1">
        <f t="shared" ca="1" si="60"/>
        <v>0.2</v>
      </c>
      <c r="O205" s="1">
        <f t="shared" ca="1" si="60"/>
        <v>0.2</v>
      </c>
      <c r="P205" s="1">
        <f t="shared" ca="1" si="60"/>
        <v>0.36</v>
      </c>
      <c r="Q205" s="1">
        <f t="shared" ca="1" si="60"/>
        <v>0.1</v>
      </c>
      <c r="R205" s="1">
        <f t="shared" ca="1" si="60"/>
        <v>2.2000000000000002</v>
      </c>
      <c r="S205" s="1">
        <f t="shared" ca="1" si="61"/>
        <v>0.1</v>
      </c>
      <c r="T205" s="1">
        <f t="shared" ca="1" si="61"/>
        <v>1.1700000000000002</v>
      </c>
      <c r="U205" s="1">
        <f t="shared" ca="1" si="61"/>
        <v>12.566666666666672</v>
      </c>
      <c r="V205" s="1">
        <f t="shared" ca="1" si="61"/>
        <v>0</v>
      </c>
      <c r="W205" s="1">
        <f t="shared" ca="1" si="61"/>
        <v>0</v>
      </c>
      <c r="X205" s="1">
        <f t="shared" ca="1" si="61"/>
        <v>0</v>
      </c>
      <c r="Y205" s="1">
        <f t="shared" ca="1" si="61"/>
        <v>0</v>
      </c>
      <c r="Z205" s="1">
        <f t="shared" ca="1" si="61"/>
        <v>0</v>
      </c>
      <c r="AA205" s="1">
        <f t="shared" ca="1" si="61"/>
        <v>1.1903063165905601</v>
      </c>
      <c r="AB205" s="1">
        <f t="shared" ca="1" si="56"/>
        <v>0</v>
      </c>
      <c r="AC205" s="1">
        <f t="shared" ca="1" si="61"/>
        <v>7.0833750000000002</v>
      </c>
      <c r="AD205" s="1">
        <f t="shared" ca="1" si="61"/>
        <v>7.0833750000000002</v>
      </c>
      <c r="AE205" s="1">
        <f t="shared" ca="1" si="61"/>
        <v>7.0833750000000002</v>
      </c>
      <c r="AF205" s="1">
        <f t="shared" ca="1" si="61"/>
        <v>7.0833750000000002</v>
      </c>
      <c r="AG205" s="1">
        <f t="shared" ca="1" si="61"/>
        <v>7.0833750000000002</v>
      </c>
      <c r="AH205" s="1">
        <f t="shared" ca="1" si="61"/>
        <v>9.2083875000000006</v>
      </c>
      <c r="AI205" s="1">
        <f t="shared" ca="1" si="44"/>
        <v>7.0833750000000002</v>
      </c>
    </row>
    <row r="206" spans="2:35" x14ac:dyDescent="0.15">
      <c r="B206" s="1" t="str">
        <f t="shared" si="59"/>
        <v>僵尸系6</v>
      </c>
      <c r="C206" s="1">
        <f t="shared" si="49"/>
        <v>6</v>
      </c>
      <c r="D206" s="14" t="s">
        <v>92</v>
      </c>
      <c r="E206" s="14">
        <f t="shared" si="50"/>
        <v>3</v>
      </c>
      <c r="F206" s="1" t="str">
        <f t="shared" si="57"/>
        <v>黑暗</v>
      </c>
      <c r="H206" s="1">
        <f t="shared" ca="1" si="58"/>
        <v>104.7828183096446</v>
      </c>
      <c r="I206" s="1">
        <f t="shared" ca="1" si="60"/>
        <v>100</v>
      </c>
      <c r="J206" s="1">
        <f t="shared" ca="1" si="60"/>
        <v>63.546945812807934</v>
      </c>
      <c r="K206" s="1">
        <f t="shared" ca="1" si="60"/>
        <v>8.5000499999999999</v>
      </c>
      <c r="L206" s="1">
        <f t="shared" ca="1" si="60"/>
        <v>86.654926108374454</v>
      </c>
      <c r="M206" s="1">
        <f t="shared" ca="1" si="60"/>
        <v>8.5000499999999999</v>
      </c>
      <c r="N206" s="1">
        <f t="shared" ca="1" si="60"/>
        <v>0.2</v>
      </c>
      <c r="O206" s="1">
        <f t="shared" ca="1" si="60"/>
        <v>0.2</v>
      </c>
      <c r="P206" s="1">
        <f t="shared" ca="1" si="60"/>
        <v>0.36</v>
      </c>
      <c r="Q206" s="1">
        <f t="shared" ca="1" si="60"/>
        <v>0.1</v>
      </c>
      <c r="R206" s="1">
        <f t="shared" ca="1" si="60"/>
        <v>2.2000000000000002</v>
      </c>
      <c r="S206" s="1">
        <f t="shared" ca="1" si="61"/>
        <v>0.1</v>
      </c>
      <c r="T206" s="1">
        <f t="shared" ca="1" si="61"/>
        <v>1.1700000000000002</v>
      </c>
      <c r="U206" s="1">
        <f t="shared" ca="1" si="61"/>
        <v>15.08</v>
      </c>
      <c r="V206" s="1">
        <f t="shared" ca="1" si="61"/>
        <v>0</v>
      </c>
      <c r="W206" s="1">
        <f t="shared" ca="1" si="61"/>
        <v>0</v>
      </c>
      <c r="X206" s="1">
        <f t="shared" ca="1" si="61"/>
        <v>0</v>
      </c>
      <c r="Y206" s="1">
        <f t="shared" ca="1" si="61"/>
        <v>0</v>
      </c>
      <c r="Z206" s="1">
        <f t="shared" ca="1" si="61"/>
        <v>0</v>
      </c>
      <c r="AA206" s="1">
        <f t="shared" ca="1" si="61"/>
        <v>1.7866995073891601</v>
      </c>
      <c r="AB206" s="1">
        <f t="shared" ca="1" si="56"/>
        <v>0</v>
      </c>
      <c r="AC206" s="1">
        <f t="shared" ca="1" si="61"/>
        <v>8.5000499999999999</v>
      </c>
      <c r="AD206" s="1">
        <f t="shared" ca="1" si="61"/>
        <v>8.5000499999999999</v>
      </c>
      <c r="AE206" s="1">
        <f t="shared" ca="1" si="61"/>
        <v>8.5000499999999999</v>
      </c>
      <c r="AF206" s="1">
        <f t="shared" ca="1" si="61"/>
        <v>8.5000499999999999</v>
      </c>
      <c r="AG206" s="1">
        <f t="shared" ca="1" si="61"/>
        <v>8.5000499999999999</v>
      </c>
      <c r="AH206" s="1">
        <f t="shared" ca="1" si="61"/>
        <v>11.050065</v>
      </c>
      <c r="AI206" s="1">
        <f t="shared" ca="1" si="44"/>
        <v>8.5000499999999999</v>
      </c>
    </row>
    <row r="207" spans="2:35" x14ac:dyDescent="0.15">
      <c r="B207" s="1" t="str">
        <f t="shared" si="59"/>
        <v>僵尸系7</v>
      </c>
      <c r="C207" s="1">
        <f t="shared" si="49"/>
        <v>7</v>
      </c>
      <c r="D207" s="14" t="s">
        <v>92</v>
      </c>
      <c r="E207" s="14">
        <f t="shared" si="50"/>
        <v>3</v>
      </c>
      <c r="F207" s="1" t="str">
        <f t="shared" si="57"/>
        <v>黑暗</v>
      </c>
      <c r="H207" s="1">
        <f t="shared" ca="1" si="58"/>
        <v>130.72501606856514</v>
      </c>
      <c r="I207" s="1">
        <f t="shared" ca="1" si="60"/>
        <v>100</v>
      </c>
      <c r="J207" s="1">
        <f t="shared" ca="1" si="60"/>
        <v>74.747291666666641</v>
      </c>
      <c r="K207" s="1">
        <f t="shared" ca="1" si="60"/>
        <v>9.9167249999999996</v>
      </c>
      <c r="L207" s="1">
        <f t="shared" ca="1" si="60"/>
        <v>101.92812499999997</v>
      </c>
      <c r="M207" s="1">
        <f t="shared" ca="1" si="60"/>
        <v>9.9167249999999996</v>
      </c>
      <c r="N207" s="1">
        <f t="shared" ca="1" si="60"/>
        <v>0.2</v>
      </c>
      <c r="O207" s="1">
        <f t="shared" ca="1" si="60"/>
        <v>0.2</v>
      </c>
      <c r="P207" s="1">
        <f t="shared" ca="1" si="60"/>
        <v>0.36</v>
      </c>
      <c r="Q207" s="1">
        <f t="shared" ca="1" si="60"/>
        <v>0.1</v>
      </c>
      <c r="R207" s="1">
        <f t="shared" ca="1" si="60"/>
        <v>2.2000000000000002</v>
      </c>
      <c r="S207" s="1">
        <f t="shared" ca="1" si="61"/>
        <v>0.1</v>
      </c>
      <c r="T207" s="1">
        <f t="shared" ca="1" si="61"/>
        <v>1.1700000000000002</v>
      </c>
      <c r="U207" s="1">
        <f t="shared" ca="1" si="61"/>
        <v>17.593333333333291</v>
      </c>
      <c r="V207" s="1">
        <f t="shared" ca="1" si="61"/>
        <v>0</v>
      </c>
      <c r="W207" s="1">
        <f t="shared" ca="1" si="61"/>
        <v>0</v>
      </c>
      <c r="X207" s="1">
        <f t="shared" ca="1" si="61"/>
        <v>0</v>
      </c>
      <c r="Y207" s="1">
        <f t="shared" ca="1" si="61"/>
        <v>0</v>
      </c>
      <c r="Z207" s="1">
        <f t="shared" ca="1" si="61"/>
        <v>0</v>
      </c>
      <c r="AA207" s="1">
        <f t="shared" ca="1" si="61"/>
        <v>2.46458333333333</v>
      </c>
      <c r="AB207" s="1">
        <f t="shared" ca="1" si="56"/>
        <v>0</v>
      </c>
      <c r="AC207" s="1">
        <f t="shared" ca="1" si="61"/>
        <v>9.9167249999999996</v>
      </c>
      <c r="AD207" s="1">
        <f t="shared" ca="1" si="61"/>
        <v>9.9167249999999996</v>
      </c>
      <c r="AE207" s="1">
        <f t="shared" ca="1" si="61"/>
        <v>9.9167249999999996</v>
      </c>
      <c r="AF207" s="1">
        <f t="shared" ca="1" si="61"/>
        <v>9.9167249999999996</v>
      </c>
      <c r="AG207" s="1">
        <f t="shared" ca="1" si="61"/>
        <v>9.9167249999999996</v>
      </c>
      <c r="AH207" s="1">
        <f t="shared" ca="1" si="61"/>
        <v>12.891742499999999</v>
      </c>
      <c r="AI207" s="1">
        <f t="shared" ca="1" si="44"/>
        <v>9.9167249999999996</v>
      </c>
    </row>
    <row r="208" spans="2:35" x14ac:dyDescent="0.15">
      <c r="B208" s="1" t="str">
        <f t="shared" si="59"/>
        <v>僵尸系8</v>
      </c>
      <c r="C208" s="1">
        <f t="shared" si="49"/>
        <v>8</v>
      </c>
      <c r="D208" s="14" t="s">
        <v>92</v>
      </c>
      <c r="E208" s="14">
        <f t="shared" si="50"/>
        <v>3</v>
      </c>
      <c r="F208" s="1" t="str">
        <f t="shared" si="57"/>
        <v>黑暗</v>
      </c>
      <c r="H208" s="1">
        <f t="shared" ca="1" si="58"/>
        <v>159.20228201239658</v>
      </c>
      <c r="I208" s="1">
        <f t="shared" ca="1" si="60"/>
        <v>100</v>
      </c>
      <c r="J208" s="1">
        <f t="shared" ca="1" si="60"/>
        <v>86.125714285714295</v>
      </c>
      <c r="K208" s="1">
        <f t="shared" ca="1" si="60"/>
        <v>11.333399999999999</v>
      </c>
      <c r="L208" s="1">
        <f t="shared" ca="1" si="60"/>
        <v>117.44415584415586</v>
      </c>
      <c r="M208" s="1">
        <f t="shared" ca="1" si="60"/>
        <v>11.333399999999999</v>
      </c>
      <c r="N208" s="1">
        <f t="shared" ca="1" si="60"/>
        <v>0.2</v>
      </c>
      <c r="O208" s="1">
        <f t="shared" ca="1" si="60"/>
        <v>0.2</v>
      </c>
      <c r="P208" s="1">
        <f t="shared" ca="1" si="60"/>
        <v>0.36</v>
      </c>
      <c r="Q208" s="1">
        <f t="shared" ca="1" si="60"/>
        <v>0.1</v>
      </c>
      <c r="R208" s="1">
        <f t="shared" ca="1" si="60"/>
        <v>2.2000000000000002</v>
      </c>
      <c r="S208" s="1">
        <f t="shared" ca="1" si="61"/>
        <v>0.1</v>
      </c>
      <c r="T208" s="1">
        <f t="shared" ca="1" si="61"/>
        <v>1.1700000000000002</v>
      </c>
      <c r="U208" s="1">
        <f t="shared" ca="1" si="61"/>
        <v>20.106666666666712</v>
      </c>
      <c r="V208" s="1">
        <f t="shared" ca="1" si="61"/>
        <v>0</v>
      </c>
      <c r="W208" s="1">
        <f t="shared" ca="1" si="61"/>
        <v>0</v>
      </c>
      <c r="X208" s="1">
        <f t="shared" ca="1" si="61"/>
        <v>0</v>
      </c>
      <c r="Y208" s="1">
        <f t="shared" ca="1" si="61"/>
        <v>0</v>
      </c>
      <c r="Z208" s="1">
        <f t="shared" ca="1" si="61"/>
        <v>0</v>
      </c>
      <c r="AA208" s="1">
        <f t="shared" ca="1" si="61"/>
        <v>3.2623376623376599</v>
      </c>
      <c r="AB208" s="1">
        <f t="shared" ca="1" si="56"/>
        <v>0</v>
      </c>
      <c r="AC208" s="1">
        <f t="shared" ca="1" si="61"/>
        <v>11.333399999999999</v>
      </c>
      <c r="AD208" s="1">
        <f t="shared" ca="1" si="61"/>
        <v>11.333399999999999</v>
      </c>
      <c r="AE208" s="1">
        <f t="shared" ca="1" si="61"/>
        <v>11.333399999999999</v>
      </c>
      <c r="AF208" s="1">
        <f t="shared" ca="1" si="61"/>
        <v>11.333399999999999</v>
      </c>
      <c r="AG208" s="1">
        <f t="shared" ca="1" si="61"/>
        <v>11.333399999999999</v>
      </c>
      <c r="AH208" s="1">
        <f t="shared" ca="1" si="61"/>
        <v>14.733419999999999</v>
      </c>
      <c r="AI208" s="1">
        <f t="shared" ca="1" si="44"/>
        <v>11.333399999999999</v>
      </c>
    </row>
    <row r="209" spans="2:35" x14ac:dyDescent="0.15">
      <c r="B209" s="1" t="str">
        <f t="shared" si="59"/>
        <v>僵尸系9</v>
      </c>
      <c r="C209" s="1">
        <f t="shared" si="49"/>
        <v>9</v>
      </c>
      <c r="D209" s="14" t="s">
        <v>92</v>
      </c>
      <c r="E209" s="14">
        <f t="shared" si="50"/>
        <v>3</v>
      </c>
      <c r="F209" s="1" t="str">
        <f t="shared" si="57"/>
        <v>黑暗</v>
      </c>
      <c r="H209" s="1">
        <f t="shared" ca="1" si="58"/>
        <v>190.25686727755325</v>
      </c>
      <c r="I209" s="1">
        <f t="shared" ca="1" si="60"/>
        <v>100</v>
      </c>
      <c r="J209" s="1">
        <f t="shared" ca="1" si="60"/>
        <v>97.683817907444677</v>
      </c>
      <c r="K209" s="1">
        <f t="shared" ca="1" si="60"/>
        <v>12.750075000000001</v>
      </c>
      <c r="L209" s="1">
        <f t="shared" ca="1" si="60"/>
        <v>133.20520623742453</v>
      </c>
      <c r="M209" s="1">
        <f t="shared" ca="1" si="60"/>
        <v>12.750075000000001</v>
      </c>
      <c r="N209" s="1">
        <f t="shared" ca="1" si="60"/>
        <v>0.2</v>
      </c>
      <c r="O209" s="1">
        <f t="shared" ca="1" si="60"/>
        <v>0.2</v>
      </c>
      <c r="P209" s="1">
        <f t="shared" ca="1" si="60"/>
        <v>0.36</v>
      </c>
      <c r="Q209" s="1">
        <f t="shared" ca="1" si="60"/>
        <v>0.1</v>
      </c>
      <c r="R209" s="1">
        <f t="shared" ca="1" si="60"/>
        <v>2.2000000000000002</v>
      </c>
      <c r="S209" s="1">
        <f t="shared" ca="1" si="61"/>
        <v>0.1</v>
      </c>
      <c r="T209" s="1">
        <f t="shared" ca="1" si="61"/>
        <v>1.1700000000000002</v>
      </c>
      <c r="U209" s="1">
        <f t="shared" ca="1" si="61"/>
        <v>22.619999999999997</v>
      </c>
      <c r="V209" s="1">
        <f t="shared" ca="1" si="61"/>
        <v>0</v>
      </c>
      <c r="W209" s="1">
        <f t="shared" ca="1" si="61"/>
        <v>0</v>
      </c>
      <c r="X209" s="1">
        <f t="shared" ca="1" si="61"/>
        <v>0</v>
      </c>
      <c r="Y209" s="1">
        <f t="shared" ca="1" si="61"/>
        <v>0</v>
      </c>
      <c r="Z209" s="1">
        <f t="shared" ca="1" si="61"/>
        <v>0</v>
      </c>
      <c r="AA209" s="1">
        <f t="shared" ca="1" si="61"/>
        <v>4.18445674044266</v>
      </c>
      <c r="AB209" s="1">
        <f t="shared" ca="1" si="61"/>
        <v>0</v>
      </c>
      <c r="AC209" s="1">
        <f t="shared" ca="1" si="61"/>
        <v>12.750075000000001</v>
      </c>
      <c r="AD209" s="1">
        <f t="shared" ca="1" si="61"/>
        <v>12.750075000000001</v>
      </c>
      <c r="AE209" s="1">
        <f t="shared" ca="1" si="61"/>
        <v>12.750075000000001</v>
      </c>
      <c r="AF209" s="1">
        <f t="shared" ca="1" si="61"/>
        <v>12.750075000000001</v>
      </c>
      <c r="AG209" s="1">
        <f t="shared" ca="1" si="61"/>
        <v>12.750075000000001</v>
      </c>
      <c r="AH209" s="1">
        <f t="shared" ca="1" si="61"/>
        <v>16.575097500000002</v>
      </c>
      <c r="AI209" s="1">
        <f t="shared" ca="1" si="44"/>
        <v>12.750075000000001</v>
      </c>
    </row>
    <row r="210" spans="2:35" x14ac:dyDescent="0.15">
      <c r="B210" s="1" t="str">
        <f t="shared" si="59"/>
        <v>僵尸系10</v>
      </c>
      <c r="C210" s="1">
        <f t="shared" si="49"/>
        <v>10</v>
      </c>
      <c r="D210" s="14" t="s">
        <v>92</v>
      </c>
      <c r="E210" s="14">
        <f t="shared" si="50"/>
        <v>3</v>
      </c>
      <c r="F210" s="1" t="str">
        <f t="shared" si="57"/>
        <v>黑暗</v>
      </c>
      <c r="H210" s="1">
        <f t="shared" ca="1" si="58"/>
        <v>223.93102300045069</v>
      </c>
      <c r="I210" s="1">
        <f t="shared" ca="1" si="60"/>
        <v>100</v>
      </c>
      <c r="J210" s="1">
        <f t="shared" ca="1" si="60"/>
        <v>109.42325227963526</v>
      </c>
      <c r="K210" s="1">
        <f t="shared" ca="1" si="60"/>
        <v>14.16675</v>
      </c>
      <c r="L210" s="1">
        <f t="shared" ca="1" si="60"/>
        <v>149.21352583586625</v>
      </c>
      <c r="M210" s="1">
        <f t="shared" ca="1" si="60"/>
        <v>14.16675</v>
      </c>
      <c r="N210" s="1">
        <f t="shared" ca="1" si="60"/>
        <v>0.2</v>
      </c>
      <c r="O210" s="1">
        <f t="shared" ca="1" si="60"/>
        <v>0.2</v>
      </c>
      <c r="P210" s="1">
        <f t="shared" ca="1" si="60"/>
        <v>0.36</v>
      </c>
      <c r="Q210" s="1">
        <f t="shared" ca="1" si="60"/>
        <v>0.1</v>
      </c>
      <c r="R210" s="1">
        <f t="shared" ca="1" si="60"/>
        <v>2.2000000000000002</v>
      </c>
      <c r="S210" s="1">
        <f t="shared" ca="1" si="61"/>
        <v>0.1</v>
      </c>
      <c r="T210" s="1">
        <f t="shared" ca="1" si="61"/>
        <v>1.1700000000000002</v>
      </c>
      <c r="U210" s="1">
        <f t="shared" ca="1" si="61"/>
        <v>25.13333333333329</v>
      </c>
      <c r="V210" s="1">
        <f t="shared" ca="1" si="61"/>
        <v>0</v>
      </c>
      <c r="W210" s="1">
        <f t="shared" ca="1" si="61"/>
        <v>0</v>
      </c>
      <c r="X210" s="1">
        <f t="shared" ca="1" si="61"/>
        <v>0</v>
      </c>
      <c r="Y210" s="1">
        <f t="shared" ca="1" si="61"/>
        <v>0</v>
      </c>
      <c r="Z210" s="1">
        <f t="shared" ca="1" si="61"/>
        <v>0</v>
      </c>
      <c r="AA210" s="1">
        <f t="shared" ca="1" si="61"/>
        <v>5.2355623100304003</v>
      </c>
      <c r="AB210" s="1">
        <f t="shared" ca="1" si="61"/>
        <v>0</v>
      </c>
      <c r="AC210" s="1">
        <f t="shared" ca="1" si="61"/>
        <v>14.16675</v>
      </c>
      <c r="AD210" s="1">
        <f t="shared" ca="1" si="61"/>
        <v>14.16675</v>
      </c>
      <c r="AE210" s="1">
        <f t="shared" ca="1" si="61"/>
        <v>14.16675</v>
      </c>
      <c r="AF210" s="1">
        <f t="shared" ca="1" si="61"/>
        <v>14.16675</v>
      </c>
      <c r="AG210" s="1">
        <f t="shared" ca="1" si="61"/>
        <v>14.16675</v>
      </c>
      <c r="AH210" s="1">
        <f t="shared" ca="1" si="61"/>
        <v>18.416775000000001</v>
      </c>
      <c r="AI210" s="1">
        <f t="shared" ca="1" si="44"/>
        <v>14.16675</v>
      </c>
    </row>
    <row r="211" spans="2:35" x14ac:dyDescent="0.15">
      <c r="B211" s="1" t="str">
        <f t="shared" si="59"/>
        <v>僵尸系11</v>
      </c>
      <c r="C211" s="1">
        <f t="shared" si="49"/>
        <v>11</v>
      </c>
      <c r="D211" s="14" t="s">
        <v>92</v>
      </c>
      <c r="E211" s="14">
        <f t="shared" si="50"/>
        <v>3</v>
      </c>
      <c r="F211" s="1" t="str">
        <f t="shared" si="57"/>
        <v>黑暗</v>
      </c>
      <c r="H211" s="1">
        <f t="shared" ca="1" si="58"/>
        <v>247.87333363571918</v>
      </c>
      <c r="I211" s="1">
        <f t="shared" ca="1" si="60"/>
        <v>100</v>
      </c>
      <c r="J211" s="1">
        <f t="shared" ca="1" si="60"/>
        <v>121.34571428571461</v>
      </c>
      <c r="K211" s="1">
        <f t="shared" ca="1" si="60"/>
        <v>15.583425</v>
      </c>
      <c r="L211" s="1">
        <f t="shared" ca="1" si="60"/>
        <v>165.47142857142899</v>
      </c>
      <c r="M211" s="1">
        <f t="shared" ca="1" si="60"/>
        <v>15.583425</v>
      </c>
      <c r="N211" s="1">
        <f t="shared" ca="1" si="60"/>
        <v>0.2</v>
      </c>
      <c r="O211" s="1">
        <f t="shared" ca="1" si="60"/>
        <v>0.2</v>
      </c>
      <c r="P211" s="1">
        <f t="shared" ca="1" si="60"/>
        <v>0.36</v>
      </c>
      <c r="Q211" s="1">
        <f t="shared" ca="1" si="60"/>
        <v>0.1</v>
      </c>
      <c r="R211" s="1">
        <f t="shared" ca="1" si="60"/>
        <v>2.2000000000000002</v>
      </c>
      <c r="S211" s="1">
        <f t="shared" ca="1" si="61"/>
        <v>0.1</v>
      </c>
      <c r="T211" s="1">
        <f t="shared" ca="1" si="61"/>
        <v>1.1700000000000002</v>
      </c>
      <c r="U211" s="1">
        <f t="shared" ca="1" si="61"/>
        <v>27.646666666666711</v>
      </c>
      <c r="V211" s="1">
        <f t="shared" ca="1" si="61"/>
        <v>0</v>
      </c>
      <c r="W211" s="1">
        <f t="shared" ca="1" si="61"/>
        <v>0</v>
      </c>
      <c r="X211" s="1">
        <f t="shared" ca="1" si="61"/>
        <v>0</v>
      </c>
      <c r="Y211" s="1">
        <f t="shared" ca="1" si="61"/>
        <v>0</v>
      </c>
      <c r="Z211" s="1">
        <f t="shared" ca="1" si="61"/>
        <v>0</v>
      </c>
      <c r="AA211" s="1">
        <f t="shared" ca="1" si="61"/>
        <v>6.4204081632653098</v>
      </c>
      <c r="AB211" s="1">
        <f t="shared" ca="1" si="61"/>
        <v>0</v>
      </c>
      <c r="AC211" s="1">
        <f t="shared" ca="1" si="61"/>
        <v>15.583425</v>
      </c>
      <c r="AD211" s="1">
        <f t="shared" ca="1" si="61"/>
        <v>15.583425</v>
      </c>
      <c r="AE211" s="1">
        <f t="shared" ca="1" si="61"/>
        <v>15.583425</v>
      </c>
      <c r="AF211" s="1">
        <f t="shared" ca="1" si="61"/>
        <v>15.583425</v>
      </c>
      <c r="AG211" s="1">
        <f t="shared" ca="1" si="61"/>
        <v>15.583425</v>
      </c>
      <c r="AH211" s="1">
        <f t="shared" ca="1" si="61"/>
        <v>20.258452500000001</v>
      </c>
      <c r="AI211" s="1">
        <f t="shared" ref="AI211:AI274" ca="1" si="62">mVlookup($C211,monsterBaseDate,AI$2,FALSE)*(1+mVlookup($E211,monsterType,AI$2,FALSE))</f>
        <v>15.583425</v>
      </c>
    </row>
    <row r="212" spans="2:35" x14ac:dyDescent="0.15">
      <c r="B212" s="1" t="str">
        <f t="shared" si="59"/>
        <v>僵尸系12</v>
      </c>
      <c r="C212" s="1">
        <f t="shared" si="49"/>
        <v>12</v>
      </c>
      <c r="D212" s="14" t="s">
        <v>92</v>
      </c>
      <c r="E212" s="14">
        <f t="shared" si="50"/>
        <v>3</v>
      </c>
      <c r="F212" s="1" t="str">
        <f t="shared" si="57"/>
        <v>黑暗</v>
      </c>
      <c r="H212" s="1">
        <f t="shared" ca="1" si="58"/>
        <v>285.90785240438333</v>
      </c>
      <c r="I212" s="1">
        <f t="shared" ca="1" si="60"/>
        <v>100</v>
      </c>
      <c r="J212" s="1">
        <f t="shared" ca="1" si="60"/>
        <v>133.45294964028832</v>
      </c>
      <c r="K212" s="1">
        <f t="shared" ca="1" si="60"/>
        <v>17.0001</v>
      </c>
      <c r="L212" s="1">
        <f t="shared" ca="1" si="60"/>
        <v>181.9812949640295</v>
      </c>
      <c r="M212" s="1">
        <f t="shared" ca="1" si="60"/>
        <v>17.0001</v>
      </c>
      <c r="N212" s="1">
        <f t="shared" ca="1" si="60"/>
        <v>0.2</v>
      </c>
      <c r="O212" s="1">
        <f t="shared" ca="1" si="60"/>
        <v>0.2</v>
      </c>
      <c r="P212" s="1">
        <f t="shared" ca="1" si="60"/>
        <v>0.36</v>
      </c>
      <c r="Q212" s="1">
        <f t="shared" ca="1" si="60"/>
        <v>0.1</v>
      </c>
      <c r="R212" s="1">
        <f t="shared" ca="1" si="60"/>
        <v>2.2000000000000002</v>
      </c>
      <c r="S212" s="1">
        <f t="shared" ca="1" si="61"/>
        <v>0.1</v>
      </c>
      <c r="T212" s="1">
        <f t="shared" ca="1" si="61"/>
        <v>1.1700000000000002</v>
      </c>
      <c r="U212" s="1">
        <f t="shared" ca="1" si="61"/>
        <v>30.16</v>
      </c>
      <c r="V212" s="1">
        <f t="shared" ca="1" si="61"/>
        <v>0</v>
      </c>
      <c r="W212" s="1">
        <f t="shared" ca="1" si="61"/>
        <v>0</v>
      </c>
      <c r="X212" s="1">
        <f t="shared" ca="1" si="61"/>
        <v>0</v>
      </c>
      <c r="Y212" s="1">
        <f t="shared" ca="1" si="61"/>
        <v>0</v>
      </c>
      <c r="Z212" s="1">
        <f t="shared" ca="1" si="61"/>
        <v>0</v>
      </c>
      <c r="AA212" s="1">
        <f t="shared" ca="1" si="61"/>
        <v>7.7438848920863297</v>
      </c>
      <c r="AB212" s="1">
        <f t="shared" ca="1" si="61"/>
        <v>0</v>
      </c>
      <c r="AC212" s="1">
        <f t="shared" ca="1" si="61"/>
        <v>17.0001</v>
      </c>
      <c r="AD212" s="1">
        <f t="shared" ca="1" si="61"/>
        <v>17.0001</v>
      </c>
      <c r="AE212" s="1">
        <f t="shared" ca="1" si="61"/>
        <v>17.0001</v>
      </c>
      <c r="AF212" s="1">
        <f t="shared" ca="1" si="61"/>
        <v>17.0001</v>
      </c>
      <c r="AG212" s="1">
        <f t="shared" ca="1" si="61"/>
        <v>17.0001</v>
      </c>
      <c r="AH212" s="1">
        <f t="shared" ca="1" si="61"/>
        <v>22.10013</v>
      </c>
      <c r="AI212" s="1">
        <f t="shared" ca="1" si="62"/>
        <v>17.0001</v>
      </c>
    </row>
    <row r="213" spans="2:35" x14ac:dyDescent="0.15">
      <c r="B213" s="1" t="str">
        <f t="shared" si="59"/>
        <v>僵尸系13</v>
      </c>
      <c r="C213" s="1">
        <f t="shared" si="49"/>
        <v>13</v>
      </c>
      <c r="D213" s="14" t="s">
        <v>92</v>
      </c>
      <c r="E213" s="14">
        <f t="shared" si="50"/>
        <v>3</v>
      </c>
      <c r="F213" s="1" t="str">
        <f t="shared" si="57"/>
        <v>黑暗</v>
      </c>
      <c r="H213" s="1">
        <f t="shared" ca="1" si="58"/>
        <v>311.6573173724795</v>
      </c>
      <c r="I213" s="1">
        <f t="shared" ref="I213:R222" ca="1" si="63">mVlookup($C213,monsterBaseDate,I$2,FALSE)*(1+mVlookup($E213,monsterType,I$2,FALSE))</f>
        <v>100</v>
      </c>
      <c r="J213" s="1">
        <f t="shared" ca="1" si="63"/>
        <v>145.74675465838513</v>
      </c>
      <c r="K213" s="1">
        <f t="shared" ca="1" si="63"/>
        <v>18.416775000000001</v>
      </c>
      <c r="L213" s="1">
        <f t="shared" ca="1" si="63"/>
        <v>198.74557453416151</v>
      </c>
      <c r="M213" s="1">
        <f t="shared" ca="1" si="63"/>
        <v>18.416775000000001</v>
      </c>
      <c r="N213" s="1">
        <f t="shared" ca="1" si="63"/>
        <v>0.2</v>
      </c>
      <c r="O213" s="1">
        <f t="shared" ca="1" si="63"/>
        <v>0.2</v>
      </c>
      <c r="P213" s="1">
        <f t="shared" ca="1" si="63"/>
        <v>0.36</v>
      </c>
      <c r="Q213" s="1">
        <f t="shared" ca="1" si="63"/>
        <v>0.1</v>
      </c>
      <c r="R213" s="1">
        <f t="shared" ca="1" si="63"/>
        <v>2.2000000000000002</v>
      </c>
      <c r="S213" s="1">
        <f t="shared" ref="S213:AH228" ca="1" si="64">mVlookup($C213,monsterBaseDate,S$2,FALSE)*(1+mVlookup($E213,monsterType,S$2,FALSE))</f>
        <v>0.1</v>
      </c>
      <c r="T213" s="1">
        <f t="shared" ca="1" si="64"/>
        <v>1.1700000000000002</v>
      </c>
      <c r="U213" s="1">
        <f t="shared" ca="1" si="64"/>
        <v>32.673333333333289</v>
      </c>
      <c r="V213" s="1">
        <f t="shared" ca="1" si="64"/>
        <v>0</v>
      </c>
      <c r="W213" s="1">
        <f t="shared" ca="1" si="64"/>
        <v>0</v>
      </c>
      <c r="X213" s="1">
        <f t="shared" ca="1" si="64"/>
        <v>0</v>
      </c>
      <c r="Y213" s="1">
        <f t="shared" ca="1" si="64"/>
        <v>0</v>
      </c>
      <c r="Z213" s="1">
        <f t="shared" ca="1" si="64"/>
        <v>0</v>
      </c>
      <c r="AA213" s="1">
        <f t="shared" ca="1" si="64"/>
        <v>9.2110248447204999</v>
      </c>
      <c r="AB213" s="1">
        <f t="shared" ca="1" si="61"/>
        <v>0</v>
      </c>
      <c r="AC213" s="1">
        <f t="shared" ca="1" si="64"/>
        <v>18.416775000000001</v>
      </c>
      <c r="AD213" s="1">
        <f t="shared" ca="1" si="64"/>
        <v>18.416775000000001</v>
      </c>
      <c r="AE213" s="1">
        <f t="shared" ca="1" si="64"/>
        <v>18.416775000000001</v>
      </c>
      <c r="AF213" s="1">
        <f t="shared" ca="1" si="64"/>
        <v>18.416775000000001</v>
      </c>
      <c r="AG213" s="1">
        <f t="shared" ca="1" si="64"/>
        <v>18.416775000000001</v>
      </c>
      <c r="AH213" s="1">
        <f t="shared" ca="1" si="64"/>
        <v>23.941807500000003</v>
      </c>
      <c r="AI213" s="1">
        <f t="shared" ca="1" si="62"/>
        <v>18.416775000000001</v>
      </c>
    </row>
    <row r="214" spans="2:35" x14ac:dyDescent="0.15">
      <c r="B214" s="1" t="str">
        <f t="shared" si="59"/>
        <v>僵尸系14</v>
      </c>
      <c r="C214" s="1">
        <f t="shared" si="49"/>
        <v>14</v>
      </c>
      <c r="D214" s="14" t="s">
        <v>92</v>
      </c>
      <c r="E214" s="14">
        <f t="shared" si="50"/>
        <v>3</v>
      </c>
      <c r="F214" s="1" t="str">
        <f t="shared" si="57"/>
        <v>黑暗</v>
      </c>
      <c r="H214" s="1">
        <f t="shared" ca="1" si="58"/>
        <v>337.70275320227847</v>
      </c>
      <c r="I214" s="1">
        <f t="shared" ca="1" si="63"/>
        <v>100</v>
      </c>
      <c r="J214" s="1">
        <f t="shared" ca="1" si="63"/>
        <v>158.2289781021895</v>
      </c>
      <c r="K214" s="1">
        <f t="shared" ca="1" si="63"/>
        <v>19.833449999999999</v>
      </c>
      <c r="L214" s="1">
        <f t="shared" ca="1" si="63"/>
        <v>215.7667883211675</v>
      </c>
      <c r="M214" s="1">
        <f t="shared" ca="1" si="63"/>
        <v>19.833449999999999</v>
      </c>
      <c r="N214" s="1">
        <f t="shared" ca="1" si="63"/>
        <v>0.2</v>
      </c>
      <c r="O214" s="1">
        <f t="shared" ca="1" si="63"/>
        <v>0.2</v>
      </c>
      <c r="P214" s="1">
        <f t="shared" ca="1" si="63"/>
        <v>0.36</v>
      </c>
      <c r="Q214" s="1">
        <f t="shared" ca="1" si="63"/>
        <v>0.1</v>
      </c>
      <c r="R214" s="1">
        <f t="shared" ca="1" si="63"/>
        <v>2.2000000000000002</v>
      </c>
      <c r="S214" s="1">
        <f t="shared" ca="1" si="64"/>
        <v>0.1</v>
      </c>
      <c r="T214" s="1">
        <f t="shared" ca="1" si="64"/>
        <v>1.1700000000000002</v>
      </c>
      <c r="U214" s="1">
        <f t="shared" ca="1" si="64"/>
        <v>35.18666666666671</v>
      </c>
      <c r="V214" s="1">
        <f t="shared" ca="1" si="64"/>
        <v>0</v>
      </c>
      <c r="W214" s="1">
        <f t="shared" ca="1" si="64"/>
        <v>0</v>
      </c>
      <c r="X214" s="1">
        <f t="shared" ca="1" si="64"/>
        <v>0</v>
      </c>
      <c r="Y214" s="1">
        <f t="shared" ca="1" si="64"/>
        <v>0</v>
      </c>
      <c r="Z214" s="1">
        <f t="shared" ca="1" si="64"/>
        <v>0</v>
      </c>
      <c r="AA214" s="1">
        <f t="shared" ca="1" si="64"/>
        <v>10.8270072992701</v>
      </c>
      <c r="AB214" s="1">
        <f t="shared" ca="1" si="61"/>
        <v>0</v>
      </c>
      <c r="AC214" s="1">
        <f t="shared" ca="1" si="64"/>
        <v>19.833449999999999</v>
      </c>
      <c r="AD214" s="1">
        <f t="shared" ca="1" si="64"/>
        <v>19.833449999999999</v>
      </c>
      <c r="AE214" s="1">
        <f t="shared" ca="1" si="64"/>
        <v>19.833449999999999</v>
      </c>
      <c r="AF214" s="1">
        <f t="shared" ca="1" si="64"/>
        <v>19.833449999999999</v>
      </c>
      <c r="AG214" s="1">
        <f t="shared" ca="1" si="64"/>
        <v>19.833449999999999</v>
      </c>
      <c r="AH214" s="1">
        <f t="shared" ca="1" si="64"/>
        <v>25.783484999999999</v>
      </c>
      <c r="AI214" s="1">
        <f t="shared" ca="1" si="62"/>
        <v>19.833449999999999</v>
      </c>
    </row>
    <row r="215" spans="2:35" x14ac:dyDescent="0.15">
      <c r="B215" s="1" t="str">
        <f t="shared" si="59"/>
        <v>僵尸系15</v>
      </c>
      <c r="C215" s="1">
        <f t="shared" si="49"/>
        <v>15</v>
      </c>
      <c r="D215" s="14" t="s">
        <v>92</v>
      </c>
      <c r="E215" s="14">
        <f t="shared" si="50"/>
        <v>3</v>
      </c>
      <c r="F215" s="1" t="str">
        <f t="shared" si="57"/>
        <v>黑暗</v>
      </c>
      <c r="H215" s="1">
        <f t="shared" ca="1" si="58"/>
        <v>364.04415989377941</v>
      </c>
      <c r="I215" s="1">
        <f t="shared" ca="1" si="63"/>
        <v>100</v>
      </c>
      <c r="J215" s="1">
        <f t="shared" ca="1" si="63"/>
        <v>170.90152310924333</v>
      </c>
      <c r="K215" s="1">
        <f t="shared" ca="1" si="63"/>
        <v>21.250125000000001</v>
      </c>
      <c r="L215" s="1">
        <f t="shared" ca="1" si="63"/>
        <v>233.04753151260451</v>
      </c>
      <c r="M215" s="1">
        <f t="shared" ca="1" si="63"/>
        <v>21.250125000000001</v>
      </c>
      <c r="N215" s="1">
        <f t="shared" ca="1" si="63"/>
        <v>0.2</v>
      </c>
      <c r="O215" s="1">
        <f t="shared" ca="1" si="63"/>
        <v>0.2</v>
      </c>
      <c r="P215" s="1">
        <f t="shared" ca="1" si="63"/>
        <v>0.36</v>
      </c>
      <c r="Q215" s="1">
        <f t="shared" ca="1" si="63"/>
        <v>0.1</v>
      </c>
      <c r="R215" s="1">
        <f t="shared" ca="1" si="63"/>
        <v>2.2000000000000002</v>
      </c>
      <c r="S215" s="1">
        <f t="shared" ca="1" si="64"/>
        <v>0.1</v>
      </c>
      <c r="T215" s="1">
        <f t="shared" ca="1" si="64"/>
        <v>1.1700000000000002</v>
      </c>
      <c r="U215" s="1">
        <f t="shared" ca="1" si="64"/>
        <v>37.700000000000003</v>
      </c>
      <c r="V215" s="1">
        <f t="shared" ca="1" si="64"/>
        <v>0</v>
      </c>
      <c r="W215" s="1">
        <f t="shared" ca="1" si="64"/>
        <v>0</v>
      </c>
      <c r="X215" s="1">
        <f t="shared" ca="1" si="64"/>
        <v>0</v>
      </c>
      <c r="Y215" s="1">
        <f t="shared" ca="1" si="64"/>
        <v>0</v>
      </c>
      <c r="Z215" s="1">
        <f t="shared" ca="1" si="64"/>
        <v>0</v>
      </c>
      <c r="AA215" s="1">
        <f t="shared" ca="1" si="64"/>
        <v>12.5971638655462</v>
      </c>
      <c r="AB215" s="1">
        <f t="shared" ca="1" si="61"/>
        <v>0</v>
      </c>
      <c r="AC215" s="1">
        <f t="shared" ca="1" si="64"/>
        <v>21.250125000000001</v>
      </c>
      <c r="AD215" s="1">
        <f t="shared" ca="1" si="64"/>
        <v>21.250125000000001</v>
      </c>
      <c r="AE215" s="1">
        <f t="shared" ca="1" si="64"/>
        <v>21.250125000000001</v>
      </c>
      <c r="AF215" s="1">
        <f t="shared" ca="1" si="64"/>
        <v>21.250125000000001</v>
      </c>
      <c r="AG215" s="1">
        <f t="shared" ca="1" si="64"/>
        <v>21.250125000000001</v>
      </c>
      <c r="AH215" s="1">
        <f t="shared" ca="1" si="64"/>
        <v>27.625162500000002</v>
      </c>
      <c r="AI215" s="1">
        <f t="shared" ca="1" si="62"/>
        <v>21.250125000000001</v>
      </c>
    </row>
    <row r="216" spans="2:35" x14ac:dyDescent="0.15">
      <c r="B216" s="1" t="str">
        <f t="shared" si="59"/>
        <v>僵尸系16</v>
      </c>
      <c r="C216" s="1">
        <f t="shared" si="49"/>
        <v>16</v>
      </c>
      <c r="D216" s="14" t="s">
        <v>92</v>
      </c>
      <c r="E216" s="14">
        <f t="shared" si="50"/>
        <v>3</v>
      </c>
      <c r="F216" s="1" t="str">
        <f t="shared" si="57"/>
        <v>黑暗</v>
      </c>
      <c r="H216" s="1">
        <f t="shared" ca="1" si="58"/>
        <v>390.68153744698316</v>
      </c>
      <c r="I216" s="1">
        <f t="shared" ca="1" si="63"/>
        <v>100</v>
      </c>
      <c r="J216" s="1">
        <f t="shared" ca="1" si="63"/>
        <v>183.76634920634874</v>
      </c>
      <c r="K216" s="1">
        <f t="shared" ca="1" si="63"/>
        <v>22.666799999999999</v>
      </c>
      <c r="L216" s="1">
        <f t="shared" ca="1" si="63"/>
        <v>250.5904761904755</v>
      </c>
      <c r="M216" s="1">
        <f t="shared" ca="1" si="63"/>
        <v>22.666799999999999</v>
      </c>
      <c r="N216" s="1">
        <f t="shared" ca="1" si="63"/>
        <v>0.2</v>
      </c>
      <c r="O216" s="1">
        <f t="shared" ca="1" si="63"/>
        <v>0.2</v>
      </c>
      <c r="P216" s="1">
        <f t="shared" ca="1" si="63"/>
        <v>0.36</v>
      </c>
      <c r="Q216" s="1">
        <f t="shared" ca="1" si="63"/>
        <v>0.1</v>
      </c>
      <c r="R216" s="1">
        <f t="shared" ca="1" si="63"/>
        <v>2.2000000000000002</v>
      </c>
      <c r="S216" s="1">
        <f t="shared" ca="1" si="64"/>
        <v>0.1</v>
      </c>
      <c r="T216" s="1">
        <f t="shared" ca="1" si="64"/>
        <v>1.1700000000000002</v>
      </c>
      <c r="U216" s="1">
        <f t="shared" ca="1" si="64"/>
        <v>40.213333333333296</v>
      </c>
      <c r="V216" s="1">
        <f t="shared" ca="1" si="64"/>
        <v>0</v>
      </c>
      <c r="W216" s="1">
        <f t="shared" ca="1" si="64"/>
        <v>0</v>
      </c>
      <c r="X216" s="1">
        <f t="shared" ca="1" si="64"/>
        <v>0</v>
      </c>
      <c r="Y216" s="1">
        <f t="shared" ca="1" si="64"/>
        <v>0</v>
      </c>
      <c r="Z216" s="1">
        <f t="shared" ca="1" si="64"/>
        <v>0</v>
      </c>
      <c r="AA216" s="1">
        <f t="shared" ca="1" si="64"/>
        <v>14.5269841269841</v>
      </c>
      <c r="AB216" s="1">
        <f t="shared" ca="1" si="61"/>
        <v>0</v>
      </c>
      <c r="AC216" s="1">
        <f t="shared" ca="1" si="64"/>
        <v>22.666799999999999</v>
      </c>
      <c r="AD216" s="1">
        <f t="shared" ca="1" si="64"/>
        <v>22.666799999999999</v>
      </c>
      <c r="AE216" s="1">
        <f t="shared" ca="1" si="64"/>
        <v>22.666799999999999</v>
      </c>
      <c r="AF216" s="1">
        <f t="shared" ca="1" si="64"/>
        <v>22.666799999999999</v>
      </c>
      <c r="AG216" s="1">
        <f t="shared" ca="1" si="64"/>
        <v>22.666799999999999</v>
      </c>
      <c r="AH216" s="1">
        <f t="shared" ca="1" si="64"/>
        <v>29.466839999999998</v>
      </c>
      <c r="AI216" s="1">
        <f t="shared" ca="1" si="62"/>
        <v>22.666799999999999</v>
      </c>
    </row>
    <row r="217" spans="2:35" x14ac:dyDescent="0.15">
      <c r="B217" s="1" t="str">
        <f t="shared" si="59"/>
        <v>僵尸系17</v>
      </c>
      <c r="C217" s="1">
        <f t="shared" si="49"/>
        <v>17</v>
      </c>
      <c r="D217" s="14" t="s">
        <v>92</v>
      </c>
      <c r="E217" s="14">
        <f t="shared" si="50"/>
        <v>3</v>
      </c>
      <c r="F217" s="1" t="str">
        <f t="shared" si="57"/>
        <v>黑暗</v>
      </c>
      <c r="H217" s="1">
        <f t="shared" ca="1" si="58"/>
        <v>417.61488586188881</v>
      </c>
      <c r="I217" s="1">
        <f t="shared" ca="1" si="63"/>
        <v>100</v>
      </c>
      <c r="J217" s="1">
        <f t="shared" ca="1" si="63"/>
        <v>196.82547441364611</v>
      </c>
      <c r="K217" s="1">
        <f t="shared" ca="1" si="63"/>
        <v>24.083475</v>
      </c>
      <c r="L217" s="1">
        <f t="shared" ca="1" si="63"/>
        <v>268.39837420042647</v>
      </c>
      <c r="M217" s="1">
        <f t="shared" ca="1" si="63"/>
        <v>24.083475</v>
      </c>
      <c r="N217" s="1">
        <f t="shared" ca="1" si="63"/>
        <v>0.2</v>
      </c>
      <c r="O217" s="1">
        <f t="shared" ca="1" si="63"/>
        <v>0.2</v>
      </c>
      <c r="P217" s="1">
        <f t="shared" ca="1" si="63"/>
        <v>0.36</v>
      </c>
      <c r="Q217" s="1">
        <f t="shared" ca="1" si="63"/>
        <v>0.1</v>
      </c>
      <c r="R217" s="1">
        <f t="shared" ca="1" si="63"/>
        <v>2.2000000000000002</v>
      </c>
      <c r="S217" s="1">
        <f t="shared" ca="1" si="64"/>
        <v>0.1</v>
      </c>
      <c r="T217" s="1">
        <f t="shared" ca="1" si="64"/>
        <v>1.1700000000000002</v>
      </c>
      <c r="U217" s="1">
        <f t="shared" ca="1" si="64"/>
        <v>42.726666666666716</v>
      </c>
      <c r="V217" s="1">
        <f t="shared" ca="1" si="64"/>
        <v>0</v>
      </c>
      <c r="W217" s="1">
        <f t="shared" ca="1" si="64"/>
        <v>0</v>
      </c>
      <c r="X217" s="1">
        <f t="shared" ca="1" si="64"/>
        <v>0</v>
      </c>
      <c r="Y217" s="1">
        <f t="shared" ca="1" si="64"/>
        <v>0</v>
      </c>
      <c r="Z217" s="1">
        <f t="shared" ca="1" si="64"/>
        <v>0</v>
      </c>
      <c r="AA217" s="1">
        <f t="shared" ca="1" si="64"/>
        <v>16.622121535181201</v>
      </c>
      <c r="AB217" s="1">
        <f t="shared" ca="1" si="61"/>
        <v>0</v>
      </c>
      <c r="AC217" s="1">
        <f t="shared" ca="1" si="64"/>
        <v>24.083475</v>
      </c>
      <c r="AD217" s="1">
        <f t="shared" ca="1" si="64"/>
        <v>24.083475</v>
      </c>
      <c r="AE217" s="1">
        <f t="shared" ca="1" si="64"/>
        <v>24.083475</v>
      </c>
      <c r="AF217" s="1">
        <f t="shared" ca="1" si="64"/>
        <v>24.083475</v>
      </c>
      <c r="AG217" s="1">
        <f t="shared" ca="1" si="64"/>
        <v>24.083475</v>
      </c>
      <c r="AH217" s="1">
        <f t="shared" ca="1" si="64"/>
        <v>31.308517500000001</v>
      </c>
      <c r="AI217" s="1">
        <f t="shared" ca="1" si="62"/>
        <v>24.083475</v>
      </c>
    </row>
    <row r="218" spans="2:35" x14ac:dyDescent="0.15">
      <c r="B218" s="1" t="str">
        <f t="shared" si="59"/>
        <v>僵尸系18</v>
      </c>
      <c r="C218" s="1">
        <f t="shared" si="49"/>
        <v>18</v>
      </c>
      <c r="D218" s="14" t="s">
        <v>92</v>
      </c>
      <c r="E218" s="14">
        <f t="shared" si="50"/>
        <v>3</v>
      </c>
      <c r="F218" s="1" t="str">
        <f t="shared" si="57"/>
        <v>黑暗</v>
      </c>
      <c r="H218" s="1">
        <f t="shared" ca="1" si="58"/>
        <v>444.84420513849727</v>
      </c>
      <c r="I218" s="1">
        <f t="shared" ca="1" si="63"/>
        <v>100</v>
      </c>
      <c r="J218" s="1">
        <f t="shared" ca="1" si="63"/>
        <v>210.08097744360873</v>
      </c>
      <c r="K218" s="1">
        <f t="shared" ca="1" si="63"/>
        <v>25.500150000000001</v>
      </c>
      <c r="L218" s="1">
        <f t="shared" ca="1" si="63"/>
        <v>286.47406015037552</v>
      </c>
      <c r="M218" s="1">
        <f t="shared" ca="1" si="63"/>
        <v>25.500150000000001</v>
      </c>
      <c r="N218" s="1">
        <f t="shared" ca="1" si="63"/>
        <v>0.2</v>
      </c>
      <c r="O218" s="1">
        <f t="shared" ca="1" si="63"/>
        <v>0.2</v>
      </c>
      <c r="P218" s="1">
        <f t="shared" ca="1" si="63"/>
        <v>0.36</v>
      </c>
      <c r="Q218" s="1">
        <f t="shared" ca="1" si="63"/>
        <v>0.1</v>
      </c>
      <c r="R218" s="1">
        <f t="shared" ca="1" si="63"/>
        <v>2.2000000000000002</v>
      </c>
      <c r="S218" s="1">
        <f t="shared" ca="1" si="64"/>
        <v>0.1</v>
      </c>
      <c r="T218" s="1">
        <f t="shared" ca="1" si="64"/>
        <v>1.1700000000000002</v>
      </c>
      <c r="U218" s="1">
        <f t="shared" ca="1" si="64"/>
        <v>45.239999999999995</v>
      </c>
      <c r="V218" s="1">
        <f t="shared" ca="1" si="64"/>
        <v>0</v>
      </c>
      <c r="W218" s="1">
        <f t="shared" ca="1" si="64"/>
        <v>0</v>
      </c>
      <c r="X218" s="1">
        <f t="shared" ca="1" si="64"/>
        <v>0</v>
      </c>
      <c r="Y218" s="1">
        <f t="shared" ca="1" si="64"/>
        <v>0</v>
      </c>
      <c r="Z218" s="1">
        <f t="shared" ca="1" si="64"/>
        <v>0</v>
      </c>
      <c r="AA218" s="1">
        <f t="shared" ca="1" si="64"/>
        <v>18.888399570354501</v>
      </c>
      <c r="AB218" s="1">
        <f t="shared" ca="1" si="61"/>
        <v>0</v>
      </c>
      <c r="AC218" s="1">
        <f t="shared" ca="1" si="64"/>
        <v>25.500150000000001</v>
      </c>
      <c r="AD218" s="1">
        <f t="shared" ca="1" si="64"/>
        <v>25.500150000000001</v>
      </c>
      <c r="AE218" s="1">
        <f t="shared" ca="1" si="64"/>
        <v>25.500150000000001</v>
      </c>
      <c r="AF218" s="1">
        <f t="shared" ca="1" si="64"/>
        <v>25.500150000000001</v>
      </c>
      <c r="AG218" s="1">
        <f t="shared" ca="1" si="64"/>
        <v>25.500150000000001</v>
      </c>
      <c r="AH218" s="1">
        <f t="shared" ca="1" si="64"/>
        <v>33.150195000000004</v>
      </c>
      <c r="AI218" s="1">
        <f t="shared" ca="1" si="62"/>
        <v>25.500150000000001</v>
      </c>
    </row>
    <row r="219" spans="2:35" x14ac:dyDescent="0.15">
      <c r="B219" s="1" t="str">
        <f t="shared" si="59"/>
        <v>僵尸系19</v>
      </c>
      <c r="C219" s="1">
        <f t="shared" si="49"/>
        <v>19</v>
      </c>
      <c r="D219" s="14" t="s">
        <v>92</v>
      </c>
      <c r="E219" s="14">
        <f t="shared" si="50"/>
        <v>3</v>
      </c>
      <c r="F219" s="1" t="str">
        <f t="shared" si="57"/>
        <v>黑暗</v>
      </c>
      <c r="H219" s="1">
        <f t="shared" ca="1" si="58"/>
        <v>472.36949527680667</v>
      </c>
      <c r="I219" s="1">
        <f t="shared" ca="1" si="63"/>
        <v>100</v>
      </c>
      <c r="J219" s="1">
        <f t="shared" ca="1" si="63"/>
        <v>223.53499999999963</v>
      </c>
      <c r="K219" s="1">
        <f t="shared" ca="1" si="63"/>
        <v>26.916824999999999</v>
      </c>
      <c r="L219" s="1">
        <f t="shared" ca="1" si="63"/>
        <v>304.82045454545403</v>
      </c>
      <c r="M219" s="1">
        <f t="shared" ca="1" si="63"/>
        <v>26.916824999999999</v>
      </c>
      <c r="N219" s="1">
        <f t="shared" ca="1" si="63"/>
        <v>0.2</v>
      </c>
      <c r="O219" s="1">
        <f t="shared" ca="1" si="63"/>
        <v>0.2</v>
      </c>
      <c r="P219" s="1">
        <f t="shared" ca="1" si="63"/>
        <v>0.36</v>
      </c>
      <c r="Q219" s="1">
        <f t="shared" ca="1" si="63"/>
        <v>0.1</v>
      </c>
      <c r="R219" s="1">
        <f t="shared" ca="1" si="63"/>
        <v>2.2000000000000002</v>
      </c>
      <c r="S219" s="1">
        <f t="shared" ca="1" si="64"/>
        <v>0.1</v>
      </c>
      <c r="T219" s="1">
        <f t="shared" ca="1" si="64"/>
        <v>1.1700000000000002</v>
      </c>
      <c r="U219" s="1">
        <f t="shared" ca="1" si="64"/>
        <v>47.753333333333288</v>
      </c>
      <c r="V219" s="1">
        <f t="shared" ca="1" si="64"/>
        <v>0</v>
      </c>
      <c r="W219" s="1">
        <f t="shared" ca="1" si="64"/>
        <v>0</v>
      </c>
      <c r="X219" s="1">
        <f t="shared" ca="1" si="64"/>
        <v>0</v>
      </c>
      <c r="Y219" s="1">
        <f t="shared" ca="1" si="64"/>
        <v>0</v>
      </c>
      <c r="Z219" s="1">
        <f t="shared" ca="1" si="64"/>
        <v>0</v>
      </c>
      <c r="AA219" s="1">
        <f t="shared" ca="1" si="64"/>
        <v>21.3318181818182</v>
      </c>
      <c r="AB219" s="1">
        <f t="shared" ca="1" si="64"/>
        <v>0</v>
      </c>
      <c r="AC219" s="1">
        <f t="shared" ca="1" si="64"/>
        <v>26.916824999999999</v>
      </c>
      <c r="AD219" s="1">
        <f t="shared" ca="1" si="64"/>
        <v>26.916824999999999</v>
      </c>
      <c r="AE219" s="1">
        <f t="shared" ca="1" si="64"/>
        <v>26.916824999999999</v>
      </c>
      <c r="AF219" s="1">
        <f t="shared" ca="1" si="64"/>
        <v>26.916824999999999</v>
      </c>
      <c r="AG219" s="1">
        <f t="shared" ca="1" si="64"/>
        <v>26.916824999999999</v>
      </c>
      <c r="AH219" s="1">
        <f t="shared" ca="1" si="64"/>
        <v>34.991872499999999</v>
      </c>
      <c r="AI219" s="1">
        <f t="shared" ca="1" si="62"/>
        <v>26.916824999999999</v>
      </c>
    </row>
    <row r="220" spans="2:35" x14ac:dyDescent="0.15">
      <c r="B220" s="1" t="str">
        <f t="shared" si="59"/>
        <v>僵尸系20</v>
      </c>
      <c r="C220" s="1">
        <f t="shared" si="49"/>
        <v>20</v>
      </c>
      <c r="D220" s="14" t="s">
        <v>92</v>
      </c>
      <c r="E220" s="14">
        <f t="shared" si="50"/>
        <v>3</v>
      </c>
      <c r="F220" s="1" t="str">
        <f t="shared" si="57"/>
        <v>黑暗</v>
      </c>
      <c r="H220" s="1">
        <f t="shared" ca="1" si="58"/>
        <v>500.19075627681895</v>
      </c>
      <c r="I220" s="1">
        <f t="shared" ca="1" si="63"/>
        <v>100</v>
      </c>
      <c r="J220" s="1">
        <f t="shared" ca="1" si="63"/>
        <v>237.18974918211543</v>
      </c>
      <c r="K220" s="1">
        <f t="shared" ca="1" si="63"/>
        <v>28.333500000000001</v>
      </c>
      <c r="L220" s="1">
        <f t="shared" ca="1" si="63"/>
        <v>323.440567066521</v>
      </c>
      <c r="M220" s="1">
        <f t="shared" ca="1" si="63"/>
        <v>28.333500000000001</v>
      </c>
      <c r="N220" s="1">
        <f t="shared" ca="1" si="63"/>
        <v>0.2</v>
      </c>
      <c r="O220" s="1">
        <f t="shared" ca="1" si="63"/>
        <v>0.2</v>
      </c>
      <c r="P220" s="1">
        <f t="shared" ca="1" si="63"/>
        <v>0.36</v>
      </c>
      <c r="Q220" s="1">
        <f t="shared" ca="1" si="63"/>
        <v>0.1</v>
      </c>
      <c r="R220" s="1">
        <f t="shared" ca="1" si="63"/>
        <v>2.2000000000000002</v>
      </c>
      <c r="S220" s="1">
        <f t="shared" ca="1" si="64"/>
        <v>0.1</v>
      </c>
      <c r="T220" s="1">
        <f t="shared" ca="1" si="64"/>
        <v>1.1700000000000002</v>
      </c>
      <c r="U220" s="1">
        <f t="shared" ca="1" si="64"/>
        <v>50.266666666666708</v>
      </c>
      <c r="V220" s="1">
        <f t="shared" ca="1" si="64"/>
        <v>0</v>
      </c>
      <c r="W220" s="1">
        <f t="shared" ca="1" si="64"/>
        <v>0</v>
      </c>
      <c r="X220" s="1">
        <f t="shared" ca="1" si="64"/>
        <v>0</v>
      </c>
      <c r="Y220" s="1">
        <f t="shared" ca="1" si="64"/>
        <v>0</v>
      </c>
      <c r="Z220" s="1">
        <f t="shared" ca="1" si="64"/>
        <v>0</v>
      </c>
      <c r="AA220" s="1">
        <f t="shared" ca="1" si="64"/>
        <v>23.958560523446</v>
      </c>
      <c r="AB220" s="1">
        <f t="shared" ca="1" si="64"/>
        <v>0</v>
      </c>
      <c r="AC220" s="1">
        <f t="shared" ca="1" si="64"/>
        <v>28.333500000000001</v>
      </c>
      <c r="AD220" s="1">
        <f t="shared" ca="1" si="64"/>
        <v>28.333500000000001</v>
      </c>
      <c r="AE220" s="1">
        <f t="shared" ca="1" si="64"/>
        <v>28.333500000000001</v>
      </c>
      <c r="AF220" s="1">
        <f t="shared" ca="1" si="64"/>
        <v>28.333500000000001</v>
      </c>
      <c r="AG220" s="1">
        <f t="shared" ca="1" si="64"/>
        <v>28.333500000000001</v>
      </c>
      <c r="AH220" s="1">
        <f t="shared" ca="1" si="64"/>
        <v>36.833550000000002</v>
      </c>
      <c r="AI220" s="1">
        <f t="shared" ca="1" si="62"/>
        <v>28.333500000000001</v>
      </c>
    </row>
    <row r="221" spans="2:35" x14ac:dyDescent="0.15">
      <c r="B221" s="1" t="str">
        <f t="shared" si="59"/>
        <v>僵尸系21</v>
      </c>
      <c r="C221" s="1">
        <f t="shared" si="49"/>
        <v>21</v>
      </c>
      <c r="D221" s="14" t="s">
        <v>92</v>
      </c>
      <c r="E221" s="14">
        <f t="shared" si="50"/>
        <v>3</v>
      </c>
      <c r="F221" s="1" t="str">
        <f t="shared" si="57"/>
        <v>黑暗</v>
      </c>
      <c r="H221" s="1">
        <f t="shared" ca="1" si="58"/>
        <v>528.30798813853414</v>
      </c>
      <c r="I221" s="1">
        <f t="shared" ca="1" si="63"/>
        <v>100</v>
      </c>
      <c r="J221" s="1">
        <f t="shared" ca="1" si="63"/>
        <v>251.04750000000001</v>
      </c>
      <c r="K221" s="1">
        <f t="shared" ca="1" si="63"/>
        <v>29.750174999999999</v>
      </c>
      <c r="L221" s="1">
        <f t="shared" ca="1" si="63"/>
        <v>342.33749999999998</v>
      </c>
      <c r="M221" s="1">
        <f t="shared" ca="1" si="63"/>
        <v>29.750174999999999</v>
      </c>
      <c r="N221" s="1">
        <f t="shared" ca="1" si="63"/>
        <v>0.2</v>
      </c>
      <c r="O221" s="1">
        <f t="shared" ca="1" si="63"/>
        <v>0.2</v>
      </c>
      <c r="P221" s="1">
        <f t="shared" ca="1" si="63"/>
        <v>0.36</v>
      </c>
      <c r="Q221" s="1">
        <f t="shared" ca="1" si="63"/>
        <v>0.1</v>
      </c>
      <c r="R221" s="1">
        <f t="shared" ca="1" si="63"/>
        <v>2.2000000000000002</v>
      </c>
      <c r="S221" s="1">
        <f t="shared" ca="1" si="64"/>
        <v>0.1</v>
      </c>
      <c r="T221" s="1">
        <f t="shared" ca="1" si="64"/>
        <v>1.1700000000000002</v>
      </c>
      <c r="U221" s="1">
        <f t="shared" ca="1" si="64"/>
        <v>52.78</v>
      </c>
      <c r="V221" s="1">
        <f t="shared" ca="1" si="64"/>
        <v>0</v>
      </c>
      <c r="W221" s="1">
        <f t="shared" ca="1" si="64"/>
        <v>0</v>
      </c>
      <c r="X221" s="1">
        <f t="shared" ca="1" si="64"/>
        <v>0</v>
      </c>
      <c r="Y221" s="1">
        <f t="shared" ca="1" si="64"/>
        <v>0</v>
      </c>
      <c r="Z221" s="1">
        <f t="shared" ca="1" si="64"/>
        <v>0</v>
      </c>
      <c r="AA221" s="1">
        <f t="shared" ca="1" si="64"/>
        <v>26.774999999999999</v>
      </c>
      <c r="AB221" s="1">
        <f t="shared" ca="1" si="64"/>
        <v>0</v>
      </c>
      <c r="AC221" s="1">
        <f t="shared" ca="1" si="64"/>
        <v>29.750174999999999</v>
      </c>
      <c r="AD221" s="1">
        <f t="shared" ca="1" si="64"/>
        <v>29.750174999999999</v>
      </c>
      <c r="AE221" s="1">
        <f t="shared" ca="1" si="64"/>
        <v>29.750174999999999</v>
      </c>
      <c r="AF221" s="1">
        <f t="shared" ca="1" si="64"/>
        <v>29.750174999999999</v>
      </c>
      <c r="AG221" s="1">
        <f t="shared" ca="1" si="64"/>
        <v>29.750174999999999</v>
      </c>
      <c r="AH221" s="1">
        <f t="shared" ca="1" si="64"/>
        <v>38.675227499999998</v>
      </c>
      <c r="AI221" s="1">
        <f t="shared" ca="1" si="62"/>
        <v>29.750174999999999</v>
      </c>
    </row>
    <row r="222" spans="2:35" x14ac:dyDescent="0.15">
      <c r="B222" s="1" t="str">
        <f t="shared" si="59"/>
        <v>僵尸系22</v>
      </c>
      <c r="C222" s="1">
        <f t="shared" si="49"/>
        <v>22</v>
      </c>
      <c r="D222" s="14" t="s">
        <v>92</v>
      </c>
      <c r="E222" s="14">
        <f t="shared" si="50"/>
        <v>3</v>
      </c>
      <c r="F222" s="1" t="str">
        <f t="shared" si="57"/>
        <v>黑暗</v>
      </c>
      <c r="H222" s="1">
        <f t="shared" ca="1" si="58"/>
        <v>556.72119086195119</v>
      </c>
      <c r="I222" s="1">
        <f t="shared" ca="1" si="63"/>
        <v>100</v>
      </c>
      <c r="J222" s="1">
        <f t="shared" ca="1" si="63"/>
        <v>265.11059800664452</v>
      </c>
      <c r="K222" s="1">
        <f t="shared" ca="1" si="63"/>
        <v>31.16685</v>
      </c>
      <c r="L222" s="1">
        <f t="shared" ca="1" si="63"/>
        <v>361.51445182724251</v>
      </c>
      <c r="M222" s="1">
        <f t="shared" ca="1" si="63"/>
        <v>31.16685</v>
      </c>
      <c r="N222" s="1">
        <f t="shared" ca="1" si="63"/>
        <v>0.2</v>
      </c>
      <c r="O222" s="1">
        <f t="shared" ca="1" si="63"/>
        <v>0.2</v>
      </c>
      <c r="P222" s="1">
        <f t="shared" ca="1" si="63"/>
        <v>0.36</v>
      </c>
      <c r="Q222" s="1">
        <f t="shared" ca="1" si="63"/>
        <v>0.1</v>
      </c>
      <c r="R222" s="1">
        <f t="shared" ca="1" si="63"/>
        <v>2.2000000000000002</v>
      </c>
      <c r="S222" s="1">
        <f t="shared" ca="1" si="64"/>
        <v>0.1</v>
      </c>
      <c r="T222" s="1">
        <f t="shared" ca="1" si="64"/>
        <v>1.1700000000000002</v>
      </c>
      <c r="U222" s="1">
        <f t="shared" ca="1" si="64"/>
        <v>55.293333333333294</v>
      </c>
      <c r="V222" s="1">
        <f t="shared" ca="1" si="64"/>
        <v>0</v>
      </c>
      <c r="W222" s="1">
        <f t="shared" ca="1" si="64"/>
        <v>0</v>
      </c>
      <c r="X222" s="1">
        <f t="shared" ca="1" si="64"/>
        <v>0</v>
      </c>
      <c r="Y222" s="1">
        <f t="shared" ca="1" si="64"/>
        <v>0</v>
      </c>
      <c r="Z222" s="1">
        <f t="shared" ca="1" si="64"/>
        <v>0</v>
      </c>
      <c r="AA222" s="1">
        <f t="shared" ca="1" si="64"/>
        <v>29.787707641196</v>
      </c>
      <c r="AB222" s="1">
        <f t="shared" ca="1" si="64"/>
        <v>0</v>
      </c>
      <c r="AC222" s="1">
        <f t="shared" ca="1" si="64"/>
        <v>31.16685</v>
      </c>
      <c r="AD222" s="1">
        <f t="shared" ca="1" si="64"/>
        <v>31.16685</v>
      </c>
      <c r="AE222" s="1">
        <f t="shared" ca="1" si="64"/>
        <v>31.16685</v>
      </c>
      <c r="AF222" s="1">
        <f t="shared" ca="1" si="64"/>
        <v>31.16685</v>
      </c>
      <c r="AG222" s="1">
        <f t="shared" ca="1" si="64"/>
        <v>31.16685</v>
      </c>
      <c r="AH222" s="1">
        <f t="shared" ca="1" si="64"/>
        <v>40.516905000000001</v>
      </c>
      <c r="AI222" s="1">
        <f t="shared" ca="1" si="62"/>
        <v>31.16685</v>
      </c>
    </row>
    <row r="223" spans="2:35" x14ac:dyDescent="0.15">
      <c r="B223" s="1" t="str">
        <f t="shared" si="59"/>
        <v>僵尸系23</v>
      </c>
      <c r="C223" s="1">
        <f t="shared" si="49"/>
        <v>23</v>
      </c>
      <c r="D223" s="14" t="s">
        <v>92</v>
      </c>
      <c r="E223" s="14">
        <f t="shared" si="50"/>
        <v>3</v>
      </c>
      <c r="F223" s="1" t="str">
        <f t="shared" si="57"/>
        <v>黑暗</v>
      </c>
      <c r="H223" s="1">
        <f t="shared" ca="1" si="58"/>
        <v>615.4589133362922</v>
      </c>
      <c r="I223" s="1">
        <f t="shared" ref="I223:R232" ca="1" si="65">mVlookup($C223,monsterBaseDate,I$2,FALSE)*(1+mVlookup($E223,monsterType,I$2,FALSE))</f>
        <v>100</v>
      </c>
      <c r="J223" s="1">
        <f t="shared" ca="1" si="65"/>
        <v>279.38146205357191</v>
      </c>
      <c r="K223" s="1">
        <f t="shared" ca="1" si="65"/>
        <v>32.583525000000002</v>
      </c>
      <c r="L223" s="1">
        <f t="shared" ca="1" si="65"/>
        <v>380.97472098214348</v>
      </c>
      <c r="M223" s="1">
        <f t="shared" ca="1" si="65"/>
        <v>32.583525000000002</v>
      </c>
      <c r="N223" s="1">
        <f t="shared" ca="1" si="65"/>
        <v>0.2</v>
      </c>
      <c r="O223" s="1">
        <f t="shared" ca="1" si="65"/>
        <v>0.2</v>
      </c>
      <c r="P223" s="1">
        <f t="shared" ca="1" si="65"/>
        <v>0.36</v>
      </c>
      <c r="Q223" s="1">
        <f t="shared" ca="1" si="65"/>
        <v>0.1</v>
      </c>
      <c r="R223" s="1">
        <f t="shared" ca="1" si="65"/>
        <v>2.2000000000000002</v>
      </c>
      <c r="S223" s="1">
        <f t="shared" ref="S223:AH238" ca="1" si="66">mVlookup($C223,monsterBaseDate,S$2,FALSE)*(1+mVlookup($E223,monsterType,S$2,FALSE))</f>
        <v>0.1</v>
      </c>
      <c r="T223" s="1">
        <f t="shared" ca="1" si="66"/>
        <v>1.1700000000000002</v>
      </c>
      <c r="U223" s="1">
        <f t="shared" ca="1" si="66"/>
        <v>57.806666666666707</v>
      </c>
      <c r="V223" s="1">
        <f t="shared" ca="1" si="66"/>
        <v>0</v>
      </c>
      <c r="W223" s="1">
        <f t="shared" ca="1" si="66"/>
        <v>0</v>
      </c>
      <c r="X223" s="1">
        <f t="shared" ca="1" si="66"/>
        <v>0</v>
      </c>
      <c r="Y223" s="1">
        <f t="shared" ca="1" si="66"/>
        <v>0</v>
      </c>
      <c r="Z223" s="1">
        <f t="shared" ca="1" si="66"/>
        <v>0</v>
      </c>
      <c r="AA223" s="1">
        <f t="shared" ca="1" si="66"/>
        <v>33.003459821428599</v>
      </c>
      <c r="AB223" s="1">
        <f t="shared" ca="1" si="64"/>
        <v>0</v>
      </c>
      <c r="AC223" s="1">
        <f t="shared" ca="1" si="66"/>
        <v>32.583525000000002</v>
      </c>
      <c r="AD223" s="1">
        <f t="shared" ca="1" si="66"/>
        <v>32.583525000000002</v>
      </c>
      <c r="AE223" s="1">
        <f t="shared" ca="1" si="66"/>
        <v>32.583525000000002</v>
      </c>
      <c r="AF223" s="1">
        <f t="shared" ca="1" si="66"/>
        <v>32.583525000000002</v>
      </c>
      <c r="AG223" s="1">
        <f t="shared" ca="1" si="66"/>
        <v>32.583525000000002</v>
      </c>
      <c r="AH223" s="1">
        <f t="shared" ca="1" si="66"/>
        <v>42.358582500000004</v>
      </c>
      <c r="AI223" s="1">
        <f t="shared" ca="1" si="62"/>
        <v>32.583525000000002</v>
      </c>
    </row>
    <row r="224" spans="2:35" x14ac:dyDescent="0.15">
      <c r="B224" s="1" t="str">
        <f t="shared" si="59"/>
        <v>僵尸系24</v>
      </c>
      <c r="C224" s="1">
        <f t="shared" si="49"/>
        <v>24</v>
      </c>
      <c r="D224" s="14" t="s">
        <v>92</v>
      </c>
      <c r="E224" s="14">
        <f t="shared" si="50"/>
        <v>3</v>
      </c>
      <c r="F224" s="1" t="str">
        <f t="shared" si="57"/>
        <v>黑暗</v>
      </c>
      <c r="H224" s="1">
        <f t="shared" ca="1" si="58"/>
        <v>645.95182208601693</v>
      </c>
      <c r="I224" s="1">
        <f t="shared" ca="1" si="65"/>
        <v>100</v>
      </c>
      <c r="J224" s="1">
        <f t="shared" ca="1" si="65"/>
        <v>293.8625871766024</v>
      </c>
      <c r="K224" s="1">
        <f t="shared" ca="1" si="65"/>
        <v>34.0002</v>
      </c>
      <c r="L224" s="1">
        <f t="shared" ca="1" si="65"/>
        <v>400.72170978627594</v>
      </c>
      <c r="M224" s="1">
        <f t="shared" ca="1" si="65"/>
        <v>34.0002</v>
      </c>
      <c r="N224" s="1">
        <f t="shared" ca="1" si="65"/>
        <v>0.2</v>
      </c>
      <c r="O224" s="1">
        <f t="shared" ca="1" si="65"/>
        <v>0.2</v>
      </c>
      <c r="P224" s="1">
        <f t="shared" ca="1" si="65"/>
        <v>0.36</v>
      </c>
      <c r="Q224" s="1">
        <f t="shared" ca="1" si="65"/>
        <v>0.1</v>
      </c>
      <c r="R224" s="1">
        <f t="shared" ca="1" si="65"/>
        <v>2.2000000000000002</v>
      </c>
      <c r="S224" s="1">
        <f t="shared" ca="1" si="66"/>
        <v>0.1</v>
      </c>
      <c r="T224" s="1">
        <f t="shared" ca="1" si="66"/>
        <v>1.1700000000000002</v>
      </c>
      <c r="U224" s="1">
        <f t="shared" ca="1" si="66"/>
        <v>60.32</v>
      </c>
      <c r="V224" s="1">
        <f t="shared" ca="1" si="66"/>
        <v>0</v>
      </c>
      <c r="W224" s="1">
        <f t="shared" ca="1" si="66"/>
        <v>0</v>
      </c>
      <c r="X224" s="1">
        <f t="shared" ca="1" si="66"/>
        <v>0</v>
      </c>
      <c r="Y224" s="1">
        <f t="shared" ca="1" si="66"/>
        <v>0</v>
      </c>
      <c r="Z224" s="1">
        <f t="shared" ca="1" si="66"/>
        <v>0</v>
      </c>
      <c r="AA224" s="1">
        <f t="shared" ca="1" si="66"/>
        <v>36.429246344207002</v>
      </c>
      <c r="AB224" s="1">
        <f t="shared" ca="1" si="64"/>
        <v>0</v>
      </c>
      <c r="AC224" s="1">
        <f t="shared" ca="1" si="66"/>
        <v>34.0002</v>
      </c>
      <c r="AD224" s="1">
        <f t="shared" ca="1" si="66"/>
        <v>34.0002</v>
      </c>
      <c r="AE224" s="1">
        <f t="shared" ca="1" si="66"/>
        <v>34.0002</v>
      </c>
      <c r="AF224" s="1">
        <f t="shared" ca="1" si="66"/>
        <v>34.0002</v>
      </c>
      <c r="AG224" s="1">
        <f t="shared" ca="1" si="66"/>
        <v>34.0002</v>
      </c>
      <c r="AH224" s="1">
        <f t="shared" ca="1" si="66"/>
        <v>44.20026</v>
      </c>
      <c r="AI224" s="1">
        <f t="shared" ca="1" si="62"/>
        <v>34.0002</v>
      </c>
    </row>
    <row r="225" spans="2:35" x14ac:dyDescent="0.15">
      <c r="B225" s="1" t="str">
        <f t="shared" si="59"/>
        <v>僵尸系25</v>
      </c>
      <c r="C225" s="1">
        <f t="shared" si="49"/>
        <v>25</v>
      </c>
      <c r="D225" s="14" t="s">
        <v>92</v>
      </c>
      <c r="E225" s="14">
        <f t="shared" si="50"/>
        <v>3</v>
      </c>
      <c r="F225" s="1" t="str">
        <f t="shared" si="57"/>
        <v>黑暗</v>
      </c>
      <c r="H225" s="1">
        <f t="shared" ca="1" si="58"/>
        <v>676.75588296584226</v>
      </c>
      <c r="I225" s="1">
        <f t="shared" ca="1" si="65"/>
        <v>100</v>
      </c>
      <c r="J225" s="1">
        <f t="shared" ca="1" si="65"/>
        <v>308.55654761904725</v>
      </c>
      <c r="K225" s="1">
        <f t="shared" ca="1" si="65"/>
        <v>35.416874999999997</v>
      </c>
      <c r="L225" s="1">
        <f t="shared" ca="1" si="65"/>
        <v>420.75892857142799</v>
      </c>
      <c r="M225" s="1">
        <f t="shared" ca="1" si="65"/>
        <v>35.416874999999997</v>
      </c>
      <c r="N225" s="1">
        <f t="shared" ca="1" si="65"/>
        <v>0.2</v>
      </c>
      <c r="O225" s="1">
        <f t="shared" ca="1" si="65"/>
        <v>0.2</v>
      </c>
      <c r="P225" s="1">
        <f t="shared" ca="1" si="65"/>
        <v>0.36</v>
      </c>
      <c r="Q225" s="1">
        <f t="shared" ca="1" si="65"/>
        <v>0.1</v>
      </c>
      <c r="R225" s="1">
        <f t="shared" ca="1" si="65"/>
        <v>2.2000000000000002</v>
      </c>
      <c r="S225" s="1">
        <f t="shared" ca="1" si="66"/>
        <v>0.1</v>
      </c>
      <c r="T225" s="1">
        <f t="shared" ca="1" si="66"/>
        <v>1.1700000000000002</v>
      </c>
      <c r="U225" s="1">
        <f t="shared" ca="1" si="66"/>
        <v>62.833333333333293</v>
      </c>
      <c r="V225" s="1">
        <f t="shared" ca="1" si="66"/>
        <v>0</v>
      </c>
      <c r="W225" s="1">
        <f t="shared" ca="1" si="66"/>
        <v>0</v>
      </c>
      <c r="X225" s="1">
        <f t="shared" ca="1" si="66"/>
        <v>0</v>
      </c>
      <c r="Y225" s="1">
        <f t="shared" ca="1" si="66"/>
        <v>0</v>
      </c>
      <c r="Z225" s="1">
        <f t="shared" ca="1" si="66"/>
        <v>0</v>
      </c>
      <c r="AA225" s="1">
        <f t="shared" ca="1" si="66"/>
        <v>40.072278911564602</v>
      </c>
      <c r="AB225" s="1">
        <f t="shared" ca="1" si="64"/>
        <v>0</v>
      </c>
      <c r="AC225" s="1">
        <f t="shared" ca="1" si="66"/>
        <v>35.416874999999997</v>
      </c>
      <c r="AD225" s="1">
        <f t="shared" ca="1" si="66"/>
        <v>35.416874999999997</v>
      </c>
      <c r="AE225" s="1">
        <f t="shared" ca="1" si="66"/>
        <v>35.416874999999997</v>
      </c>
      <c r="AF225" s="1">
        <f t="shared" ca="1" si="66"/>
        <v>35.416874999999997</v>
      </c>
      <c r="AG225" s="1">
        <f t="shared" ca="1" si="66"/>
        <v>35.416874999999997</v>
      </c>
      <c r="AH225" s="1">
        <f t="shared" ca="1" si="66"/>
        <v>46.041937499999996</v>
      </c>
      <c r="AI225" s="1">
        <f t="shared" ca="1" si="62"/>
        <v>35.416874999999997</v>
      </c>
    </row>
    <row r="226" spans="2:35" x14ac:dyDescent="0.15">
      <c r="B226" s="1" t="str">
        <f t="shared" si="59"/>
        <v>僵尸系26</v>
      </c>
      <c r="C226" s="1">
        <f t="shared" si="49"/>
        <v>26</v>
      </c>
      <c r="D226" s="14" t="s">
        <v>92</v>
      </c>
      <c r="E226" s="14">
        <f t="shared" si="50"/>
        <v>3</v>
      </c>
      <c r="F226" s="1" t="str">
        <f t="shared" si="57"/>
        <v>黑暗</v>
      </c>
      <c r="H226" s="1">
        <f t="shared" ca="1" si="58"/>
        <v>707.87109597576591</v>
      </c>
      <c r="I226" s="1">
        <f t="shared" ca="1" si="65"/>
        <v>100</v>
      </c>
      <c r="J226" s="1">
        <f t="shared" ca="1" si="65"/>
        <v>323.46600000000001</v>
      </c>
      <c r="K226" s="1">
        <f t="shared" ca="1" si="65"/>
        <v>36.833550000000002</v>
      </c>
      <c r="L226" s="1">
        <f t="shared" ca="1" si="65"/>
        <v>441.09000000000003</v>
      </c>
      <c r="M226" s="1">
        <f t="shared" ca="1" si="65"/>
        <v>36.833550000000002</v>
      </c>
      <c r="N226" s="1">
        <f t="shared" ca="1" si="65"/>
        <v>0.2</v>
      </c>
      <c r="O226" s="1">
        <f t="shared" ca="1" si="65"/>
        <v>0.2</v>
      </c>
      <c r="P226" s="1">
        <f t="shared" ca="1" si="65"/>
        <v>0.36</v>
      </c>
      <c r="Q226" s="1">
        <f t="shared" ca="1" si="65"/>
        <v>0.1</v>
      </c>
      <c r="R226" s="1">
        <f t="shared" ca="1" si="65"/>
        <v>2.2000000000000002</v>
      </c>
      <c r="S226" s="1">
        <f t="shared" ca="1" si="66"/>
        <v>0.1</v>
      </c>
      <c r="T226" s="1">
        <f t="shared" ca="1" si="66"/>
        <v>1.1700000000000002</v>
      </c>
      <c r="U226" s="1">
        <f t="shared" ca="1" si="66"/>
        <v>65.346666666666721</v>
      </c>
      <c r="V226" s="1">
        <f t="shared" ca="1" si="66"/>
        <v>0</v>
      </c>
      <c r="W226" s="1">
        <f t="shared" ca="1" si="66"/>
        <v>0</v>
      </c>
      <c r="X226" s="1">
        <f t="shared" ca="1" si="66"/>
        <v>0</v>
      </c>
      <c r="Y226" s="1">
        <f t="shared" ca="1" si="66"/>
        <v>0</v>
      </c>
      <c r="Z226" s="1">
        <f t="shared" ca="1" si="66"/>
        <v>0</v>
      </c>
      <c r="AA226" s="1">
        <f t="shared" ca="1" si="66"/>
        <v>43.94</v>
      </c>
      <c r="AB226" s="1">
        <f t="shared" ca="1" si="64"/>
        <v>0</v>
      </c>
      <c r="AC226" s="1">
        <f t="shared" ca="1" si="66"/>
        <v>36.833550000000002</v>
      </c>
      <c r="AD226" s="1">
        <f t="shared" ca="1" si="66"/>
        <v>36.833550000000002</v>
      </c>
      <c r="AE226" s="1">
        <f t="shared" ca="1" si="66"/>
        <v>36.833550000000002</v>
      </c>
      <c r="AF226" s="1">
        <f t="shared" ca="1" si="66"/>
        <v>36.833550000000002</v>
      </c>
      <c r="AG226" s="1">
        <f t="shared" ca="1" si="66"/>
        <v>36.833550000000002</v>
      </c>
      <c r="AH226" s="1">
        <f t="shared" ca="1" si="66"/>
        <v>47.883615000000006</v>
      </c>
      <c r="AI226" s="1">
        <f t="shared" ca="1" si="62"/>
        <v>36.833550000000002</v>
      </c>
    </row>
    <row r="227" spans="2:35" x14ac:dyDescent="0.15">
      <c r="B227" s="1" t="str">
        <f t="shared" si="59"/>
        <v>僵尸系27</v>
      </c>
      <c r="C227" s="1">
        <f t="shared" si="49"/>
        <v>27</v>
      </c>
      <c r="D227" s="14" t="s">
        <v>92</v>
      </c>
      <c r="E227" s="14">
        <f t="shared" si="50"/>
        <v>3</v>
      </c>
      <c r="F227" s="1" t="str">
        <f t="shared" si="57"/>
        <v>黑暗</v>
      </c>
      <c r="H227" s="1">
        <f t="shared" ca="1" si="58"/>
        <v>739.29746111578891</v>
      </c>
      <c r="I227" s="1">
        <f t="shared" ca="1" si="65"/>
        <v>100</v>
      </c>
      <c r="J227" s="1">
        <f t="shared" ca="1" si="65"/>
        <v>338.59368663594432</v>
      </c>
      <c r="K227" s="1">
        <f t="shared" ca="1" si="65"/>
        <v>38.250225</v>
      </c>
      <c r="L227" s="1">
        <f t="shared" ca="1" si="65"/>
        <v>461.71866359446949</v>
      </c>
      <c r="M227" s="1">
        <f t="shared" ca="1" si="65"/>
        <v>38.250225</v>
      </c>
      <c r="N227" s="1">
        <f t="shared" ca="1" si="65"/>
        <v>0.2</v>
      </c>
      <c r="O227" s="1">
        <f t="shared" ca="1" si="65"/>
        <v>0.2</v>
      </c>
      <c r="P227" s="1">
        <f t="shared" ca="1" si="65"/>
        <v>0.36</v>
      </c>
      <c r="Q227" s="1">
        <f t="shared" ca="1" si="65"/>
        <v>0.1</v>
      </c>
      <c r="R227" s="1">
        <f t="shared" ca="1" si="65"/>
        <v>2.2000000000000002</v>
      </c>
      <c r="S227" s="1">
        <f t="shared" ca="1" si="66"/>
        <v>0.1</v>
      </c>
      <c r="T227" s="1">
        <f t="shared" ca="1" si="66"/>
        <v>1.1700000000000002</v>
      </c>
      <c r="U227" s="1">
        <f t="shared" ca="1" si="66"/>
        <v>67.86</v>
      </c>
      <c r="V227" s="1">
        <f t="shared" ca="1" si="66"/>
        <v>0</v>
      </c>
      <c r="W227" s="1">
        <f t="shared" ca="1" si="66"/>
        <v>0</v>
      </c>
      <c r="X227" s="1">
        <f t="shared" ca="1" si="66"/>
        <v>0</v>
      </c>
      <c r="Y227" s="1">
        <f t="shared" ca="1" si="66"/>
        <v>0</v>
      </c>
      <c r="Z227" s="1">
        <f t="shared" ca="1" si="66"/>
        <v>0</v>
      </c>
      <c r="AA227" s="1">
        <f t="shared" ca="1" si="66"/>
        <v>48.040092165898599</v>
      </c>
      <c r="AB227" s="1">
        <f t="shared" ca="1" si="64"/>
        <v>0</v>
      </c>
      <c r="AC227" s="1">
        <f t="shared" ca="1" si="66"/>
        <v>38.250225</v>
      </c>
      <c r="AD227" s="1">
        <f t="shared" ca="1" si="66"/>
        <v>38.250225</v>
      </c>
      <c r="AE227" s="1">
        <f t="shared" ca="1" si="66"/>
        <v>38.250225</v>
      </c>
      <c r="AF227" s="1">
        <f t="shared" ca="1" si="66"/>
        <v>38.250225</v>
      </c>
      <c r="AG227" s="1">
        <f t="shared" ca="1" si="66"/>
        <v>38.250225</v>
      </c>
      <c r="AH227" s="1">
        <f t="shared" ca="1" si="66"/>
        <v>49.725292500000002</v>
      </c>
      <c r="AI227" s="1">
        <f t="shared" ca="1" si="62"/>
        <v>38.250225</v>
      </c>
    </row>
    <row r="228" spans="2:35" x14ac:dyDescent="0.15">
      <c r="B228" s="1" t="str">
        <f t="shared" si="59"/>
        <v>僵尸系28</v>
      </c>
      <c r="C228" s="1">
        <f t="shared" si="49"/>
        <v>28</v>
      </c>
      <c r="D228" s="14" t="s">
        <v>92</v>
      </c>
      <c r="E228" s="14">
        <f t="shared" si="50"/>
        <v>3</v>
      </c>
      <c r="F228" s="1" t="str">
        <f t="shared" si="57"/>
        <v>黑暗</v>
      </c>
      <c r="H228" s="1">
        <f t="shared" ca="1" si="58"/>
        <v>771.03497838591045</v>
      </c>
      <c r="I228" s="1">
        <f t="shared" ca="1" si="65"/>
        <v>100</v>
      </c>
      <c r="J228" s="1">
        <f t="shared" ca="1" si="65"/>
        <v>353.94243902439075</v>
      </c>
      <c r="K228" s="1">
        <f t="shared" ca="1" si="65"/>
        <v>39.666899999999998</v>
      </c>
      <c r="L228" s="1">
        <f t="shared" ca="1" si="65"/>
        <v>482.64878048780554</v>
      </c>
      <c r="M228" s="1">
        <f t="shared" ca="1" si="65"/>
        <v>39.666899999999998</v>
      </c>
      <c r="N228" s="1">
        <f t="shared" ca="1" si="65"/>
        <v>0.2</v>
      </c>
      <c r="O228" s="1">
        <f t="shared" ca="1" si="65"/>
        <v>0.2</v>
      </c>
      <c r="P228" s="1">
        <f t="shared" ca="1" si="65"/>
        <v>0.36</v>
      </c>
      <c r="Q228" s="1">
        <f t="shared" ca="1" si="65"/>
        <v>0.1</v>
      </c>
      <c r="R228" s="1">
        <f t="shared" ca="1" si="65"/>
        <v>2.2000000000000002</v>
      </c>
      <c r="S228" s="1">
        <f t="shared" ca="1" si="66"/>
        <v>0.1</v>
      </c>
      <c r="T228" s="1">
        <f t="shared" ca="1" si="66"/>
        <v>1.1700000000000002</v>
      </c>
      <c r="U228" s="1">
        <f t="shared" ca="1" si="66"/>
        <v>70.373333333333292</v>
      </c>
      <c r="V228" s="1">
        <f t="shared" ca="1" si="66"/>
        <v>0</v>
      </c>
      <c r="W228" s="1">
        <f t="shared" ca="1" si="66"/>
        <v>0</v>
      </c>
      <c r="X228" s="1">
        <f t="shared" ca="1" si="66"/>
        <v>0</v>
      </c>
      <c r="Y228" s="1">
        <f t="shared" ca="1" si="66"/>
        <v>0</v>
      </c>
      <c r="Z228" s="1">
        <f t="shared" ca="1" si="66"/>
        <v>0</v>
      </c>
      <c r="AA228" s="1">
        <f t="shared" ca="1" si="66"/>
        <v>52.380487804878101</v>
      </c>
      <c r="AB228" s="1">
        <f t="shared" ca="1" si="64"/>
        <v>0</v>
      </c>
      <c r="AC228" s="1">
        <f t="shared" ca="1" si="66"/>
        <v>39.666899999999998</v>
      </c>
      <c r="AD228" s="1">
        <f t="shared" ca="1" si="66"/>
        <v>39.666899999999998</v>
      </c>
      <c r="AE228" s="1">
        <f t="shared" ca="1" si="66"/>
        <v>39.666899999999998</v>
      </c>
      <c r="AF228" s="1">
        <f t="shared" ca="1" si="66"/>
        <v>39.666899999999998</v>
      </c>
      <c r="AG228" s="1">
        <f t="shared" ca="1" si="66"/>
        <v>39.666899999999998</v>
      </c>
      <c r="AH228" s="1">
        <f t="shared" ca="1" si="66"/>
        <v>51.566969999999998</v>
      </c>
      <c r="AI228" s="1">
        <f t="shared" ca="1" si="62"/>
        <v>39.666899999999998</v>
      </c>
    </row>
    <row r="229" spans="2:35" x14ac:dyDescent="0.15">
      <c r="B229" s="1" t="str">
        <f t="shared" si="59"/>
        <v>僵尸系29</v>
      </c>
      <c r="C229" s="1">
        <f t="shared" si="49"/>
        <v>29</v>
      </c>
      <c r="D229" s="14" t="s">
        <v>92</v>
      </c>
      <c r="E229" s="14">
        <f t="shared" si="50"/>
        <v>3</v>
      </c>
      <c r="F229" s="1" t="str">
        <f t="shared" si="57"/>
        <v>黑暗</v>
      </c>
      <c r="H229" s="1">
        <f t="shared" ca="1" si="58"/>
        <v>803.08364778613236</v>
      </c>
      <c r="I229" s="1">
        <f t="shared" ca="1" si="65"/>
        <v>100</v>
      </c>
      <c r="J229" s="1">
        <f t="shared" ca="1" si="65"/>
        <v>369.51518149882929</v>
      </c>
      <c r="K229" s="1">
        <f t="shared" ca="1" si="65"/>
        <v>41.083575000000003</v>
      </c>
      <c r="L229" s="1">
        <f t="shared" ca="1" si="65"/>
        <v>503.88433840749451</v>
      </c>
      <c r="M229" s="1">
        <f t="shared" ca="1" si="65"/>
        <v>41.083575000000003</v>
      </c>
      <c r="N229" s="1">
        <f t="shared" ca="1" si="65"/>
        <v>0.2</v>
      </c>
      <c r="O229" s="1">
        <f t="shared" ca="1" si="65"/>
        <v>0.2</v>
      </c>
      <c r="P229" s="1">
        <f t="shared" ca="1" si="65"/>
        <v>0.36</v>
      </c>
      <c r="Q229" s="1">
        <f t="shared" ca="1" si="65"/>
        <v>0.1</v>
      </c>
      <c r="R229" s="1">
        <f t="shared" ca="1" si="65"/>
        <v>2.2000000000000002</v>
      </c>
      <c r="S229" s="1">
        <f t="shared" ca="1" si="66"/>
        <v>0.1</v>
      </c>
      <c r="T229" s="1">
        <f t="shared" ca="1" si="66"/>
        <v>1.1700000000000002</v>
      </c>
      <c r="U229" s="1">
        <f t="shared" ca="1" si="66"/>
        <v>72.886666666666713</v>
      </c>
      <c r="V229" s="1">
        <f t="shared" ca="1" si="66"/>
        <v>0</v>
      </c>
      <c r="W229" s="1">
        <f t="shared" ca="1" si="66"/>
        <v>0</v>
      </c>
      <c r="X229" s="1">
        <f t="shared" ca="1" si="66"/>
        <v>0</v>
      </c>
      <c r="Y229" s="1">
        <f t="shared" ca="1" si="66"/>
        <v>0</v>
      </c>
      <c r="Z229" s="1">
        <f t="shared" ca="1" si="66"/>
        <v>0</v>
      </c>
      <c r="AA229" s="1">
        <f t="shared" ca="1" si="66"/>
        <v>56.969379391100702</v>
      </c>
      <c r="AB229" s="1">
        <f t="shared" ca="1" si="66"/>
        <v>0</v>
      </c>
      <c r="AC229" s="1">
        <f t="shared" ca="1" si="66"/>
        <v>41.083575000000003</v>
      </c>
      <c r="AD229" s="1">
        <f t="shared" ca="1" si="66"/>
        <v>41.083575000000003</v>
      </c>
      <c r="AE229" s="1">
        <f t="shared" ca="1" si="66"/>
        <v>41.083575000000003</v>
      </c>
      <c r="AF229" s="1">
        <f t="shared" ca="1" si="66"/>
        <v>41.083575000000003</v>
      </c>
      <c r="AG229" s="1">
        <f t="shared" ca="1" si="66"/>
        <v>41.083575000000003</v>
      </c>
      <c r="AH229" s="1">
        <f t="shared" ca="1" si="66"/>
        <v>53.408647500000008</v>
      </c>
      <c r="AI229" s="1">
        <f t="shared" ca="1" si="62"/>
        <v>41.083575000000003</v>
      </c>
    </row>
    <row r="230" spans="2:35" x14ac:dyDescent="0.15">
      <c r="B230" s="1" t="str">
        <f t="shared" si="59"/>
        <v>僵尸系30</v>
      </c>
      <c r="C230" s="1">
        <f t="shared" si="49"/>
        <v>30</v>
      </c>
      <c r="D230" s="14" t="s">
        <v>92</v>
      </c>
      <c r="E230" s="14">
        <f t="shared" si="50"/>
        <v>3</v>
      </c>
      <c r="F230" s="1" t="str">
        <f t="shared" si="57"/>
        <v>黑暗</v>
      </c>
      <c r="H230" s="1">
        <f t="shared" ca="1" si="58"/>
        <v>835.44346931645282</v>
      </c>
      <c r="I230" s="1">
        <f t="shared" ca="1" si="65"/>
        <v>100</v>
      </c>
      <c r="J230" s="1">
        <f t="shared" ca="1" si="65"/>
        <v>385.31493506493467</v>
      </c>
      <c r="K230" s="1">
        <f t="shared" ca="1" si="65"/>
        <v>42.500250000000001</v>
      </c>
      <c r="L230" s="1">
        <f t="shared" ca="1" si="65"/>
        <v>525.429456906729</v>
      </c>
      <c r="M230" s="1">
        <f t="shared" ca="1" si="65"/>
        <v>42.500250000000001</v>
      </c>
      <c r="N230" s="1">
        <f t="shared" ca="1" si="65"/>
        <v>0.2</v>
      </c>
      <c r="O230" s="1">
        <f t="shared" ca="1" si="65"/>
        <v>0.2</v>
      </c>
      <c r="P230" s="1">
        <f t="shared" ca="1" si="65"/>
        <v>0.36</v>
      </c>
      <c r="Q230" s="1">
        <f t="shared" ca="1" si="65"/>
        <v>0.1</v>
      </c>
      <c r="R230" s="1">
        <f t="shared" ca="1" si="65"/>
        <v>2.2000000000000002</v>
      </c>
      <c r="S230" s="1">
        <f t="shared" ca="1" si="66"/>
        <v>0.1</v>
      </c>
      <c r="T230" s="1">
        <f t="shared" ca="1" si="66"/>
        <v>1.1700000000000002</v>
      </c>
      <c r="U230" s="1">
        <f t="shared" ca="1" si="66"/>
        <v>75.400000000000006</v>
      </c>
      <c r="V230" s="1">
        <f t="shared" ca="1" si="66"/>
        <v>0</v>
      </c>
      <c r="W230" s="1">
        <f t="shared" ca="1" si="66"/>
        <v>0</v>
      </c>
      <c r="X230" s="1">
        <f t="shared" ca="1" si="66"/>
        <v>0</v>
      </c>
      <c r="Y230" s="1">
        <f t="shared" ca="1" si="66"/>
        <v>0</v>
      </c>
      <c r="Z230" s="1">
        <f t="shared" ca="1" si="66"/>
        <v>0</v>
      </c>
      <c r="AA230" s="1">
        <f t="shared" ca="1" si="66"/>
        <v>61.815230224321098</v>
      </c>
      <c r="AB230" s="1">
        <f t="shared" ca="1" si="66"/>
        <v>0</v>
      </c>
      <c r="AC230" s="1">
        <f t="shared" ca="1" si="66"/>
        <v>42.500250000000001</v>
      </c>
      <c r="AD230" s="1">
        <f t="shared" ca="1" si="66"/>
        <v>42.500250000000001</v>
      </c>
      <c r="AE230" s="1">
        <f t="shared" ca="1" si="66"/>
        <v>42.500250000000001</v>
      </c>
      <c r="AF230" s="1">
        <f t="shared" ca="1" si="66"/>
        <v>42.500250000000001</v>
      </c>
      <c r="AG230" s="1">
        <f t="shared" ca="1" si="66"/>
        <v>42.500250000000001</v>
      </c>
      <c r="AH230" s="1">
        <f t="shared" ca="1" si="66"/>
        <v>55.250325000000004</v>
      </c>
      <c r="AI230" s="1">
        <f t="shared" ca="1" si="62"/>
        <v>42.500250000000001</v>
      </c>
    </row>
    <row r="231" spans="2:35" x14ac:dyDescent="0.15">
      <c r="B231" s="1" t="str">
        <f t="shared" si="59"/>
        <v>僵尸系31</v>
      </c>
      <c r="C231" s="1">
        <f t="shared" ref="C231:C294" si="67">C132</f>
        <v>31</v>
      </c>
      <c r="D231" s="14" t="s">
        <v>92</v>
      </c>
      <c r="E231" s="14">
        <f t="shared" ref="E231:E294" si="68">E132+1</f>
        <v>3</v>
      </c>
      <c r="F231" s="1" t="str">
        <f t="shared" si="57"/>
        <v>黑暗</v>
      </c>
      <c r="H231" s="1">
        <f t="shared" ca="1" si="58"/>
        <v>868.11444297687285</v>
      </c>
      <c r="I231" s="1">
        <f t="shared" ca="1" si="65"/>
        <v>100</v>
      </c>
      <c r="J231" s="1">
        <f t="shared" ca="1" si="65"/>
        <v>401.34482142857189</v>
      </c>
      <c r="K231" s="1">
        <f t="shared" ca="1" si="65"/>
        <v>43.916924999999999</v>
      </c>
      <c r="L231" s="1">
        <f t="shared" ca="1" si="65"/>
        <v>547.28839285714344</v>
      </c>
      <c r="M231" s="1">
        <f t="shared" ca="1" si="65"/>
        <v>43.916924999999999</v>
      </c>
      <c r="N231" s="1">
        <f t="shared" ca="1" si="65"/>
        <v>0.2</v>
      </c>
      <c r="O231" s="1">
        <f t="shared" ca="1" si="65"/>
        <v>0.2</v>
      </c>
      <c r="P231" s="1">
        <f t="shared" ca="1" si="65"/>
        <v>0.36</v>
      </c>
      <c r="Q231" s="1">
        <f t="shared" ca="1" si="65"/>
        <v>0.1</v>
      </c>
      <c r="R231" s="1">
        <f t="shared" ca="1" si="65"/>
        <v>2.2000000000000002</v>
      </c>
      <c r="S231" s="1">
        <f t="shared" ca="1" si="66"/>
        <v>0.1</v>
      </c>
      <c r="T231" s="1">
        <f t="shared" ca="1" si="66"/>
        <v>1.1700000000000002</v>
      </c>
      <c r="U231" s="1">
        <f t="shared" ca="1" si="66"/>
        <v>77.913333333333298</v>
      </c>
      <c r="V231" s="1">
        <f t="shared" ca="1" si="66"/>
        <v>0</v>
      </c>
      <c r="W231" s="1">
        <f t="shared" ca="1" si="66"/>
        <v>0</v>
      </c>
      <c r="X231" s="1">
        <f t="shared" ca="1" si="66"/>
        <v>0</v>
      </c>
      <c r="Y231" s="1">
        <f t="shared" ca="1" si="66"/>
        <v>0</v>
      </c>
      <c r="Z231" s="1">
        <f t="shared" ca="1" si="66"/>
        <v>0</v>
      </c>
      <c r="AA231" s="1">
        <f t="shared" ca="1" si="66"/>
        <v>66.9267857142857</v>
      </c>
      <c r="AB231" s="1">
        <f t="shared" ca="1" si="66"/>
        <v>0</v>
      </c>
      <c r="AC231" s="1">
        <f t="shared" ca="1" si="66"/>
        <v>43.916924999999999</v>
      </c>
      <c r="AD231" s="1">
        <f t="shared" ca="1" si="66"/>
        <v>43.916924999999999</v>
      </c>
      <c r="AE231" s="1">
        <f t="shared" ca="1" si="66"/>
        <v>43.916924999999999</v>
      </c>
      <c r="AF231" s="1">
        <f t="shared" ca="1" si="66"/>
        <v>43.916924999999999</v>
      </c>
      <c r="AG231" s="1">
        <f t="shared" ca="1" si="66"/>
        <v>43.916924999999999</v>
      </c>
      <c r="AH231" s="1">
        <f t="shared" ca="1" si="66"/>
        <v>57.0920025</v>
      </c>
      <c r="AI231" s="1">
        <f t="shared" ca="1" si="62"/>
        <v>43.916924999999999</v>
      </c>
    </row>
    <row r="232" spans="2:35" x14ac:dyDescent="0.15">
      <c r="B232" s="1" t="str">
        <f t="shared" si="59"/>
        <v>僵尸系32</v>
      </c>
      <c r="C232" s="1">
        <f t="shared" si="67"/>
        <v>32</v>
      </c>
      <c r="D232" s="14" t="s">
        <v>92</v>
      </c>
      <c r="E232" s="14">
        <f t="shared" si="68"/>
        <v>3</v>
      </c>
      <c r="F232" s="1" t="str">
        <f t="shared" si="57"/>
        <v>黑暗</v>
      </c>
      <c r="H232" s="1">
        <f t="shared" ca="1" si="58"/>
        <v>901.09656876739211</v>
      </c>
      <c r="I232" s="1">
        <f t="shared" ca="1" si="65"/>
        <v>100</v>
      </c>
      <c r="J232" s="1">
        <f t="shared" ca="1" si="65"/>
        <v>417.60806722689125</v>
      </c>
      <c r="K232" s="1">
        <f t="shared" ca="1" si="65"/>
        <v>45.333599999999997</v>
      </c>
      <c r="L232" s="1">
        <f t="shared" ca="1" si="65"/>
        <v>569.46554621848804</v>
      </c>
      <c r="M232" s="1">
        <f t="shared" ca="1" si="65"/>
        <v>45.333599999999997</v>
      </c>
      <c r="N232" s="1">
        <f t="shared" ca="1" si="65"/>
        <v>0.2</v>
      </c>
      <c r="O232" s="1">
        <f t="shared" ca="1" si="65"/>
        <v>0.2</v>
      </c>
      <c r="P232" s="1">
        <f t="shared" ca="1" si="65"/>
        <v>0.36</v>
      </c>
      <c r="Q232" s="1">
        <f t="shared" ca="1" si="65"/>
        <v>0.1</v>
      </c>
      <c r="R232" s="1">
        <f t="shared" ca="1" si="65"/>
        <v>2.2000000000000002</v>
      </c>
      <c r="S232" s="1">
        <f t="shared" ca="1" si="66"/>
        <v>0.1</v>
      </c>
      <c r="T232" s="1">
        <f t="shared" ca="1" si="66"/>
        <v>1.1700000000000002</v>
      </c>
      <c r="U232" s="1">
        <f t="shared" ca="1" si="66"/>
        <v>80.426666666666719</v>
      </c>
      <c r="V232" s="1">
        <f t="shared" ca="1" si="66"/>
        <v>0</v>
      </c>
      <c r="W232" s="1">
        <f t="shared" ca="1" si="66"/>
        <v>0</v>
      </c>
      <c r="X232" s="1">
        <f t="shared" ca="1" si="66"/>
        <v>0</v>
      </c>
      <c r="Y232" s="1">
        <f t="shared" ca="1" si="66"/>
        <v>0</v>
      </c>
      <c r="Z232" s="1">
        <f t="shared" ca="1" si="66"/>
        <v>0</v>
      </c>
      <c r="AA232" s="1">
        <f t="shared" ca="1" si="66"/>
        <v>72.313085234093606</v>
      </c>
      <c r="AB232" s="1">
        <f t="shared" ca="1" si="66"/>
        <v>0</v>
      </c>
      <c r="AC232" s="1">
        <f t="shared" ca="1" si="66"/>
        <v>45.333599999999997</v>
      </c>
      <c r="AD232" s="1">
        <f t="shared" ca="1" si="66"/>
        <v>45.333599999999997</v>
      </c>
      <c r="AE232" s="1">
        <f t="shared" ca="1" si="66"/>
        <v>45.333599999999997</v>
      </c>
      <c r="AF232" s="1">
        <f t="shared" ca="1" si="66"/>
        <v>45.333599999999997</v>
      </c>
      <c r="AG232" s="1">
        <f t="shared" ca="1" si="66"/>
        <v>45.333599999999997</v>
      </c>
      <c r="AH232" s="1">
        <f t="shared" ca="1" si="66"/>
        <v>58.933679999999995</v>
      </c>
      <c r="AI232" s="1">
        <f t="shared" ca="1" si="62"/>
        <v>45.333599999999997</v>
      </c>
    </row>
    <row r="233" spans="2:35" x14ac:dyDescent="0.15">
      <c r="B233" s="1" t="str">
        <f t="shared" si="59"/>
        <v>僵尸系33</v>
      </c>
      <c r="C233" s="1">
        <f t="shared" si="67"/>
        <v>33</v>
      </c>
      <c r="D233" s="14" t="s">
        <v>92</v>
      </c>
      <c r="E233" s="14">
        <f t="shared" si="68"/>
        <v>3</v>
      </c>
      <c r="F233" s="1" t="str">
        <f t="shared" si="57"/>
        <v>黑暗</v>
      </c>
      <c r="H233" s="1">
        <f t="shared" ca="1" si="58"/>
        <v>934.38984668801083</v>
      </c>
      <c r="I233" s="1">
        <f t="shared" ref="I233:R242" ca="1" si="69">mVlookup($C233,monsterBaseDate,I$2,FALSE)*(1+mVlookup($E233,monsterType,I$2,FALSE))</f>
        <v>100</v>
      </c>
      <c r="J233" s="1">
        <f t="shared" ca="1" si="69"/>
        <v>434.10800847457676</v>
      </c>
      <c r="K233" s="1">
        <f t="shared" ca="1" si="69"/>
        <v>46.750275000000002</v>
      </c>
      <c r="L233" s="1">
        <f t="shared" ca="1" si="69"/>
        <v>591.96546610169548</v>
      </c>
      <c r="M233" s="1">
        <f t="shared" ca="1" si="69"/>
        <v>46.750275000000002</v>
      </c>
      <c r="N233" s="1">
        <f t="shared" ca="1" si="69"/>
        <v>0.2</v>
      </c>
      <c r="O233" s="1">
        <f t="shared" ca="1" si="69"/>
        <v>0.2</v>
      </c>
      <c r="P233" s="1">
        <f t="shared" ca="1" si="69"/>
        <v>0.36</v>
      </c>
      <c r="Q233" s="1">
        <f t="shared" ca="1" si="69"/>
        <v>0.1</v>
      </c>
      <c r="R233" s="1">
        <f t="shared" ca="1" si="69"/>
        <v>2.2000000000000002</v>
      </c>
      <c r="S233" s="1">
        <f t="shared" ref="S233:AH248" ca="1" si="70">mVlookup($C233,monsterBaseDate,S$2,FALSE)*(1+mVlookup($E233,monsterType,S$2,FALSE))</f>
        <v>0.1</v>
      </c>
      <c r="T233" s="1">
        <f t="shared" ca="1" si="70"/>
        <v>1.1700000000000002</v>
      </c>
      <c r="U233" s="1">
        <f t="shared" ca="1" si="70"/>
        <v>82.94</v>
      </c>
      <c r="V233" s="1">
        <f t="shared" ca="1" si="70"/>
        <v>0</v>
      </c>
      <c r="W233" s="1">
        <f t="shared" ca="1" si="70"/>
        <v>0</v>
      </c>
      <c r="X233" s="1">
        <f t="shared" ca="1" si="70"/>
        <v>0</v>
      </c>
      <c r="Y233" s="1">
        <f t="shared" ca="1" si="70"/>
        <v>0</v>
      </c>
      <c r="Z233" s="1">
        <f t="shared" ca="1" si="70"/>
        <v>0</v>
      </c>
      <c r="AA233" s="1">
        <f t="shared" ca="1" si="70"/>
        <v>77.983474576271206</v>
      </c>
      <c r="AB233" s="1">
        <f t="shared" ca="1" si="66"/>
        <v>0</v>
      </c>
      <c r="AC233" s="1">
        <f t="shared" ca="1" si="70"/>
        <v>46.750275000000002</v>
      </c>
      <c r="AD233" s="1">
        <f t="shared" ca="1" si="70"/>
        <v>46.750275000000002</v>
      </c>
      <c r="AE233" s="1">
        <f t="shared" ca="1" si="70"/>
        <v>46.750275000000002</v>
      </c>
      <c r="AF233" s="1">
        <f t="shared" ca="1" si="70"/>
        <v>46.750275000000002</v>
      </c>
      <c r="AG233" s="1">
        <f t="shared" ca="1" si="70"/>
        <v>46.750275000000002</v>
      </c>
      <c r="AH233" s="1">
        <f t="shared" ca="1" si="70"/>
        <v>60.775357500000005</v>
      </c>
      <c r="AI233" s="1">
        <f t="shared" ca="1" si="62"/>
        <v>46.750275000000002</v>
      </c>
    </row>
    <row r="234" spans="2:35" x14ac:dyDescent="0.15">
      <c r="B234" s="1" t="str">
        <f t="shared" si="59"/>
        <v>僵尸系34</v>
      </c>
      <c r="C234" s="1">
        <f t="shared" si="67"/>
        <v>34</v>
      </c>
      <c r="D234" s="14" t="s">
        <v>92</v>
      </c>
      <c r="E234" s="14">
        <f t="shared" si="68"/>
        <v>3</v>
      </c>
      <c r="F234" s="1" t="str">
        <f t="shared" si="57"/>
        <v>黑暗</v>
      </c>
      <c r="H234" s="1">
        <f t="shared" ca="1" si="58"/>
        <v>1018.0887244680335</v>
      </c>
      <c r="I234" s="1">
        <f t="shared" ca="1" si="69"/>
        <v>100</v>
      </c>
      <c r="J234" s="1">
        <f t="shared" ca="1" si="69"/>
        <v>450.84809523809554</v>
      </c>
      <c r="K234" s="1">
        <f t="shared" ca="1" si="69"/>
        <v>48.16695</v>
      </c>
      <c r="L234" s="1">
        <f t="shared" ca="1" si="69"/>
        <v>614.79285714285754</v>
      </c>
      <c r="M234" s="1">
        <f t="shared" ca="1" si="69"/>
        <v>48.16695</v>
      </c>
      <c r="N234" s="1">
        <f t="shared" ca="1" si="69"/>
        <v>0.2</v>
      </c>
      <c r="O234" s="1">
        <f t="shared" ca="1" si="69"/>
        <v>0.2</v>
      </c>
      <c r="P234" s="1">
        <f t="shared" ca="1" si="69"/>
        <v>0.36</v>
      </c>
      <c r="Q234" s="1">
        <f t="shared" ca="1" si="69"/>
        <v>0.1</v>
      </c>
      <c r="R234" s="1">
        <f t="shared" ca="1" si="69"/>
        <v>2.2000000000000002</v>
      </c>
      <c r="S234" s="1">
        <f t="shared" ca="1" si="70"/>
        <v>0.1</v>
      </c>
      <c r="T234" s="1">
        <f t="shared" ca="1" si="70"/>
        <v>1.1700000000000002</v>
      </c>
      <c r="U234" s="1">
        <f t="shared" ca="1" si="70"/>
        <v>85.453333333333305</v>
      </c>
      <c r="V234" s="1">
        <f t="shared" ca="1" si="70"/>
        <v>0</v>
      </c>
      <c r="W234" s="1">
        <f t="shared" ca="1" si="70"/>
        <v>0</v>
      </c>
      <c r="X234" s="1">
        <f t="shared" ca="1" si="70"/>
        <v>0</v>
      </c>
      <c r="Y234" s="1">
        <f t="shared" ca="1" si="70"/>
        <v>0</v>
      </c>
      <c r="Z234" s="1">
        <f t="shared" ca="1" si="70"/>
        <v>0</v>
      </c>
      <c r="AA234" s="1">
        <f t="shared" ca="1" si="70"/>
        <v>83.947619047619099</v>
      </c>
      <c r="AB234" s="1">
        <f t="shared" ca="1" si="66"/>
        <v>0</v>
      </c>
      <c r="AC234" s="1">
        <f t="shared" ca="1" si="70"/>
        <v>48.16695</v>
      </c>
      <c r="AD234" s="1">
        <f t="shared" ca="1" si="70"/>
        <v>48.16695</v>
      </c>
      <c r="AE234" s="1">
        <f t="shared" ca="1" si="70"/>
        <v>48.16695</v>
      </c>
      <c r="AF234" s="1">
        <f t="shared" ca="1" si="70"/>
        <v>48.16695</v>
      </c>
      <c r="AG234" s="1">
        <f t="shared" ca="1" si="70"/>
        <v>48.16695</v>
      </c>
      <c r="AH234" s="1">
        <f t="shared" ca="1" si="70"/>
        <v>62.617035000000001</v>
      </c>
      <c r="AI234" s="1">
        <f t="shared" ca="1" si="62"/>
        <v>48.16695</v>
      </c>
    </row>
    <row r="235" spans="2:35" x14ac:dyDescent="0.15">
      <c r="B235" s="1" t="str">
        <f t="shared" si="59"/>
        <v>僵尸系35</v>
      </c>
      <c r="C235" s="1">
        <f t="shared" si="67"/>
        <v>35</v>
      </c>
      <c r="D235" s="14" t="s">
        <v>92</v>
      </c>
      <c r="E235" s="14">
        <f t="shared" si="68"/>
        <v>3</v>
      </c>
      <c r="F235" s="1" t="str">
        <f t="shared" si="57"/>
        <v>黑暗</v>
      </c>
      <c r="H235" s="1">
        <f t="shared" ca="1" si="58"/>
        <v>1053.7594640909888</v>
      </c>
      <c r="I235" s="1">
        <f t="shared" ca="1" si="69"/>
        <v>100</v>
      </c>
      <c r="J235" s="1">
        <f t="shared" ca="1" si="69"/>
        <v>467.83189655172413</v>
      </c>
      <c r="K235" s="1">
        <f t="shared" ca="1" si="69"/>
        <v>49.583624999999998</v>
      </c>
      <c r="L235" s="1">
        <f t="shared" ca="1" si="69"/>
        <v>637.95258620689651</v>
      </c>
      <c r="M235" s="1">
        <f t="shared" ca="1" si="69"/>
        <v>49.583624999999998</v>
      </c>
      <c r="N235" s="1">
        <f t="shared" ca="1" si="69"/>
        <v>0.2</v>
      </c>
      <c r="O235" s="1">
        <f t="shared" ca="1" si="69"/>
        <v>0.2</v>
      </c>
      <c r="P235" s="1">
        <f t="shared" ca="1" si="69"/>
        <v>0.36</v>
      </c>
      <c r="Q235" s="1">
        <f t="shared" ca="1" si="69"/>
        <v>0.1</v>
      </c>
      <c r="R235" s="1">
        <f t="shared" ca="1" si="69"/>
        <v>2.2000000000000002</v>
      </c>
      <c r="S235" s="1">
        <f t="shared" ca="1" si="70"/>
        <v>0.1</v>
      </c>
      <c r="T235" s="1">
        <f t="shared" ca="1" si="70"/>
        <v>1.1700000000000002</v>
      </c>
      <c r="U235" s="1">
        <f t="shared" ca="1" si="70"/>
        <v>87.966666666666711</v>
      </c>
      <c r="V235" s="1">
        <f t="shared" ca="1" si="70"/>
        <v>0</v>
      </c>
      <c r="W235" s="1">
        <f t="shared" ca="1" si="70"/>
        <v>0</v>
      </c>
      <c r="X235" s="1">
        <f t="shared" ca="1" si="70"/>
        <v>0</v>
      </c>
      <c r="Y235" s="1">
        <f t="shared" ca="1" si="70"/>
        <v>0</v>
      </c>
      <c r="Z235" s="1">
        <f t="shared" ca="1" si="70"/>
        <v>0</v>
      </c>
      <c r="AA235" s="1">
        <f t="shared" ca="1" si="70"/>
        <v>90.215517241379303</v>
      </c>
      <c r="AB235" s="1">
        <f t="shared" ca="1" si="66"/>
        <v>0</v>
      </c>
      <c r="AC235" s="1">
        <f t="shared" ca="1" si="70"/>
        <v>49.583624999999998</v>
      </c>
      <c r="AD235" s="1">
        <f t="shared" ca="1" si="70"/>
        <v>49.583624999999998</v>
      </c>
      <c r="AE235" s="1">
        <f t="shared" ca="1" si="70"/>
        <v>49.583624999999998</v>
      </c>
      <c r="AF235" s="1">
        <f t="shared" ca="1" si="70"/>
        <v>49.583624999999998</v>
      </c>
      <c r="AG235" s="1">
        <f t="shared" ca="1" si="70"/>
        <v>49.583624999999998</v>
      </c>
      <c r="AH235" s="1">
        <f t="shared" ca="1" si="70"/>
        <v>64.458712500000004</v>
      </c>
      <c r="AI235" s="1">
        <f t="shared" ca="1" si="62"/>
        <v>49.583624999999998</v>
      </c>
    </row>
    <row r="236" spans="2:35" x14ac:dyDescent="0.15">
      <c r="B236" s="1" t="str">
        <f t="shared" si="59"/>
        <v>僵尸系36</v>
      </c>
      <c r="C236" s="1">
        <f t="shared" si="67"/>
        <v>36</v>
      </c>
      <c r="D236" s="14" t="s">
        <v>92</v>
      </c>
      <c r="E236" s="14">
        <f t="shared" si="68"/>
        <v>3</v>
      </c>
      <c r="F236" s="1" t="str">
        <f t="shared" si="57"/>
        <v>黑暗</v>
      </c>
      <c r="H236" s="1">
        <f t="shared" ca="1" si="58"/>
        <v>1089.7574582059037</v>
      </c>
      <c r="I236" s="1">
        <f t="shared" ca="1" si="69"/>
        <v>100</v>
      </c>
      <c r="J236" s="1">
        <f t="shared" ca="1" si="69"/>
        <v>485.06310559006198</v>
      </c>
      <c r="K236" s="1">
        <f t="shared" ca="1" si="69"/>
        <v>51.000300000000003</v>
      </c>
      <c r="L236" s="1">
        <f t="shared" ca="1" si="69"/>
        <v>661.44968944099355</v>
      </c>
      <c r="M236" s="1">
        <f t="shared" ca="1" si="69"/>
        <v>51.000300000000003</v>
      </c>
      <c r="N236" s="1">
        <f t="shared" ca="1" si="69"/>
        <v>0.2</v>
      </c>
      <c r="O236" s="1">
        <f t="shared" ca="1" si="69"/>
        <v>0.2</v>
      </c>
      <c r="P236" s="1">
        <f t="shared" ca="1" si="69"/>
        <v>0.36</v>
      </c>
      <c r="Q236" s="1">
        <f t="shared" ca="1" si="69"/>
        <v>0.1</v>
      </c>
      <c r="R236" s="1">
        <f t="shared" ca="1" si="69"/>
        <v>2.2000000000000002</v>
      </c>
      <c r="S236" s="1">
        <f t="shared" ca="1" si="70"/>
        <v>0.1</v>
      </c>
      <c r="T236" s="1">
        <f t="shared" ca="1" si="70"/>
        <v>1.1700000000000002</v>
      </c>
      <c r="U236" s="1">
        <f t="shared" ca="1" si="70"/>
        <v>90.47999999999999</v>
      </c>
      <c r="V236" s="1">
        <f t="shared" ca="1" si="70"/>
        <v>0</v>
      </c>
      <c r="W236" s="1">
        <f t="shared" ca="1" si="70"/>
        <v>0</v>
      </c>
      <c r="X236" s="1">
        <f t="shared" ca="1" si="70"/>
        <v>0</v>
      </c>
      <c r="Y236" s="1">
        <f t="shared" ca="1" si="70"/>
        <v>0</v>
      </c>
      <c r="Z236" s="1">
        <f t="shared" ca="1" si="70"/>
        <v>0</v>
      </c>
      <c r="AA236" s="1">
        <f t="shared" ca="1" si="70"/>
        <v>96.797515527950296</v>
      </c>
      <c r="AB236" s="1">
        <f t="shared" ca="1" si="66"/>
        <v>0</v>
      </c>
      <c r="AC236" s="1">
        <f t="shared" ca="1" si="70"/>
        <v>51.000300000000003</v>
      </c>
      <c r="AD236" s="1">
        <f t="shared" ca="1" si="70"/>
        <v>51.000300000000003</v>
      </c>
      <c r="AE236" s="1">
        <f t="shared" ca="1" si="70"/>
        <v>51.000300000000003</v>
      </c>
      <c r="AF236" s="1">
        <f t="shared" ca="1" si="70"/>
        <v>51.000300000000003</v>
      </c>
      <c r="AG236" s="1">
        <f t="shared" ca="1" si="70"/>
        <v>51.000300000000003</v>
      </c>
      <c r="AH236" s="1">
        <f t="shared" ca="1" si="70"/>
        <v>66.300390000000007</v>
      </c>
      <c r="AI236" s="1">
        <f t="shared" ca="1" si="62"/>
        <v>51.000300000000003</v>
      </c>
    </row>
    <row r="237" spans="2:35" x14ac:dyDescent="0.15">
      <c r="B237" s="1" t="str">
        <f t="shared" si="59"/>
        <v>僵尸系37</v>
      </c>
      <c r="C237" s="1">
        <f t="shared" si="67"/>
        <v>37</v>
      </c>
      <c r="D237" s="14" t="s">
        <v>92</v>
      </c>
      <c r="E237" s="14">
        <f t="shared" si="68"/>
        <v>3</v>
      </c>
      <c r="F237" s="1" t="str">
        <f t="shared" si="57"/>
        <v>黑暗</v>
      </c>
      <c r="H237" s="1">
        <f t="shared" ca="1" si="58"/>
        <v>1126.082706812761</v>
      </c>
      <c r="I237" s="1">
        <f t="shared" ca="1" si="69"/>
        <v>100</v>
      </c>
      <c r="J237" s="1">
        <f t="shared" ca="1" si="69"/>
        <v>502.54554511278155</v>
      </c>
      <c r="K237" s="1">
        <f t="shared" ca="1" si="69"/>
        <v>52.416975000000001</v>
      </c>
      <c r="L237" s="1">
        <f t="shared" ca="1" si="69"/>
        <v>685.28937969924755</v>
      </c>
      <c r="M237" s="1">
        <f t="shared" ca="1" si="69"/>
        <v>52.416975000000001</v>
      </c>
      <c r="N237" s="1">
        <f t="shared" ca="1" si="69"/>
        <v>0.2</v>
      </c>
      <c r="O237" s="1">
        <f t="shared" ca="1" si="69"/>
        <v>0.2</v>
      </c>
      <c r="P237" s="1">
        <f t="shared" ca="1" si="69"/>
        <v>0.36</v>
      </c>
      <c r="Q237" s="1">
        <f t="shared" ca="1" si="69"/>
        <v>0.1</v>
      </c>
      <c r="R237" s="1">
        <f t="shared" ca="1" si="69"/>
        <v>2.2000000000000002</v>
      </c>
      <c r="S237" s="1">
        <f t="shared" ca="1" si="70"/>
        <v>0.1</v>
      </c>
      <c r="T237" s="1">
        <f t="shared" ca="1" si="70"/>
        <v>1.1700000000000002</v>
      </c>
      <c r="U237" s="1">
        <f t="shared" ca="1" si="70"/>
        <v>92.993333333333297</v>
      </c>
      <c r="V237" s="1">
        <f t="shared" ca="1" si="70"/>
        <v>0</v>
      </c>
      <c r="W237" s="1">
        <f t="shared" ca="1" si="70"/>
        <v>0</v>
      </c>
      <c r="X237" s="1">
        <f t="shared" ca="1" si="70"/>
        <v>0</v>
      </c>
      <c r="Y237" s="1">
        <f t="shared" ca="1" si="70"/>
        <v>0</v>
      </c>
      <c r="Z237" s="1">
        <f t="shared" ca="1" si="70"/>
        <v>0</v>
      </c>
      <c r="AA237" s="1">
        <f t="shared" ca="1" si="70"/>
        <v>103.704323308271</v>
      </c>
      <c r="AB237" s="1">
        <f t="shared" ca="1" si="66"/>
        <v>0</v>
      </c>
      <c r="AC237" s="1">
        <f t="shared" ca="1" si="70"/>
        <v>52.416975000000001</v>
      </c>
      <c r="AD237" s="1">
        <f t="shared" ca="1" si="70"/>
        <v>52.416975000000001</v>
      </c>
      <c r="AE237" s="1">
        <f t="shared" ca="1" si="70"/>
        <v>52.416975000000001</v>
      </c>
      <c r="AF237" s="1">
        <f t="shared" ca="1" si="70"/>
        <v>52.416975000000001</v>
      </c>
      <c r="AG237" s="1">
        <f t="shared" ca="1" si="70"/>
        <v>52.416975000000001</v>
      </c>
      <c r="AH237" s="1">
        <f t="shared" ca="1" si="70"/>
        <v>68.14206750000001</v>
      </c>
      <c r="AI237" s="1">
        <f t="shared" ca="1" si="62"/>
        <v>52.416975000000001</v>
      </c>
    </row>
    <row r="238" spans="2:35" x14ac:dyDescent="0.15">
      <c r="B238" s="1" t="str">
        <f t="shared" si="59"/>
        <v>僵尸系38</v>
      </c>
      <c r="C238" s="1">
        <f t="shared" si="67"/>
        <v>38</v>
      </c>
      <c r="D238" s="14" t="s">
        <v>92</v>
      </c>
      <c r="E238" s="14">
        <f t="shared" si="68"/>
        <v>3</v>
      </c>
      <c r="F238" s="1" t="str">
        <f t="shared" si="57"/>
        <v>黑暗</v>
      </c>
      <c r="H238" s="1">
        <f t="shared" ca="1" si="58"/>
        <v>1162.735209911581</v>
      </c>
      <c r="I238" s="1">
        <f t="shared" ca="1" si="69"/>
        <v>100</v>
      </c>
      <c r="J238" s="1">
        <f t="shared" ca="1" si="69"/>
        <v>520.28317319848327</v>
      </c>
      <c r="K238" s="1">
        <f t="shared" ca="1" si="69"/>
        <v>53.833649999999999</v>
      </c>
      <c r="L238" s="1">
        <f t="shared" ca="1" si="69"/>
        <v>709.47705436156798</v>
      </c>
      <c r="M238" s="1">
        <f t="shared" ca="1" si="69"/>
        <v>53.833649999999999</v>
      </c>
      <c r="N238" s="1">
        <f t="shared" ca="1" si="69"/>
        <v>0.2</v>
      </c>
      <c r="O238" s="1">
        <f t="shared" ca="1" si="69"/>
        <v>0.2</v>
      </c>
      <c r="P238" s="1">
        <f t="shared" ca="1" si="69"/>
        <v>0.36</v>
      </c>
      <c r="Q238" s="1">
        <f t="shared" ca="1" si="69"/>
        <v>0.1</v>
      </c>
      <c r="R238" s="1">
        <f t="shared" ca="1" si="69"/>
        <v>2.2000000000000002</v>
      </c>
      <c r="S238" s="1">
        <f t="shared" ca="1" si="70"/>
        <v>0.1</v>
      </c>
      <c r="T238" s="1">
        <f t="shared" ca="1" si="70"/>
        <v>1.1700000000000002</v>
      </c>
      <c r="U238" s="1">
        <f t="shared" ca="1" si="70"/>
        <v>95.506666666666703</v>
      </c>
      <c r="V238" s="1">
        <f t="shared" ca="1" si="70"/>
        <v>0</v>
      </c>
      <c r="W238" s="1">
        <f t="shared" ca="1" si="70"/>
        <v>0</v>
      </c>
      <c r="X238" s="1">
        <f t="shared" ca="1" si="70"/>
        <v>0</v>
      </c>
      <c r="Y238" s="1">
        <f t="shared" ca="1" si="70"/>
        <v>0</v>
      </c>
      <c r="Z238" s="1">
        <f t="shared" ca="1" si="70"/>
        <v>0</v>
      </c>
      <c r="AA238" s="1">
        <f t="shared" ca="1" si="70"/>
        <v>110.947029077118</v>
      </c>
      <c r="AB238" s="1">
        <f t="shared" ca="1" si="66"/>
        <v>0</v>
      </c>
      <c r="AC238" s="1">
        <f t="shared" ca="1" si="70"/>
        <v>53.833649999999999</v>
      </c>
      <c r="AD238" s="1">
        <f t="shared" ca="1" si="70"/>
        <v>53.833649999999999</v>
      </c>
      <c r="AE238" s="1">
        <f t="shared" ca="1" si="70"/>
        <v>53.833649999999999</v>
      </c>
      <c r="AF238" s="1">
        <f t="shared" ca="1" si="70"/>
        <v>53.833649999999999</v>
      </c>
      <c r="AG238" s="1">
        <f t="shared" ca="1" si="70"/>
        <v>53.833649999999999</v>
      </c>
      <c r="AH238" s="1">
        <f t="shared" ca="1" si="70"/>
        <v>69.983744999999999</v>
      </c>
      <c r="AI238" s="1">
        <f t="shared" ca="1" si="62"/>
        <v>53.833649999999999</v>
      </c>
    </row>
    <row r="239" spans="2:35" x14ac:dyDescent="0.15">
      <c r="B239" s="1" t="str">
        <f t="shared" si="59"/>
        <v>僵尸系39</v>
      </c>
      <c r="C239" s="1">
        <f t="shared" si="67"/>
        <v>39</v>
      </c>
      <c r="D239" s="14" t="s">
        <v>92</v>
      </c>
      <c r="E239" s="14">
        <f t="shared" si="68"/>
        <v>3</v>
      </c>
      <c r="F239" s="1" t="str">
        <f t="shared" si="57"/>
        <v>黑暗</v>
      </c>
      <c r="H239" s="1">
        <f t="shared" ca="1" si="58"/>
        <v>1199.7149675023538</v>
      </c>
      <c r="I239" s="1">
        <f t="shared" ca="1" si="69"/>
        <v>100</v>
      </c>
      <c r="J239" s="1">
        <f t="shared" ca="1" si="69"/>
        <v>538.28008928571467</v>
      </c>
      <c r="K239" s="1">
        <f t="shared" ca="1" si="69"/>
        <v>55.250324999999997</v>
      </c>
      <c r="L239" s="1">
        <f t="shared" ca="1" si="69"/>
        <v>734.01830357142899</v>
      </c>
      <c r="M239" s="1">
        <f t="shared" ca="1" si="69"/>
        <v>55.250324999999997</v>
      </c>
      <c r="N239" s="1">
        <f t="shared" ca="1" si="69"/>
        <v>0.2</v>
      </c>
      <c r="O239" s="1">
        <f t="shared" ca="1" si="69"/>
        <v>0.2</v>
      </c>
      <c r="P239" s="1">
        <f t="shared" ca="1" si="69"/>
        <v>0.36</v>
      </c>
      <c r="Q239" s="1">
        <f t="shared" ca="1" si="69"/>
        <v>0.1</v>
      </c>
      <c r="R239" s="1">
        <f t="shared" ca="1" si="69"/>
        <v>2.2000000000000002</v>
      </c>
      <c r="S239" s="1">
        <f t="shared" ca="1" si="70"/>
        <v>0.1</v>
      </c>
      <c r="T239" s="1">
        <f t="shared" ca="1" si="70"/>
        <v>1.1700000000000002</v>
      </c>
      <c r="U239" s="1">
        <f t="shared" ca="1" si="70"/>
        <v>98.02000000000001</v>
      </c>
      <c r="V239" s="1">
        <f t="shared" ca="1" si="70"/>
        <v>0</v>
      </c>
      <c r="W239" s="1">
        <f t="shared" ca="1" si="70"/>
        <v>0</v>
      </c>
      <c r="X239" s="1">
        <f t="shared" ca="1" si="70"/>
        <v>0</v>
      </c>
      <c r="Y239" s="1">
        <f t="shared" ca="1" si="70"/>
        <v>0</v>
      </c>
      <c r="Z239" s="1">
        <f t="shared" ca="1" si="70"/>
        <v>0</v>
      </c>
      <c r="AA239" s="1">
        <f t="shared" ca="1" si="70"/>
        <v>118.537117346939</v>
      </c>
      <c r="AB239" s="1">
        <f t="shared" ca="1" si="70"/>
        <v>0</v>
      </c>
      <c r="AC239" s="1">
        <f t="shared" ca="1" si="70"/>
        <v>55.250324999999997</v>
      </c>
      <c r="AD239" s="1">
        <f t="shared" ca="1" si="70"/>
        <v>55.250324999999997</v>
      </c>
      <c r="AE239" s="1">
        <f t="shared" ca="1" si="70"/>
        <v>55.250324999999997</v>
      </c>
      <c r="AF239" s="1">
        <f t="shared" ca="1" si="70"/>
        <v>55.250324999999997</v>
      </c>
      <c r="AG239" s="1">
        <f t="shared" ca="1" si="70"/>
        <v>55.250324999999997</v>
      </c>
      <c r="AH239" s="1">
        <f t="shared" ca="1" si="70"/>
        <v>71.825422500000002</v>
      </c>
      <c r="AI239" s="1">
        <f t="shared" ca="1" si="62"/>
        <v>55.250324999999997</v>
      </c>
    </row>
    <row r="240" spans="2:35" x14ac:dyDescent="0.15">
      <c r="B240" s="1" t="str">
        <f t="shared" si="59"/>
        <v>僵尸系40</v>
      </c>
      <c r="C240" s="1">
        <f t="shared" si="67"/>
        <v>40</v>
      </c>
      <c r="D240" s="14" t="s">
        <v>92</v>
      </c>
      <c r="E240" s="14">
        <f t="shared" si="68"/>
        <v>3</v>
      </c>
      <c r="F240" s="1" t="str">
        <f t="shared" si="57"/>
        <v>黑暗</v>
      </c>
      <c r="H240" s="1">
        <f t="shared" ca="1" si="58"/>
        <v>1237.021979585079</v>
      </c>
      <c r="I240" s="1">
        <f t="shared" ca="1" si="69"/>
        <v>100</v>
      </c>
      <c r="J240" s="1">
        <f t="shared" ca="1" si="69"/>
        <v>556.54054054054063</v>
      </c>
      <c r="K240" s="1">
        <f t="shared" ca="1" si="69"/>
        <v>56.667000000000002</v>
      </c>
      <c r="L240" s="1">
        <f t="shared" ca="1" si="69"/>
        <v>758.91891891891896</v>
      </c>
      <c r="M240" s="1">
        <f t="shared" ca="1" si="69"/>
        <v>56.667000000000002</v>
      </c>
      <c r="N240" s="1">
        <f t="shared" ca="1" si="69"/>
        <v>0.2</v>
      </c>
      <c r="O240" s="1">
        <f t="shared" ca="1" si="69"/>
        <v>0.2</v>
      </c>
      <c r="P240" s="1">
        <f t="shared" ca="1" si="69"/>
        <v>0.36</v>
      </c>
      <c r="Q240" s="1">
        <f t="shared" ca="1" si="69"/>
        <v>0.1</v>
      </c>
      <c r="R240" s="1">
        <f t="shared" ca="1" si="69"/>
        <v>2.2000000000000002</v>
      </c>
      <c r="S240" s="1">
        <f t="shared" ca="1" si="70"/>
        <v>0.1</v>
      </c>
      <c r="T240" s="1">
        <f t="shared" ca="1" si="70"/>
        <v>1.1700000000000002</v>
      </c>
      <c r="U240" s="1">
        <f t="shared" ca="1" si="70"/>
        <v>100.53333333333329</v>
      </c>
      <c r="V240" s="1">
        <f t="shared" ca="1" si="70"/>
        <v>0</v>
      </c>
      <c r="W240" s="1">
        <f t="shared" ca="1" si="70"/>
        <v>0</v>
      </c>
      <c r="X240" s="1">
        <f t="shared" ca="1" si="70"/>
        <v>0</v>
      </c>
      <c r="Y240" s="1">
        <f t="shared" ca="1" si="70"/>
        <v>0</v>
      </c>
      <c r="Z240" s="1">
        <f t="shared" ca="1" si="70"/>
        <v>0</v>
      </c>
      <c r="AA240" s="1">
        <f t="shared" ca="1" si="70"/>
        <v>126.486486486487</v>
      </c>
      <c r="AB240" s="1">
        <f t="shared" ca="1" si="70"/>
        <v>0</v>
      </c>
      <c r="AC240" s="1">
        <f t="shared" ca="1" si="70"/>
        <v>56.667000000000002</v>
      </c>
      <c r="AD240" s="1">
        <f t="shared" ca="1" si="70"/>
        <v>56.667000000000002</v>
      </c>
      <c r="AE240" s="1">
        <f t="shared" ca="1" si="70"/>
        <v>56.667000000000002</v>
      </c>
      <c r="AF240" s="1">
        <f t="shared" ca="1" si="70"/>
        <v>56.667000000000002</v>
      </c>
      <c r="AG240" s="1">
        <f t="shared" ca="1" si="70"/>
        <v>56.667000000000002</v>
      </c>
      <c r="AH240" s="1">
        <f t="shared" ca="1" si="70"/>
        <v>73.667100000000005</v>
      </c>
      <c r="AI240" s="1">
        <f t="shared" ca="1" si="62"/>
        <v>56.667000000000002</v>
      </c>
    </row>
    <row r="241" spans="2:35" x14ac:dyDescent="0.15">
      <c r="B241" s="1" t="str">
        <f t="shared" si="59"/>
        <v>僵尸系41</v>
      </c>
      <c r="C241" s="1">
        <f t="shared" si="67"/>
        <v>41</v>
      </c>
      <c r="D241" s="14" t="s">
        <v>92</v>
      </c>
      <c r="E241" s="14">
        <f t="shared" si="68"/>
        <v>3</v>
      </c>
      <c r="F241" s="1" t="str">
        <f t="shared" si="57"/>
        <v>黑暗</v>
      </c>
      <c r="H241" s="1">
        <f t="shared" ca="1" si="58"/>
        <v>1274.6562461597568</v>
      </c>
      <c r="I241" s="1">
        <f t="shared" ca="1" si="69"/>
        <v>100</v>
      </c>
      <c r="J241" s="1">
        <f t="shared" ca="1" si="69"/>
        <v>575.0689285714285</v>
      </c>
      <c r="K241" s="1">
        <f t="shared" ca="1" si="69"/>
        <v>58.083674999999999</v>
      </c>
      <c r="L241" s="1">
        <f t="shared" ca="1" si="69"/>
        <v>784.18490259740247</v>
      </c>
      <c r="M241" s="1">
        <f t="shared" ca="1" si="69"/>
        <v>58.083674999999999</v>
      </c>
      <c r="N241" s="1">
        <f t="shared" ca="1" si="69"/>
        <v>0.2</v>
      </c>
      <c r="O241" s="1">
        <f t="shared" ca="1" si="69"/>
        <v>0.2</v>
      </c>
      <c r="P241" s="1">
        <f t="shared" ca="1" si="69"/>
        <v>0.36</v>
      </c>
      <c r="Q241" s="1">
        <f t="shared" ca="1" si="69"/>
        <v>0.1</v>
      </c>
      <c r="R241" s="1">
        <f t="shared" ca="1" si="69"/>
        <v>2.2000000000000002</v>
      </c>
      <c r="S241" s="1">
        <f t="shared" ca="1" si="70"/>
        <v>0.1</v>
      </c>
      <c r="T241" s="1">
        <f t="shared" ca="1" si="70"/>
        <v>1.1700000000000002</v>
      </c>
      <c r="U241" s="1">
        <f t="shared" ca="1" si="70"/>
        <v>103.04666666666671</v>
      </c>
      <c r="V241" s="1">
        <f t="shared" ca="1" si="70"/>
        <v>0</v>
      </c>
      <c r="W241" s="1">
        <f t="shared" ca="1" si="70"/>
        <v>0</v>
      </c>
      <c r="X241" s="1">
        <f t="shared" ca="1" si="70"/>
        <v>0</v>
      </c>
      <c r="Y241" s="1">
        <f t="shared" ca="1" si="70"/>
        <v>0</v>
      </c>
      <c r="Z241" s="1">
        <f t="shared" ca="1" si="70"/>
        <v>0</v>
      </c>
      <c r="AA241" s="1">
        <f t="shared" ca="1" si="70"/>
        <v>134.807467532468</v>
      </c>
      <c r="AB241" s="1">
        <f t="shared" ca="1" si="70"/>
        <v>0</v>
      </c>
      <c r="AC241" s="1">
        <f t="shared" ca="1" si="70"/>
        <v>58.083674999999999</v>
      </c>
      <c r="AD241" s="1">
        <f t="shared" ca="1" si="70"/>
        <v>58.083674999999999</v>
      </c>
      <c r="AE241" s="1">
        <f t="shared" ca="1" si="70"/>
        <v>58.083674999999999</v>
      </c>
      <c r="AF241" s="1">
        <f t="shared" ca="1" si="70"/>
        <v>58.083674999999999</v>
      </c>
      <c r="AG241" s="1">
        <f t="shared" ca="1" si="70"/>
        <v>58.083674999999999</v>
      </c>
      <c r="AH241" s="1">
        <f t="shared" ca="1" si="70"/>
        <v>75.508777500000008</v>
      </c>
      <c r="AI241" s="1">
        <f t="shared" ca="1" si="62"/>
        <v>58.083674999999999</v>
      </c>
    </row>
    <row r="242" spans="2:35" x14ac:dyDescent="0.15">
      <c r="B242" s="1" t="str">
        <f t="shared" si="59"/>
        <v>僵尸系42</v>
      </c>
      <c r="C242" s="1">
        <f t="shared" si="67"/>
        <v>42</v>
      </c>
      <c r="D242" s="14" t="s">
        <v>92</v>
      </c>
      <c r="E242" s="14">
        <f t="shared" si="68"/>
        <v>3</v>
      </c>
      <c r="F242" s="1" t="str">
        <f t="shared" si="57"/>
        <v>黑暗</v>
      </c>
      <c r="H242" s="1">
        <f t="shared" ca="1" si="58"/>
        <v>1312.6177672263873</v>
      </c>
      <c r="I242" s="1">
        <f t="shared" ca="1" si="69"/>
        <v>100</v>
      </c>
      <c r="J242" s="1">
        <f t="shared" ca="1" si="69"/>
        <v>593.86981651376175</v>
      </c>
      <c r="K242" s="1">
        <f t="shared" ca="1" si="69"/>
        <v>59.500349999999997</v>
      </c>
      <c r="L242" s="1">
        <f t="shared" ca="1" si="69"/>
        <v>809.82247706422049</v>
      </c>
      <c r="M242" s="1">
        <f t="shared" ca="1" si="69"/>
        <v>59.500349999999997</v>
      </c>
      <c r="N242" s="1">
        <f t="shared" ca="1" si="69"/>
        <v>0.2</v>
      </c>
      <c r="O242" s="1">
        <f t="shared" ca="1" si="69"/>
        <v>0.2</v>
      </c>
      <c r="P242" s="1">
        <f t="shared" ca="1" si="69"/>
        <v>0.36</v>
      </c>
      <c r="Q242" s="1">
        <f t="shared" ca="1" si="69"/>
        <v>0.1</v>
      </c>
      <c r="R242" s="1">
        <f t="shared" ca="1" si="69"/>
        <v>2.2000000000000002</v>
      </c>
      <c r="S242" s="1">
        <f t="shared" ca="1" si="70"/>
        <v>0.1</v>
      </c>
      <c r="T242" s="1">
        <f t="shared" ca="1" si="70"/>
        <v>1.1700000000000002</v>
      </c>
      <c r="U242" s="1">
        <f t="shared" ca="1" si="70"/>
        <v>105.56</v>
      </c>
      <c r="V242" s="1">
        <f t="shared" ca="1" si="70"/>
        <v>0</v>
      </c>
      <c r="W242" s="1">
        <f t="shared" ca="1" si="70"/>
        <v>0</v>
      </c>
      <c r="X242" s="1">
        <f t="shared" ca="1" si="70"/>
        <v>0</v>
      </c>
      <c r="Y242" s="1">
        <f t="shared" ca="1" si="70"/>
        <v>0</v>
      </c>
      <c r="Z242" s="1">
        <f t="shared" ca="1" si="70"/>
        <v>0</v>
      </c>
      <c r="AA242" s="1">
        <f t="shared" ca="1" si="70"/>
        <v>143.512844036697</v>
      </c>
      <c r="AB242" s="1">
        <f t="shared" ca="1" si="70"/>
        <v>0</v>
      </c>
      <c r="AC242" s="1">
        <f t="shared" ca="1" si="70"/>
        <v>59.500349999999997</v>
      </c>
      <c r="AD242" s="1">
        <f t="shared" ca="1" si="70"/>
        <v>59.500349999999997</v>
      </c>
      <c r="AE242" s="1">
        <f t="shared" ca="1" si="70"/>
        <v>59.500349999999997</v>
      </c>
      <c r="AF242" s="1">
        <f t="shared" ca="1" si="70"/>
        <v>59.500349999999997</v>
      </c>
      <c r="AG242" s="1">
        <f t="shared" ca="1" si="70"/>
        <v>59.500349999999997</v>
      </c>
      <c r="AH242" s="1">
        <f t="shared" ca="1" si="70"/>
        <v>77.350454999999997</v>
      </c>
      <c r="AI242" s="1">
        <f t="shared" ca="1" si="62"/>
        <v>59.500349999999997</v>
      </c>
    </row>
    <row r="243" spans="2:35" x14ac:dyDescent="0.15">
      <c r="B243" s="1" t="str">
        <f t="shared" si="59"/>
        <v>僵尸系43</v>
      </c>
      <c r="C243" s="1">
        <f t="shared" si="67"/>
        <v>43</v>
      </c>
      <c r="D243" s="14" t="s">
        <v>92</v>
      </c>
      <c r="E243" s="14">
        <f t="shared" si="68"/>
        <v>3</v>
      </c>
      <c r="F243" s="1" t="str">
        <f t="shared" si="57"/>
        <v>黑暗</v>
      </c>
      <c r="H243" s="1">
        <f t="shared" ca="1" si="58"/>
        <v>1350.90654278497</v>
      </c>
      <c r="I243" s="1">
        <f t="shared" ref="I243:R252" ca="1" si="71">mVlookup($C243,monsterBaseDate,I$2,FALSE)*(1+mVlookup($E243,monsterType,I$2,FALSE))</f>
        <v>100</v>
      </c>
      <c r="J243" s="1">
        <f t="shared" ca="1" si="71"/>
        <v>612.94793650793667</v>
      </c>
      <c r="K243" s="1">
        <f t="shared" ca="1" si="71"/>
        <v>60.917025000000002</v>
      </c>
      <c r="L243" s="1">
        <f t="shared" ca="1" si="71"/>
        <v>835.83809523809543</v>
      </c>
      <c r="M243" s="1">
        <f t="shared" ca="1" si="71"/>
        <v>60.917025000000002</v>
      </c>
      <c r="N243" s="1">
        <f t="shared" ca="1" si="71"/>
        <v>0.2</v>
      </c>
      <c r="O243" s="1">
        <f t="shared" ca="1" si="71"/>
        <v>0.2</v>
      </c>
      <c r="P243" s="1">
        <f t="shared" ca="1" si="71"/>
        <v>0.36</v>
      </c>
      <c r="Q243" s="1">
        <f t="shared" ca="1" si="71"/>
        <v>0.1</v>
      </c>
      <c r="R243" s="1">
        <f t="shared" ca="1" si="71"/>
        <v>2.2000000000000002</v>
      </c>
      <c r="S243" s="1">
        <f t="shared" ref="S243:AH258" ca="1" si="72">mVlookup($C243,monsterBaseDate,S$2,FALSE)*(1+mVlookup($E243,monsterType,S$2,FALSE))</f>
        <v>0.1</v>
      </c>
      <c r="T243" s="1">
        <f t="shared" ca="1" si="72"/>
        <v>1.1700000000000002</v>
      </c>
      <c r="U243" s="1">
        <f t="shared" ca="1" si="72"/>
        <v>108.0733333333333</v>
      </c>
      <c r="V243" s="1">
        <f t="shared" ca="1" si="72"/>
        <v>0</v>
      </c>
      <c r="W243" s="1">
        <f t="shared" ca="1" si="72"/>
        <v>0</v>
      </c>
      <c r="X243" s="1">
        <f t="shared" ca="1" si="72"/>
        <v>0</v>
      </c>
      <c r="Y243" s="1">
        <f t="shared" ca="1" si="72"/>
        <v>0</v>
      </c>
      <c r="Z243" s="1">
        <f t="shared" ca="1" si="72"/>
        <v>0</v>
      </c>
      <c r="AA243" s="1">
        <f t="shared" ca="1" si="72"/>
        <v>152.61587301587301</v>
      </c>
      <c r="AB243" s="1">
        <f t="shared" ca="1" si="70"/>
        <v>0</v>
      </c>
      <c r="AC243" s="1">
        <f t="shared" ca="1" si="72"/>
        <v>60.917025000000002</v>
      </c>
      <c r="AD243" s="1">
        <f t="shared" ca="1" si="72"/>
        <v>60.917025000000002</v>
      </c>
      <c r="AE243" s="1">
        <f t="shared" ca="1" si="72"/>
        <v>60.917025000000002</v>
      </c>
      <c r="AF243" s="1">
        <f t="shared" ca="1" si="72"/>
        <v>60.917025000000002</v>
      </c>
      <c r="AG243" s="1">
        <f t="shared" ca="1" si="72"/>
        <v>60.917025000000002</v>
      </c>
      <c r="AH243" s="1">
        <f t="shared" ca="1" si="72"/>
        <v>79.1921325</v>
      </c>
      <c r="AI243" s="1">
        <f t="shared" ca="1" si="62"/>
        <v>60.917025000000002</v>
      </c>
    </row>
    <row r="244" spans="2:35" x14ac:dyDescent="0.15">
      <c r="B244" s="1" t="str">
        <f t="shared" si="59"/>
        <v>僵尸系44</v>
      </c>
      <c r="C244" s="1">
        <f t="shared" si="67"/>
        <v>44</v>
      </c>
      <c r="D244" s="14" t="s">
        <v>92</v>
      </c>
      <c r="E244" s="14">
        <f t="shared" si="68"/>
        <v>3</v>
      </c>
      <c r="F244" s="1" t="str">
        <f t="shared" si="57"/>
        <v>黑暗</v>
      </c>
      <c r="H244" s="1">
        <f t="shared" ca="1" si="58"/>
        <v>1389.5225728355056</v>
      </c>
      <c r="I244" s="1">
        <f t="shared" ca="1" si="71"/>
        <v>100</v>
      </c>
      <c r="J244" s="1">
        <f t="shared" ca="1" si="71"/>
        <v>632.30819759679559</v>
      </c>
      <c r="K244" s="1">
        <f t="shared" ca="1" si="71"/>
        <v>62.3337</v>
      </c>
      <c r="L244" s="1">
        <f t="shared" ca="1" si="71"/>
        <v>862.23845126835749</v>
      </c>
      <c r="M244" s="1">
        <f t="shared" ca="1" si="71"/>
        <v>62.3337</v>
      </c>
      <c r="N244" s="1">
        <f t="shared" ca="1" si="71"/>
        <v>0.2</v>
      </c>
      <c r="O244" s="1">
        <f t="shared" ca="1" si="71"/>
        <v>0.2</v>
      </c>
      <c r="P244" s="1">
        <f t="shared" ca="1" si="71"/>
        <v>0.36</v>
      </c>
      <c r="Q244" s="1">
        <f t="shared" ca="1" si="71"/>
        <v>0.1</v>
      </c>
      <c r="R244" s="1">
        <f t="shared" ca="1" si="71"/>
        <v>2.2000000000000002</v>
      </c>
      <c r="S244" s="1">
        <f t="shared" ca="1" si="72"/>
        <v>0.1</v>
      </c>
      <c r="T244" s="1">
        <f t="shared" ca="1" si="72"/>
        <v>1.1700000000000002</v>
      </c>
      <c r="U244" s="1">
        <f t="shared" ca="1" si="72"/>
        <v>110.58666666666672</v>
      </c>
      <c r="V244" s="1">
        <f t="shared" ca="1" si="72"/>
        <v>0</v>
      </c>
      <c r="W244" s="1">
        <f t="shared" ca="1" si="72"/>
        <v>0</v>
      </c>
      <c r="X244" s="1">
        <f t="shared" ca="1" si="72"/>
        <v>0</v>
      </c>
      <c r="Y244" s="1">
        <f t="shared" ca="1" si="72"/>
        <v>0</v>
      </c>
      <c r="Z244" s="1">
        <f t="shared" ca="1" si="72"/>
        <v>0</v>
      </c>
      <c r="AA244" s="1">
        <f t="shared" ca="1" si="72"/>
        <v>162.13030707610201</v>
      </c>
      <c r="AB244" s="1">
        <f t="shared" ca="1" si="70"/>
        <v>0</v>
      </c>
      <c r="AC244" s="1">
        <f t="shared" ca="1" si="72"/>
        <v>62.3337</v>
      </c>
      <c r="AD244" s="1">
        <f t="shared" ca="1" si="72"/>
        <v>62.3337</v>
      </c>
      <c r="AE244" s="1">
        <f t="shared" ca="1" si="72"/>
        <v>62.3337</v>
      </c>
      <c r="AF244" s="1">
        <f t="shared" ca="1" si="72"/>
        <v>62.3337</v>
      </c>
      <c r="AG244" s="1">
        <f t="shared" ca="1" si="72"/>
        <v>62.3337</v>
      </c>
      <c r="AH244" s="1">
        <f t="shared" ca="1" si="72"/>
        <v>81.033810000000003</v>
      </c>
      <c r="AI244" s="1">
        <f t="shared" ca="1" si="62"/>
        <v>62.3337</v>
      </c>
    </row>
    <row r="245" spans="2:35" x14ac:dyDescent="0.15">
      <c r="B245" s="1" t="str">
        <f t="shared" si="59"/>
        <v>僵尸系45</v>
      </c>
      <c r="C245" s="1">
        <f t="shared" si="67"/>
        <v>45</v>
      </c>
      <c r="D245" s="14" t="s">
        <v>92</v>
      </c>
      <c r="E245" s="14">
        <f t="shared" si="68"/>
        <v>3</v>
      </c>
      <c r="F245" s="1" t="str">
        <f t="shared" si="57"/>
        <v>黑暗</v>
      </c>
      <c r="H245" s="1">
        <f t="shared" ca="1" si="58"/>
        <v>1502.935162765471</v>
      </c>
      <c r="I245" s="1">
        <f t="shared" ca="1" si="71"/>
        <v>100</v>
      </c>
      <c r="J245" s="1">
        <f t="shared" ca="1" si="71"/>
        <v>651.95569407008156</v>
      </c>
      <c r="K245" s="1">
        <f t="shared" ca="1" si="71"/>
        <v>63.750374999999998</v>
      </c>
      <c r="L245" s="1">
        <f t="shared" ca="1" si="71"/>
        <v>889.03049191374748</v>
      </c>
      <c r="M245" s="1">
        <f t="shared" ca="1" si="71"/>
        <v>63.750374999999998</v>
      </c>
      <c r="N245" s="1">
        <f t="shared" ca="1" si="71"/>
        <v>0.2</v>
      </c>
      <c r="O245" s="1">
        <f t="shared" ca="1" si="71"/>
        <v>0.2</v>
      </c>
      <c r="P245" s="1">
        <f t="shared" ca="1" si="71"/>
        <v>0.36</v>
      </c>
      <c r="Q245" s="1">
        <f t="shared" ca="1" si="71"/>
        <v>0.1</v>
      </c>
      <c r="R245" s="1">
        <f t="shared" ca="1" si="71"/>
        <v>2.2000000000000002</v>
      </c>
      <c r="S245" s="1">
        <f t="shared" ca="1" si="72"/>
        <v>0.1</v>
      </c>
      <c r="T245" s="1">
        <f t="shared" ca="1" si="72"/>
        <v>1.1700000000000002</v>
      </c>
      <c r="U245" s="1">
        <f t="shared" ca="1" si="72"/>
        <v>113.10000000000001</v>
      </c>
      <c r="V245" s="1">
        <f t="shared" ca="1" si="72"/>
        <v>0</v>
      </c>
      <c r="W245" s="1">
        <f t="shared" ca="1" si="72"/>
        <v>0</v>
      </c>
      <c r="X245" s="1">
        <f t="shared" ca="1" si="72"/>
        <v>0</v>
      </c>
      <c r="Y245" s="1">
        <f t="shared" ca="1" si="72"/>
        <v>0</v>
      </c>
      <c r="Z245" s="1">
        <f t="shared" ca="1" si="72"/>
        <v>0</v>
      </c>
      <c r="AA245" s="1">
        <f t="shared" ca="1" si="72"/>
        <v>172.07041778975801</v>
      </c>
      <c r="AB245" s="1">
        <f t="shared" ca="1" si="70"/>
        <v>0</v>
      </c>
      <c r="AC245" s="1">
        <f t="shared" ca="1" si="72"/>
        <v>63.750374999999998</v>
      </c>
      <c r="AD245" s="1">
        <f t="shared" ca="1" si="72"/>
        <v>63.750374999999998</v>
      </c>
      <c r="AE245" s="1">
        <f t="shared" ca="1" si="72"/>
        <v>63.750374999999998</v>
      </c>
      <c r="AF245" s="1">
        <f t="shared" ca="1" si="72"/>
        <v>63.750374999999998</v>
      </c>
      <c r="AG245" s="1">
        <f t="shared" ca="1" si="72"/>
        <v>63.750374999999998</v>
      </c>
      <c r="AH245" s="1">
        <f t="shared" ca="1" si="72"/>
        <v>82.875487500000006</v>
      </c>
      <c r="AI245" s="1">
        <f t="shared" ca="1" si="62"/>
        <v>63.750374999999998</v>
      </c>
    </row>
    <row r="246" spans="2:35" x14ac:dyDescent="0.15">
      <c r="B246" s="1" t="str">
        <f t="shared" si="59"/>
        <v>僵尸系46</v>
      </c>
      <c r="C246" s="1">
        <f t="shared" si="67"/>
        <v>46</v>
      </c>
      <c r="D246" s="14" t="s">
        <v>92</v>
      </c>
      <c r="E246" s="14">
        <f t="shared" si="68"/>
        <v>3</v>
      </c>
      <c r="F246" s="1" t="str">
        <f t="shared" si="57"/>
        <v>黑暗</v>
      </c>
      <c r="H246" s="1">
        <f t="shared" ca="1" si="58"/>
        <v>1544.2529679274076</v>
      </c>
      <c r="I246" s="1">
        <f t="shared" ca="1" si="71"/>
        <v>100</v>
      </c>
      <c r="J246" s="1">
        <f t="shared" ca="1" si="71"/>
        <v>671.89571428571469</v>
      </c>
      <c r="K246" s="1">
        <f t="shared" ca="1" si="71"/>
        <v>65.167050000000003</v>
      </c>
      <c r="L246" s="1">
        <f t="shared" ca="1" si="71"/>
        <v>916.22142857142899</v>
      </c>
      <c r="M246" s="1">
        <f t="shared" ca="1" si="71"/>
        <v>65.167050000000003</v>
      </c>
      <c r="N246" s="1">
        <f t="shared" ca="1" si="71"/>
        <v>0.2</v>
      </c>
      <c r="O246" s="1">
        <f t="shared" ca="1" si="71"/>
        <v>0.2</v>
      </c>
      <c r="P246" s="1">
        <f t="shared" ca="1" si="71"/>
        <v>0.36</v>
      </c>
      <c r="Q246" s="1">
        <f t="shared" ca="1" si="71"/>
        <v>0.1</v>
      </c>
      <c r="R246" s="1">
        <f t="shared" ca="1" si="71"/>
        <v>2.2000000000000002</v>
      </c>
      <c r="S246" s="1">
        <f t="shared" ca="1" si="72"/>
        <v>0.1</v>
      </c>
      <c r="T246" s="1">
        <f t="shared" ca="1" si="72"/>
        <v>1.1700000000000002</v>
      </c>
      <c r="U246" s="1">
        <f t="shared" ca="1" si="72"/>
        <v>115.61333333333329</v>
      </c>
      <c r="V246" s="1">
        <f t="shared" ca="1" si="72"/>
        <v>0</v>
      </c>
      <c r="W246" s="1">
        <f t="shared" ca="1" si="72"/>
        <v>0</v>
      </c>
      <c r="X246" s="1">
        <f t="shared" ca="1" si="72"/>
        <v>0</v>
      </c>
      <c r="Y246" s="1">
        <f t="shared" ca="1" si="72"/>
        <v>0</v>
      </c>
      <c r="Z246" s="1">
        <f t="shared" ca="1" si="72"/>
        <v>0</v>
      </c>
      <c r="AA246" s="1">
        <f t="shared" ca="1" si="72"/>
        <v>182.451020408163</v>
      </c>
      <c r="AB246" s="1">
        <f t="shared" ca="1" si="70"/>
        <v>0</v>
      </c>
      <c r="AC246" s="1">
        <f t="shared" ca="1" si="72"/>
        <v>65.167050000000003</v>
      </c>
      <c r="AD246" s="1">
        <f t="shared" ca="1" si="72"/>
        <v>65.167050000000003</v>
      </c>
      <c r="AE246" s="1">
        <f t="shared" ca="1" si="72"/>
        <v>65.167050000000003</v>
      </c>
      <c r="AF246" s="1">
        <f t="shared" ca="1" si="72"/>
        <v>65.167050000000003</v>
      </c>
      <c r="AG246" s="1">
        <f t="shared" ca="1" si="72"/>
        <v>65.167050000000003</v>
      </c>
      <c r="AH246" s="1">
        <f t="shared" ca="1" si="72"/>
        <v>84.717165000000008</v>
      </c>
      <c r="AI246" s="1">
        <f t="shared" ca="1" si="62"/>
        <v>65.167050000000003</v>
      </c>
    </row>
    <row r="247" spans="2:35" x14ac:dyDescent="0.15">
      <c r="B247" s="1" t="str">
        <f t="shared" si="59"/>
        <v>僵尸系47</v>
      </c>
      <c r="C247" s="1">
        <f t="shared" si="67"/>
        <v>47</v>
      </c>
      <c r="D247" s="14" t="s">
        <v>92</v>
      </c>
      <c r="E247" s="14">
        <f t="shared" si="68"/>
        <v>3</v>
      </c>
      <c r="F247" s="1" t="str">
        <f t="shared" si="57"/>
        <v>黑暗</v>
      </c>
      <c r="H247" s="1">
        <f t="shared" ca="1" si="58"/>
        <v>1585.9150881323626</v>
      </c>
      <c r="I247" s="1">
        <f t="shared" ca="1" si="71"/>
        <v>100</v>
      </c>
      <c r="J247" s="1">
        <f t="shared" ca="1" si="71"/>
        <v>692.13375000000008</v>
      </c>
      <c r="K247" s="1">
        <f t="shared" ca="1" si="71"/>
        <v>66.583725000000001</v>
      </c>
      <c r="L247" s="1">
        <f t="shared" ca="1" si="71"/>
        <v>943.81874999999991</v>
      </c>
      <c r="M247" s="1">
        <f t="shared" ca="1" si="71"/>
        <v>66.583725000000001</v>
      </c>
      <c r="N247" s="1">
        <f t="shared" ca="1" si="71"/>
        <v>0.2</v>
      </c>
      <c r="O247" s="1">
        <f t="shared" ca="1" si="71"/>
        <v>0.2</v>
      </c>
      <c r="P247" s="1">
        <f t="shared" ca="1" si="71"/>
        <v>0.36</v>
      </c>
      <c r="Q247" s="1">
        <f t="shared" ca="1" si="71"/>
        <v>0.1</v>
      </c>
      <c r="R247" s="1">
        <f t="shared" ca="1" si="71"/>
        <v>2.2000000000000002</v>
      </c>
      <c r="S247" s="1">
        <f t="shared" ca="1" si="72"/>
        <v>0.1</v>
      </c>
      <c r="T247" s="1">
        <f t="shared" ca="1" si="72"/>
        <v>1.1700000000000002</v>
      </c>
      <c r="U247" s="1">
        <f t="shared" ca="1" si="72"/>
        <v>118.12666666666672</v>
      </c>
      <c r="V247" s="1">
        <f t="shared" ca="1" si="72"/>
        <v>0</v>
      </c>
      <c r="W247" s="1">
        <f t="shared" ca="1" si="72"/>
        <v>0</v>
      </c>
      <c r="X247" s="1">
        <f t="shared" ca="1" si="72"/>
        <v>0</v>
      </c>
      <c r="Y247" s="1">
        <f t="shared" ca="1" si="72"/>
        <v>0</v>
      </c>
      <c r="Z247" s="1">
        <f t="shared" ca="1" si="72"/>
        <v>0</v>
      </c>
      <c r="AA247" s="1">
        <f t="shared" ca="1" si="72"/>
        <v>193.28749999999999</v>
      </c>
      <c r="AB247" s="1">
        <f t="shared" ca="1" si="70"/>
        <v>0</v>
      </c>
      <c r="AC247" s="1">
        <f t="shared" ca="1" si="72"/>
        <v>66.583725000000001</v>
      </c>
      <c r="AD247" s="1">
        <f t="shared" ca="1" si="72"/>
        <v>66.583725000000001</v>
      </c>
      <c r="AE247" s="1">
        <f t="shared" ca="1" si="72"/>
        <v>66.583725000000001</v>
      </c>
      <c r="AF247" s="1">
        <f t="shared" ca="1" si="72"/>
        <v>66.583725000000001</v>
      </c>
      <c r="AG247" s="1">
        <f t="shared" ca="1" si="72"/>
        <v>66.583725000000001</v>
      </c>
      <c r="AH247" s="1">
        <f t="shared" ca="1" si="72"/>
        <v>86.558842500000011</v>
      </c>
      <c r="AI247" s="1">
        <f t="shared" ca="1" si="62"/>
        <v>66.583725000000001</v>
      </c>
    </row>
    <row r="248" spans="2:35" x14ac:dyDescent="0.15">
      <c r="B248" s="1" t="str">
        <f t="shared" si="59"/>
        <v>僵尸系48</v>
      </c>
      <c r="C248" s="1">
        <f t="shared" si="67"/>
        <v>48</v>
      </c>
      <c r="D248" s="14" t="s">
        <v>92</v>
      </c>
      <c r="E248" s="14">
        <f t="shared" si="68"/>
        <v>3</v>
      </c>
      <c r="F248" s="1" t="str">
        <f t="shared" si="57"/>
        <v>黑暗</v>
      </c>
      <c r="H248" s="1">
        <f t="shared" ca="1" si="58"/>
        <v>1627.9215233803259</v>
      </c>
      <c r="I248" s="1">
        <f t="shared" ca="1" si="71"/>
        <v>100</v>
      </c>
      <c r="J248" s="1">
        <f t="shared" ca="1" si="71"/>
        <v>712.67550624133162</v>
      </c>
      <c r="K248" s="1">
        <f t="shared" ca="1" si="71"/>
        <v>68.000399999999999</v>
      </c>
      <c r="L248" s="1">
        <f t="shared" ca="1" si="71"/>
        <v>971.83023578363395</v>
      </c>
      <c r="M248" s="1">
        <f t="shared" ca="1" si="71"/>
        <v>68.000399999999999</v>
      </c>
      <c r="N248" s="1">
        <f t="shared" ca="1" si="71"/>
        <v>0.2</v>
      </c>
      <c r="O248" s="1">
        <f t="shared" ca="1" si="71"/>
        <v>0.2</v>
      </c>
      <c r="P248" s="1">
        <f t="shared" ca="1" si="71"/>
        <v>0.36</v>
      </c>
      <c r="Q248" s="1">
        <f t="shared" ca="1" si="71"/>
        <v>0.1</v>
      </c>
      <c r="R248" s="1">
        <f t="shared" ca="1" si="71"/>
        <v>2.2000000000000002</v>
      </c>
      <c r="S248" s="1">
        <f t="shared" ca="1" si="72"/>
        <v>0.1</v>
      </c>
      <c r="T248" s="1">
        <f t="shared" ca="1" si="72"/>
        <v>1.1700000000000002</v>
      </c>
      <c r="U248" s="1">
        <f t="shared" ca="1" si="72"/>
        <v>120.64</v>
      </c>
      <c r="V248" s="1">
        <f t="shared" ca="1" si="72"/>
        <v>0</v>
      </c>
      <c r="W248" s="1">
        <f t="shared" ca="1" si="72"/>
        <v>0</v>
      </c>
      <c r="X248" s="1">
        <f t="shared" ca="1" si="72"/>
        <v>0</v>
      </c>
      <c r="Y248" s="1">
        <f t="shared" ca="1" si="72"/>
        <v>0</v>
      </c>
      <c r="Z248" s="1">
        <f t="shared" ca="1" si="72"/>
        <v>0</v>
      </c>
      <c r="AA248" s="1">
        <f t="shared" ca="1" si="72"/>
        <v>204.59583911234401</v>
      </c>
      <c r="AB248" s="1">
        <f t="shared" ca="1" si="70"/>
        <v>0</v>
      </c>
      <c r="AC248" s="1">
        <f t="shared" ca="1" si="72"/>
        <v>68.000399999999999</v>
      </c>
      <c r="AD248" s="1">
        <f t="shared" ca="1" si="72"/>
        <v>68.000399999999999</v>
      </c>
      <c r="AE248" s="1">
        <f t="shared" ca="1" si="72"/>
        <v>68.000399999999999</v>
      </c>
      <c r="AF248" s="1">
        <f t="shared" ca="1" si="72"/>
        <v>68.000399999999999</v>
      </c>
      <c r="AG248" s="1">
        <f t="shared" ca="1" si="72"/>
        <v>68.000399999999999</v>
      </c>
      <c r="AH248" s="1">
        <f t="shared" ca="1" si="72"/>
        <v>88.40052</v>
      </c>
      <c r="AI248" s="1">
        <f t="shared" ca="1" si="62"/>
        <v>68.000399999999999</v>
      </c>
    </row>
    <row r="249" spans="2:35" x14ac:dyDescent="0.15">
      <c r="B249" s="1" t="str">
        <f t="shared" si="59"/>
        <v>僵尸系49</v>
      </c>
      <c r="C249" s="1">
        <f t="shared" si="67"/>
        <v>49</v>
      </c>
      <c r="D249" s="14" t="s">
        <v>92</v>
      </c>
      <c r="E249" s="14">
        <f t="shared" si="68"/>
        <v>3</v>
      </c>
      <c r="F249" s="1" t="str">
        <f t="shared" si="57"/>
        <v>黑暗</v>
      </c>
      <c r="H249" s="1">
        <f t="shared" ca="1" si="58"/>
        <v>1670.2722736713183</v>
      </c>
      <c r="I249" s="1">
        <f t="shared" ca="1" si="71"/>
        <v>100</v>
      </c>
      <c r="J249" s="1">
        <f t="shared" ca="1" si="71"/>
        <v>733.52691176470648</v>
      </c>
      <c r="K249" s="1">
        <f t="shared" ca="1" si="71"/>
        <v>69.417074999999997</v>
      </c>
      <c r="L249" s="1">
        <f t="shared" ca="1" si="71"/>
        <v>1000.263970588236</v>
      </c>
      <c r="M249" s="1">
        <f t="shared" ca="1" si="71"/>
        <v>69.417074999999997</v>
      </c>
      <c r="N249" s="1">
        <f t="shared" ca="1" si="71"/>
        <v>0.2</v>
      </c>
      <c r="O249" s="1">
        <f t="shared" ca="1" si="71"/>
        <v>0.2</v>
      </c>
      <c r="P249" s="1">
        <f t="shared" ca="1" si="71"/>
        <v>0.36</v>
      </c>
      <c r="Q249" s="1">
        <f t="shared" ca="1" si="71"/>
        <v>0.1</v>
      </c>
      <c r="R249" s="1">
        <f t="shared" ca="1" si="71"/>
        <v>2.2000000000000002</v>
      </c>
      <c r="S249" s="1">
        <f t="shared" ca="1" si="72"/>
        <v>0.1</v>
      </c>
      <c r="T249" s="1">
        <f t="shared" ca="1" si="72"/>
        <v>1.1700000000000002</v>
      </c>
      <c r="U249" s="1">
        <f t="shared" ca="1" si="72"/>
        <v>123.15333333333331</v>
      </c>
      <c r="V249" s="1">
        <f t="shared" ca="1" si="72"/>
        <v>0</v>
      </c>
      <c r="W249" s="1">
        <f t="shared" ca="1" si="72"/>
        <v>0</v>
      </c>
      <c r="X249" s="1">
        <f t="shared" ca="1" si="72"/>
        <v>0</v>
      </c>
      <c r="Y249" s="1">
        <f t="shared" ca="1" si="72"/>
        <v>0</v>
      </c>
      <c r="Z249" s="1">
        <f t="shared" ca="1" si="72"/>
        <v>0</v>
      </c>
      <c r="AA249" s="1">
        <f t="shared" ca="1" si="72"/>
        <v>216.392647058824</v>
      </c>
      <c r="AB249" s="1">
        <f t="shared" ca="1" si="72"/>
        <v>0</v>
      </c>
      <c r="AC249" s="1">
        <f t="shared" ca="1" si="72"/>
        <v>69.417074999999997</v>
      </c>
      <c r="AD249" s="1">
        <f t="shared" ca="1" si="72"/>
        <v>69.417074999999997</v>
      </c>
      <c r="AE249" s="1">
        <f t="shared" ca="1" si="72"/>
        <v>69.417074999999997</v>
      </c>
      <c r="AF249" s="1">
        <f t="shared" ca="1" si="72"/>
        <v>69.417074999999997</v>
      </c>
      <c r="AG249" s="1">
        <f t="shared" ca="1" si="72"/>
        <v>69.417074999999997</v>
      </c>
      <c r="AH249" s="1">
        <f t="shared" ca="1" si="72"/>
        <v>90.242197500000003</v>
      </c>
      <c r="AI249" s="1">
        <f t="shared" ca="1" si="62"/>
        <v>69.417074999999997</v>
      </c>
    </row>
    <row r="250" spans="2:35" x14ac:dyDescent="0.15">
      <c r="B250" s="1" t="str">
        <f t="shared" si="59"/>
        <v>僵尸系50</v>
      </c>
      <c r="C250" s="1">
        <f t="shared" si="67"/>
        <v>50</v>
      </c>
      <c r="D250" s="14" t="s">
        <v>92</v>
      </c>
      <c r="E250" s="14">
        <f t="shared" si="68"/>
        <v>3</v>
      </c>
      <c r="F250" s="1" t="str">
        <f t="shared" si="57"/>
        <v>黑暗</v>
      </c>
      <c r="H250" s="1">
        <f t="shared" ca="1" si="58"/>
        <v>1712.967339005319</v>
      </c>
      <c r="I250" s="1">
        <f t="shared" ca="1" si="71"/>
        <v>100</v>
      </c>
      <c r="J250" s="1">
        <f t="shared" ca="1" si="71"/>
        <v>754.69413012729899</v>
      </c>
      <c r="K250" s="1">
        <f t="shared" ca="1" si="71"/>
        <v>70.833749999999995</v>
      </c>
      <c r="L250" s="1">
        <f t="shared" ca="1" si="71"/>
        <v>1029.1283592644986</v>
      </c>
      <c r="M250" s="1">
        <f t="shared" ca="1" si="71"/>
        <v>70.833749999999995</v>
      </c>
      <c r="N250" s="1">
        <f t="shared" ca="1" si="71"/>
        <v>0.2</v>
      </c>
      <c r="O250" s="1">
        <f t="shared" ca="1" si="71"/>
        <v>0.2</v>
      </c>
      <c r="P250" s="1">
        <f t="shared" ca="1" si="71"/>
        <v>0.36</v>
      </c>
      <c r="Q250" s="1">
        <f t="shared" ca="1" si="71"/>
        <v>0.1</v>
      </c>
      <c r="R250" s="1">
        <f t="shared" ca="1" si="71"/>
        <v>2.2000000000000002</v>
      </c>
      <c r="S250" s="1">
        <f t="shared" ca="1" si="72"/>
        <v>0.1</v>
      </c>
      <c r="T250" s="1">
        <f t="shared" ca="1" si="72"/>
        <v>1.1700000000000002</v>
      </c>
      <c r="U250" s="1">
        <f t="shared" ca="1" si="72"/>
        <v>125.66666666666671</v>
      </c>
      <c r="V250" s="1">
        <f t="shared" ca="1" si="72"/>
        <v>0</v>
      </c>
      <c r="W250" s="1">
        <f t="shared" ca="1" si="72"/>
        <v>0</v>
      </c>
      <c r="X250" s="1">
        <f t="shared" ca="1" si="72"/>
        <v>0</v>
      </c>
      <c r="Y250" s="1">
        <f t="shared" ca="1" si="72"/>
        <v>0</v>
      </c>
      <c r="Z250" s="1">
        <f t="shared" ca="1" si="72"/>
        <v>0</v>
      </c>
      <c r="AA250" s="1">
        <f t="shared" ca="1" si="72"/>
        <v>228.69519094766599</v>
      </c>
      <c r="AB250" s="1">
        <f t="shared" ca="1" si="72"/>
        <v>0</v>
      </c>
      <c r="AC250" s="1">
        <f t="shared" ca="1" si="72"/>
        <v>70.833749999999995</v>
      </c>
      <c r="AD250" s="1">
        <f t="shared" ca="1" si="72"/>
        <v>70.833749999999995</v>
      </c>
      <c r="AE250" s="1">
        <f t="shared" ca="1" si="72"/>
        <v>70.833749999999995</v>
      </c>
      <c r="AF250" s="1">
        <f t="shared" ca="1" si="72"/>
        <v>70.833749999999995</v>
      </c>
      <c r="AG250" s="1">
        <f t="shared" ca="1" si="72"/>
        <v>70.833749999999995</v>
      </c>
      <c r="AH250" s="1">
        <f t="shared" ca="1" si="72"/>
        <v>92.083874999999992</v>
      </c>
      <c r="AI250" s="1">
        <f t="shared" ca="1" si="62"/>
        <v>70.833749999999995</v>
      </c>
    </row>
    <row r="251" spans="2:35" x14ac:dyDescent="0.15">
      <c r="B251" s="1" t="str">
        <f t="shared" si="59"/>
        <v>僵尸系51</v>
      </c>
      <c r="C251" s="1">
        <f t="shared" si="67"/>
        <v>51</v>
      </c>
      <c r="D251" s="14" t="s">
        <v>92</v>
      </c>
      <c r="E251" s="14">
        <f t="shared" si="68"/>
        <v>3</v>
      </c>
      <c r="F251" s="1" t="str">
        <f t="shared" si="57"/>
        <v>黑暗</v>
      </c>
      <c r="H251" s="1">
        <f t="shared" ca="1" si="58"/>
        <v>1756.0067193823379</v>
      </c>
      <c r="I251" s="1">
        <f t="shared" ca="1" si="71"/>
        <v>100</v>
      </c>
      <c r="J251" s="1">
        <f t="shared" ca="1" si="71"/>
        <v>776.1835714285719</v>
      </c>
      <c r="K251" s="1">
        <f t="shared" ca="1" si="71"/>
        <v>72.250425000000007</v>
      </c>
      <c r="L251" s="1">
        <f t="shared" ca="1" si="71"/>
        <v>1058.4321428571434</v>
      </c>
      <c r="M251" s="1">
        <f t="shared" ca="1" si="71"/>
        <v>72.250425000000007</v>
      </c>
      <c r="N251" s="1">
        <f t="shared" ca="1" si="71"/>
        <v>0.2</v>
      </c>
      <c r="O251" s="1">
        <f t="shared" ca="1" si="71"/>
        <v>0.2</v>
      </c>
      <c r="P251" s="1">
        <f t="shared" ca="1" si="71"/>
        <v>0.36</v>
      </c>
      <c r="Q251" s="1">
        <f t="shared" ca="1" si="71"/>
        <v>0.1</v>
      </c>
      <c r="R251" s="1">
        <f t="shared" ca="1" si="71"/>
        <v>2.2000000000000002</v>
      </c>
      <c r="S251" s="1">
        <f t="shared" ca="1" si="72"/>
        <v>0.1</v>
      </c>
      <c r="T251" s="1">
        <f t="shared" ca="1" si="72"/>
        <v>1.1700000000000002</v>
      </c>
      <c r="U251" s="1">
        <f t="shared" ca="1" si="72"/>
        <v>128.18</v>
      </c>
      <c r="V251" s="1">
        <f t="shared" ca="1" si="72"/>
        <v>0</v>
      </c>
      <c r="W251" s="1">
        <f t="shared" ca="1" si="72"/>
        <v>0</v>
      </c>
      <c r="X251" s="1">
        <f t="shared" ca="1" si="72"/>
        <v>0</v>
      </c>
      <c r="Y251" s="1">
        <f t="shared" ca="1" si="72"/>
        <v>0</v>
      </c>
      <c r="Z251" s="1">
        <f t="shared" ca="1" si="72"/>
        <v>0</v>
      </c>
      <c r="AA251" s="1">
        <f t="shared" ca="1" si="72"/>
        <v>241.521428571429</v>
      </c>
      <c r="AB251" s="1">
        <f t="shared" ca="1" si="72"/>
        <v>0</v>
      </c>
      <c r="AC251" s="1">
        <f t="shared" ca="1" si="72"/>
        <v>72.250425000000007</v>
      </c>
      <c r="AD251" s="1">
        <f t="shared" ca="1" si="72"/>
        <v>72.250425000000007</v>
      </c>
      <c r="AE251" s="1">
        <f t="shared" ca="1" si="72"/>
        <v>72.250425000000007</v>
      </c>
      <c r="AF251" s="1">
        <f t="shared" ca="1" si="72"/>
        <v>72.250425000000007</v>
      </c>
      <c r="AG251" s="1">
        <f t="shared" ca="1" si="72"/>
        <v>72.250425000000007</v>
      </c>
      <c r="AH251" s="1">
        <f t="shared" ca="1" si="72"/>
        <v>93.925552500000009</v>
      </c>
      <c r="AI251" s="1">
        <f t="shared" ca="1" si="62"/>
        <v>72.250425000000007</v>
      </c>
    </row>
    <row r="252" spans="2:35" x14ac:dyDescent="0.15">
      <c r="B252" s="1" t="str">
        <f t="shared" si="59"/>
        <v>僵尸系52</v>
      </c>
      <c r="C252" s="1">
        <f t="shared" si="67"/>
        <v>52</v>
      </c>
      <c r="D252" s="14" t="s">
        <v>92</v>
      </c>
      <c r="E252" s="14">
        <f t="shared" si="68"/>
        <v>3</v>
      </c>
      <c r="F252" s="1" t="str">
        <f t="shared" si="57"/>
        <v>黑暗</v>
      </c>
      <c r="H252" s="1">
        <f t="shared" ca="1" si="58"/>
        <v>1799.3904148023651</v>
      </c>
      <c r="I252" s="1">
        <f t="shared" ca="1" si="71"/>
        <v>100</v>
      </c>
      <c r="J252" s="1">
        <f t="shared" ca="1" si="71"/>
        <v>798.00190476190483</v>
      </c>
      <c r="K252" s="1">
        <f t="shared" ca="1" si="71"/>
        <v>73.667100000000005</v>
      </c>
      <c r="L252" s="1">
        <f t="shared" ca="1" si="71"/>
        <v>1088.1844155844155</v>
      </c>
      <c r="M252" s="1">
        <f t="shared" ca="1" si="71"/>
        <v>73.667100000000005</v>
      </c>
      <c r="N252" s="1">
        <f t="shared" ca="1" si="71"/>
        <v>0.2</v>
      </c>
      <c r="O252" s="1">
        <f t="shared" ca="1" si="71"/>
        <v>0.2</v>
      </c>
      <c r="P252" s="1">
        <f t="shared" ca="1" si="71"/>
        <v>0.36</v>
      </c>
      <c r="Q252" s="1">
        <f t="shared" ca="1" si="71"/>
        <v>0.1</v>
      </c>
      <c r="R252" s="1">
        <f t="shared" ca="1" si="71"/>
        <v>2.2000000000000002</v>
      </c>
      <c r="S252" s="1">
        <f t="shared" ca="1" si="72"/>
        <v>0.1</v>
      </c>
      <c r="T252" s="1">
        <f t="shared" ca="1" si="72"/>
        <v>1.1700000000000002</v>
      </c>
      <c r="U252" s="1">
        <f t="shared" ca="1" si="72"/>
        <v>130.6933333333329</v>
      </c>
      <c r="V252" s="1">
        <f t="shared" ca="1" si="72"/>
        <v>0</v>
      </c>
      <c r="W252" s="1">
        <f t="shared" ca="1" si="72"/>
        <v>0</v>
      </c>
      <c r="X252" s="1">
        <f t="shared" ca="1" si="72"/>
        <v>0</v>
      </c>
      <c r="Y252" s="1">
        <f t="shared" ca="1" si="72"/>
        <v>0</v>
      </c>
      <c r="Z252" s="1">
        <f t="shared" ca="1" si="72"/>
        <v>0</v>
      </c>
      <c r="AA252" s="1">
        <f t="shared" ca="1" si="72"/>
        <v>254.890043290043</v>
      </c>
      <c r="AB252" s="1">
        <f t="shared" ca="1" si="72"/>
        <v>0</v>
      </c>
      <c r="AC252" s="1">
        <f t="shared" ca="1" si="72"/>
        <v>73.667100000000005</v>
      </c>
      <c r="AD252" s="1">
        <f t="shared" ca="1" si="72"/>
        <v>73.667100000000005</v>
      </c>
      <c r="AE252" s="1">
        <f t="shared" ca="1" si="72"/>
        <v>73.667100000000005</v>
      </c>
      <c r="AF252" s="1">
        <f t="shared" ca="1" si="72"/>
        <v>73.667100000000005</v>
      </c>
      <c r="AG252" s="1">
        <f t="shared" ca="1" si="72"/>
        <v>73.667100000000005</v>
      </c>
      <c r="AH252" s="1">
        <f t="shared" ca="1" si="72"/>
        <v>95.767230000000012</v>
      </c>
      <c r="AI252" s="1">
        <f t="shared" ca="1" si="62"/>
        <v>73.667100000000005</v>
      </c>
    </row>
    <row r="253" spans="2:35" x14ac:dyDescent="0.15">
      <c r="B253" s="1" t="str">
        <f t="shared" si="59"/>
        <v>僵尸系53</v>
      </c>
      <c r="C253" s="1">
        <f t="shared" si="67"/>
        <v>53</v>
      </c>
      <c r="D253" s="14" t="s">
        <v>92</v>
      </c>
      <c r="E253" s="14">
        <f t="shared" si="68"/>
        <v>3</v>
      </c>
      <c r="F253" s="1" t="str">
        <f t="shared" si="57"/>
        <v>黑暗</v>
      </c>
      <c r="H253" s="1">
        <f t="shared" ca="1" si="58"/>
        <v>1843.1184252654214</v>
      </c>
      <c r="I253" s="1">
        <f t="shared" ref="I253:R262" ca="1" si="73">mVlookup($C253,monsterBaseDate,I$2,FALSE)*(1+mVlookup($E253,monsterType,I$2,FALSE))</f>
        <v>100</v>
      </c>
      <c r="J253" s="1">
        <f t="shared" ca="1" si="73"/>
        <v>820.15607142857198</v>
      </c>
      <c r="K253" s="1">
        <f t="shared" ca="1" si="73"/>
        <v>75.083775000000003</v>
      </c>
      <c r="L253" s="1">
        <f t="shared" ca="1" si="73"/>
        <v>1118.3946428571435</v>
      </c>
      <c r="M253" s="1">
        <f t="shared" ca="1" si="73"/>
        <v>75.083775000000003</v>
      </c>
      <c r="N253" s="1">
        <f t="shared" ca="1" si="73"/>
        <v>0.2</v>
      </c>
      <c r="O253" s="1">
        <f t="shared" ca="1" si="73"/>
        <v>0.2</v>
      </c>
      <c r="P253" s="1">
        <f t="shared" ca="1" si="73"/>
        <v>0.36</v>
      </c>
      <c r="Q253" s="1">
        <f t="shared" ca="1" si="73"/>
        <v>0.1</v>
      </c>
      <c r="R253" s="1">
        <f t="shared" ca="1" si="73"/>
        <v>2.2000000000000002</v>
      </c>
      <c r="S253" s="1">
        <f t="shared" ref="S253:AH268" ca="1" si="74">mVlookup($C253,monsterBaseDate,S$2,FALSE)*(1+mVlookup($E253,monsterType,S$2,FALSE))</f>
        <v>0.1</v>
      </c>
      <c r="T253" s="1">
        <f t="shared" ca="1" si="74"/>
        <v>1.1700000000000002</v>
      </c>
      <c r="U253" s="1">
        <f t="shared" ca="1" si="74"/>
        <v>133.2066666666671</v>
      </c>
      <c r="V253" s="1">
        <f t="shared" ca="1" si="74"/>
        <v>0</v>
      </c>
      <c r="W253" s="1">
        <f t="shared" ca="1" si="74"/>
        <v>0</v>
      </c>
      <c r="X253" s="1">
        <f t="shared" ca="1" si="74"/>
        <v>0</v>
      </c>
      <c r="Y253" s="1">
        <f t="shared" ca="1" si="74"/>
        <v>0</v>
      </c>
      <c r="Z253" s="1">
        <f t="shared" ca="1" si="74"/>
        <v>0</v>
      </c>
      <c r="AA253" s="1">
        <f t="shared" ca="1" si="74"/>
        <v>268.820481049563</v>
      </c>
      <c r="AB253" s="1">
        <f t="shared" ca="1" si="72"/>
        <v>0</v>
      </c>
      <c r="AC253" s="1">
        <f t="shared" ca="1" si="74"/>
        <v>75.083775000000003</v>
      </c>
      <c r="AD253" s="1">
        <f t="shared" ca="1" si="74"/>
        <v>75.083775000000003</v>
      </c>
      <c r="AE253" s="1">
        <f t="shared" ca="1" si="74"/>
        <v>75.083775000000003</v>
      </c>
      <c r="AF253" s="1">
        <f t="shared" ca="1" si="74"/>
        <v>75.083775000000003</v>
      </c>
      <c r="AG253" s="1">
        <f t="shared" ca="1" si="74"/>
        <v>75.083775000000003</v>
      </c>
      <c r="AH253" s="1">
        <f t="shared" ca="1" si="74"/>
        <v>97.608907500000001</v>
      </c>
      <c r="AI253" s="1">
        <f t="shared" ca="1" si="62"/>
        <v>75.083775000000003</v>
      </c>
    </row>
    <row r="254" spans="2:35" x14ac:dyDescent="0.15">
      <c r="B254" s="1" t="str">
        <f t="shared" si="59"/>
        <v>僵尸系54</v>
      </c>
      <c r="C254" s="1">
        <f t="shared" si="67"/>
        <v>54</v>
      </c>
      <c r="D254" s="14" t="s">
        <v>92</v>
      </c>
      <c r="E254" s="14">
        <f t="shared" si="68"/>
        <v>3</v>
      </c>
      <c r="F254" s="1" t="str">
        <f t="shared" si="57"/>
        <v>黑暗</v>
      </c>
      <c r="H254" s="1">
        <f t="shared" ca="1" si="58"/>
        <v>1887.1907507714857</v>
      </c>
      <c r="I254" s="1">
        <f t="shared" ca="1" si="73"/>
        <v>100</v>
      </c>
      <c r="J254" s="1">
        <f t="shared" ca="1" si="73"/>
        <v>842.65329896907281</v>
      </c>
      <c r="K254" s="1">
        <f t="shared" ca="1" si="73"/>
        <v>76.500450000000001</v>
      </c>
      <c r="L254" s="1">
        <f t="shared" ca="1" si="73"/>
        <v>1149.0726804123719</v>
      </c>
      <c r="M254" s="1">
        <f t="shared" ca="1" si="73"/>
        <v>76.500450000000001</v>
      </c>
      <c r="N254" s="1">
        <f t="shared" ca="1" si="73"/>
        <v>0.2</v>
      </c>
      <c r="O254" s="1">
        <f t="shared" ca="1" si="73"/>
        <v>0.2</v>
      </c>
      <c r="P254" s="1">
        <f t="shared" ca="1" si="73"/>
        <v>0.36</v>
      </c>
      <c r="Q254" s="1">
        <f t="shared" ca="1" si="73"/>
        <v>0.1</v>
      </c>
      <c r="R254" s="1">
        <f t="shared" ca="1" si="73"/>
        <v>2.2000000000000002</v>
      </c>
      <c r="S254" s="1">
        <f t="shared" ca="1" si="74"/>
        <v>0.1</v>
      </c>
      <c r="T254" s="1">
        <f t="shared" ca="1" si="74"/>
        <v>1.1700000000000002</v>
      </c>
      <c r="U254" s="1">
        <f t="shared" ca="1" si="74"/>
        <v>135.72</v>
      </c>
      <c r="V254" s="1">
        <f t="shared" ca="1" si="74"/>
        <v>0</v>
      </c>
      <c r="W254" s="1">
        <f t="shared" ca="1" si="74"/>
        <v>0</v>
      </c>
      <c r="X254" s="1">
        <f t="shared" ca="1" si="74"/>
        <v>0</v>
      </c>
      <c r="Y254" s="1">
        <f t="shared" ca="1" si="74"/>
        <v>0</v>
      </c>
      <c r="Z254" s="1">
        <f t="shared" ca="1" si="74"/>
        <v>0</v>
      </c>
      <c r="AA254" s="1">
        <f t="shared" ca="1" si="74"/>
        <v>283.332989690722</v>
      </c>
      <c r="AB254" s="1">
        <f t="shared" ca="1" si="72"/>
        <v>0</v>
      </c>
      <c r="AC254" s="1">
        <f t="shared" ca="1" si="74"/>
        <v>76.500450000000001</v>
      </c>
      <c r="AD254" s="1">
        <f t="shared" ca="1" si="74"/>
        <v>76.500450000000001</v>
      </c>
      <c r="AE254" s="1">
        <f t="shared" ca="1" si="74"/>
        <v>76.500450000000001</v>
      </c>
      <c r="AF254" s="1">
        <f t="shared" ca="1" si="74"/>
        <v>76.500450000000001</v>
      </c>
      <c r="AG254" s="1">
        <f t="shared" ca="1" si="74"/>
        <v>76.500450000000001</v>
      </c>
      <c r="AH254" s="1">
        <f t="shared" ca="1" si="74"/>
        <v>99.450585000000004</v>
      </c>
      <c r="AI254" s="1">
        <f t="shared" ca="1" si="62"/>
        <v>76.500450000000001</v>
      </c>
    </row>
    <row r="255" spans="2:35" x14ac:dyDescent="0.15">
      <c r="B255" s="1" t="str">
        <f t="shared" si="59"/>
        <v>僵尸系55</v>
      </c>
      <c r="C255" s="1">
        <f t="shared" si="67"/>
        <v>55</v>
      </c>
      <c r="D255" s="14" t="s">
        <v>92</v>
      </c>
      <c r="E255" s="14">
        <f t="shared" si="68"/>
        <v>3</v>
      </c>
      <c r="F255" s="1" t="str">
        <f t="shared" si="57"/>
        <v>黑暗</v>
      </c>
      <c r="H255" s="1">
        <f t="shared" ca="1" si="58"/>
        <v>1931.6073913205685</v>
      </c>
      <c r="I255" s="1">
        <f t="shared" ca="1" si="73"/>
        <v>100</v>
      </c>
      <c r="J255" s="1">
        <f t="shared" ca="1" si="73"/>
        <v>865.50111607142924</v>
      </c>
      <c r="K255" s="1">
        <f t="shared" ca="1" si="73"/>
        <v>77.917124999999999</v>
      </c>
      <c r="L255" s="1">
        <f t="shared" ca="1" si="73"/>
        <v>1180.228794642858</v>
      </c>
      <c r="M255" s="1">
        <f t="shared" ca="1" si="73"/>
        <v>77.917124999999999</v>
      </c>
      <c r="N255" s="1">
        <f t="shared" ca="1" si="73"/>
        <v>0.2</v>
      </c>
      <c r="O255" s="1">
        <f t="shared" ca="1" si="73"/>
        <v>0.2</v>
      </c>
      <c r="P255" s="1">
        <f t="shared" ca="1" si="73"/>
        <v>0.36</v>
      </c>
      <c r="Q255" s="1">
        <f t="shared" ca="1" si="73"/>
        <v>0.1</v>
      </c>
      <c r="R255" s="1">
        <f t="shared" ca="1" si="73"/>
        <v>2.2000000000000002</v>
      </c>
      <c r="S255" s="1">
        <f t="shared" ca="1" si="74"/>
        <v>0.1</v>
      </c>
      <c r="T255" s="1">
        <f t="shared" ca="1" si="74"/>
        <v>1.1700000000000002</v>
      </c>
      <c r="U255" s="1">
        <f t="shared" ca="1" si="74"/>
        <v>138.23333333333289</v>
      </c>
      <c r="V255" s="1">
        <f t="shared" ca="1" si="74"/>
        <v>0</v>
      </c>
      <c r="W255" s="1">
        <f t="shared" ca="1" si="74"/>
        <v>0</v>
      </c>
      <c r="X255" s="1">
        <f t="shared" ca="1" si="74"/>
        <v>0</v>
      </c>
      <c r="Y255" s="1">
        <f t="shared" ca="1" si="74"/>
        <v>0</v>
      </c>
      <c r="Z255" s="1">
        <f t="shared" ca="1" si="74"/>
        <v>0</v>
      </c>
      <c r="AA255" s="1">
        <f t="shared" ca="1" si="74"/>
        <v>298.44866071428601</v>
      </c>
      <c r="AB255" s="1">
        <f t="shared" ca="1" si="72"/>
        <v>0</v>
      </c>
      <c r="AC255" s="1">
        <f t="shared" ca="1" si="74"/>
        <v>77.917124999999999</v>
      </c>
      <c r="AD255" s="1">
        <f t="shared" ca="1" si="74"/>
        <v>77.917124999999999</v>
      </c>
      <c r="AE255" s="1">
        <f t="shared" ca="1" si="74"/>
        <v>77.917124999999999</v>
      </c>
      <c r="AF255" s="1">
        <f t="shared" ca="1" si="74"/>
        <v>77.917124999999999</v>
      </c>
      <c r="AG255" s="1">
        <f t="shared" ca="1" si="74"/>
        <v>77.917124999999999</v>
      </c>
      <c r="AH255" s="1">
        <f t="shared" ca="1" si="74"/>
        <v>101.29226250000001</v>
      </c>
      <c r="AI255" s="1">
        <f t="shared" ca="1" si="62"/>
        <v>77.917124999999999</v>
      </c>
    </row>
    <row r="256" spans="2:35" x14ac:dyDescent="0.15">
      <c r="B256" s="1" t="str">
        <f t="shared" si="59"/>
        <v>僵尸系56</v>
      </c>
      <c r="C256" s="1">
        <f t="shared" si="67"/>
        <v>56</v>
      </c>
      <c r="D256" s="14" t="s">
        <v>92</v>
      </c>
      <c r="E256" s="14">
        <f t="shared" si="68"/>
        <v>3</v>
      </c>
      <c r="F256" s="1" t="str">
        <f t="shared" si="57"/>
        <v>黑暗</v>
      </c>
      <c r="H256" s="1">
        <f t="shared" ca="1" si="58"/>
        <v>2080.0125867485181</v>
      </c>
      <c r="I256" s="1">
        <f t="shared" ca="1" si="73"/>
        <v>100</v>
      </c>
      <c r="J256" s="1">
        <f t="shared" ca="1" si="73"/>
        <v>888.7073684210535</v>
      </c>
      <c r="K256" s="1">
        <f t="shared" ca="1" si="73"/>
        <v>79.333799999999997</v>
      </c>
      <c r="L256" s="1">
        <f t="shared" ca="1" si="73"/>
        <v>1211.8736842105275</v>
      </c>
      <c r="M256" s="1">
        <f t="shared" ca="1" si="73"/>
        <v>79.333799999999997</v>
      </c>
      <c r="N256" s="1">
        <f t="shared" ca="1" si="73"/>
        <v>0.2</v>
      </c>
      <c r="O256" s="1">
        <f t="shared" ca="1" si="73"/>
        <v>0.2</v>
      </c>
      <c r="P256" s="1">
        <f t="shared" ca="1" si="73"/>
        <v>0.36</v>
      </c>
      <c r="Q256" s="1">
        <f t="shared" ca="1" si="73"/>
        <v>0.1</v>
      </c>
      <c r="R256" s="1">
        <f t="shared" ca="1" si="73"/>
        <v>2.2000000000000002</v>
      </c>
      <c r="S256" s="1">
        <f t="shared" ca="1" si="74"/>
        <v>0.1</v>
      </c>
      <c r="T256" s="1">
        <f t="shared" ca="1" si="74"/>
        <v>1.1700000000000002</v>
      </c>
      <c r="U256" s="1">
        <f t="shared" ca="1" si="74"/>
        <v>140.74666666666712</v>
      </c>
      <c r="V256" s="1">
        <f t="shared" ca="1" si="74"/>
        <v>0</v>
      </c>
      <c r="W256" s="1">
        <f t="shared" ca="1" si="74"/>
        <v>0</v>
      </c>
      <c r="X256" s="1">
        <f t="shared" ca="1" si="74"/>
        <v>0</v>
      </c>
      <c r="Y256" s="1">
        <f t="shared" ca="1" si="74"/>
        <v>0</v>
      </c>
      <c r="Z256" s="1">
        <f t="shared" ca="1" si="74"/>
        <v>0</v>
      </c>
      <c r="AA256" s="1">
        <f t="shared" ca="1" si="74"/>
        <v>314.18947368421101</v>
      </c>
      <c r="AB256" s="1">
        <f t="shared" ca="1" si="72"/>
        <v>0</v>
      </c>
      <c r="AC256" s="1">
        <f t="shared" ca="1" si="74"/>
        <v>79.333799999999997</v>
      </c>
      <c r="AD256" s="1">
        <f t="shared" ca="1" si="74"/>
        <v>79.333799999999997</v>
      </c>
      <c r="AE256" s="1">
        <f t="shared" ca="1" si="74"/>
        <v>79.333799999999997</v>
      </c>
      <c r="AF256" s="1">
        <f t="shared" ca="1" si="74"/>
        <v>79.333799999999997</v>
      </c>
      <c r="AG256" s="1">
        <f t="shared" ca="1" si="74"/>
        <v>79.333799999999997</v>
      </c>
      <c r="AH256" s="1">
        <f t="shared" ca="1" si="74"/>
        <v>103.13394</v>
      </c>
      <c r="AI256" s="1">
        <f t="shared" ca="1" si="62"/>
        <v>79.333799999999997</v>
      </c>
    </row>
    <row r="257" spans="2:35" x14ac:dyDescent="0.15">
      <c r="B257" s="1" t="str">
        <f t="shared" si="59"/>
        <v>僵尸系57</v>
      </c>
      <c r="C257" s="1">
        <f t="shared" si="67"/>
        <v>57</v>
      </c>
      <c r="D257" s="14" t="s">
        <v>92</v>
      </c>
      <c r="E257" s="14">
        <f t="shared" si="68"/>
        <v>3</v>
      </c>
      <c r="F257" s="1" t="str">
        <f t="shared" si="57"/>
        <v>黑暗</v>
      </c>
      <c r="H257" s="1">
        <f t="shared" ca="1" si="58"/>
        <v>2127.4832572823188</v>
      </c>
      <c r="I257" s="1">
        <f t="shared" ca="1" si="73"/>
        <v>100</v>
      </c>
      <c r="J257" s="1">
        <f t="shared" ca="1" si="73"/>
        <v>912.28023556231108</v>
      </c>
      <c r="K257" s="1">
        <f t="shared" ca="1" si="73"/>
        <v>80.750474999999994</v>
      </c>
      <c r="L257" s="1">
        <f t="shared" ca="1" si="73"/>
        <v>1244.0185030395151</v>
      </c>
      <c r="M257" s="1">
        <f t="shared" ca="1" si="73"/>
        <v>80.750474999999994</v>
      </c>
      <c r="N257" s="1">
        <f t="shared" ca="1" si="73"/>
        <v>0.2</v>
      </c>
      <c r="O257" s="1">
        <f t="shared" ca="1" si="73"/>
        <v>0.2</v>
      </c>
      <c r="P257" s="1">
        <f t="shared" ca="1" si="73"/>
        <v>0.36</v>
      </c>
      <c r="Q257" s="1">
        <f t="shared" ca="1" si="73"/>
        <v>0.1</v>
      </c>
      <c r="R257" s="1">
        <f t="shared" ca="1" si="73"/>
        <v>2.2000000000000002</v>
      </c>
      <c r="S257" s="1">
        <f t="shared" ca="1" si="74"/>
        <v>0.1</v>
      </c>
      <c r="T257" s="1">
        <f t="shared" ca="1" si="74"/>
        <v>1.1700000000000002</v>
      </c>
      <c r="U257" s="1">
        <f t="shared" ca="1" si="74"/>
        <v>143.26000000000002</v>
      </c>
      <c r="V257" s="1">
        <f t="shared" ca="1" si="74"/>
        <v>0</v>
      </c>
      <c r="W257" s="1">
        <f t="shared" ca="1" si="74"/>
        <v>0</v>
      </c>
      <c r="X257" s="1">
        <f t="shared" ca="1" si="74"/>
        <v>0</v>
      </c>
      <c r="Y257" s="1">
        <f t="shared" ca="1" si="74"/>
        <v>0</v>
      </c>
      <c r="Z257" s="1">
        <f t="shared" ca="1" si="74"/>
        <v>0</v>
      </c>
      <c r="AA257" s="1">
        <f t="shared" ca="1" si="74"/>
        <v>330.57834346504598</v>
      </c>
      <c r="AB257" s="1">
        <f t="shared" ca="1" si="72"/>
        <v>0</v>
      </c>
      <c r="AC257" s="1">
        <f t="shared" ca="1" si="74"/>
        <v>80.750474999999994</v>
      </c>
      <c r="AD257" s="1">
        <f t="shared" ca="1" si="74"/>
        <v>80.750474999999994</v>
      </c>
      <c r="AE257" s="1">
        <f t="shared" ca="1" si="74"/>
        <v>80.750474999999994</v>
      </c>
      <c r="AF257" s="1">
        <f t="shared" ca="1" si="74"/>
        <v>80.750474999999994</v>
      </c>
      <c r="AG257" s="1">
        <f t="shared" ca="1" si="74"/>
        <v>80.750474999999994</v>
      </c>
      <c r="AH257" s="1">
        <f t="shared" ca="1" si="74"/>
        <v>104.9756175</v>
      </c>
      <c r="AI257" s="1">
        <f t="shared" ca="1" si="62"/>
        <v>80.750474999999994</v>
      </c>
    </row>
    <row r="258" spans="2:35" x14ac:dyDescent="0.15">
      <c r="B258" s="1" t="str">
        <f t="shared" si="59"/>
        <v>僵尸系58</v>
      </c>
      <c r="C258" s="1">
        <f t="shared" si="67"/>
        <v>58</v>
      </c>
      <c r="D258" s="14" t="s">
        <v>92</v>
      </c>
      <c r="E258" s="14">
        <f t="shared" si="68"/>
        <v>3</v>
      </c>
      <c r="F258" s="1" t="str">
        <f t="shared" si="57"/>
        <v>黑暗</v>
      </c>
      <c r="H258" s="1">
        <f t="shared" ca="1" si="58"/>
        <v>2175.3162993469236</v>
      </c>
      <c r="I258" s="1">
        <f t="shared" ca="1" si="73"/>
        <v>100</v>
      </c>
      <c r="J258" s="1">
        <f t="shared" ca="1" si="73"/>
        <v>936.22824884792726</v>
      </c>
      <c r="K258" s="1">
        <f t="shared" ca="1" si="73"/>
        <v>82.167150000000007</v>
      </c>
      <c r="L258" s="1">
        <f t="shared" ca="1" si="73"/>
        <v>1276.6748847926281</v>
      </c>
      <c r="M258" s="1">
        <f t="shared" ca="1" si="73"/>
        <v>82.167150000000007</v>
      </c>
      <c r="N258" s="1">
        <f t="shared" ca="1" si="73"/>
        <v>0.2</v>
      </c>
      <c r="O258" s="1">
        <f t="shared" ca="1" si="73"/>
        <v>0.2</v>
      </c>
      <c r="P258" s="1">
        <f t="shared" ca="1" si="73"/>
        <v>0.36</v>
      </c>
      <c r="Q258" s="1">
        <f t="shared" ca="1" si="73"/>
        <v>0.1</v>
      </c>
      <c r="R258" s="1">
        <f t="shared" ca="1" si="73"/>
        <v>2.2000000000000002</v>
      </c>
      <c r="S258" s="1">
        <f t="shared" ca="1" si="74"/>
        <v>0.1</v>
      </c>
      <c r="T258" s="1">
        <f t="shared" ca="1" si="74"/>
        <v>1.1700000000000002</v>
      </c>
      <c r="U258" s="1">
        <f t="shared" ca="1" si="74"/>
        <v>145.77333333333291</v>
      </c>
      <c r="V258" s="1">
        <f t="shared" ca="1" si="74"/>
        <v>0</v>
      </c>
      <c r="W258" s="1">
        <f t="shared" ca="1" si="74"/>
        <v>0</v>
      </c>
      <c r="X258" s="1">
        <f t="shared" ca="1" si="74"/>
        <v>0</v>
      </c>
      <c r="Y258" s="1">
        <f t="shared" ca="1" si="74"/>
        <v>0</v>
      </c>
      <c r="Z258" s="1">
        <f t="shared" ca="1" si="74"/>
        <v>0</v>
      </c>
      <c r="AA258" s="1">
        <f t="shared" ca="1" si="74"/>
        <v>347.63917050691299</v>
      </c>
      <c r="AB258" s="1">
        <f t="shared" ca="1" si="72"/>
        <v>0</v>
      </c>
      <c r="AC258" s="1">
        <f t="shared" ca="1" si="74"/>
        <v>82.167150000000007</v>
      </c>
      <c r="AD258" s="1">
        <f t="shared" ca="1" si="74"/>
        <v>82.167150000000007</v>
      </c>
      <c r="AE258" s="1">
        <f t="shared" ca="1" si="74"/>
        <v>82.167150000000007</v>
      </c>
      <c r="AF258" s="1">
        <f t="shared" ca="1" si="74"/>
        <v>82.167150000000007</v>
      </c>
      <c r="AG258" s="1">
        <f t="shared" ca="1" si="74"/>
        <v>82.167150000000007</v>
      </c>
      <c r="AH258" s="1">
        <f t="shared" ca="1" si="74"/>
        <v>106.81729500000002</v>
      </c>
      <c r="AI258" s="1">
        <f t="shared" ca="1" si="62"/>
        <v>82.167150000000007</v>
      </c>
    </row>
    <row r="259" spans="2:35" x14ac:dyDescent="0.15">
      <c r="B259" s="1" t="str">
        <f t="shared" si="59"/>
        <v>僵尸系59</v>
      </c>
      <c r="C259" s="1">
        <f t="shared" si="67"/>
        <v>59</v>
      </c>
      <c r="D259" s="14" t="s">
        <v>92</v>
      </c>
      <c r="E259" s="14">
        <f t="shared" si="68"/>
        <v>3</v>
      </c>
      <c r="F259" s="1" t="str">
        <f t="shared" ref="F259:F322" si="75">VLOOKUP(E259,monsterType,4,FALSE)</f>
        <v>黑暗</v>
      </c>
      <c r="H259" s="1">
        <f t="shared" ref="H259:H322" ca="1" si="76">mVlookup(C259,monsterBaseDate,H$2,FALSE)*(1+mVlookup(E259,monsterType,H$2,FALSE))*(1+mVlookup(C259,monsterHpRevise,D259,FALSE))</f>
        <v>2223.5117129423102</v>
      </c>
      <c r="I259" s="1">
        <f t="shared" ca="1" si="73"/>
        <v>100</v>
      </c>
      <c r="J259" s="1">
        <f t="shared" ca="1" si="73"/>
        <v>960.56031055900633</v>
      </c>
      <c r="K259" s="1">
        <f t="shared" ca="1" si="73"/>
        <v>83.583825000000004</v>
      </c>
      <c r="L259" s="1">
        <f t="shared" ca="1" si="73"/>
        <v>1309.8549689440995</v>
      </c>
      <c r="M259" s="1">
        <f t="shared" ca="1" si="73"/>
        <v>83.583825000000004</v>
      </c>
      <c r="N259" s="1">
        <f t="shared" ca="1" si="73"/>
        <v>0.2</v>
      </c>
      <c r="O259" s="1">
        <f t="shared" ca="1" si="73"/>
        <v>0.2</v>
      </c>
      <c r="P259" s="1">
        <f t="shared" ca="1" si="73"/>
        <v>0.36</v>
      </c>
      <c r="Q259" s="1">
        <f t="shared" ca="1" si="73"/>
        <v>0.1</v>
      </c>
      <c r="R259" s="1">
        <f t="shared" ca="1" si="73"/>
        <v>2.2000000000000002</v>
      </c>
      <c r="S259" s="1">
        <f t="shared" ca="1" si="74"/>
        <v>0.1</v>
      </c>
      <c r="T259" s="1">
        <f t="shared" ca="1" si="74"/>
        <v>1.1700000000000002</v>
      </c>
      <c r="U259" s="1">
        <f t="shared" ca="1" si="74"/>
        <v>148.28666666666712</v>
      </c>
      <c r="V259" s="1">
        <f t="shared" ca="1" si="74"/>
        <v>0</v>
      </c>
      <c r="W259" s="1">
        <f t="shared" ca="1" si="74"/>
        <v>0</v>
      </c>
      <c r="X259" s="1">
        <f t="shared" ca="1" si="74"/>
        <v>0</v>
      </c>
      <c r="Y259" s="1">
        <f t="shared" ca="1" si="74"/>
        <v>0</v>
      </c>
      <c r="Z259" s="1">
        <f t="shared" ca="1" si="74"/>
        <v>0</v>
      </c>
      <c r="AA259" s="1">
        <f t="shared" ca="1" si="74"/>
        <v>365.396894409938</v>
      </c>
      <c r="AB259" s="1">
        <f t="shared" ca="1" si="74"/>
        <v>0</v>
      </c>
      <c r="AC259" s="1">
        <f t="shared" ca="1" si="74"/>
        <v>83.583825000000004</v>
      </c>
      <c r="AD259" s="1">
        <f t="shared" ca="1" si="74"/>
        <v>83.583825000000004</v>
      </c>
      <c r="AE259" s="1">
        <f t="shared" ca="1" si="74"/>
        <v>83.583825000000004</v>
      </c>
      <c r="AF259" s="1">
        <f t="shared" ca="1" si="74"/>
        <v>83.583825000000004</v>
      </c>
      <c r="AG259" s="1">
        <f t="shared" ca="1" si="74"/>
        <v>83.583825000000004</v>
      </c>
      <c r="AH259" s="1">
        <f t="shared" ca="1" si="74"/>
        <v>108.6589725</v>
      </c>
      <c r="AI259" s="1">
        <f t="shared" ca="1" si="62"/>
        <v>83.583825000000004</v>
      </c>
    </row>
    <row r="260" spans="2:35" x14ac:dyDescent="0.15">
      <c r="B260" s="1" t="str">
        <f t="shared" ref="B260:B323" si="77">D260&amp;C260</f>
        <v>僵尸系60</v>
      </c>
      <c r="C260" s="1">
        <f t="shared" si="67"/>
        <v>60</v>
      </c>
      <c r="D260" s="14" t="s">
        <v>92</v>
      </c>
      <c r="E260" s="14">
        <f t="shared" si="68"/>
        <v>3</v>
      </c>
      <c r="F260" s="1" t="str">
        <f t="shared" si="75"/>
        <v>黑暗</v>
      </c>
      <c r="H260" s="1">
        <f t="shared" ca="1" si="76"/>
        <v>2272.0694980685003</v>
      </c>
      <c r="I260" s="1">
        <f t="shared" ca="1" si="73"/>
        <v>100</v>
      </c>
      <c r="J260" s="1">
        <f t="shared" ca="1" si="73"/>
        <v>985.28571428571468</v>
      </c>
      <c r="K260" s="1">
        <f t="shared" ca="1" si="73"/>
        <v>85.000500000000002</v>
      </c>
      <c r="L260" s="1">
        <f t="shared" ca="1" si="73"/>
        <v>1343.5714285714289</v>
      </c>
      <c r="M260" s="1">
        <f t="shared" ca="1" si="73"/>
        <v>85.000500000000002</v>
      </c>
      <c r="N260" s="1">
        <f t="shared" ca="1" si="73"/>
        <v>0.2</v>
      </c>
      <c r="O260" s="1">
        <f t="shared" ca="1" si="73"/>
        <v>0.2</v>
      </c>
      <c r="P260" s="1">
        <f t="shared" ca="1" si="73"/>
        <v>0.36</v>
      </c>
      <c r="Q260" s="1">
        <f t="shared" ca="1" si="73"/>
        <v>0.1</v>
      </c>
      <c r="R260" s="1">
        <f t="shared" ca="1" si="73"/>
        <v>2.2000000000000002</v>
      </c>
      <c r="S260" s="1">
        <f t="shared" ca="1" si="74"/>
        <v>0.1</v>
      </c>
      <c r="T260" s="1">
        <f t="shared" ca="1" si="74"/>
        <v>1.1700000000000002</v>
      </c>
      <c r="U260" s="1">
        <f t="shared" ca="1" si="74"/>
        <v>150.80000000000001</v>
      </c>
      <c r="V260" s="1">
        <f t="shared" ca="1" si="74"/>
        <v>0</v>
      </c>
      <c r="W260" s="1">
        <f t="shared" ca="1" si="74"/>
        <v>0</v>
      </c>
      <c r="X260" s="1">
        <f t="shared" ca="1" si="74"/>
        <v>0</v>
      </c>
      <c r="Y260" s="1">
        <f t="shared" ca="1" si="74"/>
        <v>0</v>
      </c>
      <c r="Z260" s="1">
        <f t="shared" ca="1" si="74"/>
        <v>0</v>
      </c>
      <c r="AA260" s="1">
        <f t="shared" ca="1" si="74"/>
        <v>383.87755102040802</v>
      </c>
      <c r="AB260" s="1">
        <f t="shared" ca="1" si="74"/>
        <v>0</v>
      </c>
      <c r="AC260" s="1">
        <f t="shared" ca="1" si="74"/>
        <v>85.000500000000002</v>
      </c>
      <c r="AD260" s="1">
        <f t="shared" ca="1" si="74"/>
        <v>85.000500000000002</v>
      </c>
      <c r="AE260" s="1">
        <f t="shared" ca="1" si="74"/>
        <v>85.000500000000002</v>
      </c>
      <c r="AF260" s="1">
        <f t="shared" ca="1" si="74"/>
        <v>85.000500000000002</v>
      </c>
      <c r="AG260" s="1">
        <f t="shared" ca="1" si="74"/>
        <v>85.000500000000002</v>
      </c>
      <c r="AH260" s="1">
        <f t="shared" ca="1" si="74"/>
        <v>110.50065000000001</v>
      </c>
      <c r="AI260" s="1">
        <f t="shared" ca="1" si="62"/>
        <v>85.000500000000002</v>
      </c>
    </row>
    <row r="261" spans="2:35" x14ac:dyDescent="0.15">
      <c r="B261" s="1" t="str">
        <f t="shared" si="77"/>
        <v>僵尸系61</v>
      </c>
      <c r="C261" s="1">
        <f t="shared" si="67"/>
        <v>61</v>
      </c>
      <c r="D261" s="14" t="s">
        <v>92</v>
      </c>
      <c r="E261" s="14">
        <f t="shared" si="68"/>
        <v>3</v>
      </c>
      <c r="F261" s="1" t="str">
        <f t="shared" si="75"/>
        <v>黑暗</v>
      </c>
      <c r="H261" s="1">
        <f t="shared" ca="1" si="76"/>
        <v>2320.9896547254725</v>
      </c>
      <c r="I261" s="1">
        <f t="shared" ca="1" si="73"/>
        <v>100</v>
      </c>
      <c r="J261" s="1">
        <f t="shared" ca="1" si="73"/>
        <v>1010.4141666666675</v>
      </c>
      <c r="K261" s="1">
        <f t="shared" ca="1" si="73"/>
        <v>86.417175</v>
      </c>
      <c r="L261" s="1">
        <f t="shared" ca="1" si="73"/>
        <v>1377.837500000001</v>
      </c>
      <c r="M261" s="1">
        <f t="shared" ca="1" si="73"/>
        <v>86.417175</v>
      </c>
      <c r="N261" s="1">
        <f t="shared" ca="1" si="73"/>
        <v>0.2</v>
      </c>
      <c r="O261" s="1">
        <f t="shared" ca="1" si="73"/>
        <v>0.2</v>
      </c>
      <c r="P261" s="1">
        <f t="shared" ca="1" si="73"/>
        <v>0.36</v>
      </c>
      <c r="Q261" s="1">
        <f t="shared" ca="1" si="73"/>
        <v>0.1</v>
      </c>
      <c r="R261" s="1">
        <f t="shared" ca="1" si="73"/>
        <v>2.2000000000000002</v>
      </c>
      <c r="S261" s="1">
        <f t="shared" ca="1" si="74"/>
        <v>0.1</v>
      </c>
      <c r="T261" s="1">
        <f t="shared" ca="1" si="74"/>
        <v>1.1700000000000002</v>
      </c>
      <c r="U261" s="1">
        <f t="shared" ca="1" si="74"/>
        <v>153.31333333333291</v>
      </c>
      <c r="V261" s="1">
        <f t="shared" ca="1" si="74"/>
        <v>0</v>
      </c>
      <c r="W261" s="1">
        <f t="shared" ca="1" si="74"/>
        <v>0</v>
      </c>
      <c r="X261" s="1">
        <f t="shared" ca="1" si="74"/>
        <v>0</v>
      </c>
      <c r="Y261" s="1">
        <f t="shared" ca="1" si="74"/>
        <v>0</v>
      </c>
      <c r="Z261" s="1">
        <f t="shared" ca="1" si="74"/>
        <v>0</v>
      </c>
      <c r="AA261" s="1">
        <f t="shared" ca="1" si="74"/>
        <v>403.10833333333397</v>
      </c>
      <c r="AB261" s="1">
        <f t="shared" ca="1" si="74"/>
        <v>0</v>
      </c>
      <c r="AC261" s="1">
        <f t="shared" ca="1" si="74"/>
        <v>86.417175</v>
      </c>
      <c r="AD261" s="1">
        <f t="shared" ca="1" si="74"/>
        <v>86.417175</v>
      </c>
      <c r="AE261" s="1">
        <f t="shared" ca="1" si="74"/>
        <v>86.417175</v>
      </c>
      <c r="AF261" s="1">
        <f t="shared" ca="1" si="74"/>
        <v>86.417175</v>
      </c>
      <c r="AG261" s="1">
        <f t="shared" ca="1" si="74"/>
        <v>86.417175</v>
      </c>
      <c r="AH261" s="1">
        <f t="shared" ca="1" si="74"/>
        <v>112.34232750000001</v>
      </c>
      <c r="AI261" s="1">
        <f t="shared" ca="1" si="62"/>
        <v>86.417175</v>
      </c>
    </row>
    <row r="262" spans="2:35" x14ac:dyDescent="0.15">
      <c r="B262" s="1" t="str">
        <f t="shared" si="77"/>
        <v>僵尸系62</v>
      </c>
      <c r="C262" s="1">
        <f t="shared" si="67"/>
        <v>62</v>
      </c>
      <c r="D262" s="14" t="s">
        <v>92</v>
      </c>
      <c r="E262" s="14">
        <f t="shared" si="68"/>
        <v>3</v>
      </c>
      <c r="F262" s="1" t="str">
        <f t="shared" si="75"/>
        <v>黑暗</v>
      </c>
      <c r="H262" s="1">
        <f t="shared" ca="1" si="76"/>
        <v>2370.2721829132479</v>
      </c>
      <c r="I262" s="1">
        <f t="shared" ca="1" si="73"/>
        <v>100</v>
      </c>
      <c r="J262" s="1">
        <f t="shared" ca="1" si="73"/>
        <v>1035.9558105939011</v>
      </c>
      <c r="K262" s="1">
        <f t="shared" ca="1" si="73"/>
        <v>87.833849999999998</v>
      </c>
      <c r="L262" s="1">
        <f t="shared" ca="1" si="73"/>
        <v>1412.6670144462287</v>
      </c>
      <c r="M262" s="1">
        <f t="shared" ca="1" si="73"/>
        <v>87.833849999999998</v>
      </c>
      <c r="N262" s="1">
        <f t="shared" ca="1" si="73"/>
        <v>0.2</v>
      </c>
      <c r="O262" s="1">
        <f t="shared" ca="1" si="73"/>
        <v>0.2</v>
      </c>
      <c r="P262" s="1">
        <f t="shared" ca="1" si="73"/>
        <v>0.36</v>
      </c>
      <c r="Q262" s="1">
        <f t="shared" ca="1" si="73"/>
        <v>0.1</v>
      </c>
      <c r="R262" s="1">
        <f t="shared" ca="1" si="73"/>
        <v>2.2000000000000002</v>
      </c>
      <c r="S262" s="1">
        <f t="shared" ca="1" si="74"/>
        <v>0.1</v>
      </c>
      <c r="T262" s="1">
        <f t="shared" ca="1" si="74"/>
        <v>1.1700000000000002</v>
      </c>
      <c r="U262" s="1">
        <f t="shared" ca="1" si="74"/>
        <v>155.82666666666711</v>
      </c>
      <c r="V262" s="1">
        <f t="shared" ca="1" si="74"/>
        <v>0</v>
      </c>
      <c r="W262" s="1">
        <f t="shared" ca="1" si="74"/>
        <v>0</v>
      </c>
      <c r="X262" s="1">
        <f t="shared" ca="1" si="74"/>
        <v>0</v>
      </c>
      <c r="Y262" s="1">
        <f t="shared" ca="1" si="74"/>
        <v>0</v>
      </c>
      <c r="Z262" s="1">
        <f t="shared" ca="1" si="74"/>
        <v>0</v>
      </c>
      <c r="AA262" s="1">
        <f t="shared" ca="1" si="74"/>
        <v>423.11765650080298</v>
      </c>
      <c r="AB262" s="1">
        <f t="shared" ca="1" si="74"/>
        <v>0</v>
      </c>
      <c r="AC262" s="1">
        <f t="shared" ca="1" si="74"/>
        <v>87.833849999999998</v>
      </c>
      <c r="AD262" s="1">
        <f t="shared" ca="1" si="74"/>
        <v>87.833849999999998</v>
      </c>
      <c r="AE262" s="1">
        <f t="shared" ca="1" si="74"/>
        <v>87.833849999999998</v>
      </c>
      <c r="AF262" s="1">
        <f t="shared" ca="1" si="74"/>
        <v>87.833849999999998</v>
      </c>
      <c r="AG262" s="1">
        <f t="shared" ca="1" si="74"/>
        <v>87.833849999999998</v>
      </c>
      <c r="AH262" s="1">
        <f t="shared" ca="1" si="74"/>
        <v>114.184005</v>
      </c>
      <c r="AI262" s="1">
        <f t="shared" ca="1" si="62"/>
        <v>87.833849999999998</v>
      </c>
    </row>
    <row r="263" spans="2:35" x14ac:dyDescent="0.15">
      <c r="B263" s="1" t="str">
        <f t="shared" si="77"/>
        <v>僵尸系63</v>
      </c>
      <c r="C263" s="1">
        <f t="shared" si="67"/>
        <v>63</v>
      </c>
      <c r="D263" s="14" t="s">
        <v>92</v>
      </c>
      <c r="E263" s="14">
        <f t="shared" si="68"/>
        <v>3</v>
      </c>
      <c r="F263" s="1" t="str">
        <f t="shared" si="75"/>
        <v>黑暗</v>
      </c>
      <c r="H263" s="1">
        <f t="shared" ca="1" si="76"/>
        <v>2419.9170826318059</v>
      </c>
      <c r="I263" s="1">
        <f t="shared" ref="I263:R272" ca="1" si="78">mVlookup($C263,monsterBaseDate,I$2,FALSE)*(1+mVlookup($E263,monsterType,I$2,FALSE))</f>
        <v>100</v>
      </c>
      <c r="J263" s="1">
        <f t="shared" ca="1" si="78"/>
        <v>1061.9212500000006</v>
      </c>
      <c r="K263" s="1">
        <f t="shared" ca="1" si="78"/>
        <v>89.250524999999996</v>
      </c>
      <c r="L263" s="1">
        <f t="shared" ca="1" si="78"/>
        <v>1448.0744318181826</v>
      </c>
      <c r="M263" s="1">
        <f t="shared" ca="1" si="78"/>
        <v>89.250524999999996</v>
      </c>
      <c r="N263" s="1">
        <f t="shared" ca="1" si="78"/>
        <v>0.2</v>
      </c>
      <c r="O263" s="1">
        <f t="shared" ca="1" si="78"/>
        <v>0.2</v>
      </c>
      <c r="P263" s="1">
        <f t="shared" ca="1" si="78"/>
        <v>0.36</v>
      </c>
      <c r="Q263" s="1">
        <f t="shared" ca="1" si="78"/>
        <v>0.1</v>
      </c>
      <c r="R263" s="1">
        <f t="shared" ca="1" si="78"/>
        <v>2.2000000000000002</v>
      </c>
      <c r="S263" s="1">
        <f t="shared" ref="S263:AH278" ca="1" si="79">mVlookup($C263,monsterBaseDate,S$2,FALSE)*(1+mVlookup($E263,monsterType,S$2,FALSE))</f>
        <v>0.1</v>
      </c>
      <c r="T263" s="1">
        <f t="shared" ca="1" si="79"/>
        <v>1.1700000000000002</v>
      </c>
      <c r="U263" s="1">
        <f t="shared" ca="1" si="79"/>
        <v>158.34</v>
      </c>
      <c r="V263" s="1">
        <f t="shared" ca="1" si="79"/>
        <v>0</v>
      </c>
      <c r="W263" s="1">
        <f t="shared" ca="1" si="79"/>
        <v>0</v>
      </c>
      <c r="X263" s="1">
        <f t="shared" ca="1" si="79"/>
        <v>0</v>
      </c>
      <c r="Y263" s="1">
        <f t="shared" ca="1" si="79"/>
        <v>0</v>
      </c>
      <c r="Z263" s="1">
        <f t="shared" ca="1" si="79"/>
        <v>0</v>
      </c>
      <c r="AA263" s="1">
        <f t="shared" ca="1" si="79"/>
        <v>443.93522727272801</v>
      </c>
      <c r="AB263" s="1">
        <f t="shared" ca="1" si="74"/>
        <v>0</v>
      </c>
      <c r="AC263" s="1">
        <f t="shared" ca="1" si="79"/>
        <v>89.250524999999996</v>
      </c>
      <c r="AD263" s="1">
        <f t="shared" ca="1" si="79"/>
        <v>89.250524999999996</v>
      </c>
      <c r="AE263" s="1">
        <f t="shared" ca="1" si="79"/>
        <v>89.250524999999996</v>
      </c>
      <c r="AF263" s="1">
        <f t="shared" ca="1" si="79"/>
        <v>89.250524999999996</v>
      </c>
      <c r="AG263" s="1">
        <f t="shared" ca="1" si="79"/>
        <v>89.250524999999996</v>
      </c>
      <c r="AH263" s="1">
        <f t="shared" ca="1" si="79"/>
        <v>116.0256825</v>
      </c>
      <c r="AI263" s="1">
        <f t="shared" ca="1" si="62"/>
        <v>89.250524999999996</v>
      </c>
    </row>
    <row r="264" spans="2:35" x14ac:dyDescent="0.15">
      <c r="B264" s="1" t="str">
        <f t="shared" si="77"/>
        <v>僵尸系64</v>
      </c>
      <c r="C264" s="1">
        <f t="shared" si="67"/>
        <v>64</v>
      </c>
      <c r="D264" s="14" t="s">
        <v>92</v>
      </c>
      <c r="E264" s="14">
        <f t="shared" si="68"/>
        <v>3</v>
      </c>
      <c r="F264" s="1" t="str">
        <f t="shared" si="75"/>
        <v>黑暗</v>
      </c>
      <c r="H264" s="1">
        <f t="shared" ca="1" si="76"/>
        <v>2469.9243538811561</v>
      </c>
      <c r="I264" s="1">
        <f t="shared" ca="1" si="78"/>
        <v>100</v>
      </c>
      <c r="J264" s="1">
        <f t="shared" ca="1" si="78"/>
        <v>1088.3215763546809</v>
      </c>
      <c r="K264" s="1">
        <f t="shared" ca="1" si="78"/>
        <v>90.667199999999994</v>
      </c>
      <c r="L264" s="1">
        <f t="shared" ca="1" si="78"/>
        <v>1484.074876847292</v>
      </c>
      <c r="M264" s="1">
        <f t="shared" ca="1" si="78"/>
        <v>90.667199999999994</v>
      </c>
      <c r="N264" s="1">
        <f t="shared" ca="1" si="78"/>
        <v>0.2</v>
      </c>
      <c r="O264" s="1">
        <f t="shared" ca="1" si="78"/>
        <v>0.2</v>
      </c>
      <c r="P264" s="1">
        <f t="shared" ca="1" si="78"/>
        <v>0.36</v>
      </c>
      <c r="Q264" s="1">
        <f t="shared" ca="1" si="78"/>
        <v>0.1</v>
      </c>
      <c r="R264" s="1">
        <f t="shared" ca="1" si="78"/>
        <v>2.2000000000000002</v>
      </c>
      <c r="S264" s="1">
        <f t="shared" ca="1" si="79"/>
        <v>0.1</v>
      </c>
      <c r="T264" s="1">
        <f t="shared" ca="1" si="79"/>
        <v>1.1700000000000002</v>
      </c>
      <c r="U264" s="1">
        <f t="shared" ca="1" si="79"/>
        <v>160.8533333333329</v>
      </c>
      <c r="V264" s="1">
        <f t="shared" ca="1" si="79"/>
        <v>0</v>
      </c>
      <c r="W264" s="1">
        <f t="shared" ca="1" si="79"/>
        <v>0</v>
      </c>
      <c r="X264" s="1">
        <f t="shared" ca="1" si="79"/>
        <v>0</v>
      </c>
      <c r="Y264" s="1">
        <f t="shared" ca="1" si="79"/>
        <v>0</v>
      </c>
      <c r="Z264" s="1">
        <f t="shared" ca="1" si="79"/>
        <v>0</v>
      </c>
      <c r="AA264" s="1">
        <f t="shared" ca="1" si="79"/>
        <v>465.59211822660097</v>
      </c>
      <c r="AB264" s="1">
        <f t="shared" ca="1" si="74"/>
        <v>0</v>
      </c>
      <c r="AC264" s="1">
        <f t="shared" ca="1" si="79"/>
        <v>90.667199999999994</v>
      </c>
      <c r="AD264" s="1">
        <f t="shared" ca="1" si="79"/>
        <v>90.667199999999994</v>
      </c>
      <c r="AE264" s="1">
        <f t="shared" ca="1" si="79"/>
        <v>90.667199999999994</v>
      </c>
      <c r="AF264" s="1">
        <f t="shared" ca="1" si="79"/>
        <v>90.667199999999994</v>
      </c>
      <c r="AG264" s="1">
        <f t="shared" ca="1" si="79"/>
        <v>90.667199999999994</v>
      </c>
      <c r="AH264" s="1">
        <f t="shared" ca="1" si="79"/>
        <v>117.86735999999999</v>
      </c>
      <c r="AI264" s="1">
        <f t="shared" ca="1" si="62"/>
        <v>90.667199999999994</v>
      </c>
    </row>
    <row r="265" spans="2:35" x14ac:dyDescent="0.15">
      <c r="B265" s="1" t="str">
        <f t="shared" si="77"/>
        <v>僵尸系65</v>
      </c>
      <c r="C265" s="1">
        <f t="shared" si="67"/>
        <v>65</v>
      </c>
      <c r="D265" s="14" t="s">
        <v>92</v>
      </c>
      <c r="E265" s="14">
        <f t="shared" si="68"/>
        <v>3</v>
      </c>
      <c r="F265" s="1" t="str">
        <f t="shared" si="75"/>
        <v>黑暗</v>
      </c>
      <c r="H265" s="1">
        <f t="shared" ca="1" si="76"/>
        <v>2520.2939966613108</v>
      </c>
      <c r="I265" s="1">
        <f t="shared" ca="1" si="78"/>
        <v>100</v>
      </c>
      <c r="J265" s="1">
        <f t="shared" ca="1" si="78"/>
        <v>1115.1683970099641</v>
      </c>
      <c r="K265" s="1">
        <f t="shared" ca="1" si="78"/>
        <v>92.083875000000006</v>
      </c>
      <c r="L265" s="1">
        <f t="shared" ca="1" si="78"/>
        <v>1520.6841777408599</v>
      </c>
      <c r="M265" s="1">
        <f t="shared" ca="1" si="78"/>
        <v>92.083875000000006</v>
      </c>
      <c r="N265" s="1">
        <f t="shared" ca="1" si="78"/>
        <v>0.2</v>
      </c>
      <c r="O265" s="1">
        <f t="shared" ca="1" si="78"/>
        <v>0.2</v>
      </c>
      <c r="P265" s="1">
        <f t="shared" ca="1" si="78"/>
        <v>0.36</v>
      </c>
      <c r="Q265" s="1">
        <f t="shared" ca="1" si="78"/>
        <v>0.1</v>
      </c>
      <c r="R265" s="1">
        <f t="shared" ca="1" si="78"/>
        <v>2.2000000000000002</v>
      </c>
      <c r="S265" s="1">
        <f t="shared" ca="1" si="79"/>
        <v>0.1</v>
      </c>
      <c r="T265" s="1">
        <f t="shared" ca="1" si="79"/>
        <v>1.1700000000000002</v>
      </c>
      <c r="U265" s="1">
        <f t="shared" ca="1" si="79"/>
        <v>163.3666666666671</v>
      </c>
      <c r="V265" s="1">
        <f t="shared" ca="1" si="79"/>
        <v>0</v>
      </c>
      <c r="W265" s="1">
        <f t="shared" ca="1" si="79"/>
        <v>0</v>
      </c>
      <c r="X265" s="1">
        <f t="shared" ca="1" si="79"/>
        <v>0</v>
      </c>
      <c r="Y265" s="1">
        <f t="shared" ca="1" si="79"/>
        <v>0</v>
      </c>
      <c r="Z265" s="1">
        <f t="shared" ca="1" si="79"/>
        <v>0</v>
      </c>
      <c r="AA265" s="1">
        <f t="shared" ca="1" si="79"/>
        <v>488.12084717608002</v>
      </c>
      <c r="AB265" s="1">
        <f t="shared" ca="1" si="74"/>
        <v>0</v>
      </c>
      <c r="AC265" s="1">
        <f t="shared" ca="1" si="79"/>
        <v>92.083875000000006</v>
      </c>
      <c r="AD265" s="1">
        <f t="shared" ca="1" si="79"/>
        <v>92.083875000000006</v>
      </c>
      <c r="AE265" s="1">
        <f t="shared" ca="1" si="79"/>
        <v>92.083875000000006</v>
      </c>
      <c r="AF265" s="1">
        <f t="shared" ca="1" si="79"/>
        <v>92.083875000000006</v>
      </c>
      <c r="AG265" s="1">
        <f t="shared" ca="1" si="79"/>
        <v>92.083875000000006</v>
      </c>
      <c r="AH265" s="1">
        <f t="shared" ca="1" si="79"/>
        <v>119.70903750000001</v>
      </c>
      <c r="AI265" s="1">
        <f t="shared" ca="1" si="62"/>
        <v>92.083875000000006</v>
      </c>
    </row>
    <row r="266" spans="2:35" x14ac:dyDescent="0.15">
      <c r="B266" s="1" t="str">
        <f t="shared" si="77"/>
        <v>僵尸系66</v>
      </c>
      <c r="C266" s="1">
        <f t="shared" si="67"/>
        <v>66</v>
      </c>
      <c r="D266" s="14" t="s">
        <v>92</v>
      </c>
      <c r="E266" s="14">
        <f t="shared" si="68"/>
        <v>3</v>
      </c>
      <c r="F266" s="1" t="str">
        <f t="shared" si="75"/>
        <v>黑暗</v>
      </c>
      <c r="H266" s="1">
        <f t="shared" ca="1" si="76"/>
        <v>2571.0260109722467</v>
      </c>
      <c r="I266" s="1">
        <f t="shared" ca="1" si="78"/>
        <v>100</v>
      </c>
      <c r="J266" s="1">
        <f t="shared" ca="1" si="78"/>
        <v>1142.4738655462222</v>
      </c>
      <c r="K266" s="1">
        <f t="shared" ca="1" si="78"/>
        <v>93.500550000000004</v>
      </c>
      <c r="L266" s="1">
        <f t="shared" ca="1" si="78"/>
        <v>1557.9189075630302</v>
      </c>
      <c r="M266" s="1">
        <f t="shared" ca="1" si="78"/>
        <v>93.500550000000004</v>
      </c>
      <c r="N266" s="1">
        <f t="shared" ca="1" si="78"/>
        <v>0.2</v>
      </c>
      <c r="O266" s="1">
        <f t="shared" ca="1" si="78"/>
        <v>0.2</v>
      </c>
      <c r="P266" s="1">
        <f t="shared" ca="1" si="78"/>
        <v>0.36</v>
      </c>
      <c r="Q266" s="1">
        <f t="shared" ca="1" si="78"/>
        <v>0.1</v>
      </c>
      <c r="R266" s="1">
        <f t="shared" ca="1" si="78"/>
        <v>2.2000000000000002</v>
      </c>
      <c r="S266" s="1">
        <f t="shared" ca="1" si="79"/>
        <v>0.1</v>
      </c>
      <c r="T266" s="1">
        <f t="shared" ca="1" si="79"/>
        <v>1.1700000000000002</v>
      </c>
      <c r="U266" s="1">
        <f t="shared" ca="1" si="79"/>
        <v>165.88</v>
      </c>
      <c r="V266" s="1">
        <f t="shared" ca="1" si="79"/>
        <v>0</v>
      </c>
      <c r="W266" s="1">
        <f t="shared" ca="1" si="79"/>
        <v>0</v>
      </c>
      <c r="X266" s="1">
        <f t="shared" ca="1" si="79"/>
        <v>0</v>
      </c>
      <c r="Y266" s="1">
        <f t="shared" ca="1" si="79"/>
        <v>0</v>
      </c>
      <c r="Z266" s="1">
        <f t="shared" ca="1" si="79"/>
        <v>0</v>
      </c>
      <c r="AA266" s="1">
        <f t="shared" ca="1" si="79"/>
        <v>511.55546218487399</v>
      </c>
      <c r="AB266" s="1">
        <f t="shared" ca="1" si="74"/>
        <v>0</v>
      </c>
      <c r="AC266" s="1">
        <f t="shared" ca="1" si="79"/>
        <v>93.500550000000004</v>
      </c>
      <c r="AD266" s="1">
        <f t="shared" ca="1" si="79"/>
        <v>93.500550000000004</v>
      </c>
      <c r="AE266" s="1">
        <f t="shared" ca="1" si="79"/>
        <v>93.500550000000004</v>
      </c>
      <c r="AF266" s="1">
        <f t="shared" ca="1" si="79"/>
        <v>93.500550000000004</v>
      </c>
      <c r="AG266" s="1">
        <f t="shared" ca="1" si="79"/>
        <v>93.500550000000004</v>
      </c>
      <c r="AH266" s="1">
        <f t="shared" ca="1" si="79"/>
        <v>121.55071500000001</v>
      </c>
      <c r="AI266" s="1">
        <f t="shared" ca="1" si="62"/>
        <v>93.500550000000004</v>
      </c>
    </row>
    <row r="267" spans="2:35" x14ac:dyDescent="0.15">
      <c r="B267" s="1" t="str">
        <f t="shared" si="77"/>
        <v>僵尸系67</v>
      </c>
      <c r="C267" s="1">
        <f t="shared" si="67"/>
        <v>67</v>
      </c>
      <c r="D267" s="14" t="s">
        <v>92</v>
      </c>
      <c r="E267" s="14">
        <f t="shared" si="68"/>
        <v>3</v>
      </c>
      <c r="F267" s="1" t="str">
        <f t="shared" si="75"/>
        <v>黑暗</v>
      </c>
      <c r="H267" s="1">
        <f t="shared" ca="1" si="76"/>
        <v>2760.2615974802766</v>
      </c>
      <c r="I267" s="1">
        <f t="shared" ca="1" si="78"/>
        <v>100</v>
      </c>
      <c r="J267" s="1">
        <f t="shared" ca="1" si="78"/>
        <v>1170.2507142857191</v>
      </c>
      <c r="K267" s="1">
        <f t="shared" ca="1" si="78"/>
        <v>94.917225000000002</v>
      </c>
      <c r="L267" s="1">
        <f t="shared" ca="1" si="78"/>
        <v>1595.7964285714349</v>
      </c>
      <c r="M267" s="1">
        <f t="shared" ca="1" si="78"/>
        <v>94.917225000000002</v>
      </c>
      <c r="N267" s="1">
        <f t="shared" ca="1" si="78"/>
        <v>0.2</v>
      </c>
      <c r="O267" s="1">
        <f t="shared" ca="1" si="78"/>
        <v>0.2</v>
      </c>
      <c r="P267" s="1">
        <f t="shared" ca="1" si="78"/>
        <v>0.36</v>
      </c>
      <c r="Q267" s="1">
        <f t="shared" ca="1" si="78"/>
        <v>0.1</v>
      </c>
      <c r="R267" s="1">
        <f t="shared" ca="1" si="78"/>
        <v>2.2000000000000002</v>
      </c>
      <c r="S267" s="1">
        <f t="shared" ca="1" si="79"/>
        <v>0.1</v>
      </c>
      <c r="T267" s="1">
        <f t="shared" ca="1" si="79"/>
        <v>1.1700000000000002</v>
      </c>
      <c r="U267" s="1">
        <f t="shared" ca="1" si="79"/>
        <v>168.39333333333289</v>
      </c>
      <c r="V267" s="1">
        <f t="shared" ca="1" si="79"/>
        <v>0</v>
      </c>
      <c r="W267" s="1">
        <f t="shared" ca="1" si="79"/>
        <v>0</v>
      </c>
      <c r="X267" s="1">
        <f t="shared" ca="1" si="79"/>
        <v>0</v>
      </c>
      <c r="Y267" s="1">
        <f t="shared" ca="1" si="79"/>
        <v>0</v>
      </c>
      <c r="Z267" s="1">
        <f t="shared" ca="1" si="79"/>
        <v>0</v>
      </c>
      <c r="AA267" s="1">
        <f t="shared" ca="1" si="79"/>
        <v>535.93163265306202</v>
      </c>
      <c r="AB267" s="1">
        <f t="shared" ca="1" si="74"/>
        <v>0</v>
      </c>
      <c r="AC267" s="1">
        <f t="shared" ca="1" si="79"/>
        <v>94.917225000000002</v>
      </c>
      <c r="AD267" s="1">
        <f t="shared" ca="1" si="79"/>
        <v>94.917225000000002</v>
      </c>
      <c r="AE267" s="1">
        <f t="shared" ca="1" si="79"/>
        <v>94.917225000000002</v>
      </c>
      <c r="AF267" s="1">
        <f t="shared" ca="1" si="79"/>
        <v>94.917225000000002</v>
      </c>
      <c r="AG267" s="1">
        <f t="shared" ca="1" si="79"/>
        <v>94.917225000000002</v>
      </c>
      <c r="AH267" s="1">
        <f t="shared" ca="1" si="79"/>
        <v>123.3923925</v>
      </c>
      <c r="AI267" s="1">
        <f t="shared" ca="1" si="62"/>
        <v>94.917225000000002</v>
      </c>
    </row>
    <row r="268" spans="2:35" x14ac:dyDescent="0.15">
      <c r="B268" s="1" t="str">
        <f t="shared" si="77"/>
        <v>僵尸系68</v>
      </c>
      <c r="C268" s="1">
        <f t="shared" si="67"/>
        <v>68</v>
      </c>
      <c r="D268" s="14" t="s">
        <v>92</v>
      </c>
      <c r="E268" s="14">
        <f t="shared" si="68"/>
        <v>3</v>
      </c>
      <c r="F268" s="1" t="str">
        <f t="shared" si="75"/>
        <v>黑暗</v>
      </c>
      <c r="H268" s="1">
        <f t="shared" ca="1" si="76"/>
        <v>2814.4292518255238</v>
      </c>
      <c r="I268" s="1">
        <f t="shared" ca="1" si="78"/>
        <v>100</v>
      </c>
      <c r="J268" s="1">
        <f t="shared" ca="1" si="78"/>
        <v>1198.512289156622</v>
      </c>
      <c r="K268" s="1">
        <f t="shared" ca="1" si="78"/>
        <v>96.3339</v>
      </c>
      <c r="L268" s="1">
        <f t="shared" ca="1" si="78"/>
        <v>1634.33493975903</v>
      </c>
      <c r="M268" s="1">
        <f t="shared" ca="1" si="78"/>
        <v>96.3339</v>
      </c>
      <c r="N268" s="1">
        <f t="shared" ca="1" si="78"/>
        <v>0.2</v>
      </c>
      <c r="O268" s="1">
        <f t="shared" ca="1" si="78"/>
        <v>0.2</v>
      </c>
      <c r="P268" s="1">
        <f t="shared" ca="1" si="78"/>
        <v>0.36</v>
      </c>
      <c r="Q268" s="1">
        <f t="shared" ca="1" si="78"/>
        <v>0.1</v>
      </c>
      <c r="R268" s="1">
        <f t="shared" ca="1" si="78"/>
        <v>2.2000000000000002</v>
      </c>
      <c r="S268" s="1">
        <f t="shared" ca="1" si="79"/>
        <v>0.1</v>
      </c>
      <c r="T268" s="1">
        <f t="shared" ca="1" si="79"/>
        <v>1.1700000000000002</v>
      </c>
      <c r="U268" s="1">
        <f t="shared" ca="1" si="79"/>
        <v>170.90666666666712</v>
      </c>
      <c r="V268" s="1">
        <f t="shared" ca="1" si="79"/>
        <v>0</v>
      </c>
      <c r="W268" s="1">
        <f t="shared" ca="1" si="79"/>
        <v>0</v>
      </c>
      <c r="X268" s="1">
        <f t="shared" ca="1" si="79"/>
        <v>0</v>
      </c>
      <c r="Y268" s="1">
        <f t="shared" ca="1" si="79"/>
        <v>0</v>
      </c>
      <c r="Z268" s="1">
        <f t="shared" ca="1" si="79"/>
        <v>0</v>
      </c>
      <c r="AA268" s="1">
        <f t="shared" ca="1" si="79"/>
        <v>561.28674698795203</v>
      </c>
      <c r="AB268" s="1">
        <f t="shared" ca="1" si="74"/>
        <v>0</v>
      </c>
      <c r="AC268" s="1">
        <f t="shared" ca="1" si="79"/>
        <v>96.3339</v>
      </c>
      <c r="AD268" s="1">
        <f t="shared" ca="1" si="79"/>
        <v>96.3339</v>
      </c>
      <c r="AE268" s="1">
        <f t="shared" ca="1" si="79"/>
        <v>96.3339</v>
      </c>
      <c r="AF268" s="1">
        <f t="shared" ca="1" si="79"/>
        <v>96.3339</v>
      </c>
      <c r="AG268" s="1">
        <f t="shared" ca="1" si="79"/>
        <v>96.3339</v>
      </c>
      <c r="AH268" s="1">
        <f t="shared" ca="1" si="79"/>
        <v>125.23407</v>
      </c>
      <c r="AI268" s="1">
        <f t="shared" ca="1" si="62"/>
        <v>96.3339</v>
      </c>
    </row>
    <row r="269" spans="2:35" x14ac:dyDescent="0.15">
      <c r="B269" s="1" t="str">
        <f t="shared" si="77"/>
        <v>僵尸系69</v>
      </c>
      <c r="C269" s="1">
        <f t="shared" si="67"/>
        <v>69</v>
      </c>
      <c r="D269" s="14" t="s">
        <v>92</v>
      </c>
      <c r="E269" s="14">
        <f t="shared" si="68"/>
        <v>3</v>
      </c>
      <c r="F269" s="1" t="str">
        <f t="shared" si="75"/>
        <v>黑暗</v>
      </c>
      <c r="H269" s="1">
        <f t="shared" ca="1" si="76"/>
        <v>2868.9783685253119</v>
      </c>
      <c r="I269" s="1">
        <f t="shared" ca="1" si="78"/>
        <v>100</v>
      </c>
      <c r="J269" s="1">
        <f t="shared" ca="1" si="78"/>
        <v>1227.2725871080181</v>
      </c>
      <c r="K269" s="1">
        <f t="shared" ca="1" si="78"/>
        <v>97.750574999999998</v>
      </c>
      <c r="L269" s="1">
        <f t="shared" ca="1" si="78"/>
        <v>1673.5535278745699</v>
      </c>
      <c r="M269" s="1">
        <f t="shared" ca="1" si="78"/>
        <v>97.750574999999998</v>
      </c>
      <c r="N269" s="1">
        <f t="shared" ca="1" si="78"/>
        <v>0.2</v>
      </c>
      <c r="O269" s="1">
        <f t="shared" ca="1" si="78"/>
        <v>0.2</v>
      </c>
      <c r="P269" s="1">
        <f t="shared" ca="1" si="78"/>
        <v>0.36</v>
      </c>
      <c r="Q269" s="1">
        <f t="shared" ca="1" si="78"/>
        <v>0.1</v>
      </c>
      <c r="R269" s="1">
        <f t="shared" ca="1" si="78"/>
        <v>2.2000000000000002</v>
      </c>
      <c r="S269" s="1">
        <f t="shared" ca="1" si="79"/>
        <v>0.1</v>
      </c>
      <c r="T269" s="1">
        <f t="shared" ca="1" si="79"/>
        <v>1.1700000000000002</v>
      </c>
      <c r="U269" s="1">
        <f t="shared" ca="1" si="79"/>
        <v>173.42000000000002</v>
      </c>
      <c r="V269" s="1">
        <f t="shared" ca="1" si="79"/>
        <v>0</v>
      </c>
      <c r="W269" s="1">
        <f t="shared" ca="1" si="79"/>
        <v>0</v>
      </c>
      <c r="X269" s="1">
        <f t="shared" ca="1" si="79"/>
        <v>0</v>
      </c>
      <c r="Y269" s="1">
        <f t="shared" ca="1" si="79"/>
        <v>0</v>
      </c>
      <c r="Z269" s="1">
        <f t="shared" ca="1" si="79"/>
        <v>0</v>
      </c>
      <c r="AA269" s="1">
        <f t="shared" ca="1" si="79"/>
        <v>587.66001742160302</v>
      </c>
      <c r="AB269" s="1">
        <f t="shared" ca="1" si="79"/>
        <v>0</v>
      </c>
      <c r="AC269" s="1">
        <f t="shared" ca="1" si="79"/>
        <v>97.750574999999998</v>
      </c>
      <c r="AD269" s="1">
        <f t="shared" ca="1" si="79"/>
        <v>97.750574999999998</v>
      </c>
      <c r="AE269" s="1">
        <f t="shared" ca="1" si="79"/>
        <v>97.750574999999998</v>
      </c>
      <c r="AF269" s="1">
        <f t="shared" ca="1" si="79"/>
        <v>97.750574999999998</v>
      </c>
      <c r="AG269" s="1">
        <f t="shared" ca="1" si="79"/>
        <v>97.750574999999998</v>
      </c>
      <c r="AH269" s="1">
        <f t="shared" ca="1" si="79"/>
        <v>127.07574750000001</v>
      </c>
      <c r="AI269" s="1">
        <f t="shared" ca="1" si="62"/>
        <v>97.750574999999998</v>
      </c>
    </row>
    <row r="270" spans="2:35" x14ac:dyDescent="0.15">
      <c r="B270" s="1" t="str">
        <f t="shared" si="77"/>
        <v>僵尸系70</v>
      </c>
      <c r="C270" s="1">
        <f t="shared" si="67"/>
        <v>70</v>
      </c>
      <c r="D270" s="14" t="s">
        <v>92</v>
      </c>
      <c r="E270" s="14">
        <f t="shared" si="68"/>
        <v>3</v>
      </c>
      <c r="F270" s="1" t="str">
        <f t="shared" si="75"/>
        <v>黑暗</v>
      </c>
      <c r="H270" s="1">
        <f t="shared" ca="1" si="76"/>
        <v>2923.90894757964</v>
      </c>
      <c r="I270" s="1">
        <f t="shared" ca="1" si="78"/>
        <v>100</v>
      </c>
      <c r="J270" s="1">
        <f t="shared" ca="1" si="78"/>
        <v>1256.5462962963022</v>
      </c>
      <c r="K270" s="1">
        <f t="shared" ca="1" si="78"/>
        <v>99.167249999999996</v>
      </c>
      <c r="L270" s="1">
        <f t="shared" ca="1" si="78"/>
        <v>1713.4722222222299</v>
      </c>
      <c r="M270" s="1">
        <f t="shared" ca="1" si="78"/>
        <v>99.167249999999996</v>
      </c>
      <c r="N270" s="1">
        <f t="shared" ca="1" si="78"/>
        <v>0.2</v>
      </c>
      <c r="O270" s="1">
        <f t="shared" ca="1" si="78"/>
        <v>0.2</v>
      </c>
      <c r="P270" s="1">
        <f t="shared" ca="1" si="78"/>
        <v>0.36</v>
      </c>
      <c r="Q270" s="1">
        <f t="shared" ca="1" si="78"/>
        <v>0.1</v>
      </c>
      <c r="R270" s="1">
        <f t="shared" ca="1" si="78"/>
        <v>2.2000000000000002</v>
      </c>
      <c r="S270" s="1">
        <f t="shared" ca="1" si="79"/>
        <v>0.1</v>
      </c>
      <c r="T270" s="1">
        <f t="shared" ca="1" si="79"/>
        <v>1.1700000000000002</v>
      </c>
      <c r="U270" s="1">
        <f t="shared" ca="1" si="79"/>
        <v>175.93333333333291</v>
      </c>
      <c r="V270" s="1">
        <f t="shared" ca="1" si="79"/>
        <v>0</v>
      </c>
      <c r="W270" s="1">
        <f t="shared" ca="1" si="79"/>
        <v>0</v>
      </c>
      <c r="X270" s="1">
        <f t="shared" ca="1" si="79"/>
        <v>0</v>
      </c>
      <c r="Y270" s="1">
        <f t="shared" ca="1" si="79"/>
        <v>0</v>
      </c>
      <c r="Z270" s="1">
        <f t="shared" ca="1" si="79"/>
        <v>0</v>
      </c>
      <c r="AA270" s="1">
        <f t="shared" ca="1" si="79"/>
        <v>615.09259259259295</v>
      </c>
      <c r="AB270" s="1">
        <f t="shared" ca="1" si="79"/>
        <v>0</v>
      </c>
      <c r="AC270" s="1">
        <f t="shared" ca="1" si="79"/>
        <v>99.167249999999996</v>
      </c>
      <c r="AD270" s="1">
        <f t="shared" ca="1" si="79"/>
        <v>99.167249999999996</v>
      </c>
      <c r="AE270" s="1">
        <f t="shared" ca="1" si="79"/>
        <v>99.167249999999996</v>
      </c>
      <c r="AF270" s="1">
        <f t="shared" ca="1" si="79"/>
        <v>99.167249999999996</v>
      </c>
      <c r="AG270" s="1">
        <f t="shared" ca="1" si="79"/>
        <v>99.167249999999996</v>
      </c>
      <c r="AH270" s="1">
        <f t="shared" ca="1" si="79"/>
        <v>128.91742500000001</v>
      </c>
      <c r="AI270" s="1">
        <f t="shared" ca="1" si="62"/>
        <v>99.167249999999996</v>
      </c>
    </row>
    <row r="271" spans="2:35" x14ac:dyDescent="0.15">
      <c r="B271" s="1" t="str">
        <f t="shared" si="77"/>
        <v>僵尸系71</v>
      </c>
      <c r="C271" s="1">
        <f t="shared" si="67"/>
        <v>71</v>
      </c>
      <c r="D271" s="14" t="s">
        <v>92</v>
      </c>
      <c r="E271" s="14">
        <f t="shared" si="68"/>
        <v>3</v>
      </c>
      <c r="F271" s="1" t="str">
        <f t="shared" si="75"/>
        <v>黑暗</v>
      </c>
      <c r="H271" s="1">
        <f t="shared" ca="1" si="76"/>
        <v>2979.2209889885194</v>
      </c>
      <c r="I271" s="1">
        <f t="shared" ca="1" si="78"/>
        <v>100</v>
      </c>
      <c r="J271" s="1">
        <f t="shared" ca="1" si="78"/>
        <v>1286.3488392857191</v>
      </c>
      <c r="K271" s="1">
        <f t="shared" ca="1" si="78"/>
        <v>100.58392499999999</v>
      </c>
      <c r="L271" s="1">
        <f t="shared" ca="1" si="78"/>
        <v>1754.1120535714349</v>
      </c>
      <c r="M271" s="1">
        <f t="shared" ca="1" si="78"/>
        <v>100.58392499999999</v>
      </c>
      <c r="N271" s="1">
        <f t="shared" ca="1" si="78"/>
        <v>0.2</v>
      </c>
      <c r="O271" s="1">
        <f t="shared" ca="1" si="78"/>
        <v>0.2</v>
      </c>
      <c r="P271" s="1">
        <f t="shared" ca="1" si="78"/>
        <v>0.36</v>
      </c>
      <c r="Q271" s="1">
        <f t="shared" ca="1" si="78"/>
        <v>0.1</v>
      </c>
      <c r="R271" s="1">
        <f t="shared" ca="1" si="78"/>
        <v>2.2000000000000002</v>
      </c>
      <c r="S271" s="1">
        <f t="shared" ca="1" si="79"/>
        <v>0.1</v>
      </c>
      <c r="T271" s="1">
        <f t="shared" ca="1" si="79"/>
        <v>1.1700000000000002</v>
      </c>
      <c r="U271" s="1">
        <f t="shared" ca="1" si="79"/>
        <v>178.44666666666708</v>
      </c>
      <c r="V271" s="1">
        <f t="shared" ca="1" si="79"/>
        <v>0</v>
      </c>
      <c r="W271" s="1">
        <f t="shared" ca="1" si="79"/>
        <v>0</v>
      </c>
      <c r="X271" s="1">
        <f t="shared" ca="1" si="79"/>
        <v>0</v>
      </c>
      <c r="Y271" s="1">
        <f t="shared" ca="1" si="79"/>
        <v>0</v>
      </c>
      <c r="Z271" s="1">
        <f t="shared" ca="1" si="79"/>
        <v>0</v>
      </c>
      <c r="AA271" s="1">
        <f t="shared" ca="1" si="79"/>
        <v>643.62767857142899</v>
      </c>
      <c r="AB271" s="1">
        <f t="shared" ca="1" si="79"/>
        <v>0</v>
      </c>
      <c r="AC271" s="1">
        <f t="shared" ca="1" si="79"/>
        <v>100.58392499999999</v>
      </c>
      <c r="AD271" s="1">
        <f t="shared" ca="1" si="79"/>
        <v>100.58392499999999</v>
      </c>
      <c r="AE271" s="1">
        <f t="shared" ca="1" si="79"/>
        <v>100.58392499999999</v>
      </c>
      <c r="AF271" s="1">
        <f t="shared" ca="1" si="79"/>
        <v>100.58392499999999</v>
      </c>
      <c r="AG271" s="1">
        <f t="shared" ca="1" si="79"/>
        <v>100.58392499999999</v>
      </c>
      <c r="AH271" s="1">
        <f t="shared" ca="1" si="79"/>
        <v>130.75910249999998</v>
      </c>
      <c r="AI271" s="1">
        <f t="shared" ca="1" si="62"/>
        <v>100.58392499999999</v>
      </c>
    </row>
    <row r="272" spans="2:35" x14ac:dyDescent="0.15">
      <c r="B272" s="1" t="str">
        <f t="shared" si="77"/>
        <v>僵尸系72</v>
      </c>
      <c r="C272" s="1">
        <f t="shared" si="67"/>
        <v>72</v>
      </c>
      <c r="D272" s="14" t="s">
        <v>92</v>
      </c>
      <c r="E272" s="14">
        <f t="shared" si="68"/>
        <v>3</v>
      </c>
      <c r="F272" s="1" t="str">
        <f t="shared" si="75"/>
        <v>黑暗</v>
      </c>
      <c r="H272" s="1">
        <f t="shared" ca="1" si="76"/>
        <v>3034.9144927519392</v>
      </c>
      <c r="I272" s="1">
        <f t="shared" ca="1" si="78"/>
        <v>100</v>
      </c>
      <c r="J272" s="1">
        <f t="shared" ca="1" si="78"/>
        <v>1316.6964195298431</v>
      </c>
      <c r="K272" s="1">
        <f t="shared" ca="1" si="78"/>
        <v>102.00060000000001</v>
      </c>
      <c r="L272" s="1">
        <f t="shared" ca="1" si="78"/>
        <v>1795.495117540695</v>
      </c>
      <c r="M272" s="1">
        <f t="shared" ca="1" si="78"/>
        <v>102.00060000000001</v>
      </c>
      <c r="N272" s="1">
        <f t="shared" ca="1" si="78"/>
        <v>0.2</v>
      </c>
      <c r="O272" s="1">
        <f t="shared" ca="1" si="78"/>
        <v>0.2</v>
      </c>
      <c r="P272" s="1">
        <f t="shared" ca="1" si="78"/>
        <v>0.36</v>
      </c>
      <c r="Q272" s="1">
        <f t="shared" ca="1" si="78"/>
        <v>0.1</v>
      </c>
      <c r="R272" s="1">
        <f t="shared" ca="1" si="78"/>
        <v>2.2000000000000002</v>
      </c>
      <c r="S272" s="1">
        <f t="shared" ca="1" si="79"/>
        <v>0.1</v>
      </c>
      <c r="T272" s="1">
        <f t="shared" ca="1" si="79"/>
        <v>1.1700000000000002</v>
      </c>
      <c r="U272" s="1">
        <f t="shared" ca="1" si="79"/>
        <v>180.95999999999998</v>
      </c>
      <c r="V272" s="1">
        <f t="shared" ca="1" si="79"/>
        <v>0</v>
      </c>
      <c r="W272" s="1">
        <f t="shared" ca="1" si="79"/>
        <v>0</v>
      </c>
      <c r="X272" s="1">
        <f t="shared" ca="1" si="79"/>
        <v>0</v>
      </c>
      <c r="Y272" s="1">
        <f t="shared" ca="1" si="79"/>
        <v>0</v>
      </c>
      <c r="Z272" s="1">
        <f t="shared" ca="1" si="79"/>
        <v>0</v>
      </c>
      <c r="AA272" s="1">
        <f t="shared" ca="1" si="79"/>
        <v>673.31066907775801</v>
      </c>
      <c r="AB272" s="1">
        <f t="shared" ca="1" si="79"/>
        <v>0</v>
      </c>
      <c r="AC272" s="1">
        <f t="shared" ca="1" si="79"/>
        <v>102.00060000000001</v>
      </c>
      <c r="AD272" s="1">
        <f t="shared" ca="1" si="79"/>
        <v>102.00060000000001</v>
      </c>
      <c r="AE272" s="1">
        <f t="shared" ca="1" si="79"/>
        <v>102.00060000000001</v>
      </c>
      <c r="AF272" s="1">
        <f t="shared" ca="1" si="79"/>
        <v>102.00060000000001</v>
      </c>
      <c r="AG272" s="1">
        <f t="shared" ca="1" si="79"/>
        <v>102.00060000000001</v>
      </c>
      <c r="AH272" s="1">
        <f t="shared" ca="1" si="79"/>
        <v>132.60078000000001</v>
      </c>
      <c r="AI272" s="1">
        <f t="shared" ca="1" si="62"/>
        <v>102.00060000000001</v>
      </c>
    </row>
    <row r="273" spans="2:35" x14ac:dyDescent="0.15">
      <c r="B273" s="1" t="str">
        <f t="shared" si="77"/>
        <v>僵尸系73</v>
      </c>
      <c r="C273" s="1">
        <f t="shared" si="67"/>
        <v>73</v>
      </c>
      <c r="D273" s="14" t="s">
        <v>92</v>
      </c>
      <c r="E273" s="14">
        <f t="shared" si="68"/>
        <v>3</v>
      </c>
      <c r="F273" s="1" t="str">
        <f t="shared" si="75"/>
        <v>黑暗</v>
      </c>
      <c r="H273" s="1">
        <f t="shared" ca="1" si="76"/>
        <v>3090.9894588699094</v>
      </c>
      <c r="I273" s="1">
        <f t="shared" ref="I273:R282" ca="1" si="80">mVlookup($C273,monsterBaseDate,I$2,FALSE)*(1+mVlookup($E273,monsterType,I$2,FALSE))</f>
        <v>100</v>
      </c>
      <c r="J273" s="1">
        <f t="shared" ca="1" si="80"/>
        <v>1347.6060714285729</v>
      </c>
      <c r="K273" s="1">
        <f t="shared" ca="1" si="80"/>
        <v>103.417275</v>
      </c>
      <c r="L273" s="1">
        <f t="shared" ca="1" si="80"/>
        <v>1837.6446428571448</v>
      </c>
      <c r="M273" s="1">
        <f t="shared" ca="1" si="80"/>
        <v>103.417275</v>
      </c>
      <c r="N273" s="1">
        <f t="shared" ca="1" si="80"/>
        <v>0.2</v>
      </c>
      <c r="O273" s="1">
        <f t="shared" ca="1" si="80"/>
        <v>0.2</v>
      </c>
      <c r="P273" s="1">
        <f t="shared" ca="1" si="80"/>
        <v>0.36</v>
      </c>
      <c r="Q273" s="1">
        <f t="shared" ca="1" si="80"/>
        <v>0.1</v>
      </c>
      <c r="R273" s="1">
        <f t="shared" ca="1" si="80"/>
        <v>2.2000000000000002</v>
      </c>
      <c r="S273" s="1">
        <f t="shared" ref="S273:AH288" ca="1" si="81">mVlookup($C273,monsterBaseDate,S$2,FALSE)*(1+mVlookup($E273,monsterType,S$2,FALSE))</f>
        <v>0.1</v>
      </c>
      <c r="T273" s="1">
        <f t="shared" ca="1" si="81"/>
        <v>1.1700000000000002</v>
      </c>
      <c r="U273" s="1">
        <f t="shared" ca="1" si="81"/>
        <v>183.47333333333293</v>
      </c>
      <c r="V273" s="1">
        <f t="shared" ca="1" si="81"/>
        <v>0</v>
      </c>
      <c r="W273" s="1">
        <f t="shared" ca="1" si="81"/>
        <v>0</v>
      </c>
      <c r="X273" s="1">
        <f t="shared" ca="1" si="81"/>
        <v>0</v>
      </c>
      <c r="Y273" s="1">
        <f t="shared" ca="1" si="81"/>
        <v>0</v>
      </c>
      <c r="Z273" s="1">
        <f t="shared" ca="1" si="81"/>
        <v>0</v>
      </c>
      <c r="AA273" s="1">
        <f t="shared" ca="1" si="81"/>
        <v>704.18928571428603</v>
      </c>
      <c r="AB273" s="1">
        <f t="shared" ca="1" si="79"/>
        <v>0</v>
      </c>
      <c r="AC273" s="1">
        <f t="shared" ca="1" si="81"/>
        <v>103.417275</v>
      </c>
      <c r="AD273" s="1">
        <f t="shared" ca="1" si="81"/>
        <v>103.417275</v>
      </c>
      <c r="AE273" s="1">
        <f t="shared" ca="1" si="81"/>
        <v>103.417275</v>
      </c>
      <c r="AF273" s="1">
        <f t="shared" ca="1" si="81"/>
        <v>103.417275</v>
      </c>
      <c r="AG273" s="1">
        <f t="shared" ca="1" si="81"/>
        <v>103.417275</v>
      </c>
      <c r="AH273" s="1">
        <f t="shared" ca="1" si="81"/>
        <v>134.44245750000002</v>
      </c>
      <c r="AI273" s="1">
        <f t="shared" ca="1" si="62"/>
        <v>103.417275</v>
      </c>
    </row>
    <row r="274" spans="2:35" x14ac:dyDescent="0.15">
      <c r="B274" s="1" t="str">
        <f t="shared" si="77"/>
        <v>僵尸系74</v>
      </c>
      <c r="C274" s="1">
        <f t="shared" si="67"/>
        <v>74</v>
      </c>
      <c r="D274" s="14" t="s">
        <v>92</v>
      </c>
      <c r="E274" s="14">
        <f t="shared" si="68"/>
        <v>3</v>
      </c>
      <c r="F274" s="1" t="str">
        <f t="shared" si="75"/>
        <v>黑暗</v>
      </c>
      <c r="H274" s="1">
        <f t="shared" ca="1" si="76"/>
        <v>3147.4458873424201</v>
      </c>
      <c r="I274" s="1">
        <f t="shared" ca="1" si="80"/>
        <v>100</v>
      </c>
      <c r="J274" s="1">
        <f t="shared" ca="1" si="80"/>
        <v>1379.0957142857183</v>
      </c>
      <c r="K274" s="1">
        <f t="shared" ca="1" si="80"/>
        <v>104.83395</v>
      </c>
      <c r="L274" s="1">
        <f t="shared" ca="1" si="80"/>
        <v>1880.58506493507</v>
      </c>
      <c r="M274" s="1">
        <f t="shared" ca="1" si="80"/>
        <v>104.83395</v>
      </c>
      <c r="N274" s="1">
        <f t="shared" ca="1" si="80"/>
        <v>0.2</v>
      </c>
      <c r="O274" s="1">
        <f t="shared" ca="1" si="80"/>
        <v>0.2</v>
      </c>
      <c r="P274" s="1">
        <f t="shared" ca="1" si="80"/>
        <v>0.36</v>
      </c>
      <c r="Q274" s="1">
        <f t="shared" ca="1" si="80"/>
        <v>0.1</v>
      </c>
      <c r="R274" s="1">
        <f t="shared" ca="1" si="80"/>
        <v>2.2000000000000002</v>
      </c>
      <c r="S274" s="1">
        <f t="shared" ca="1" si="81"/>
        <v>0.1</v>
      </c>
      <c r="T274" s="1">
        <f t="shared" ca="1" si="81"/>
        <v>1.1700000000000002</v>
      </c>
      <c r="U274" s="1">
        <f t="shared" ca="1" si="81"/>
        <v>185.98666666666711</v>
      </c>
      <c r="V274" s="1">
        <f t="shared" ca="1" si="81"/>
        <v>0</v>
      </c>
      <c r="W274" s="1">
        <f t="shared" ca="1" si="81"/>
        <v>0</v>
      </c>
      <c r="X274" s="1">
        <f t="shared" ca="1" si="81"/>
        <v>0</v>
      </c>
      <c r="Y274" s="1">
        <f t="shared" ca="1" si="81"/>
        <v>0</v>
      </c>
      <c r="Z274" s="1">
        <f t="shared" ca="1" si="81"/>
        <v>0</v>
      </c>
      <c r="AA274" s="1">
        <f t="shared" ca="1" si="81"/>
        <v>736.31372912801601</v>
      </c>
      <c r="AB274" s="1">
        <f t="shared" ca="1" si="79"/>
        <v>0</v>
      </c>
      <c r="AC274" s="1">
        <f t="shared" ca="1" si="81"/>
        <v>104.83395</v>
      </c>
      <c r="AD274" s="1">
        <f t="shared" ca="1" si="81"/>
        <v>104.83395</v>
      </c>
      <c r="AE274" s="1">
        <f t="shared" ca="1" si="81"/>
        <v>104.83395</v>
      </c>
      <c r="AF274" s="1">
        <f t="shared" ca="1" si="81"/>
        <v>104.83395</v>
      </c>
      <c r="AG274" s="1">
        <f t="shared" ca="1" si="81"/>
        <v>104.83395</v>
      </c>
      <c r="AH274" s="1">
        <f t="shared" ca="1" si="81"/>
        <v>136.28413500000002</v>
      </c>
      <c r="AI274" s="1">
        <f t="shared" ca="1" si="62"/>
        <v>104.83395</v>
      </c>
    </row>
    <row r="275" spans="2:35" x14ac:dyDescent="0.15">
      <c r="B275" s="1" t="str">
        <f t="shared" si="77"/>
        <v>僵尸系75</v>
      </c>
      <c r="C275" s="1">
        <f t="shared" si="67"/>
        <v>75</v>
      </c>
      <c r="D275" s="14" t="s">
        <v>92</v>
      </c>
      <c r="E275" s="14">
        <f t="shared" si="68"/>
        <v>3</v>
      </c>
      <c r="F275" s="1" t="str">
        <f t="shared" si="75"/>
        <v>黑暗</v>
      </c>
      <c r="H275" s="1">
        <f t="shared" ca="1" si="76"/>
        <v>3204.2837781694716</v>
      </c>
      <c r="I275" s="1">
        <f t="shared" ca="1" si="80"/>
        <v>100</v>
      </c>
      <c r="J275" s="1">
        <f t="shared" ca="1" si="80"/>
        <v>1411.1842105263211</v>
      </c>
      <c r="K275" s="1">
        <f t="shared" ca="1" si="80"/>
        <v>106.250625</v>
      </c>
      <c r="L275" s="1">
        <f t="shared" ca="1" si="80"/>
        <v>1924.342105263165</v>
      </c>
      <c r="M275" s="1">
        <f t="shared" ca="1" si="80"/>
        <v>106.250625</v>
      </c>
      <c r="N275" s="1">
        <f t="shared" ca="1" si="80"/>
        <v>0.2</v>
      </c>
      <c r="O275" s="1">
        <f t="shared" ca="1" si="80"/>
        <v>0.2</v>
      </c>
      <c r="P275" s="1">
        <f t="shared" ca="1" si="80"/>
        <v>0.36</v>
      </c>
      <c r="Q275" s="1">
        <f t="shared" ca="1" si="80"/>
        <v>0.1</v>
      </c>
      <c r="R275" s="1">
        <f t="shared" ca="1" si="80"/>
        <v>2.2000000000000002</v>
      </c>
      <c r="S275" s="1">
        <f t="shared" ca="1" si="81"/>
        <v>0.1</v>
      </c>
      <c r="T275" s="1">
        <f t="shared" ca="1" si="81"/>
        <v>1.1700000000000002</v>
      </c>
      <c r="U275" s="1">
        <f t="shared" ca="1" si="81"/>
        <v>188.5</v>
      </c>
      <c r="V275" s="1">
        <f t="shared" ca="1" si="81"/>
        <v>0</v>
      </c>
      <c r="W275" s="1">
        <f t="shared" ca="1" si="81"/>
        <v>0</v>
      </c>
      <c r="X275" s="1">
        <f t="shared" ca="1" si="81"/>
        <v>0</v>
      </c>
      <c r="Y275" s="1">
        <f t="shared" ca="1" si="81"/>
        <v>0</v>
      </c>
      <c r="Z275" s="1">
        <f t="shared" ca="1" si="81"/>
        <v>0</v>
      </c>
      <c r="AA275" s="1">
        <f t="shared" ca="1" si="81"/>
        <v>769.73684210526403</v>
      </c>
      <c r="AB275" s="1">
        <f t="shared" ca="1" si="79"/>
        <v>0</v>
      </c>
      <c r="AC275" s="1">
        <f t="shared" ca="1" si="81"/>
        <v>106.250625</v>
      </c>
      <c r="AD275" s="1">
        <f t="shared" ca="1" si="81"/>
        <v>106.250625</v>
      </c>
      <c r="AE275" s="1">
        <f t="shared" ca="1" si="81"/>
        <v>106.250625</v>
      </c>
      <c r="AF275" s="1">
        <f t="shared" ca="1" si="81"/>
        <v>106.250625</v>
      </c>
      <c r="AG275" s="1">
        <f t="shared" ca="1" si="81"/>
        <v>106.250625</v>
      </c>
      <c r="AH275" s="1">
        <f t="shared" ca="1" si="81"/>
        <v>138.12581249999999</v>
      </c>
      <c r="AI275" s="1">
        <f t="shared" ref="AI275:AI338" ca="1" si="82">mVlookup($C275,monsterBaseDate,AI$2,FALSE)*(1+mVlookup($E275,monsterType,AI$2,FALSE))</f>
        <v>106.250625</v>
      </c>
    </row>
    <row r="276" spans="2:35" x14ac:dyDescent="0.15">
      <c r="B276" s="1" t="str">
        <f t="shared" si="77"/>
        <v>僵尸系76</v>
      </c>
      <c r="C276" s="1">
        <f t="shared" si="67"/>
        <v>76</v>
      </c>
      <c r="D276" s="14" t="s">
        <v>92</v>
      </c>
      <c r="E276" s="14">
        <f t="shared" si="68"/>
        <v>3</v>
      </c>
      <c r="F276" s="1" t="str">
        <f t="shared" si="75"/>
        <v>黑暗</v>
      </c>
      <c r="H276" s="1">
        <f t="shared" ca="1" si="76"/>
        <v>3261.5031313510744</v>
      </c>
      <c r="I276" s="1">
        <f t="shared" ca="1" si="80"/>
        <v>100</v>
      </c>
      <c r="J276" s="1">
        <f t="shared" ca="1" si="80"/>
        <v>1443.8914285714272</v>
      </c>
      <c r="K276" s="1">
        <f t="shared" ca="1" si="80"/>
        <v>107.6673</v>
      </c>
      <c r="L276" s="1">
        <f t="shared" ca="1" si="80"/>
        <v>1968.942857142855</v>
      </c>
      <c r="M276" s="1">
        <f t="shared" ca="1" si="80"/>
        <v>107.6673</v>
      </c>
      <c r="N276" s="1">
        <f t="shared" ca="1" si="80"/>
        <v>0.2</v>
      </c>
      <c r="O276" s="1">
        <f t="shared" ca="1" si="80"/>
        <v>0.2</v>
      </c>
      <c r="P276" s="1">
        <f t="shared" ca="1" si="80"/>
        <v>0.36</v>
      </c>
      <c r="Q276" s="1">
        <f t="shared" ca="1" si="80"/>
        <v>0.1</v>
      </c>
      <c r="R276" s="1">
        <f t="shared" ca="1" si="80"/>
        <v>2.2000000000000002</v>
      </c>
      <c r="S276" s="1">
        <f t="shared" ca="1" si="81"/>
        <v>0.1</v>
      </c>
      <c r="T276" s="1">
        <f t="shared" ca="1" si="81"/>
        <v>1.1700000000000002</v>
      </c>
      <c r="U276" s="1">
        <f t="shared" ca="1" si="81"/>
        <v>191.01333333333289</v>
      </c>
      <c r="V276" s="1">
        <f t="shared" ca="1" si="81"/>
        <v>0</v>
      </c>
      <c r="W276" s="1">
        <f t="shared" ca="1" si="81"/>
        <v>0</v>
      </c>
      <c r="X276" s="1">
        <f t="shared" ca="1" si="81"/>
        <v>0</v>
      </c>
      <c r="Y276" s="1">
        <f t="shared" ca="1" si="81"/>
        <v>0</v>
      </c>
      <c r="Z276" s="1">
        <f t="shared" ca="1" si="81"/>
        <v>0</v>
      </c>
      <c r="AA276" s="1">
        <f t="shared" ca="1" si="81"/>
        <v>804.51428571428596</v>
      </c>
      <c r="AB276" s="1">
        <f t="shared" ca="1" si="79"/>
        <v>0</v>
      </c>
      <c r="AC276" s="1">
        <f t="shared" ca="1" si="81"/>
        <v>107.6673</v>
      </c>
      <c r="AD276" s="1">
        <f t="shared" ca="1" si="81"/>
        <v>107.6673</v>
      </c>
      <c r="AE276" s="1">
        <f t="shared" ca="1" si="81"/>
        <v>107.6673</v>
      </c>
      <c r="AF276" s="1">
        <f t="shared" ca="1" si="81"/>
        <v>107.6673</v>
      </c>
      <c r="AG276" s="1">
        <f t="shared" ca="1" si="81"/>
        <v>107.6673</v>
      </c>
      <c r="AH276" s="1">
        <f t="shared" ca="1" si="81"/>
        <v>139.96749</v>
      </c>
      <c r="AI276" s="1">
        <f t="shared" ca="1" si="82"/>
        <v>107.6673</v>
      </c>
    </row>
    <row r="277" spans="2:35" x14ac:dyDescent="0.15">
      <c r="B277" s="1" t="str">
        <f t="shared" si="77"/>
        <v>僵尸系77</v>
      </c>
      <c r="C277" s="1">
        <f t="shared" si="67"/>
        <v>77</v>
      </c>
      <c r="D277" s="14" t="s">
        <v>92</v>
      </c>
      <c r="E277" s="14">
        <f t="shared" si="68"/>
        <v>3</v>
      </c>
      <c r="F277" s="1" t="str">
        <f t="shared" si="75"/>
        <v>黑暗</v>
      </c>
      <c r="H277" s="1">
        <f t="shared" ca="1" si="76"/>
        <v>3319.1039468872168</v>
      </c>
      <c r="I277" s="1">
        <f t="shared" ca="1" si="80"/>
        <v>100</v>
      </c>
      <c r="J277" s="1">
        <f t="shared" ca="1" si="80"/>
        <v>1477.238310810812</v>
      </c>
      <c r="K277" s="1">
        <f t="shared" ca="1" si="80"/>
        <v>109.083975</v>
      </c>
      <c r="L277" s="1">
        <f t="shared" ca="1" si="80"/>
        <v>2014.4158783783801</v>
      </c>
      <c r="M277" s="1">
        <f t="shared" ca="1" si="80"/>
        <v>109.083975</v>
      </c>
      <c r="N277" s="1">
        <f t="shared" ca="1" si="80"/>
        <v>0.2</v>
      </c>
      <c r="O277" s="1">
        <f t="shared" ca="1" si="80"/>
        <v>0.2</v>
      </c>
      <c r="P277" s="1">
        <f t="shared" ca="1" si="80"/>
        <v>0.36</v>
      </c>
      <c r="Q277" s="1">
        <f t="shared" ca="1" si="80"/>
        <v>0.1</v>
      </c>
      <c r="R277" s="1">
        <f t="shared" ca="1" si="80"/>
        <v>2.2000000000000002</v>
      </c>
      <c r="S277" s="1">
        <f t="shared" ca="1" si="81"/>
        <v>0.1</v>
      </c>
      <c r="T277" s="1">
        <f t="shared" ca="1" si="81"/>
        <v>1.1700000000000002</v>
      </c>
      <c r="U277" s="1">
        <f t="shared" ca="1" si="81"/>
        <v>193.5266666666671</v>
      </c>
      <c r="V277" s="1">
        <f t="shared" ca="1" si="81"/>
        <v>0</v>
      </c>
      <c r="W277" s="1">
        <f t="shared" ca="1" si="81"/>
        <v>0</v>
      </c>
      <c r="X277" s="1">
        <f t="shared" ca="1" si="81"/>
        <v>0</v>
      </c>
      <c r="Y277" s="1">
        <f t="shared" ca="1" si="81"/>
        <v>0</v>
      </c>
      <c r="Z277" s="1">
        <f t="shared" ca="1" si="81"/>
        <v>0</v>
      </c>
      <c r="AA277" s="1">
        <f t="shared" ca="1" si="81"/>
        <v>840.70472972973096</v>
      </c>
      <c r="AB277" s="1">
        <f t="shared" ca="1" si="79"/>
        <v>0</v>
      </c>
      <c r="AC277" s="1">
        <f t="shared" ca="1" si="81"/>
        <v>109.083975</v>
      </c>
      <c r="AD277" s="1">
        <f t="shared" ca="1" si="81"/>
        <v>109.083975</v>
      </c>
      <c r="AE277" s="1">
        <f t="shared" ca="1" si="81"/>
        <v>109.083975</v>
      </c>
      <c r="AF277" s="1">
        <f t="shared" ca="1" si="81"/>
        <v>109.083975</v>
      </c>
      <c r="AG277" s="1">
        <f t="shared" ca="1" si="81"/>
        <v>109.083975</v>
      </c>
      <c r="AH277" s="1">
        <f t="shared" ca="1" si="81"/>
        <v>141.8091675</v>
      </c>
      <c r="AI277" s="1">
        <f t="shared" ca="1" si="82"/>
        <v>109.083975</v>
      </c>
    </row>
    <row r="278" spans="2:35" x14ac:dyDescent="0.15">
      <c r="B278" s="1" t="str">
        <f t="shared" si="77"/>
        <v>僵尸系78</v>
      </c>
      <c r="C278" s="1">
        <f t="shared" si="67"/>
        <v>78</v>
      </c>
      <c r="D278" s="14" t="s">
        <v>92</v>
      </c>
      <c r="E278" s="14">
        <f t="shared" si="68"/>
        <v>3</v>
      </c>
      <c r="F278" s="1" t="str">
        <f t="shared" si="75"/>
        <v>黑暗</v>
      </c>
      <c r="H278" s="1">
        <f t="shared" ca="1" si="76"/>
        <v>3555.599982492427</v>
      </c>
      <c r="I278" s="1">
        <f t="shared" ca="1" si="80"/>
        <v>100</v>
      </c>
      <c r="J278" s="1">
        <f t="shared" ca="1" si="80"/>
        <v>1511.2469471624252</v>
      </c>
      <c r="K278" s="1">
        <f t="shared" ca="1" si="80"/>
        <v>110.50064999999999</v>
      </c>
      <c r="L278" s="1">
        <f t="shared" ca="1" si="80"/>
        <v>2060.7912915851252</v>
      </c>
      <c r="M278" s="1">
        <f t="shared" ca="1" si="80"/>
        <v>110.50064999999999</v>
      </c>
      <c r="N278" s="1">
        <f t="shared" ca="1" si="80"/>
        <v>0.2</v>
      </c>
      <c r="O278" s="1">
        <f t="shared" ca="1" si="80"/>
        <v>0.2</v>
      </c>
      <c r="P278" s="1">
        <f t="shared" ca="1" si="80"/>
        <v>0.36</v>
      </c>
      <c r="Q278" s="1">
        <f t="shared" ca="1" si="80"/>
        <v>0.1</v>
      </c>
      <c r="R278" s="1">
        <f t="shared" ca="1" si="80"/>
        <v>2.2000000000000002</v>
      </c>
      <c r="S278" s="1">
        <f t="shared" ca="1" si="81"/>
        <v>0.1</v>
      </c>
      <c r="T278" s="1">
        <f t="shared" ca="1" si="81"/>
        <v>1.1700000000000002</v>
      </c>
      <c r="U278" s="1">
        <f t="shared" ca="1" si="81"/>
        <v>196.04000000000002</v>
      </c>
      <c r="V278" s="1">
        <f t="shared" ca="1" si="81"/>
        <v>0</v>
      </c>
      <c r="W278" s="1">
        <f t="shared" ca="1" si="81"/>
        <v>0</v>
      </c>
      <c r="X278" s="1">
        <f t="shared" ca="1" si="81"/>
        <v>0</v>
      </c>
      <c r="Y278" s="1">
        <f t="shared" ca="1" si="81"/>
        <v>0</v>
      </c>
      <c r="Z278" s="1">
        <f t="shared" ca="1" si="81"/>
        <v>0</v>
      </c>
      <c r="AA278" s="1">
        <f t="shared" ca="1" si="81"/>
        <v>878.37005870841597</v>
      </c>
      <c r="AB278" s="1">
        <f t="shared" ca="1" si="79"/>
        <v>0</v>
      </c>
      <c r="AC278" s="1">
        <f t="shared" ca="1" si="81"/>
        <v>110.50064999999999</v>
      </c>
      <c r="AD278" s="1">
        <f t="shared" ca="1" si="81"/>
        <v>110.50064999999999</v>
      </c>
      <c r="AE278" s="1">
        <f t="shared" ca="1" si="81"/>
        <v>110.50064999999999</v>
      </c>
      <c r="AF278" s="1">
        <f t="shared" ca="1" si="81"/>
        <v>110.50064999999999</v>
      </c>
      <c r="AG278" s="1">
        <f t="shared" ca="1" si="81"/>
        <v>110.50064999999999</v>
      </c>
      <c r="AH278" s="1">
        <f t="shared" ca="1" si="81"/>
        <v>143.650845</v>
      </c>
      <c r="AI278" s="1">
        <f t="shared" ca="1" si="82"/>
        <v>110.50064999999999</v>
      </c>
    </row>
    <row r="279" spans="2:35" x14ac:dyDescent="0.15">
      <c r="B279" s="1" t="str">
        <f t="shared" si="77"/>
        <v>僵尸系79</v>
      </c>
      <c r="C279" s="1">
        <f t="shared" si="67"/>
        <v>79</v>
      </c>
      <c r="D279" s="14" t="s">
        <v>92</v>
      </c>
      <c r="E279" s="14">
        <f t="shared" si="68"/>
        <v>3</v>
      </c>
      <c r="F279" s="1" t="str">
        <f t="shared" si="75"/>
        <v>黑暗</v>
      </c>
      <c r="H279" s="1">
        <f t="shared" ca="1" si="76"/>
        <v>3617.0488469814491</v>
      </c>
      <c r="I279" s="1">
        <f t="shared" ca="1" si="80"/>
        <v>100</v>
      </c>
      <c r="J279" s="1">
        <f t="shared" ca="1" si="80"/>
        <v>1545.9406547619103</v>
      </c>
      <c r="K279" s="1">
        <f t="shared" ca="1" si="80"/>
        <v>111.91732500000001</v>
      </c>
      <c r="L279" s="1">
        <f t="shared" ca="1" si="80"/>
        <v>2108.10089285715</v>
      </c>
      <c r="M279" s="1">
        <f t="shared" ca="1" si="80"/>
        <v>111.91732500000001</v>
      </c>
      <c r="N279" s="1">
        <f t="shared" ca="1" si="80"/>
        <v>0.2</v>
      </c>
      <c r="O279" s="1">
        <f t="shared" ca="1" si="80"/>
        <v>0.2</v>
      </c>
      <c r="P279" s="1">
        <f t="shared" ca="1" si="80"/>
        <v>0.36</v>
      </c>
      <c r="Q279" s="1">
        <f t="shared" ca="1" si="80"/>
        <v>0.1</v>
      </c>
      <c r="R279" s="1">
        <f t="shared" ca="1" si="80"/>
        <v>2.2000000000000002</v>
      </c>
      <c r="S279" s="1">
        <f t="shared" ca="1" si="81"/>
        <v>0.1</v>
      </c>
      <c r="T279" s="1">
        <f t="shared" ca="1" si="81"/>
        <v>1.1700000000000002</v>
      </c>
      <c r="U279" s="1">
        <f t="shared" ca="1" si="81"/>
        <v>198.55333333333292</v>
      </c>
      <c r="V279" s="1">
        <f t="shared" ca="1" si="81"/>
        <v>0</v>
      </c>
      <c r="W279" s="1">
        <f t="shared" ca="1" si="81"/>
        <v>0</v>
      </c>
      <c r="X279" s="1">
        <f t="shared" ca="1" si="81"/>
        <v>0</v>
      </c>
      <c r="Y279" s="1">
        <f t="shared" ca="1" si="81"/>
        <v>0</v>
      </c>
      <c r="Z279" s="1">
        <f t="shared" ca="1" si="81"/>
        <v>0</v>
      </c>
      <c r="AA279" s="1">
        <f t="shared" ca="1" si="81"/>
        <v>917.57559523809596</v>
      </c>
      <c r="AB279" s="1">
        <f t="shared" ca="1" si="81"/>
        <v>0</v>
      </c>
      <c r="AC279" s="1">
        <f t="shared" ca="1" si="81"/>
        <v>111.91732500000001</v>
      </c>
      <c r="AD279" s="1">
        <f t="shared" ca="1" si="81"/>
        <v>111.91732500000001</v>
      </c>
      <c r="AE279" s="1">
        <f t="shared" ca="1" si="81"/>
        <v>111.91732500000001</v>
      </c>
      <c r="AF279" s="1">
        <f t="shared" ca="1" si="81"/>
        <v>111.91732500000001</v>
      </c>
      <c r="AG279" s="1">
        <f t="shared" ca="1" si="81"/>
        <v>111.91732500000001</v>
      </c>
      <c r="AH279" s="1">
        <f t="shared" ca="1" si="81"/>
        <v>145.49252250000001</v>
      </c>
      <c r="AI279" s="1">
        <f t="shared" ca="1" si="82"/>
        <v>111.91732500000001</v>
      </c>
    </row>
    <row r="280" spans="2:35" x14ac:dyDescent="0.15">
      <c r="B280" s="1" t="str">
        <f t="shared" si="77"/>
        <v>僵尸系80</v>
      </c>
      <c r="C280" s="1">
        <f t="shared" si="67"/>
        <v>80</v>
      </c>
      <c r="D280" s="14" t="s">
        <v>92</v>
      </c>
      <c r="E280" s="14">
        <f t="shared" si="68"/>
        <v>3</v>
      </c>
      <c r="F280" s="1" t="str">
        <f t="shared" si="75"/>
        <v>黑暗</v>
      </c>
      <c r="H280" s="1">
        <f t="shared" ca="1" si="76"/>
        <v>3678.8993380357651</v>
      </c>
      <c r="I280" s="1">
        <f t="shared" ca="1" si="80"/>
        <v>100</v>
      </c>
      <c r="J280" s="1">
        <f t="shared" ca="1" si="80"/>
        <v>1581.3440643863171</v>
      </c>
      <c r="K280" s="1">
        <f t="shared" ca="1" si="80"/>
        <v>113.334</v>
      </c>
      <c r="L280" s="1">
        <f t="shared" ca="1" si="80"/>
        <v>2156.378269617705</v>
      </c>
      <c r="M280" s="1">
        <f t="shared" ca="1" si="80"/>
        <v>113.334</v>
      </c>
      <c r="N280" s="1">
        <f t="shared" ca="1" si="80"/>
        <v>0.2</v>
      </c>
      <c r="O280" s="1">
        <f t="shared" ca="1" si="80"/>
        <v>0.2</v>
      </c>
      <c r="P280" s="1">
        <f t="shared" ca="1" si="80"/>
        <v>0.36</v>
      </c>
      <c r="Q280" s="1">
        <f t="shared" ca="1" si="80"/>
        <v>0.1</v>
      </c>
      <c r="R280" s="1">
        <f t="shared" ca="1" si="80"/>
        <v>2.2000000000000002</v>
      </c>
      <c r="S280" s="1">
        <f t="shared" ca="1" si="81"/>
        <v>0.1</v>
      </c>
      <c r="T280" s="1">
        <f t="shared" ca="1" si="81"/>
        <v>1.1700000000000002</v>
      </c>
      <c r="U280" s="1">
        <f t="shared" ca="1" si="81"/>
        <v>201.06666666666712</v>
      </c>
      <c r="V280" s="1">
        <f t="shared" ca="1" si="81"/>
        <v>0</v>
      </c>
      <c r="W280" s="1">
        <f t="shared" ca="1" si="81"/>
        <v>0</v>
      </c>
      <c r="X280" s="1">
        <f t="shared" ca="1" si="81"/>
        <v>0</v>
      </c>
      <c r="Y280" s="1">
        <f t="shared" ca="1" si="81"/>
        <v>0</v>
      </c>
      <c r="Z280" s="1">
        <f t="shared" ca="1" si="81"/>
        <v>0</v>
      </c>
      <c r="AA280" s="1">
        <f t="shared" ca="1" si="81"/>
        <v>958.39034205231496</v>
      </c>
      <c r="AB280" s="1">
        <f t="shared" ca="1" si="81"/>
        <v>0</v>
      </c>
      <c r="AC280" s="1">
        <f t="shared" ca="1" si="81"/>
        <v>113.334</v>
      </c>
      <c r="AD280" s="1">
        <f t="shared" ca="1" si="81"/>
        <v>113.334</v>
      </c>
      <c r="AE280" s="1">
        <f t="shared" ca="1" si="81"/>
        <v>113.334</v>
      </c>
      <c r="AF280" s="1">
        <f t="shared" ca="1" si="81"/>
        <v>113.334</v>
      </c>
      <c r="AG280" s="1">
        <f t="shared" ca="1" si="81"/>
        <v>113.334</v>
      </c>
      <c r="AH280" s="1">
        <f t="shared" ca="1" si="81"/>
        <v>147.33420000000001</v>
      </c>
      <c r="AI280" s="1">
        <f t="shared" ca="1" si="82"/>
        <v>113.334</v>
      </c>
    </row>
    <row r="281" spans="2:35" x14ac:dyDescent="0.15">
      <c r="B281" s="1" t="str">
        <f t="shared" si="77"/>
        <v>僵尸系81</v>
      </c>
      <c r="C281" s="1">
        <f t="shared" si="67"/>
        <v>81</v>
      </c>
      <c r="D281" s="14" t="s">
        <v>92</v>
      </c>
      <c r="E281" s="14">
        <f t="shared" si="68"/>
        <v>3</v>
      </c>
      <c r="F281" s="1" t="str">
        <f t="shared" si="75"/>
        <v>黑暗</v>
      </c>
      <c r="H281" s="1">
        <f t="shared" ca="1" si="76"/>
        <v>3741.1514556553639</v>
      </c>
      <c r="I281" s="1">
        <f t="shared" ca="1" si="80"/>
        <v>100</v>
      </c>
      <c r="J281" s="1">
        <f t="shared" ca="1" si="80"/>
        <v>1617.4832142857192</v>
      </c>
      <c r="K281" s="1">
        <f t="shared" ca="1" si="80"/>
        <v>114.750675</v>
      </c>
      <c r="L281" s="1">
        <f t="shared" ca="1" si="80"/>
        <v>2205.6589285714349</v>
      </c>
      <c r="M281" s="1">
        <f t="shared" ca="1" si="80"/>
        <v>114.750675</v>
      </c>
      <c r="N281" s="1">
        <f t="shared" ca="1" si="80"/>
        <v>0.2</v>
      </c>
      <c r="O281" s="1">
        <f t="shared" ca="1" si="80"/>
        <v>0.2</v>
      </c>
      <c r="P281" s="1">
        <f t="shared" ca="1" si="80"/>
        <v>0.36</v>
      </c>
      <c r="Q281" s="1">
        <f t="shared" ca="1" si="80"/>
        <v>0.1</v>
      </c>
      <c r="R281" s="1">
        <f t="shared" ca="1" si="80"/>
        <v>2.2000000000000002</v>
      </c>
      <c r="S281" s="1">
        <f t="shared" ca="1" si="81"/>
        <v>0.1</v>
      </c>
      <c r="T281" s="1">
        <f t="shared" ca="1" si="81"/>
        <v>1.1700000000000002</v>
      </c>
      <c r="U281" s="1">
        <f t="shared" ca="1" si="81"/>
        <v>203.58</v>
      </c>
      <c r="V281" s="1">
        <f t="shared" ca="1" si="81"/>
        <v>0</v>
      </c>
      <c r="W281" s="1">
        <f t="shared" ca="1" si="81"/>
        <v>0</v>
      </c>
      <c r="X281" s="1">
        <f t="shared" ca="1" si="81"/>
        <v>0</v>
      </c>
      <c r="Y281" s="1">
        <f t="shared" ca="1" si="81"/>
        <v>0</v>
      </c>
      <c r="Z281" s="1">
        <f t="shared" ca="1" si="81"/>
        <v>0</v>
      </c>
      <c r="AA281" s="1">
        <f t="shared" ca="1" si="81"/>
        <v>1000.88724489796</v>
      </c>
      <c r="AB281" s="1">
        <f t="shared" ca="1" si="81"/>
        <v>0</v>
      </c>
      <c r="AC281" s="1">
        <f t="shared" ca="1" si="81"/>
        <v>114.750675</v>
      </c>
      <c r="AD281" s="1">
        <f t="shared" ca="1" si="81"/>
        <v>114.750675</v>
      </c>
      <c r="AE281" s="1">
        <f t="shared" ca="1" si="81"/>
        <v>114.750675</v>
      </c>
      <c r="AF281" s="1">
        <f t="shared" ca="1" si="81"/>
        <v>114.750675</v>
      </c>
      <c r="AG281" s="1">
        <f t="shared" ca="1" si="81"/>
        <v>114.750675</v>
      </c>
      <c r="AH281" s="1">
        <f t="shared" ca="1" si="81"/>
        <v>149.17587750000001</v>
      </c>
      <c r="AI281" s="1">
        <f t="shared" ca="1" si="82"/>
        <v>114.750675</v>
      </c>
    </row>
    <row r="282" spans="2:35" x14ac:dyDescent="0.15">
      <c r="B282" s="1" t="str">
        <f t="shared" si="77"/>
        <v>僵尸系82</v>
      </c>
      <c r="C282" s="1">
        <f t="shared" si="67"/>
        <v>82</v>
      </c>
      <c r="D282" s="14" t="s">
        <v>92</v>
      </c>
      <c r="E282" s="14">
        <f t="shared" si="68"/>
        <v>3</v>
      </c>
      <c r="F282" s="1" t="str">
        <f t="shared" si="75"/>
        <v>黑暗</v>
      </c>
      <c r="H282" s="1">
        <f t="shared" ca="1" si="76"/>
        <v>3803.8051998402548</v>
      </c>
      <c r="I282" s="1">
        <f t="shared" ca="1" si="80"/>
        <v>100</v>
      </c>
      <c r="J282" s="1">
        <f t="shared" ca="1" si="80"/>
        <v>1654.3856521739142</v>
      </c>
      <c r="K282" s="1">
        <f t="shared" ca="1" si="80"/>
        <v>116.16735</v>
      </c>
      <c r="L282" s="1">
        <f t="shared" ca="1" si="80"/>
        <v>2255.9804347826102</v>
      </c>
      <c r="M282" s="1">
        <f t="shared" ca="1" si="80"/>
        <v>116.16735</v>
      </c>
      <c r="N282" s="1">
        <f t="shared" ca="1" si="80"/>
        <v>0.2</v>
      </c>
      <c r="O282" s="1">
        <f t="shared" ca="1" si="80"/>
        <v>0.2</v>
      </c>
      <c r="P282" s="1">
        <f t="shared" ca="1" si="80"/>
        <v>0.36</v>
      </c>
      <c r="Q282" s="1">
        <f t="shared" ca="1" si="80"/>
        <v>0.1</v>
      </c>
      <c r="R282" s="1">
        <f t="shared" ca="1" si="80"/>
        <v>2.2000000000000002</v>
      </c>
      <c r="S282" s="1">
        <f t="shared" ca="1" si="81"/>
        <v>0.1</v>
      </c>
      <c r="T282" s="1">
        <f t="shared" ca="1" si="81"/>
        <v>1.1700000000000002</v>
      </c>
      <c r="U282" s="1">
        <f t="shared" ca="1" si="81"/>
        <v>206.09333333333291</v>
      </c>
      <c r="V282" s="1">
        <f t="shared" ca="1" si="81"/>
        <v>0</v>
      </c>
      <c r="W282" s="1">
        <f t="shared" ca="1" si="81"/>
        <v>0</v>
      </c>
      <c r="X282" s="1">
        <f t="shared" ca="1" si="81"/>
        <v>0</v>
      </c>
      <c r="Y282" s="1">
        <f t="shared" ca="1" si="81"/>
        <v>0</v>
      </c>
      <c r="Z282" s="1">
        <f t="shared" ca="1" si="81"/>
        <v>0</v>
      </c>
      <c r="AA282" s="1">
        <f t="shared" ca="1" si="81"/>
        <v>1045.1434782608701</v>
      </c>
      <c r="AB282" s="1">
        <f t="shared" ca="1" si="81"/>
        <v>0</v>
      </c>
      <c r="AC282" s="1">
        <f t="shared" ca="1" si="81"/>
        <v>116.16735</v>
      </c>
      <c r="AD282" s="1">
        <f t="shared" ca="1" si="81"/>
        <v>116.16735</v>
      </c>
      <c r="AE282" s="1">
        <f t="shared" ca="1" si="81"/>
        <v>116.16735</v>
      </c>
      <c r="AF282" s="1">
        <f t="shared" ca="1" si="81"/>
        <v>116.16735</v>
      </c>
      <c r="AG282" s="1">
        <f t="shared" ca="1" si="81"/>
        <v>116.16735</v>
      </c>
      <c r="AH282" s="1">
        <f t="shared" ca="1" si="81"/>
        <v>151.01755500000002</v>
      </c>
      <c r="AI282" s="1">
        <f t="shared" ca="1" si="82"/>
        <v>116.16735</v>
      </c>
    </row>
    <row r="283" spans="2:35" x14ac:dyDescent="0.15">
      <c r="B283" s="1" t="str">
        <f t="shared" si="77"/>
        <v>僵尸系83</v>
      </c>
      <c r="C283" s="1">
        <f t="shared" si="67"/>
        <v>83</v>
      </c>
      <c r="D283" s="14" t="s">
        <v>92</v>
      </c>
      <c r="E283" s="14">
        <f t="shared" si="68"/>
        <v>3</v>
      </c>
      <c r="F283" s="1" t="str">
        <f t="shared" si="75"/>
        <v>黑暗</v>
      </c>
      <c r="H283" s="1">
        <f t="shared" ca="1" si="76"/>
        <v>3866.8605705904283</v>
      </c>
      <c r="I283" s="1">
        <f t="shared" ref="I283:R292" ca="1" si="83">mVlookup($C283,monsterBaseDate,I$2,FALSE)*(1+mVlookup($E283,monsterType,I$2,FALSE))</f>
        <v>100</v>
      </c>
      <c r="J283" s="1">
        <f t="shared" ca="1" si="83"/>
        <v>1692.080546218491</v>
      </c>
      <c r="K283" s="1">
        <f t="shared" ca="1" si="83"/>
        <v>117.584025</v>
      </c>
      <c r="L283" s="1">
        <f t="shared" ca="1" si="83"/>
        <v>2307.3825630252149</v>
      </c>
      <c r="M283" s="1">
        <f t="shared" ca="1" si="83"/>
        <v>117.584025</v>
      </c>
      <c r="N283" s="1">
        <f t="shared" ca="1" si="83"/>
        <v>0.2</v>
      </c>
      <c r="O283" s="1">
        <f t="shared" ca="1" si="83"/>
        <v>0.2</v>
      </c>
      <c r="P283" s="1">
        <f t="shared" ca="1" si="83"/>
        <v>0.36</v>
      </c>
      <c r="Q283" s="1">
        <f t="shared" ca="1" si="83"/>
        <v>0.1</v>
      </c>
      <c r="R283" s="1">
        <f t="shared" ca="1" si="83"/>
        <v>2.2000000000000002</v>
      </c>
      <c r="S283" s="1">
        <f t="shared" ref="S283:AH298" ca="1" si="84">mVlookup($C283,monsterBaseDate,S$2,FALSE)*(1+mVlookup($E283,monsterType,S$2,FALSE))</f>
        <v>0.1</v>
      </c>
      <c r="T283" s="1">
        <f t="shared" ca="1" si="84"/>
        <v>1.1700000000000002</v>
      </c>
      <c r="U283" s="1">
        <f t="shared" ca="1" si="84"/>
        <v>208.60666666666711</v>
      </c>
      <c r="V283" s="1">
        <f t="shared" ca="1" si="84"/>
        <v>0</v>
      </c>
      <c r="W283" s="1">
        <f t="shared" ca="1" si="84"/>
        <v>0</v>
      </c>
      <c r="X283" s="1">
        <f t="shared" ca="1" si="84"/>
        <v>0</v>
      </c>
      <c r="Y283" s="1">
        <f t="shared" ca="1" si="84"/>
        <v>0</v>
      </c>
      <c r="Z283" s="1">
        <f t="shared" ca="1" si="84"/>
        <v>0</v>
      </c>
      <c r="AA283" s="1">
        <f t="shared" ca="1" si="84"/>
        <v>1091.2407563025199</v>
      </c>
      <c r="AB283" s="1">
        <f t="shared" ca="1" si="81"/>
        <v>0</v>
      </c>
      <c r="AC283" s="1">
        <f t="shared" ca="1" si="84"/>
        <v>117.584025</v>
      </c>
      <c r="AD283" s="1">
        <f t="shared" ca="1" si="84"/>
        <v>117.584025</v>
      </c>
      <c r="AE283" s="1">
        <f t="shared" ca="1" si="84"/>
        <v>117.584025</v>
      </c>
      <c r="AF283" s="1">
        <f t="shared" ca="1" si="84"/>
        <v>117.584025</v>
      </c>
      <c r="AG283" s="1">
        <f t="shared" ca="1" si="84"/>
        <v>117.584025</v>
      </c>
      <c r="AH283" s="1">
        <f t="shared" ca="1" si="84"/>
        <v>152.85923249999999</v>
      </c>
      <c r="AI283" s="1">
        <f t="shared" ca="1" si="82"/>
        <v>117.584025</v>
      </c>
    </row>
    <row r="284" spans="2:35" x14ac:dyDescent="0.15">
      <c r="B284" s="1" t="str">
        <f t="shared" si="77"/>
        <v>僵尸系84</v>
      </c>
      <c r="C284" s="1">
        <f t="shared" si="67"/>
        <v>84</v>
      </c>
      <c r="D284" s="14" t="s">
        <v>92</v>
      </c>
      <c r="E284" s="14">
        <f t="shared" si="68"/>
        <v>3</v>
      </c>
      <c r="F284" s="1" t="str">
        <f t="shared" si="75"/>
        <v>黑暗</v>
      </c>
      <c r="H284" s="1">
        <f t="shared" ca="1" si="76"/>
        <v>3930.317567905895</v>
      </c>
      <c r="I284" s="1">
        <f t="shared" ca="1" si="83"/>
        <v>100</v>
      </c>
      <c r="J284" s="1">
        <f t="shared" ca="1" si="83"/>
        <v>1730.5988059701551</v>
      </c>
      <c r="K284" s="1">
        <f t="shared" ca="1" si="83"/>
        <v>119.00069999999999</v>
      </c>
      <c r="L284" s="1">
        <f t="shared" ca="1" si="83"/>
        <v>2359.9074626865749</v>
      </c>
      <c r="M284" s="1">
        <f t="shared" ca="1" si="83"/>
        <v>119.00069999999999</v>
      </c>
      <c r="N284" s="1">
        <f t="shared" ca="1" si="83"/>
        <v>0.2</v>
      </c>
      <c r="O284" s="1">
        <f t="shared" ca="1" si="83"/>
        <v>0.2</v>
      </c>
      <c r="P284" s="1">
        <f t="shared" ca="1" si="83"/>
        <v>0.36</v>
      </c>
      <c r="Q284" s="1">
        <f t="shared" ca="1" si="83"/>
        <v>0.1</v>
      </c>
      <c r="R284" s="1">
        <f t="shared" ca="1" si="83"/>
        <v>2.2000000000000002</v>
      </c>
      <c r="S284" s="1">
        <f t="shared" ca="1" si="84"/>
        <v>0.1</v>
      </c>
      <c r="T284" s="1">
        <f t="shared" ca="1" si="84"/>
        <v>1.1700000000000002</v>
      </c>
      <c r="U284" s="1">
        <f t="shared" ca="1" si="84"/>
        <v>211.12</v>
      </c>
      <c r="V284" s="1">
        <f t="shared" ca="1" si="84"/>
        <v>0</v>
      </c>
      <c r="W284" s="1">
        <f t="shared" ca="1" si="84"/>
        <v>0</v>
      </c>
      <c r="X284" s="1">
        <f t="shared" ca="1" si="84"/>
        <v>0</v>
      </c>
      <c r="Y284" s="1">
        <f t="shared" ca="1" si="84"/>
        <v>0</v>
      </c>
      <c r="Z284" s="1">
        <f t="shared" ca="1" si="84"/>
        <v>0</v>
      </c>
      <c r="AA284" s="1">
        <f t="shared" ca="1" si="84"/>
        <v>1139.26567164179</v>
      </c>
      <c r="AB284" s="1">
        <f t="shared" ca="1" si="81"/>
        <v>0</v>
      </c>
      <c r="AC284" s="1">
        <f t="shared" ca="1" si="84"/>
        <v>119.00069999999999</v>
      </c>
      <c r="AD284" s="1">
        <f t="shared" ca="1" si="84"/>
        <v>119.00069999999999</v>
      </c>
      <c r="AE284" s="1">
        <f t="shared" ca="1" si="84"/>
        <v>119.00069999999999</v>
      </c>
      <c r="AF284" s="1">
        <f t="shared" ca="1" si="84"/>
        <v>119.00069999999999</v>
      </c>
      <c r="AG284" s="1">
        <f t="shared" ca="1" si="84"/>
        <v>119.00069999999999</v>
      </c>
      <c r="AH284" s="1">
        <f t="shared" ca="1" si="84"/>
        <v>154.70090999999999</v>
      </c>
      <c r="AI284" s="1">
        <f t="shared" ca="1" si="82"/>
        <v>119.00069999999999</v>
      </c>
    </row>
    <row r="285" spans="2:35" x14ac:dyDescent="0.15">
      <c r="B285" s="1" t="str">
        <f t="shared" si="77"/>
        <v>僵尸系85</v>
      </c>
      <c r="C285" s="1">
        <f t="shared" si="67"/>
        <v>85</v>
      </c>
      <c r="D285" s="14" t="s">
        <v>92</v>
      </c>
      <c r="E285" s="14">
        <f t="shared" si="68"/>
        <v>3</v>
      </c>
      <c r="F285" s="1" t="str">
        <f t="shared" si="75"/>
        <v>黑暗</v>
      </c>
      <c r="H285" s="1">
        <f t="shared" ca="1" si="76"/>
        <v>3994.1761917866443</v>
      </c>
      <c r="I285" s="1">
        <f t="shared" ca="1" si="83"/>
        <v>100</v>
      </c>
      <c r="J285" s="1">
        <f t="shared" ca="1" si="83"/>
        <v>1769.973214285716</v>
      </c>
      <c r="K285" s="1">
        <f t="shared" ca="1" si="83"/>
        <v>120.41737500000001</v>
      </c>
      <c r="L285" s="1">
        <f t="shared" ca="1" si="83"/>
        <v>2413.5998376623397</v>
      </c>
      <c r="M285" s="1">
        <f t="shared" ca="1" si="83"/>
        <v>120.41737500000001</v>
      </c>
      <c r="N285" s="1">
        <f t="shared" ca="1" si="83"/>
        <v>0.2</v>
      </c>
      <c r="O285" s="1">
        <f t="shared" ca="1" si="83"/>
        <v>0.2</v>
      </c>
      <c r="P285" s="1">
        <f t="shared" ca="1" si="83"/>
        <v>0.36</v>
      </c>
      <c r="Q285" s="1">
        <f t="shared" ca="1" si="83"/>
        <v>0.1</v>
      </c>
      <c r="R285" s="1">
        <f t="shared" ca="1" si="83"/>
        <v>2.2000000000000002</v>
      </c>
      <c r="S285" s="1">
        <f t="shared" ca="1" si="84"/>
        <v>0.1</v>
      </c>
      <c r="T285" s="1">
        <f t="shared" ca="1" si="84"/>
        <v>1.1700000000000002</v>
      </c>
      <c r="U285" s="1">
        <f t="shared" ca="1" si="84"/>
        <v>213.6333333333329</v>
      </c>
      <c r="V285" s="1">
        <f t="shared" ca="1" si="84"/>
        <v>0</v>
      </c>
      <c r="W285" s="1">
        <f t="shared" ca="1" si="84"/>
        <v>0</v>
      </c>
      <c r="X285" s="1">
        <f t="shared" ca="1" si="84"/>
        <v>0</v>
      </c>
      <c r="Y285" s="1">
        <f t="shared" ca="1" si="84"/>
        <v>0</v>
      </c>
      <c r="Z285" s="1">
        <f t="shared" ca="1" si="84"/>
        <v>0</v>
      </c>
      <c r="AA285" s="1">
        <f t="shared" ca="1" si="84"/>
        <v>1189.3100649350699</v>
      </c>
      <c r="AB285" s="1">
        <f t="shared" ca="1" si="81"/>
        <v>0</v>
      </c>
      <c r="AC285" s="1">
        <f t="shared" ca="1" si="84"/>
        <v>120.41737500000001</v>
      </c>
      <c r="AD285" s="1">
        <f t="shared" ca="1" si="84"/>
        <v>120.41737500000001</v>
      </c>
      <c r="AE285" s="1">
        <f t="shared" ca="1" si="84"/>
        <v>120.41737500000001</v>
      </c>
      <c r="AF285" s="1">
        <f t="shared" ca="1" si="84"/>
        <v>120.41737500000001</v>
      </c>
      <c r="AG285" s="1">
        <f t="shared" ca="1" si="84"/>
        <v>120.41737500000001</v>
      </c>
      <c r="AH285" s="1">
        <f t="shared" ca="1" si="84"/>
        <v>156.54258750000002</v>
      </c>
      <c r="AI285" s="1">
        <f t="shared" ca="1" si="82"/>
        <v>120.41737500000001</v>
      </c>
    </row>
    <row r="286" spans="2:35" x14ac:dyDescent="0.15">
      <c r="B286" s="1" t="str">
        <f t="shared" si="77"/>
        <v>僵尸系86</v>
      </c>
      <c r="C286" s="1">
        <f t="shared" si="67"/>
        <v>86</v>
      </c>
      <c r="D286" s="14" t="s">
        <v>92</v>
      </c>
      <c r="E286" s="14">
        <f t="shared" si="68"/>
        <v>3</v>
      </c>
      <c r="F286" s="1" t="str">
        <f t="shared" si="75"/>
        <v>黑暗</v>
      </c>
      <c r="H286" s="1">
        <f t="shared" ca="1" si="76"/>
        <v>4058.4364422326857</v>
      </c>
      <c r="I286" s="1">
        <f t="shared" ca="1" si="83"/>
        <v>100</v>
      </c>
      <c r="J286" s="1">
        <f t="shared" ca="1" si="83"/>
        <v>1810.2385714285731</v>
      </c>
      <c r="K286" s="1">
        <f t="shared" ca="1" si="83"/>
        <v>121.83405</v>
      </c>
      <c r="L286" s="1">
        <f t="shared" ca="1" si="83"/>
        <v>2468.507142857145</v>
      </c>
      <c r="M286" s="1">
        <f t="shared" ca="1" si="83"/>
        <v>121.83405</v>
      </c>
      <c r="N286" s="1">
        <f t="shared" ca="1" si="83"/>
        <v>0.2</v>
      </c>
      <c r="O286" s="1">
        <f t="shared" ca="1" si="83"/>
        <v>0.2</v>
      </c>
      <c r="P286" s="1">
        <f t="shared" ca="1" si="83"/>
        <v>0.36</v>
      </c>
      <c r="Q286" s="1">
        <f t="shared" ca="1" si="83"/>
        <v>0.1</v>
      </c>
      <c r="R286" s="1">
        <f t="shared" ca="1" si="83"/>
        <v>2.2000000000000002</v>
      </c>
      <c r="S286" s="1">
        <f t="shared" ca="1" si="84"/>
        <v>0.1</v>
      </c>
      <c r="T286" s="1">
        <f t="shared" ca="1" si="84"/>
        <v>1.1700000000000002</v>
      </c>
      <c r="U286" s="1">
        <f t="shared" ca="1" si="84"/>
        <v>216.1466666666671</v>
      </c>
      <c r="V286" s="1">
        <f t="shared" ca="1" si="84"/>
        <v>0</v>
      </c>
      <c r="W286" s="1">
        <f t="shared" ca="1" si="84"/>
        <v>0</v>
      </c>
      <c r="X286" s="1">
        <f t="shared" ca="1" si="84"/>
        <v>0</v>
      </c>
      <c r="Y286" s="1">
        <f t="shared" ca="1" si="84"/>
        <v>0</v>
      </c>
      <c r="Z286" s="1">
        <f t="shared" ca="1" si="84"/>
        <v>0</v>
      </c>
      <c r="AA286" s="1">
        <f t="shared" ca="1" si="84"/>
        <v>1241.4714285714299</v>
      </c>
      <c r="AB286" s="1">
        <f t="shared" ca="1" si="81"/>
        <v>0</v>
      </c>
      <c r="AC286" s="1">
        <f t="shared" ca="1" si="84"/>
        <v>121.83405</v>
      </c>
      <c r="AD286" s="1">
        <f t="shared" ca="1" si="84"/>
        <v>121.83405</v>
      </c>
      <c r="AE286" s="1">
        <f t="shared" ca="1" si="84"/>
        <v>121.83405</v>
      </c>
      <c r="AF286" s="1">
        <f t="shared" ca="1" si="84"/>
        <v>121.83405</v>
      </c>
      <c r="AG286" s="1">
        <f t="shared" ca="1" si="84"/>
        <v>121.83405</v>
      </c>
      <c r="AH286" s="1">
        <f t="shared" ca="1" si="84"/>
        <v>158.384265</v>
      </c>
      <c r="AI286" s="1">
        <f t="shared" ca="1" si="82"/>
        <v>121.83405</v>
      </c>
    </row>
    <row r="287" spans="2:35" x14ac:dyDescent="0.15">
      <c r="B287" s="1" t="str">
        <f t="shared" si="77"/>
        <v>僵尸系87</v>
      </c>
      <c r="C287" s="1">
        <f t="shared" si="67"/>
        <v>87</v>
      </c>
      <c r="D287" s="14" t="s">
        <v>92</v>
      </c>
      <c r="E287" s="14">
        <f t="shared" si="68"/>
        <v>3</v>
      </c>
      <c r="F287" s="1" t="str">
        <f t="shared" si="75"/>
        <v>黑暗</v>
      </c>
      <c r="H287" s="1">
        <f t="shared" ca="1" si="76"/>
        <v>4123.0983192440099</v>
      </c>
      <c r="I287" s="1">
        <f t="shared" ca="1" si="83"/>
        <v>100</v>
      </c>
      <c r="J287" s="1">
        <f t="shared" ca="1" si="83"/>
        <v>1851.431852678573</v>
      </c>
      <c r="K287" s="1">
        <f t="shared" ca="1" si="83"/>
        <v>123.250725</v>
      </c>
      <c r="L287" s="1">
        <f t="shared" ca="1" si="83"/>
        <v>2524.6797991071448</v>
      </c>
      <c r="M287" s="1">
        <f t="shared" ca="1" si="83"/>
        <v>123.250725</v>
      </c>
      <c r="N287" s="1">
        <f t="shared" ca="1" si="83"/>
        <v>0.2</v>
      </c>
      <c r="O287" s="1">
        <f t="shared" ca="1" si="83"/>
        <v>0.2</v>
      </c>
      <c r="P287" s="1">
        <f t="shared" ca="1" si="83"/>
        <v>0.36</v>
      </c>
      <c r="Q287" s="1">
        <f t="shared" ca="1" si="83"/>
        <v>0.1</v>
      </c>
      <c r="R287" s="1">
        <f t="shared" ca="1" si="83"/>
        <v>2.2000000000000002</v>
      </c>
      <c r="S287" s="1">
        <f t="shared" ca="1" si="84"/>
        <v>0.1</v>
      </c>
      <c r="T287" s="1">
        <f t="shared" ca="1" si="84"/>
        <v>1.1700000000000002</v>
      </c>
      <c r="U287" s="1">
        <f t="shared" ca="1" si="84"/>
        <v>218.66</v>
      </c>
      <c r="V287" s="1">
        <f t="shared" ca="1" si="84"/>
        <v>0</v>
      </c>
      <c r="W287" s="1">
        <f t="shared" ca="1" si="84"/>
        <v>0</v>
      </c>
      <c r="X287" s="1">
        <f t="shared" ca="1" si="84"/>
        <v>0</v>
      </c>
      <c r="Y287" s="1">
        <f t="shared" ca="1" si="84"/>
        <v>0</v>
      </c>
      <c r="Z287" s="1">
        <f t="shared" ca="1" si="84"/>
        <v>0</v>
      </c>
      <c r="AA287" s="1">
        <f t="shared" ca="1" si="84"/>
        <v>1295.85334821429</v>
      </c>
      <c r="AB287" s="1">
        <f t="shared" ca="1" si="81"/>
        <v>0</v>
      </c>
      <c r="AC287" s="1">
        <f t="shared" ca="1" si="84"/>
        <v>123.250725</v>
      </c>
      <c r="AD287" s="1">
        <f t="shared" ca="1" si="84"/>
        <v>123.250725</v>
      </c>
      <c r="AE287" s="1">
        <f t="shared" ca="1" si="84"/>
        <v>123.250725</v>
      </c>
      <c r="AF287" s="1">
        <f t="shared" ca="1" si="84"/>
        <v>123.250725</v>
      </c>
      <c r="AG287" s="1">
        <f t="shared" ca="1" si="84"/>
        <v>123.250725</v>
      </c>
      <c r="AH287" s="1">
        <f t="shared" ca="1" si="84"/>
        <v>160.2259425</v>
      </c>
      <c r="AI287" s="1">
        <f t="shared" ca="1" si="82"/>
        <v>123.250725</v>
      </c>
    </row>
    <row r="288" spans="2:35" x14ac:dyDescent="0.15">
      <c r="B288" s="1" t="str">
        <f t="shared" si="77"/>
        <v>僵尸系88</v>
      </c>
      <c r="C288" s="1">
        <f t="shared" si="67"/>
        <v>88</v>
      </c>
      <c r="D288" s="14" t="s">
        <v>92</v>
      </c>
      <c r="E288" s="14">
        <f t="shared" si="68"/>
        <v>3</v>
      </c>
      <c r="F288" s="1" t="str">
        <f t="shared" si="75"/>
        <v>黑暗</v>
      </c>
      <c r="H288" s="1">
        <f t="shared" ca="1" si="76"/>
        <v>4188.161822820628</v>
      </c>
      <c r="I288" s="1">
        <f t="shared" ca="1" si="83"/>
        <v>100</v>
      </c>
      <c r="J288" s="1">
        <f t="shared" ca="1" si="83"/>
        <v>1893.5923809523822</v>
      </c>
      <c r="K288" s="1">
        <f t="shared" ca="1" si="83"/>
        <v>124.6674</v>
      </c>
      <c r="L288" s="1">
        <f t="shared" ca="1" si="83"/>
        <v>2582.1714285714302</v>
      </c>
      <c r="M288" s="1">
        <f t="shared" ca="1" si="83"/>
        <v>124.6674</v>
      </c>
      <c r="N288" s="1">
        <f t="shared" ca="1" si="83"/>
        <v>0.2</v>
      </c>
      <c r="O288" s="1">
        <f t="shared" ca="1" si="83"/>
        <v>0.2</v>
      </c>
      <c r="P288" s="1">
        <f t="shared" ca="1" si="83"/>
        <v>0.36</v>
      </c>
      <c r="Q288" s="1">
        <f t="shared" ca="1" si="83"/>
        <v>0.1</v>
      </c>
      <c r="R288" s="1">
        <f t="shared" ca="1" si="83"/>
        <v>2.2000000000000002</v>
      </c>
      <c r="S288" s="1">
        <f t="shared" ca="1" si="84"/>
        <v>0.1</v>
      </c>
      <c r="T288" s="1">
        <f t="shared" ca="1" si="84"/>
        <v>1.1700000000000002</v>
      </c>
      <c r="U288" s="1">
        <f t="shared" ca="1" si="84"/>
        <v>221.17333333333292</v>
      </c>
      <c r="V288" s="1">
        <f t="shared" ca="1" si="84"/>
        <v>0</v>
      </c>
      <c r="W288" s="1">
        <f t="shared" ca="1" si="84"/>
        <v>0</v>
      </c>
      <c r="X288" s="1">
        <f t="shared" ca="1" si="84"/>
        <v>0</v>
      </c>
      <c r="Y288" s="1">
        <f t="shared" ca="1" si="84"/>
        <v>0</v>
      </c>
      <c r="Z288" s="1">
        <f t="shared" ca="1" si="84"/>
        <v>0</v>
      </c>
      <c r="AA288" s="1">
        <f t="shared" ca="1" si="84"/>
        <v>1352.56598639456</v>
      </c>
      <c r="AB288" s="1">
        <f t="shared" ca="1" si="81"/>
        <v>0</v>
      </c>
      <c r="AC288" s="1">
        <f t="shared" ca="1" si="84"/>
        <v>124.6674</v>
      </c>
      <c r="AD288" s="1">
        <f t="shared" ca="1" si="84"/>
        <v>124.6674</v>
      </c>
      <c r="AE288" s="1">
        <f t="shared" ca="1" si="84"/>
        <v>124.6674</v>
      </c>
      <c r="AF288" s="1">
        <f t="shared" ca="1" si="84"/>
        <v>124.6674</v>
      </c>
      <c r="AG288" s="1">
        <f t="shared" ca="1" si="84"/>
        <v>124.6674</v>
      </c>
      <c r="AH288" s="1">
        <f t="shared" ca="1" si="84"/>
        <v>162.06762000000001</v>
      </c>
      <c r="AI288" s="1">
        <f t="shared" ca="1" si="82"/>
        <v>124.6674</v>
      </c>
    </row>
    <row r="289" spans="2:35" x14ac:dyDescent="0.15">
      <c r="B289" s="1" t="str">
        <f t="shared" si="77"/>
        <v>僵尸系89</v>
      </c>
      <c r="C289" s="1">
        <f t="shared" si="67"/>
        <v>89</v>
      </c>
      <c r="D289" s="14" t="s">
        <v>92</v>
      </c>
      <c r="E289" s="14">
        <f t="shared" si="68"/>
        <v>3</v>
      </c>
      <c r="F289" s="1" t="str">
        <f t="shared" si="75"/>
        <v>黑暗</v>
      </c>
      <c r="H289" s="1">
        <f t="shared" ca="1" si="76"/>
        <v>4478.9748426467968</v>
      </c>
      <c r="I289" s="1">
        <f t="shared" ca="1" si="83"/>
        <v>100</v>
      </c>
      <c r="J289" s="1">
        <f t="shared" ca="1" si="83"/>
        <v>1936.762016129039</v>
      </c>
      <c r="K289" s="1">
        <f t="shared" ca="1" si="83"/>
        <v>126.084075</v>
      </c>
      <c r="L289" s="1">
        <f t="shared" ca="1" si="83"/>
        <v>2641.039112903235</v>
      </c>
      <c r="M289" s="1">
        <f t="shared" ca="1" si="83"/>
        <v>126.084075</v>
      </c>
      <c r="N289" s="1">
        <f t="shared" ca="1" si="83"/>
        <v>0.2</v>
      </c>
      <c r="O289" s="1">
        <f t="shared" ca="1" si="83"/>
        <v>0.2</v>
      </c>
      <c r="P289" s="1">
        <f t="shared" ca="1" si="83"/>
        <v>0.36</v>
      </c>
      <c r="Q289" s="1">
        <f t="shared" ca="1" si="83"/>
        <v>0.1</v>
      </c>
      <c r="R289" s="1">
        <f t="shared" ca="1" si="83"/>
        <v>2.2000000000000002</v>
      </c>
      <c r="S289" s="1">
        <f t="shared" ca="1" si="84"/>
        <v>0.1</v>
      </c>
      <c r="T289" s="1">
        <f t="shared" ca="1" si="84"/>
        <v>1.1700000000000002</v>
      </c>
      <c r="U289" s="1">
        <f t="shared" ca="1" si="84"/>
        <v>223.68666666666712</v>
      </c>
      <c r="V289" s="1">
        <f t="shared" ca="1" si="84"/>
        <v>0</v>
      </c>
      <c r="W289" s="1">
        <f t="shared" ca="1" si="84"/>
        <v>0</v>
      </c>
      <c r="X289" s="1">
        <f t="shared" ca="1" si="84"/>
        <v>0</v>
      </c>
      <c r="Y289" s="1">
        <f t="shared" ca="1" si="84"/>
        <v>0</v>
      </c>
      <c r="Z289" s="1">
        <f t="shared" ca="1" si="84"/>
        <v>0</v>
      </c>
      <c r="AA289" s="1">
        <f t="shared" ca="1" si="84"/>
        <v>1411.72661290323</v>
      </c>
      <c r="AB289" s="1">
        <f t="shared" ca="1" si="84"/>
        <v>0</v>
      </c>
      <c r="AC289" s="1">
        <f t="shared" ca="1" si="84"/>
        <v>126.084075</v>
      </c>
      <c r="AD289" s="1">
        <f t="shared" ca="1" si="84"/>
        <v>126.084075</v>
      </c>
      <c r="AE289" s="1">
        <f t="shared" ca="1" si="84"/>
        <v>126.084075</v>
      </c>
      <c r="AF289" s="1">
        <f t="shared" ca="1" si="84"/>
        <v>126.084075</v>
      </c>
      <c r="AG289" s="1">
        <f t="shared" ca="1" si="84"/>
        <v>126.084075</v>
      </c>
      <c r="AH289" s="1">
        <f t="shared" ca="1" si="84"/>
        <v>163.90929750000001</v>
      </c>
      <c r="AI289" s="1">
        <f t="shared" ca="1" si="82"/>
        <v>126.084075</v>
      </c>
    </row>
    <row r="290" spans="2:35" x14ac:dyDescent="0.15">
      <c r="B290" s="1" t="str">
        <f t="shared" si="77"/>
        <v>僵尸系90</v>
      </c>
      <c r="C290" s="1">
        <f t="shared" si="67"/>
        <v>90</v>
      </c>
      <c r="D290" s="14" t="s">
        <v>92</v>
      </c>
      <c r="E290" s="14">
        <f t="shared" si="68"/>
        <v>3</v>
      </c>
      <c r="F290" s="1" t="str">
        <f t="shared" si="75"/>
        <v>黑暗</v>
      </c>
      <c r="H290" s="1">
        <f t="shared" ca="1" si="76"/>
        <v>4548.3310766373652</v>
      </c>
      <c r="I290" s="1">
        <f t="shared" ca="1" si="83"/>
        <v>100</v>
      </c>
      <c r="J290" s="1">
        <f t="shared" ca="1" si="83"/>
        <v>1980.9853629976631</v>
      </c>
      <c r="K290" s="1">
        <f t="shared" ca="1" si="83"/>
        <v>127.50075</v>
      </c>
      <c r="L290" s="1">
        <f t="shared" ca="1" si="83"/>
        <v>2701.343676814995</v>
      </c>
      <c r="M290" s="1">
        <f t="shared" ca="1" si="83"/>
        <v>127.50075</v>
      </c>
      <c r="N290" s="1">
        <f t="shared" ca="1" si="83"/>
        <v>0.2</v>
      </c>
      <c r="O290" s="1">
        <f t="shared" ca="1" si="83"/>
        <v>0.2</v>
      </c>
      <c r="P290" s="1">
        <f t="shared" ca="1" si="83"/>
        <v>0.36</v>
      </c>
      <c r="Q290" s="1">
        <f t="shared" ca="1" si="83"/>
        <v>0.1</v>
      </c>
      <c r="R290" s="1">
        <f t="shared" ca="1" si="83"/>
        <v>2.2000000000000002</v>
      </c>
      <c r="S290" s="1">
        <f t="shared" ca="1" si="84"/>
        <v>0.1</v>
      </c>
      <c r="T290" s="1">
        <f t="shared" ca="1" si="84"/>
        <v>1.1700000000000002</v>
      </c>
      <c r="U290" s="1">
        <f t="shared" ca="1" si="84"/>
        <v>226.20000000000002</v>
      </c>
      <c r="V290" s="1">
        <f t="shared" ca="1" si="84"/>
        <v>0</v>
      </c>
      <c r="W290" s="1">
        <f t="shared" ca="1" si="84"/>
        <v>0</v>
      </c>
      <c r="X290" s="1">
        <f t="shared" ca="1" si="84"/>
        <v>0</v>
      </c>
      <c r="Y290" s="1">
        <f t="shared" ca="1" si="84"/>
        <v>0</v>
      </c>
      <c r="Z290" s="1">
        <f t="shared" ca="1" si="84"/>
        <v>0</v>
      </c>
      <c r="AA290" s="1">
        <f t="shared" ca="1" si="84"/>
        <v>1473.4601873536301</v>
      </c>
      <c r="AB290" s="1">
        <f t="shared" ca="1" si="84"/>
        <v>0</v>
      </c>
      <c r="AC290" s="1">
        <f t="shared" ca="1" si="84"/>
        <v>127.50075</v>
      </c>
      <c r="AD290" s="1">
        <f t="shared" ca="1" si="84"/>
        <v>127.50075</v>
      </c>
      <c r="AE290" s="1">
        <f t="shared" ca="1" si="84"/>
        <v>127.50075</v>
      </c>
      <c r="AF290" s="1">
        <f t="shared" ca="1" si="84"/>
        <v>127.50075</v>
      </c>
      <c r="AG290" s="1">
        <f t="shared" ca="1" si="84"/>
        <v>127.50075</v>
      </c>
      <c r="AH290" s="1">
        <f t="shared" ca="1" si="84"/>
        <v>165.75097500000001</v>
      </c>
      <c r="AI290" s="1">
        <f t="shared" ca="1" si="82"/>
        <v>127.50075</v>
      </c>
    </row>
    <row r="291" spans="2:35" x14ac:dyDescent="0.15">
      <c r="B291" s="1" t="str">
        <f t="shared" si="77"/>
        <v>僵尸系91</v>
      </c>
      <c r="C291" s="1">
        <f t="shared" si="67"/>
        <v>91</v>
      </c>
      <c r="D291" s="14" t="s">
        <v>92</v>
      </c>
      <c r="E291" s="14">
        <f t="shared" si="68"/>
        <v>3</v>
      </c>
      <c r="F291" s="1" t="str">
        <f t="shared" si="75"/>
        <v>黑暗</v>
      </c>
      <c r="H291" s="1">
        <f t="shared" ca="1" si="76"/>
        <v>4618.1102144937186</v>
      </c>
      <c r="I291" s="1">
        <f t="shared" ca="1" si="83"/>
        <v>100</v>
      </c>
      <c r="J291" s="1">
        <f t="shared" ca="1" si="83"/>
        <v>2026.3100000000002</v>
      </c>
      <c r="K291" s="1">
        <f t="shared" ca="1" si="83"/>
        <v>128.91742500000001</v>
      </c>
      <c r="L291" s="1">
        <f t="shared" ca="1" si="83"/>
        <v>2763.1499999999996</v>
      </c>
      <c r="M291" s="1">
        <f t="shared" ca="1" si="83"/>
        <v>128.91742500000001</v>
      </c>
      <c r="N291" s="1">
        <f t="shared" ca="1" si="83"/>
        <v>0.2</v>
      </c>
      <c r="O291" s="1">
        <f t="shared" ca="1" si="83"/>
        <v>0.2</v>
      </c>
      <c r="P291" s="1">
        <f t="shared" ca="1" si="83"/>
        <v>0.36</v>
      </c>
      <c r="Q291" s="1">
        <f t="shared" ca="1" si="83"/>
        <v>0.1</v>
      </c>
      <c r="R291" s="1">
        <f t="shared" ca="1" si="83"/>
        <v>2.2000000000000002</v>
      </c>
      <c r="S291" s="1">
        <f t="shared" ca="1" si="84"/>
        <v>0.1</v>
      </c>
      <c r="T291" s="1">
        <f t="shared" ca="1" si="84"/>
        <v>1.1700000000000002</v>
      </c>
      <c r="U291" s="1">
        <f t="shared" ca="1" si="84"/>
        <v>228.71333333333291</v>
      </c>
      <c r="V291" s="1">
        <f t="shared" ca="1" si="84"/>
        <v>0</v>
      </c>
      <c r="W291" s="1">
        <f t="shared" ca="1" si="84"/>
        <v>0</v>
      </c>
      <c r="X291" s="1">
        <f t="shared" ca="1" si="84"/>
        <v>0</v>
      </c>
      <c r="Y291" s="1">
        <f t="shared" ca="1" si="84"/>
        <v>0</v>
      </c>
      <c r="Z291" s="1">
        <f t="shared" ca="1" si="84"/>
        <v>0</v>
      </c>
      <c r="AA291" s="1">
        <f t="shared" ca="1" si="84"/>
        <v>1537.9</v>
      </c>
      <c r="AB291" s="1">
        <f t="shared" ca="1" si="84"/>
        <v>0</v>
      </c>
      <c r="AC291" s="1">
        <f t="shared" ca="1" si="84"/>
        <v>128.91742500000001</v>
      </c>
      <c r="AD291" s="1">
        <f t="shared" ca="1" si="84"/>
        <v>128.91742500000001</v>
      </c>
      <c r="AE291" s="1">
        <f t="shared" ca="1" si="84"/>
        <v>128.91742500000001</v>
      </c>
      <c r="AF291" s="1">
        <f t="shared" ca="1" si="84"/>
        <v>128.91742500000001</v>
      </c>
      <c r="AG291" s="1">
        <f t="shared" ca="1" si="84"/>
        <v>128.91742500000001</v>
      </c>
      <c r="AH291" s="1">
        <f t="shared" ca="1" si="84"/>
        <v>167.59265250000001</v>
      </c>
      <c r="AI291" s="1">
        <f t="shared" ca="1" si="82"/>
        <v>128.91742500000001</v>
      </c>
    </row>
    <row r="292" spans="2:35" x14ac:dyDescent="0.15">
      <c r="B292" s="1" t="str">
        <f t="shared" si="77"/>
        <v>僵尸系92</v>
      </c>
      <c r="C292" s="1">
        <f t="shared" si="67"/>
        <v>92</v>
      </c>
      <c r="D292" s="14" t="s">
        <v>92</v>
      </c>
      <c r="E292" s="14">
        <f t="shared" si="68"/>
        <v>3</v>
      </c>
      <c r="F292" s="1" t="str">
        <f t="shared" si="75"/>
        <v>黑暗</v>
      </c>
      <c r="H292" s="1">
        <f t="shared" ca="1" si="76"/>
        <v>4688.3122562158778</v>
      </c>
      <c r="I292" s="1">
        <f t="shared" ca="1" si="83"/>
        <v>100</v>
      </c>
      <c r="J292" s="1">
        <f t="shared" ca="1" si="83"/>
        <v>2072.7867312348681</v>
      </c>
      <c r="K292" s="1">
        <f t="shared" ca="1" si="83"/>
        <v>130.33410000000001</v>
      </c>
      <c r="L292" s="1">
        <f t="shared" ca="1" si="83"/>
        <v>2826.52736077482</v>
      </c>
      <c r="M292" s="1">
        <f t="shared" ca="1" si="83"/>
        <v>130.33410000000001</v>
      </c>
      <c r="N292" s="1">
        <f t="shared" ca="1" si="83"/>
        <v>0.2</v>
      </c>
      <c r="O292" s="1">
        <f t="shared" ca="1" si="83"/>
        <v>0.2</v>
      </c>
      <c r="P292" s="1">
        <f t="shared" ca="1" si="83"/>
        <v>0.36</v>
      </c>
      <c r="Q292" s="1">
        <f t="shared" ca="1" si="83"/>
        <v>0.1</v>
      </c>
      <c r="R292" s="1">
        <f t="shared" ca="1" si="83"/>
        <v>2.2000000000000002</v>
      </c>
      <c r="S292" s="1">
        <f t="shared" ca="1" si="84"/>
        <v>0.1</v>
      </c>
      <c r="T292" s="1">
        <f t="shared" ca="1" si="84"/>
        <v>1.1700000000000002</v>
      </c>
      <c r="U292" s="1">
        <f t="shared" ca="1" si="84"/>
        <v>231.22666666666709</v>
      </c>
      <c r="V292" s="1">
        <f t="shared" ca="1" si="84"/>
        <v>0</v>
      </c>
      <c r="W292" s="1">
        <f t="shared" ca="1" si="84"/>
        <v>0</v>
      </c>
      <c r="X292" s="1">
        <f t="shared" ca="1" si="84"/>
        <v>0</v>
      </c>
      <c r="Y292" s="1">
        <f t="shared" ca="1" si="84"/>
        <v>0</v>
      </c>
      <c r="Z292" s="1">
        <f t="shared" ca="1" si="84"/>
        <v>0</v>
      </c>
      <c r="AA292" s="1">
        <f t="shared" ca="1" si="84"/>
        <v>1605.18837772397</v>
      </c>
      <c r="AB292" s="1">
        <f t="shared" ca="1" si="84"/>
        <v>0</v>
      </c>
      <c r="AC292" s="1">
        <f t="shared" ca="1" si="84"/>
        <v>130.33410000000001</v>
      </c>
      <c r="AD292" s="1">
        <f t="shared" ca="1" si="84"/>
        <v>130.33410000000001</v>
      </c>
      <c r="AE292" s="1">
        <f t="shared" ca="1" si="84"/>
        <v>130.33410000000001</v>
      </c>
      <c r="AF292" s="1">
        <f t="shared" ca="1" si="84"/>
        <v>130.33410000000001</v>
      </c>
      <c r="AG292" s="1">
        <f t="shared" ca="1" si="84"/>
        <v>130.33410000000001</v>
      </c>
      <c r="AH292" s="1">
        <f t="shared" ca="1" si="84"/>
        <v>169.43433000000002</v>
      </c>
      <c r="AI292" s="1">
        <f t="shared" ca="1" si="82"/>
        <v>130.33410000000001</v>
      </c>
    </row>
    <row r="293" spans="2:35" x14ac:dyDescent="0.15">
      <c r="B293" s="1" t="str">
        <f t="shared" si="77"/>
        <v>僵尸系93</v>
      </c>
      <c r="C293" s="1">
        <f t="shared" si="67"/>
        <v>93</v>
      </c>
      <c r="D293" s="14" t="s">
        <v>92</v>
      </c>
      <c r="E293" s="14">
        <f t="shared" si="68"/>
        <v>3</v>
      </c>
      <c r="F293" s="1" t="str">
        <f t="shared" si="75"/>
        <v>黑暗</v>
      </c>
      <c r="H293" s="1">
        <f t="shared" ca="1" si="76"/>
        <v>4758.9372018038312</v>
      </c>
      <c r="I293" s="1">
        <f t="shared" ref="I293:R302" ca="1" si="85">mVlookup($C293,monsterBaseDate,I$2,FALSE)*(1+mVlookup($E293,monsterType,I$2,FALSE))</f>
        <v>100</v>
      </c>
      <c r="J293" s="1">
        <f t="shared" ca="1" si="85"/>
        <v>2120.4698645320191</v>
      </c>
      <c r="K293" s="1">
        <f t="shared" ca="1" si="85"/>
        <v>131.750775</v>
      </c>
      <c r="L293" s="1">
        <f t="shared" ca="1" si="85"/>
        <v>2891.5498152709351</v>
      </c>
      <c r="M293" s="1">
        <f t="shared" ca="1" si="85"/>
        <v>131.750775</v>
      </c>
      <c r="N293" s="1">
        <f t="shared" ca="1" si="85"/>
        <v>0.2</v>
      </c>
      <c r="O293" s="1">
        <f t="shared" ca="1" si="85"/>
        <v>0.2</v>
      </c>
      <c r="P293" s="1">
        <f t="shared" ca="1" si="85"/>
        <v>0.36</v>
      </c>
      <c r="Q293" s="1">
        <f t="shared" ca="1" si="85"/>
        <v>0.1</v>
      </c>
      <c r="R293" s="1">
        <f t="shared" ca="1" si="85"/>
        <v>2.2000000000000002</v>
      </c>
      <c r="S293" s="1">
        <f t="shared" ref="S293:AH308" ca="1" si="86">mVlookup($C293,monsterBaseDate,S$2,FALSE)*(1+mVlookup($E293,monsterType,S$2,FALSE))</f>
        <v>0.1</v>
      </c>
      <c r="T293" s="1">
        <f t="shared" ca="1" si="86"/>
        <v>1.1700000000000002</v>
      </c>
      <c r="U293" s="1">
        <f t="shared" ca="1" si="86"/>
        <v>233.74</v>
      </c>
      <c r="V293" s="1">
        <f t="shared" ca="1" si="86"/>
        <v>0</v>
      </c>
      <c r="W293" s="1">
        <f t="shared" ca="1" si="86"/>
        <v>0</v>
      </c>
      <c r="X293" s="1">
        <f t="shared" ca="1" si="86"/>
        <v>0</v>
      </c>
      <c r="Y293" s="1">
        <f t="shared" ca="1" si="86"/>
        <v>0</v>
      </c>
      <c r="Z293" s="1">
        <f t="shared" ca="1" si="86"/>
        <v>0</v>
      </c>
      <c r="AA293" s="1">
        <f t="shared" ca="1" si="86"/>
        <v>1675.4774630541899</v>
      </c>
      <c r="AB293" s="1">
        <f t="shared" ca="1" si="84"/>
        <v>0</v>
      </c>
      <c r="AC293" s="1">
        <f t="shared" ca="1" si="86"/>
        <v>131.750775</v>
      </c>
      <c r="AD293" s="1">
        <f t="shared" ca="1" si="86"/>
        <v>131.750775</v>
      </c>
      <c r="AE293" s="1">
        <f t="shared" ca="1" si="86"/>
        <v>131.750775</v>
      </c>
      <c r="AF293" s="1">
        <f t="shared" ca="1" si="86"/>
        <v>131.750775</v>
      </c>
      <c r="AG293" s="1">
        <f t="shared" ca="1" si="86"/>
        <v>131.750775</v>
      </c>
      <c r="AH293" s="1">
        <f t="shared" ca="1" si="86"/>
        <v>171.27600750000002</v>
      </c>
      <c r="AI293" s="1">
        <f t="shared" ca="1" si="82"/>
        <v>131.750775</v>
      </c>
    </row>
    <row r="294" spans="2:35" x14ac:dyDescent="0.15">
      <c r="B294" s="1" t="str">
        <f t="shared" si="77"/>
        <v>僵尸系94</v>
      </c>
      <c r="C294" s="1">
        <f t="shared" si="67"/>
        <v>94</v>
      </c>
      <c r="D294" s="14" t="s">
        <v>92</v>
      </c>
      <c r="E294" s="14">
        <f t="shared" si="68"/>
        <v>3</v>
      </c>
      <c r="F294" s="1" t="str">
        <f t="shared" si="75"/>
        <v>黑暗</v>
      </c>
      <c r="H294" s="1">
        <f t="shared" ca="1" si="76"/>
        <v>4829.9850512575804</v>
      </c>
      <c r="I294" s="1">
        <f t="shared" ca="1" si="85"/>
        <v>100</v>
      </c>
      <c r="J294" s="1">
        <f t="shared" ca="1" si="85"/>
        <v>2169.4175187970013</v>
      </c>
      <c r="K294" s="1">
        <f t="shared" ca="1" si="85"/>
        <v>133.16745</v>
      </c>
      <c r="L294" s="1">
        <f t="shared" ca="1" si="85"/>
        <v>2958.296616541365</v>
      </c>
      <c r="M294" s="1">
        <f t="shared" ca="1" si="85"/>
        <v>133.16745</v>
      </c>
      <c r="N294" s="1">
        <f t="shared" ca="1" si="85"/>
        <v>0.2</v>
      </c>
      <c r="O294" s="1">
        <f t="shared" ca="1" si="85"/>
        <v>0.2</v>
      </c>
      <c r="P294" s="1">
        <f t="shared" ca="1" si="85"/>
        <v>0.36</v>
      </c>
      <c r="Q294" s="1">
        <f t="shared" ca="1" si="85"/>
        <v>0.1</v>
      </c>
      <c r="R294" s="1">
        <f t="shared" ca="1" si="85"/>
        <v>2.2000000000000002</v>
      </c>
      <c r="S294" s="1">
        <f t="shared" ca="1" si="86"/>
        <v>0.1</v>
      </c>
      <c r="T294" s="1">
        <f t="shared" ca="1" si="86"/>
        <v>1.1700000000000002</v>
      </c>
      <c r="U294" s="1">
        <f t="shared" ca="1" si="86"/>
        <v>236.2533333333329</v>
      </c>
      <c r="V294" s="1">
        <f t="shared" ca="1" si="86"/>
        <v>0</v>
      </c>
      <c r="W294" s="1">
        <f t="shared" ca="1" si="86"/>
        <v>0</v>
      </c>
      <c r="X294" s="1">
        <f t="shared" ca="1" si="86"/>
        <v>0</v>
      </c>
      <c r="Y294" s="1">
        <f t="shared" ca="1" si="86"/>
        <v>0</v>
      </c>
      <c r="Z294" s="1">
        <f t="shared" ca="1" si="86"/>
        <v>0</v>
      </c>
      <c r="AA294" s="1">
        <f t="shared" ca="1" si="86"/>
        <v>1748.93007518797</v>
      </c>
      <c r="AB294" s="1">
        <f t="shared" ca="1" si="84"/>
        <v>0</v>
      </c>
      <c r="AC294" s="1">
        <f t="shared" ca="1" si="86"/>
        <v>133.16745</v>
      </c>
      <c r="AD294" s="1">
        <f t="shared" ca="1" si="86"/>
        <v>133.16745</v>
      </c>
      <c r="AE294" s="1">
        <f t="shared" ca="1" si="86"/>
        <v>133.16745</v>
      </c>
      <c r="AF294" s="1">
        <f t="shared" ca="1" si="86"/>
        <v>133.16745</v>
      </c>
      <c r="AG294" s="1">
        <f t="shared" ca="1" si="86"/>
        <v>133.16745</v>
      </c>
      <c r="AH294" s="1">
        <f t="shared" ca="1" si="86"/>
        <v>173.11768500000002</v>
      </c>
      <c r="AI294" s="1">
        <f t="shared" ca="1" si="82"/>
        <v>133.16745</v>
      </c>
    </row>
    <row r="295" spans="2:35" x14ac:dyDescent="0.15">
      <c r="B295" s="1" t="str">
        <f t="shared" si="77"/>
        <v>僵尸系95</v>
      </c>
      <c r="C295" s="1">
        <f t="shared" ref="C295:C358" si="87">C196</f>
        <v>95</v>
      </c>
      <c r="D295" s="14" t="s">
        <v>92</v>
      </c>
      <c r="E295" s="14">
        <f t="shared" ref="E295:E358" si="88">E196+1</f>
        <v>3</v>
      </c>
      <c r="F295" s="1" t="str">
        <f t="shared" si="75"/>
        <v>黑暗</v>
      </c>
      <c r="H295" s="1">
        <f t="shared" ca="1" si="76"/>
        <v>4901.4558045771246</v>
      </c>
      <c r="I295" s="1">
        <f t="shared" ca="1" si="85"/>
        <v>100</v>
      </c>
      <c r="J295" s="1">
        <f t="shared" ca="1" si="85"/>
        <v>2219.6919642857192</v>
      </c>
      <c r="K295" s="1">
        <f t="shared" ca="1" si="85"/>
        <v>134.584125</v>
      </c>
      <c r="L295" s="1">
        <f t="shared" ca="1" si="85"/>
        <v>3026.8526785714353</v>
      </c>
      <c r="M295" s="1">
        <f t="shared" ca="1" si="85"/>
        <v>134.584125</v>
      </c>
      <c r="N295" s="1">
        <f t="shared" ca="1" si="85"/>
        <v>0.2</v>
      </c>
      <c r="O295" s="1">
        <f t="shared" ca="1" si="85"/>
        <v>0.2</v>
      </c>
      <c r="P295" s="1">
        <f t="shared" ca="1" si="85"/>
        <v>0.36</v>
      </c>
      <c r="Q295" s="1">
        <f t="shared" ca="1" si="85"/>
        <v>0.1</v>
      </c>
      <c r="R295" s="1">
        <f t="shared" ca="1" si="85"/>
        <v>2.2000000000000002</v>
      </c>
      <c r="S295" s="1">
        <f t="shared" ca="1" si="86"/>
        <v>0.1</v>
      </c>
      <c r="T295" s="1">
        <f t="shared" ca="1" si="86"/>
        <v>1.1700000000000002</v>
      </c>
      <c r="U295" s="1">
        <f t="shared" ca="1" si="86"/>
        <v>238.76666666666711</v>
      </c>
      <c r="V295" s="1">
        <f t="shared" ca="1" si="86"/>
        <v>0</v>
      </c>
      <c r="W295" s="1">
        <f t="shared" ca="1" si="86"/>
        <v>0</v>
      </c>
      <c r="X295" s="1">
        <f t="shared" ca="1" si="86"/>
        <v>0</v>
      </c>
      <c r="Y295" s="1">
        <f t="shared" ca="1" si="86"/>
        <v>0</v>
      </c>
      <c r="Z295" s="1">
        <f t="shared" ca="1" si="86"/>
        <v>0</v>
      </c>
      <c r="AA295" s="1">
        <f t="shared" ca="1" si="86"/>
        <v>1825.7206632653099</v>
      </c>
      <c r="AB295" s="1">
        <f t="shared" ca="1" si="84"/>
        <v>0</v>
      </c>
      <c r="AC295" s="1">
        <f t="shared" ca="1" si="86"/>
        <v>134.584125</v>
      </c>
      <c r="AD295" s="1">
        <f t="shared" ca="1" si="86"/>
        <v>134.584125</v>
      </c>
      <c r="AE295" s="1">
        <f t="shared" ca="1" si="86"/>
        <v>134.584125</v>
      </c>
      <c r="AF295" s="1">
        <f t="shared" ca="1" si="86"/>
        <v>134.584125</v>
      </c>
      <c r="AG295" s="1">
        <f t="shared" ca="1" si="86"/>
        <v>134.584125</v>
      </c>
      <c r="AH295" s="1">
        <f t="shared" ca="1" si="86"/>
        <v>174.9593625</v>
      </c>
      <c r="AI295" s="1">
        <f t="shared" ca="1" si="82"/>
        <v>134.584125</v>
      </c>
    </row>
    <row r="296" spans="2:35" x14ac:dyDescent="0.15">
      <c r="B296" s="1" t="str">
        <f t="shared" si="77"/>
        <v>僵尸系96</v>
      </c>
      <c r="C296" s="1">
        <f t="shared" si="87"/>
        <v>96</v>
      </c>
      <c r="D296" s="14" t="s">
        <v>92</v>
      </c>
      <c r="E296" s="14">
        <f t="shared" si="88"/>
        <v>3</v>
      </c>
      <c r="F296" s="1" t="str">
        <f t="shared" si="75"/>
        <v>黑暗</v>
      </c>
      <c r="H296" s="1">
        <f t="shared" ca="1" si="76"/>
        <v>4973.3494617624747</v>
      </c>
      <c r="I296" s="1">
        <f t="shared" ca="1" si="85"/>
        <v>100</v>
      </c>
      <c r="J296" s="1">
        <f t="shared" ca="1" si="85"/>
        <v>2271.3600000000033</v>
      </c>
      <c r="K296" s="1">
        <f t="shared" ca="1" si="85"/>
        <v>136.0008</v>
      </c>
      <c r="L296" s="1">
        <f t="shared" ca="1" si="85"/>
        <v>3097.3090909090952</v>
      </c>
      <c r="M296" s="1">
        <f t="shared" ca="1" si="85"/>
        <v>136.0008</v>
      </c>
      <c r="N296" s="1">
        <f t="shared" ca="1" si="85"/>
        <v>0.2</v>
      </c>
      <c r="O296" s="1">
        <f t="shared" ca="1" si="85"/>
        <v>0.2</v>
      </c>
      <c r="P296" s="1">
        <f t="shared" ca="1" si="85"/>
        <v>0.36</v>
      </c>
      <c r="Q296" s="1">
        <f t="shared" ca="1" si="85"/>
        <v>0.1</v>
      </c>
      <c r="R296" s="1">
        <f t="shared" ca="1" si="85"/>
        <v>2.2000000000000002</v>
      </c>
      <c r="S296" s="1">
        <f t="shared" ca="1" si="86"/>
        <v>0.1</v>
      </c>
      <c r="T296" s="1">
        <f t="shared" ca="1" si="86"/>
        <v>1.1700000000000002</v>
      </c>
      <c r="U296" s="1">
        <f t="shared" ca="1" si="86"/>
        <v>241.28</v>
      </c>
      <c r="V296" s="1">
        <f t="shared" ca="1" si="86"/>
        <v>0</v>
      </c>
      <c r="W296" s="1">
        <f t="shared" ca="1" si="86"/>
        <v>0</v>
      </c>
      <c r="X296" s="1">
        <f t="shared" ca="1" si="86"/>
        <v>0</v>
      </c>
      <c r="Y296" s="1">
        <f t="shared" ca="1" si="86"/>
        <v>0</v>
      </c>
      <c r="Z296" s="1">
        <f t="shared" ca="1" si="86"/>
        <v>0</v>
      </c>
      <c r="AA296" s="1">
        <f t="shared" ca="1" si="86"/>
        <v>1906.03636363637</v>
      </c>
      <c r="AB296" s="1">
        <f t="shared" ca="1" si="84"/>
        <v>0</v>
      </c>
      <c r="AC296" s="1">
        <f t="shared" ca="1" si="86"/>
        <v>136.0008</v>
      </c>
      <c r="AD296" s="1">
        <f t="shared" ca="1" si="86"/>
        <v>136.0008</v>
      </c>
      <c r="AE296" s="1">
        <f t="shared" ca="1" si="86"/>
        <v>136.0008</v>
      </c>
      <c r="AF296" s="1">
        <f t="shared" ca="1" si="86"/>
        <v>136.0008</v>
      </c>
      <c r="AG296" s="1">
        <f t="shared" ca="1" si="86"/>
        <v>136.0008</v>
      </c>
      <c r="AH296" s="1">
        <f t="shared" ca="1" si="86"/>
        <v>176.80104</v>
      </c>
      <c r="AI296" s="1">
        <f t="shared" ca="1" si="82"/>
        <v>136.0008</v>
      </c>
    </row>
    <row r="297" spans="2:35" x14ac:dyDescent="0.15">
      <c r="B297" s="1" t="str">
        <f t="shared" si="77"/>
        <v>僵尸系97</v>
      </c>
      <c r="C297" s="1">
        <f t="shared" si="87"/>
        <v>97</v>
      </c>
      <c r="D297" s="14" t="s">
        <v>92</v>
      </c>
      <c r="E297" s="14">
        <f t="shared" si="88"/>
        <v>3</v>
      </c>
      <c r="F297" s="1" t="str">
        <f t="shared" si="75"/>
        <v>黑暗</v>
      </c>
      <c r="H297" s="1">
        <f t="shared" ca="1" si="76"/>
        <v>5045.6660228136088</v>
      </c>
      <c r="I297" s="1">
        <f t="shared" ca="1" si="85"/>
        <v>100</v>
      </c>
      <c r="J297" s="1">
        <f t="shared" ca="1" si="85"/>
        <v>2324.4933730158805</v>
      </c>
      <c r="K297" s="1">
        <f t="shared" ca="1" si="85"/>
        <v>137.417475</v>
      </c>
      <c r="L297" s="1">
        <f t="shared" ca="1" si="85"/>
        <v>3169.7636904762003</v>
      </c>
      <c r="M297" s="1">
        <f t="shared" ca="1" si="85"/>
        <v>137.417475</v>
      </c>
      <c r="N297" s="1">
        <f t="shared" ca="1" si="85"/>
        <v>0.2</v>
      </c>
      <c r="O297" s="1">
        <f t="shared" ca="1" si="85"/>
        <v>0.2</v>
      </c>
      <c r="P297" s="1">
        <f t="shared" ca="1" si="85"/>
        <v>0.36</v>
      </c>
      <c r="Q297" s="1">
        <f t="shared" ca="1" si="85"/>
        <v>0.1</v>
      </c>
      <c r="R297" s="1">
        <f t="shared" ca="1" si="85"/>
        <v>2.2000000000000002</v>
      </c>
      <c r="S297" s="1">
        <f t="shared" ca="1" si="86"/>
        <v>0.1</v>
      </c>
      <c r="T297" s="1">
        <f t="shared" ca="1" si="86"/>
        <v>1.1700000000000002</v>
      </c>
      <c r="U297" s="1">
        <f t="shared" ca="1" si="86"/>
        <v>243.7933333333329</v>
      </c>
      <c r="V297" s="1">
        <f t="shared" ca="1" si="86"/>
        <v>0</v>
      </c>
      <c r="W297" s="1">
        <f t="shared" ca="1" si="86"/>
        <v>0</v>
      </c>
      <c r="X297" s="1">
        <f t="shared" ca="1" si="86"/>
        <v>0</v>
      </c>
      <c r="Y297" s="1">
        <f t="shared" ca="1" si="86"/>
        <v>0</v>
      </c>
      <c r="Z297" s="1">
        <f t="shared" ca="1" si="86"/>
        <v>0</v>
      </c>
      <c r="AA297" s="1">
        <f t="shared" ca="1" si="86"/>
        <v>1990.0781746031801</v>
      </c>
      <c r="AB297" s="1">
        <f t="shared" ca="1" si="84"/>
        <v>0</v>
      </c>
      <c r="AC297" s="1">
        <f t="shared" ca="1" si="86"/>
        <v>137.417475</v>
      </c>
      <c r="AD297" s="1">
        <f t="shared" ca="1" si="86"/>
        <v>137.417475</v>
      </c>
      <c r="AE297" s="1">
        <f t="shared" ca="1" si="86"/>
        <v>137.417475</v>
      </c>
      <c r="AF297" s="1">
        <f t="shared" ca="1" si="86"/>
        <v>137.417475</v>
      </c>
      <c r="AG297" s="1">
        <f t="shared" ca="1" si="86"/>
        <v>137.417475</v>
      </c>
      <c r="AH297" s="1">
        <f t="shared" ca="1" si="86"/>
        <v>178.6427175</v>
      </c>
      <c r="AI297" s="1">
        <f t="shared" ca="1" si="82"/>
        <v>137.417475</v>
      </c>
    </row>
    <row r="298" spans="2:35" x14ac:dyDescent="0.15">
      <c r="B298" s="1" t="str">
        <f t="shared" si="77"/>
        <v>僵尸系98</v>
      </c>
      <c r="C298" s="1">
        <f t="shared" si="87"/>
        <v>98</v>
      </c>
      <c r="D298" s="14" t="s">
        <v>92</v>
      </c>
      <c r="E298" s="14">
        <f t="shared" si="88"/>
        <v>3</v>
      </c>
      <c r="F298" s="1" t="str">
        <f t="shared" si="75"/>
        <v>黑暗</v>
      </c>
      <c r="H298" s="1">
        <f t="shared" ca="1" si="76"/>
        <v>5118.4054877305389</v>
      </c>
      <c r="I298" s="1">
        <f t="shared" ca="1" si="85"/>
        <v>100</v>
      </c>
      <c r="J298" s="1">
        <f t="shared" ca="1" si="85"/>
        <v>2379.169245283028</v>
      </c>
      <c r="K298" s="1">
        <f t="shared" ca="1" si="85"/>
        <v>138.83414999999999</v>
      </c>
      <c r="L298" s="1">
        <f t="shared" ca="1" si="85"/>
        <v>3244.32169811322</v>
      </c>
      <c r="M298" s="1">
        <f t="shared" ca="1" si="85"/>
        <v>138.83414999999999</v>
      </c>
      <c r="N298" s="1">
        <f t="shared" ca="1" si="85"/>
        <v>0.2</v>
      </c>
      <c r="O298" s="1">
        <f t="shared" ca="1" si="85"/>
        <v>0.2</v>
      </c>
      <c r="P298" s="1">
        <f t="shared" ca="1" si="85"/>
        <v>0.36</v>
      </c>
      <c r="Q298" s="1">
        <f t="shared" ca="1" si="85"/>
        <v>0.1</v>
      </c>
      <c r="R298" s="1">
        <f t="shared" ca="1" si="85"/>
        <v>2.2000000000000002</v>
      </c>
      <c r="S298" s="1">
        <f t="shared" ca="1" si="86"/>
        <v>0.1</v>
      </c>
      <c r="T298" s="1">
        <f t="shared" ca="1" si="86"/>
        <v>1.1700000000000002</v>
      </c>
      <c r="U298" s="1">
        <f t="shared" ca="1" si="86"/>
        <v>246.30666666666713</v>
      </c>
      <c r="V298" s="1">
        <f t="shared" ca="1" si="86"/>
        <v>0</v>
      </c>
      <c r="W298" s="1">
        <f t="shared" ca="1" si="86"/>
        <v>0</v>
      </c>
      <c r="X298" s="1">
        <f t="shared" ca="1" si="86"/>
        <v>0</v>
      </c>
      <c r="Y298" s="1">
        <f t="shared" ca="1" si="86"/>
        <v>0</v>
      </c>
      <c r="Z298" s="1">
        <f t="shared" ca="1" si="86"/>
        <v>0</v>
      </c>
      <c r="AA298" s="1">
        <f t="shared" ca="1" si="86"/>
        <v>2078.0622641509499</v>
      </c>
      <c r="AB298" s="1">
        <f t="shared" ca="1" si="84"/>
        <v>0</v>
      </c>
      <c r="AC298" s="1">
        <f t="shared" ca="1" si="86"/>
        <v>138.83414999999999</v>
      </c>
      <c r="AD298" s="1">
        <f t="shared" ca="1" si="86"/>
        <v>138.83414999999999</v>
      </c>
      <c r="AE298" s="1">
        <f t="shared" ca="1" si="86"/>
        <v>138.83414999999999</v>
      </c>
      <c r="AF298" s="1">
        <f t="shared" ca="1" si="86"/>
        <v>138.83414999999999</v>
      </c>
      <c r="AG298" s="1">
        <f t="shared" ca="1" si="86"/>
        <v>138.83414999999999</v>
      </c>
      <c r="AH298" s="1">
        <f t="shared" ca="1" si="86"/>
        <v>180.48439500000001</v>
      </c>
      <c r="AI298" s="1">
        <f t="shared" ca="1" si="82"/>
        <v>138.83414999999999</v>
      </c>
    </row>
    <row r="299" spans="2:35" x14ac:dyDescent="0.15">
      <c r="B299" s="1" t="str">
        <f t="shared" si="77"/>
        <v>僵尸系99</v>
      </c>
      <c r="C299" s="1">
        <f t="shared" si="87"/>
        <v>99</v>
      </c>
      <c r="D299" s="14" t="s">
        <v>92</v>
      </c>
      <c r="E299" s="14">
        <f t="shared" si="88"/>
        <v>3</v>
      </c>
      <c r="F299" s="1" t="str">
        <f t="shared" si="75"/>
        <v>黑暗</v>
      </c>
      <c r="H299" s="1">
        <f t="shared" ca="1" si="76"/>
        <v>5191.567856513273</v>
      </c>
      <c r="I299" s="1">
        <f t="shared" ca="1" si="85"/>
        <v>100</v>
      </c>
      <c r="J299" s="1">
        <f t="shared" ca="1" si="85"/>
        <v>2435.4707142857192</v>
      </c>
      <c r="K299" s="1">
        <f t="shared" ca="1" si="85"/>
        <v>140.25082499999999</v>
      </c>
      <c r="L299" s="1">
        <f t="shared" ca="1" si="85"/>
        <v>3321.0964285714344</v>
      </c>
      <c r="M299" s="1">
        <f t="shared" ca="1" si="85"/>
        <v>140.25082499999999</v>
      </c>
      <c r="N299" s="1">
        <f t="shared" ca="1" si="85"/>
        <v>0.2</v>
      </c>
      <c r="O299" s="1">
        <f t="shared" ca="1" si="85"/>
        <v>0.2</v>
      </c>
      <c r="P299" s="1">
        <f t="shared" ca="1" si="85"/>
        <v>0.36</v>
      </c>
      <c r="Q299" s="1">
        <f t="shared" ca="1" si="85"/>
        <v>0.1</v>
      </c>
      <c r="R299" s="1">
        <f t="shared" ca="1" si="85"/>
        <v>2.2000000000000002</v>
      </c>
      <c r="S299" s="1">
        <f t="shared" ca="1" si="86"/>
        <v>0.1</v>
      </c>
      <c r="T299" s="1">
        <f t="shared" ca="1" si="86"/>
        <v>1.1700000000000002</v>
      </c>
      <c r="U299" s="1">
        <f t="shared" ca="1" si="86"/>
        <v>248.82000000000002</v>
      </c>
      <c r="V299" s="1">
        <f t="shared" ca="1" si="86"/>
        <v>0</v>
      </c>
      <c r="W299" s="1">
        <f t="shared" ca="1" si="86"/>
        <v>0</v>
      </c>
      <c r="X299" s="1">
        <f t="shared" ca="1" si="86"/>
        <v>0</v>
      </c>
      <c r="Y299" s="1">
        <f t="shared" ca="1" si="86"/>
        <v>0</v>
      </c>
      <c r="Z299" s="1">
        <f t="shared" ca="1" si="86"/>
        <v>0</v>
      </c>
      <c r="AA299" s="1">
        <f t="shared" ca="1" si="86"/>
        <v>2170.2214285714299</v>
      </c>
      <c r="AB299" s="1">
        <f t="shared" ca="1" si="86"/>
        <v>0</v>
      </c>
      <c r="AC299" s="1">
        <f t="shared" ca="1" si="86"/>
        <v>140.25082499999999</v>
      </c>
      <c r="AD299" s="1">
        <f t="shared" ca="1" si="86"/>
        <v>140.25082499999999</v>
      </c>
      <c r="AE299" s="1">
        <f t="shared" ca="1" si="86"/>
        <v>140.25082499999999</v>
      </c>
      <c r="AF299" s="1">
        <f t="shared" ca="1" si="86"/>
        <v>140.25082499999999</v>
      </c>
      <c r="AG299" s="1">
        <f t="shared" ca="1" si="86"/>
        <v>140.25082499999999</v>
      </c>
      <c r="AH299" s="1">
        <f t="shared" ca="1" si="86"/>
        <v>182.32607250000001</v>
      </c>
      <c r="AI299" s="1">
        <f t="shared" ca="1" si="82"/>
        <v>140.25082499999999</v>
      </c>
    </row>
    <row r="300" spans="2:35" x14ac:dyDescent="0.15">
      <c r="B300" s="1" t="str">
        <f t="shared" si="77"/>
        <v>土系1</v>
      </c>
      <c r="C300" s="1">
        <f t="shared" si="87"/>
        <v>1</v>
      </c>
      <c r="D300" s="14" t="s">
        <v>93</v>
      </c>
      <c r="E300" s="14">
        <f t="shared" si="88"/>
        <v>4</v>
      </c>
      <c r="F300" s="1" t="str">
        <f t="shared" si="75"/>
        <v>地脉</v>
      </c>
      <c r="H300" s="1">
        <f t="shared" ca="1" si="76"/>
        <v>15.49208335223239</v>
      </c>
      <c r="I300" s="1">
        <f t="shared" ca="1" si="85"/>
        <v>100</v>
      </c>
      <c r="J300" s="1">
        <f t="shared" ca="1" si="85"/>
        <v>6.4675000000000002</v>
      </c>
      <c r="K300" s="1">
        <f t="shared" ca="1" si="85"/>
        <v>1.4166749999999999</v>
      </c>
      <c r="L300" s="1">
        <f t="shared" ca="1" si="85"/>
        <v>8.0843749999999996</v>
      </c>
      <c r="M300" s="1">
        <f t="shared" ca="1" si="85"/>
        <v>2.1250125</v>
      </c>
      <c r="N300" s="1">
        <f t="shared" ca="1" si="85"/>
        <v>0.2</v>
      </c>
      <c r="O300" s="1">
        <f t="shared" ca="1" si="85"/>
        <v>0.2</v>
      </c>
      <c r="P300" s="1">
        <f t="shared" ca="1" si="85"/>
        <v>0.36</v>
      </c>
      <c r="Q300" s="1">
        <f t="shared" ca="1" si="85"/>
        <v>0.1</v>
      </c>
      <c r="R300" s="1">
        <f t="shared" ca="1" si="85"/>
        <v>2.2999999999999998</v>
      </c>
      <c r="S300" s="1">
        <f t="shared" ca="1" si="86"/>
        <v>0.1</v>
      </c>
      <c r="T300" s="1">
        <f t="shared" ca="1" si="86"/>
        <v>0.9</v>
      </c>
      <c r="U300" s="1">
        <f t="shared" ca="1" si="86"/>
        <v>1.93333333333333</v>
      </c>
      <c r="V300" s="1">
        <f t="shared" ca="1" si="86"/>
        <v>0</v>
      </c>
      <c r="W300" s="1">
        <f t="shared" ca="1" si="86"/>
        <v>4.0625000000000001E-2</v>
      </c>
      <c r="X300" s="1">
        <f t="shared" ca="1" si="86"/>
        <v>0</v>
      </c>
      <c r="Y300" s="1">
        <f t="shared" ca="1" si="86"/>
        <v>0</v>
      </c>
      <c r="Z300" s="1">
        <f t="shared" ca="1" si="86"/>
        <v>0</v>
      </c>
      <c r="AA300" s="1">
        <f t="shared" ca="1" si="86"/>
        <v>0</v>
      </c>
      <c r="AB300" s="1">
        <f t="shared" ca="1" si="86"/>
        <v>0</v>
      </c>
      <c r="AC300" s="1">
        <f t="shared" ca="1" si="86"/>
        <v>1.4166749999999999</v>
      </c>
      <c r="AD300" s="1">
        <f t="shared" ca="1" si="86"/>
        <v>1.8416774999999999</v>
      </c>
      <c r="AE300" s="1">
        <f t="shared" ca="1" si="86"/>
        <v>1.4166749999999999</v>
      </c>
      <c r="AF300" s="1">
        <f t="shared" ca="1" si="86"/>
        <v>1.4166749999999999</v>
      </c>
      <c r="AG300" s="1">
        <f t="shared" ca="1" si="86"/>
        <v>1.4166749999999999</v>
      </c>
      <c r="AH300" s="1">
        <f t="shared" ca="1" si="86"/>
        <v>1.4166749999999999</v>
      </c>
      <c r="AI300" s="1">
        <f t="shared" ca="1" si="82"/>
        <v>1.4166749999999999</v>
      </c>
    </row>
    <row r="301" spans="2:35" x14ac:dyDescent="0.15">
      <c r="B301" s="1" t="str">
        <f t="shared" si="77"/>
        <v>土系2</v>
      </c>
      <c r="C301" s="1">
        <f t="shared" si="87"/>
        <v>2</v>
      </c>
      <c r="D301" s="14" t="s">
        <v>93</v>
      </c>
      <c r="E301" s="14">
        <f t="shared" si="88"/>
        <v>4</v>
      </c>
      <c r="F301" s="1" t="str">
        <f t="shared" si="75"/>
        <v>地脉</v>
      </c>
      <c r="H301" s="1">
        <f t="shared" ca="1" si="76"/>
        <v>34.026248526357804</v>
      </c>
      <c r="I301" s="1">
        <f t="shared" ca="1" si="85"/>
        <v>100</v>
      </c>
      <c r="J301" s="1">
        <f t="shared" ca="1" si="85"/>
        <v>13.377181208053679</v>
      </c>
      <c r="K301" s="1">
        <f t="shared" ca="1" si="85"/>
        <v>2.8333499999999998</v>
      </c>
      <c r="L301" s="1">
        <f t="shared" ca="1" si="85"/>
        <v>16.721476510067099</v>
      </c>
      <c r="M301" s="1">
        <f t="shared" ca="1" si="85"/>
        <v>4.2500249999999999</v>
      </c>
      <c r="N301" s="1">
        <f t="shared" ca="1" si="85"/>
        <v>0.2</v>
      </c>
      <c r="O301" s="1">
        <f t="shared" ca="1" si="85"/>
        <v>0.2</v>
      </c>
      <c r="P301" s="1">
        <f t="shared" ca="1" si="85"/>
        <v>0.36</v>
      </c>
      <c r="Q301" s="1">
        <f t="shared" ca="1" si="85"/>
        <v>0.1</v>
      </c>
      <c r="R301" s="1">
        <f t="shared" ca="1" si="85"/>
        <v>2.2999999999999998</v>
      </c>
      <c r="S301" s="1">
        <f t="shared" ca="1" si="86"/>
        <v>0.1</v>
      </c>
      <c r="T301" s="1">
        <f t="shared" ca="1" si="86"/>
        <v>0.9</v>
      </c>
      <c r="U301" s="1">
        <f t="shared" ca="1" si="86"/>
        <v>3.8666666666666698</v>
      </c>
      <c r="V301" s="1">
        <f t="shared" ca="1" si="86"/>
        <v>0</v>
      </c>
      <c r="W301" s="1">
        <f t="shared" ca="1" si="86"/>
        <v>0.16890380313199099</v>
      </c>
      <c r="X301" s="1">
        <f t="shared" ca="1" si="86"/>
        <v>0</v>
      </c>
      <c r="Y301" s="1">
        <f t="shared" ca="1" si="86"/>
        <v>0</v>
      </c>
      <c r="Z301" s="1">
        <f t="shared" ca="1" si="86"/>
        <v>0</v>
      </c>
      <c r="AA301" s="1">
        <f t="shared" ca="1" si="86"/>
        <v>0</v>
      </c>
      <c r="AB301" s="1">
        <f t="shared" ca="1" si="86"/>
        <v>0</v>
      </c>
      <c r="AC301" s="1">
        <f t="shared" ca="1" si="86"/>
        <v>2.8333499999999998</v>
      </c>
      <c r="AD301" s="1">
        <f t="shared" ca="1" si="86"/>
        <v>3.6833549999999997</v>
      </c>
      <c r="AE301" s="1">
        <f t="shared" ca="1" si="86"/>
        <v>2.8333499999999998</v>
      </c>
      <c r="AF301" s="1">
        <f t="shared" ca="1" si="86"/>
        <v>2.8333499999999998</v>
      </c>
      <c r="AG301" s="1">
        <f t="shared" ca="1" si="86"/>
        <v>2.8333499999999998</v>
      </c>
      <c r="AH301" s="1">
        <f t="shared" ca="1" si="86"/>
        <v>2.8333499999999998</v>
      </c>
      <c r="AI301" s="1">
        <f t="shared" ca="1" si="82"/>
        <v>2.8333499999999998</v>
      </c>
    </row>
    <row r="302" spans="2:35" x14ac:dyDescent="0.15">
      <c r="B302" s="1" t="str">
        <f t="shared" si="77"/>
        <v>土系3</v>
      </c>
      <c r="C302" s="1">
        <f t="shared" si="87"/>
        <v>3</v>
      </c>
      <c r="D302" s="14" t="s">
        <v>93</v>
      </c>
      <c r="E302" s="14">
        <f t="shared" si="88"/>
        <v>4</v>
      </c>
      <c r="F302" s="1" t="str">
        <f t="shared" si="75"/>
        <v>地脉</v>
      </c>
      <c r="H302" s="1">
        <f t="shared" ca="1" si="76"/>
        <v>55.658830370929749</v>
      </c>
      <c r="I302" s="1">
        <f t="shared" ca="1" si="85"/>
        <v>100</v>
      </c>
      <c r="J302" s="1">
        <f t="shared" ca="1" si="85"/>
        <v>20.764864864864879</v>
      </c>
      <c r="K302" s="1">
        <f t="shared" ca="1" si="85"/>
        <v>4.2500249999999999</v>
      </c>
      <c r="L302" s="1">
        <f t="shared" ca="1" si="85"/>
        <v>25.956081081081098</v>
      </c>
      <c r="M302" s="1">
        <f t="shared" ca="1" si="85"/>
        <v>6.3750374999999995</v>
      </c>
      <c r="N302" s="1">
        <f t="shared" ca="1" si="85"/>
        <v>0.2</v>
      </c>
      <c r="O302" s="1">
        <f t="shared" ca="1" si="85"/>
        <v>0.2</v>
      </c>
      <c r="P302" s="1">
        <f t="shared" ca="1" si="85"/>
        <v>0.36</v>
      </c>
      <c r="Q302" s="1">
        <f t="shared" ca="1" si="85"/>
        <v>0.1</v>
      </c>
      <c r="R302" s="1">
        <f t="shared" ca="1" si="85"/>
        <v>2.2999999999999998</v>
      </c>
      <c r="S302" s="1">
        <f t="shared" ca="1" si="86"/>
        <v>0.1</v>
      </c>
      <c r="T302" s="1">
        <f t="shared" ca="1" si="86"/>
        <v>0.9</v>
      </c>
      <c r="U302" s="1">
        <f t="shared" ca="1" si="86"/>
        <v>5.8</v>
      </c>
      <c r="V302" s="1">
        <f t="shared" ca="1" si="86"/>
        <v>0</v>
      </c>
      <c r="W302" s="1">
        <f t="shared" ca="1" si="86"/>
        <v>0.39527027027027001</v>
      </c>
      <c r="X302" s="1">
        <f t="shared" ca="1" si="86"/>
        <v>0</v>
      </c>
      <c r="Y302" s="1">
        <f t="shared" ca="1" si="86"/>
        <v>0</v>
      </c>
      <c r="Z302" s="1">
        <f t="shared" ca="1" si="86"/>
        <v>0</v>
      </c>
      <c r="AA302" s="1">
        <f t="shared" ca="1" si="86"/>
        <v>0</v>
      </c>
      <c r="AB302" s="1">
        <f t="shared" ca="1" si="86"/>
        <v>0</v>
      </c>
      <c r="AC302" s="1">
        <f t="shared" ca="1" si="86"/>
        <v>4.2500249999999999</v>
      </c>
      <c r="AD302" s="1">
        <f t="shared" ca="1" si="86"/>
        <v>5.5250325</v>
      </c>
      <c r="AE302" s="1">
        <f t="shared" ca="1" si="86"/>
        <v>4.2500249999999999</v>
      </c>
      <c r="AF302" s="1">
        <f t="shared" ca="1" si="86"/>
        <v>4.2500249999999999</v>
      </c>
      <c r="AG302" s="1">
        <f t="shared" ca="1" si="86"/>
        <v>4.2500249999999999</v>
      </c>
      <c r="AH302" s="1">
        <f t="shared" ca="1" si="86"/>
        <v>4.2500249999999999</v>
      </c>
      <c r="AI302" s="1">
        <f t="shared" ca="1" si="82"/>
        <v>4.2500249999999999</v>
      </c>
    </row>
    <row r="303" spans="2:35" x14ac:dyDescent="0.15">
      <c r="B303" s="1" t="str">
        <f t="shared" si="77"/>
        <v>土系4</v>
      </c>
      <c r="C303" s="1">
        <f t="shared" si="87"/>
        <v>4</v>
      </c>
      <c r="D303" s="14" t="s">
        <v>93</v>
      </c>
      <c r="E303" s="14">
        <f t="shared" si="88"/>
        <v>4</v>
      </c>
      <c r="F303" s="1" t="str">
        <f t="shared" si="75"/>
        <v>地脉</v>
      </c>
      <c r="H303" s="1">
        <f t="shared" ca="1" si="76"/>
        <v>80.44616373450161</v>
      </c>
      <c r="I303" s="1">
        <f t="shared" ref="I303:R312" ca="1" si="89">mVlookup($C303,monsterBaseDate,I$2,FALSE)*(1+mVlookup($E303,monsterType,I$2,FALSE))</f>
        <v>100</v>
      </c>
      <c r="J303" s="1">
        <f t="shared" ca="1" si="89"/>
        <v>28.670270270270244</v>
      </c>
      <c r="K303" s="1">
        <f t="shared" ca="1" si="89"/>
        <v>5.6666999999999996</v>
      </c>
      <c r="L303" s="1">
        <f t="shared" ca="1" si="89"/>
        <v>35.837837837837803</v>
      </c>
      <c r="M303" s="1">
        <f t="shared" ca="1" si="89"/>
        <v>8.5000499999999999</v>
      </c>
      <c r="N303" s="1">
        <f t="shared" ca="1" si="89"/>
        <v>0.2</v>
      </c>
      <c r="O303" s="1">
        <f t="shared" ca="1" si="89"/>
        <v>0.2</v>
      </c>
      <c r="P303" s="1">
        <f t="shared" ca="1" si="89"/>
        <v>0.36</v>
      </c>
      <c r="Q303" s="1">
        <f t="shared" ca="1" si="89"/>
        <v>0.1</v>
      </c>
      <c r="R303" s="1">
        <f t="shared" ca="1" si="89"/>
        <v>2.2999999999999998</v>
      </c>
      <c r="S303" s="1">
        <f t="shared" ref="S303:AH318" ca="1" si="90">mVlookup($C303,monsterBaseDate,S$2,FALSE)*(1+mVlookup($E303,monsterType,S$2,FALSE))</f>
        <v>0.1</v>
      </c>
      <c r="T303" s="1">
        <f t="shared" ca="1" si="90"/>
        <v>0.9</v>
      </c>
      <c r="U303" s="1">
        <f t="shared" ca="1" si="90"/>
        <v>7.7333333333333298</v>
      </c>
      <c r="V303" s="1">
        <f t="shared" ca="1" si="90"/>
        <v>0</v>
      </c>
      <c r="W303" s="1">
        <f t="shared" ca="1" si="90"/>
        <v>0.73138444567016003</v>
      </c>
      <c r="X303" s="1">
        <f t="shared" ca="1" si="90"/>
        <v>0</v>
      </c>
      <c r="Y303" s="1">
        <f t="shared" ca="1" si="90"/>
        <v>0</v>
      </c>
      <c r="Z303" s="1">
        <f t="shared" ca="1" si="90"/>
        <v>0</v>
      </c>
      <c r="AA303" s="1">
        <f t="shared" ca="1" si="90"/>
        <v>0</v>
      </c>
      <c r="AB303" s="1">
        <f t="shared" ca="1" si="86"/>
        <v>0</v>
      </c>
      <c r="AC303" s="1">
        <f t="shared" ca="1" si="90"/>
        <v>5.6666999999999996</v>
      </c>
      <c r="AD303" s="1">
        <f t="shared" ca="1" si="90"/>
        <v>7.3667099999999994</v>
      </c>
      <c r="AE303" s="1">
        <f t="shared" ca="1" si="90"/>
        <v>5.6666999999999996</v>
      </c>
      <c r="AF303" s="1">
        <f t="shared" ca="1" si="90"/>
        <v>5.6666999999999996</v>
      </c>
      <c r="AG303" s="1">
        <f t="shared" ca="1" si="90"/>
        <v>5.6666999999999996</v>
      </c>
      <c r="AH303" s="1">
        <f t="shared" ca="1" si="90"/>
        <v>5.6666999999999996</v>
      </c>
      <c r="AI303" s="1">
        <f t="shared" ca="1" si="82"/>
        <v>5.6666999999999996</v>
      </c>
    </row>
    <row r="304" spans="2:35" x14ac:dyDescent="0.15">
      <c r="B304" s="1" t="str">
        <f t="shared" si="77"/>
        <v>土系5</v>
      </c>
      <c r="C304" s="1">
        <f t="shared" si="87"/>
        <v>5</v>
      </c>
      <c r="D304" s="14" t="s">
        <v>93</v>
      </c>
      <c r="E304" s="14">
        <f t="shared" si="88"/>
        <v>4</v>
      </c>
      <c r="F304" s="1" t="str">
        <f t="shared" si="75"/>
        <v>地脉</v>
      </c>
      <c r="H304" s="1">
        <f t="shared" ca="1" si="76"/>
        <v>108.44458346562726</v>
      </c>
      <c r="I304" s="1">
        <f t="shared" ca="1" si="89"/>
        <v>100</v>
      </c>
      <c r="J304" s="1">
        <f t="shared" ca="1" si="89"/>
        <v>37.137557077625601</v>
      </c>
      <c r="K304" s="1">
        <f t="shared" ca="1" si="89"/>
        <v>7.0833750000000002</v>
      </c>
      <c r="L304" s="1">
        <f t="shared" ca="1" si="89"/>
        <v>46.421946347031998</v>
      </c>
      <c r="M304" s="1">
        <f t="shared" ca="1" si="89"/>
        <v>10.6250625</v>
      </c>
      <c r="N304" s="1">
        <f t="shared" ca="1" si="89"/>
        <v>0.2</v>
      </c>
      <c r="O304" s="1">
        <f t="shared" ca="1" si="89"/>
        <v>0.2</v>
      </c>
      <c r="P304" s="1">
        <f t="shared" ca="1" si="89"/>
        <v>0.36</v>
      </c>
      <c r="Q304" s="1">
        <f t="shared" ca="1" si="89"/>
        <v>0.1</v>
      </c>
      <c r="R304" s="1">
        <f t="shared" ca="1" si="89"/>
        <v>2.2999999999999998</v>
      </c>
      <c r="S304" s="1">
        <f t="shared" ca="1" si="90"/>
        <v>0.1</v>
      </c>
      <c r="T304" s="1">
        <f t="shared" ca="1" si="90"/>
        <v>0.9</v>
      </c>
      <c r="U304" s="1">
        <f t="shared" ca="1" si="90"/>
        <v>9.6666666666666696</v>
      </c>
      <c r="V304" s="1">
        <f t="shared" ca="1" si="90"/>
        <v>0</v>
      </c>
      <c r="W304" s="1">
        <f t="shared" ca="1" si="90"/>
        <v>1.1903063165905601</v>
      </c>
      <c r="X304" s="1">
        <f t="shared" ca="1" si="90"/>
        <v>0</v>
      </c>
      <c r="Y304" s="1">
        <f t="shared" ca="1" si="90"/>
        <v>0</v>
      </c>
      <c r="Z304" s="1">
        <f t="shared" ca="1" si="90"/>
        <v>0</v>
      </c>
      <c r="AA304" s="1">
        <f t="shared" ca="1" si="90"/>
        <v>0</v>
      </c>
      <c r="AB304" s="1">
        <f t="shared" ca="1" si="86"/>
        <v>0</v>
      </c>
      <c r="AC304" s="1">
        <f t="shared" ca="1" si="90"/>
        <v>7.0833750000000002</v>
      </c>
      <c r="AD304" s="1">
        <f t="shared" ca="1" si="90"/>
        <v>9.2083875000000006</v>
      </c>
      <c r="AE304" s="1">
        <f t="shared" ca="1" si="90"/>
        <v>7.0833750000000002</v>
      </c>
      <c r="AF304" s="1">
        <f t="shared" ca="1" si="90"/>
        <v>7.0833750000000002</v>
      </c>
      <c r="AG304" s="1">
        <f t="shared" ca="1" si="90"/>
        <v>7.0833750000000002</v>
      </c>
      <c r="AH304" s="1">
        <f t="shared" ca="1" si="90"/>
        <v>7.0833750000000002</v>
      </c>
      <c r="AI304" s="1">
        <f t="shared" ca="1" si="82"/>
        <v>7.0833750000000002</v>
      </c>
    </row>
    <row r="305" spans="2:35" x14ac:dyDescent="0.15">
      <c r="B305" s="1" t="str">
        <f t="shared" si="77"/>
        <v>土系6</v>
      </c>
      <c r="C305" s="1">
        <f t="shared" si="87"/>
        <v>6</v>
      </c>
      <c r="D305" s="14" t="s">
        <v>93</v>
      </c>
      <c r="E305" s="14">
        <f t="shared" si="88"/>
        <v>4</v>
      </c>
      <c r="F305" s="1" t="str">
        <f t="shared" si="75"/>
        <v>地脉</v>
      </c>
      <c r="H305" s="1">
        <f t="shared" ca="1" si="76"/>
        <v>139.71042441285945</v>
      </c>
      <c r="I305" s="1">
        <f t="shared" ca="1" si="89"/>
        <v>100</v>
      </c>
      <c r="J305" s="1">
        <f t="shared" ca="1" si="89"/>
        <v>46.21596059113304</v>
      </c>
      <c r="K305" s="1">
        <f t="shared" ca="1" si="89"/>
        <v>8.5000499999999999</v>
      </c>
      <c r="L305" s="1">
        <f t="shared" ca="1" si="89"/>
        <v>57.7699507389163</v>
      </c>
      <c r="M305" s="1">
        <f t="shared" ca="1" si="89"/>
        <v>12.750074999999999</v>
      </c>
      <c r="N305" s="1">
        <f t="shared" ca="1" si="89"/>
        <v>0.2</v>
      </c>
      <c r="O305" s="1">
        <f t="shared" ca="1" si="89"/>
        <v>0.2</v>
      </c>
      <c r="P305" s="1">
        <f t="shared" ca="1" si="89"/>
        <v>0.36</v>
      </c>
      <c r="Q305" s="1">
        <f t="shared" ca="1" si="89"/>
        <v>0.1</v>
      </c>
      <c r="R305" s="1">
        <f t="shared" ca="1" si="89"/>
        <v>2.2999999999999998</v>
      </c>
      <c r="S305" s="1">
        <f t="shared" ca="1" si="90"/>
        <v>0.1</v>
      </c>
      <c r="T305" s="1">
        <f t="shared" ca="1" si="90"/>
        <v>0.9</v>
      </c>
      <c r="U305" s="1">
        <f t="shared" ca="1" si="90"/>
        <v>11.6</v>
      </c>
      <c r="V305" s="1">
        <f t="shared" ca="1" si="90"/>
        <v>0</v>
      </c>
      <c r="W305" s="1">
        <f t="shared" ca="1" si="90"/>
        <v>1.7866995073891601</v>
      </c>
      <c r="X305" s="1">
        <f t="shared" ca="1" si="90"/>
        <v>0</v>
      </c>
      <c r="Y305" s="1">
        <f t="shared" ca="1" si="90"/>
        <v>0</v>
      </c>
      <c r="Z305" s="1">
        <f t="shared" ca="1" si="90"/>
        <v>0</v>
      </c>
      <c r="AA305" s="1">
        <f t="shared" ca="1" si="90"/>
        <v>0</v>
      </c>
      <c r="AB305" s="1">
        <f t="shared" ca="1" si="86"/>
        <v>0</v>
      </c>
      <c r="AC305" s="1">
        <f t="shared" ca="1" si="90"/>
        <v>8.5000499999999999</v>
      </c>
      <c r="AD305" s="1">
        <f t="shared" ca="1" si="90"/>
        <v>11.050065</v>
      </c>
      <c r="AE305" s="1">
        <f t="shared" ca="1" si="90"/>
        <v>8.5000499999999999</v>
      </c>
      <c r="AF305" s="1">
        <f t="shared" ca="1" si="90"/>
        <v>8.5000499999999999</v>
      </c>
      <c r="AG305" s="1">
        <f t="shared" ca="1" si="90"/>
        <v>8.5000499999999999</v>
      </c>
      <c r="AH305" s="1">
        <f t="shared" ca="1" si="90"/>
        <v>8.5000499999999999</v>
      </c>
      <c r="AI305" s="1">
        <f t="shared" ca="1" si="82"/>
        <v>8.5000499999999999</v>
      </c>
    </row>
    <row r="306" spans="2:35" x14ac:dyDescent="0.15">
      <c r="B306" s="1" t="str">
        <f t="shared" si="77"/>
        <v>土系7</v>
      </c>
      <c r="C306" s="1">
        <f t="shared" si="87"/>
        <v>7</v>
      </c>
      <c r="D306" s="14" t="s">
        <v>93</v>
      </c>
      <c r="E306" s="14">
        <f t="shared" si="88"/>
        <v>4</v>
      </c>
      <c r="F306" s="1" t="str">
        <f t="shared" si="75"/>
        <v>地脉</v>
      </c>
      <c r="H306" s="1">
        <f t="shared" ca="1" si="76"/>
        <v>174.30002142475351</v>
      </c>
      <c r="I306" s="1">
        <f t="shared" ca="1" si="89"/>
        <v>100</v>
      </c>
      <c r="J306" s="1">
        <f t="shared" ca="1" si="89"/>
        <v>54.36166666666665</v>
      </c>
      <c r="K306" s="1">
        <f t="shared" ca="1" si="89"/>
        <v>9.9167249999999996</v>
      </c>
      <c r="L306" s="1">
        <f t="shared" ca="1" si="89"/>
        <v>67.952083333333306</v>
      </c>
      <c r="M306" s="1">
        <f t="shared" ca="1" si="89"/>
        <v>14.875087499999999</v>
      </c>
      <c r="N306" s="1">
        <f t="shared" ca="1" si="89"/>
        <v>0.2</v>
      </c>
      <c r="O306" s="1">
        <f t="shared" ca="1" si="89"/>
        <v>0.2</v>
      </c>
      <c r="P306" s="1">
        <f t="shared" ca="1" si="89"/>
        <v>0.36</v>
      </c>
      <c r="Q306" s="1">
        <f t="shared" ca="1" si="89"/>
        <v>0.1</v>
      </c>
      <c r="R306" s="1">
        <f t="shared" ca="1" si="89"/>
        <v>2.2999999999999998</v>
      </c>
      <c r="S306" s="1">
        <f t="shared" ca="1" si="90"/>
        <v>0.1</v>
      </c>
      <c r="T306" s="1">
        <f t="shared" ca="1" si="90"/>
        <v>0.9</v>
      </c>
      <c r="U306" s="1">
        <f t="shared" ca="1" si="90"/>
        <v>13.533333333333299</v>
      </c>
      <c r="V306" s="1">
        <f t="shared" ca="1" si="90"/>
        <v>0</v>
      </c>
      <c r="W306" s="1">
        <f t="shared" ca="1" si="90"/>
        <v>2.46458333333333</v>
      </c>
      <c r="X306" s="1">
        <f t="shared" ca="1" si="90"/>
        <v>0</v>
      </c>
      <c r="Y306" s="1">
        <f t="shared" ca="1" si="90"/>
        <v>0</v>
      </c>
      <c r="Z306" s="1">
        <f t="shared" ca="1" si="90"/>
        <v>0</v>
      </c>
      <c r="AA306" s="1">
        <f t="shared" ca="1" si="90"/>
        <v>0</v>
      </c>
      <c r="AB306" s="1">
        <f t="shared" ca="1" si="86"/>
        <v>0</v>
      </c>
      <c r="AC306" s="1">
        <f t="shared" ca="1" si="90"/>
        <v>9.9167249999999996</v>
      </c>
      <c r="AD306" s="1">
        <f t="shared" ca="1" si="90"/>
        <v>12.891742499999999</v>
      </c>
      <c r="AE306" s="1">
        <f t="shared" ca="1" si="90"/>
        <v>9.9167249999999996</v>
      </c>
      <c r="AF306" s="1">
        <f t="shared" ca="1" si="90"/>
        <v>9.9167249999999996</v>
      </c>
      <c r="AG306" s="1">
        <f t="shared" ca="1" si="90"/>
        <v>9.9167249999999996</v>
      </c>
      <c r="AH306" s="1">
        <f t="shared" ca="1" si="90"/>
        <v>9.9167249999999996</v>
      </c>
      <c r="AI306" s="1">
        <f t="shared" ca="1" si="82"/>
        <v>9.9167249999999996</v>
      </c>
    </row>
    <row r="307" spans="2:35" x14ac:dyDescent="0.15">
      <c r="B307" s="1" t="str">
        <f t="shared" si="77"/>
        <v>土系8</v>
      </c>
      <c r="C307" s="1">
        <f t="shared" si="87"/>
        <v>8</v>
      </c>
      <c r="D307" s="14" t="s">
        <v>93</v>
      </c>
      <c r="E307" s="14">
        <f t="shared" si="88"/>
        <v>4</v>
      </c>
      <c r="F307" s="1" t="str">
        <f t="shared" si="75"/>
        <v>地脉</v>
      </c>
      <c r="H307" s="1">
        <f t="shared" ca="1" si="76"/>
        <v>212.26970934986207</v>
      </c>
      <c r="I307" s="1">
        <f t="shared" ca="1" si="89"/>
        <v>100</v>
      </c>
      <c r="J307" s="1">
        <f t="shared" ca="1" si="89"/>
        <v>62.636883116883126</v>
      </c>
      <c r="K307" s="1">
        <f t="shared" ca="1" si="89"/>
        <v>11.333399999999999</v>
      </c>
      <c r="L307" s="1">
        <f t="shared" ca="1" si="89"/>
        <v>78.296103896103901</v>
      </c>
      <c r="M307" s="1">
        <f t="shared" ca="1" si="89"/>
        <v>17.0001</v>
      </c>
      <c r="N307" s="1">
        <f t="shared" ca="1" si="89"/>
        <v>0.2</v>
      </c>
      <c r="O307" s="1">
        <f t="shared" ca="1" si="89"/>
        <v>0.2</v>
      </c>
      <c r="P307" s="1">
        <f t="shared" ca="1" si="89"/>
        <v>0.36</v>
      </c>
      <c r="Q307" s="1">
        <f t="shared" ca="1" si="89"/>
        <v>0.1</v>
      </c>
      <c r="R307" s="1">
        <f t="shared" ca="1" si="89"/>
        <v>2.2999999999999998</v>
      </c>
      <c r="S307" s="1">
        <f t="shared" ca="1" si="90"/>
        <v>0.1</v>
      </c>
      <c r="T307" s="1">
        <f t="shared" ca="1" si="90"/>
        <v>0.9</v>
      </c>
      <c r="U307" s="1">
        <f t="shared" ca="1" si="90"/>
        <v>15.466666666666701</v>
      </c>
      <c r="V307" s="1">
        <f t="shared" ca="1" si="90"/>
        <v>0</v>
      </c>
      <c r="W307" s="1">
        <f t="shared" ca="1" si="90"/>
        <v>3.2623376623376599</v>
      </c>
      <c r="X307" s="1">
        <f t="shared" ca="1" si="90"/>
        <v>0</v>
      </c>
      <c r="Y307" s="1">
        <f t="shared" ca="1" si="90"/>
        <v>0</v>
      </c>
      <c r="Z307" s="1">
        <f t="shared" ca="1" si="90"/>
        <v>0</v>
      </c>
      <c r="AA307" s="1">
        <f t="shared" ca="1" si="90"/>
        <v>0</v>
      </c>
      <c r="AB307" s="1">
        <f t="shared" ca="1" si="86"/>
        <v>0</v>
      </c>
      <c r="AC307" s="1">
        <f t="shared" ca="1" si="90"/>
        <v>11.333399999999999</v>
      </c>
      <c r="AD307" s="1">
        <f t="shared" ca="1" si="90"/>
        <v>14.733419999999999</v>
      </c>
      <c r="AE307" s="1">
        <f t="shared" ca="1" si="90"/>
        <v>11.333399999999999</v>
      </c>
      <c r="AF307" s="1">
        <f t="shared" ca="1" si="90"/>
        <v>11.333399999999999</v>
      </c>
      <c r="AG307" s="1">
        <f t="shared" ca="1" si="90"/>
        <v>11.333399999999999</v>
      </c>
      <c r="AH307" s="1">
        <f t="shared" ca="1" si="90"/>
        <v>11.333399999999999</v>
      </c>
      <c r="AI307" s="1">
        <f t="shared" ca="1" si="82"/>
        <v>11.333399999999999</v>
      </c>
    </row>
    <row r="308" spans="2:35" x14ac:dyDescent="0.15">
      <c r="B308" s="1" t="str">
        <f t="shared" si="77"/>
        <v>土系9</v>
      </c>
      <c r="C308" s="1">
        <f t="shared" si="87"/>
        <v>9</v>
      </c>
      <c r="D308" s="14" t="s">
        <v>93</v>
      </c>
      <c r="E308" s="14">
        <f t="shared" si="88"/>
        <v>4</v>
      </c>
      <c r="F308" s="1" t="str">
        <f t="shared" si="75"/>
        <v>地脉</v>
      </c>
      <c r="H308" s="1">
        <f t="shared" ca="1" si="76"/>
        <v>253.67582303673765</v>
      </c>
      <c r="I308" s="1">
        <f t="shared" ca="1" si="89"/>
        <v>100</v>
      </c>
      <c r="J308" s="1">
        <f t="shared" ca="1" si="89"/>
        <v>71.042776659959756</v>
      </c>
      <c r="K308" s="1">
        <f t="shared" ca="1" si="89"/>
        <v>12.750075000000001</v>
      </c>
      <c r="L308" s="1">
        <f t="shared" ca="1" si="89"/>
        <v>88.803470824949699</v>
      </c>
      <c r="M308" s="1">
        <f t="shared" ca="1" si="89"/>
        <v>19.1251125</v>
      </c>
      <c r="N308" s="1">
        <f t="shared" ca="1" si="89"/>
        <v>0.2</v>
      </c>
      <c r="O308" s="1">
        <f t="shared" ca="1" si="89"/>
        <v>0.2</v>
      </c>
      <c r="P308" s="1">
        <f t="shared" ca="1" si="89"/>
        <v>0.36</v>
      </c>
      <c r="Q308" s="1">
        <f t="shared" ca="1" si="89"/>
        <v>0.1</v>
      </c>
      <c r="R308" s="1">
        <f t="shared" ca="1" si="89"/>
        <v>2.2999999999999998</v>
      </c>
      <c r="S308" s="1">
        <f t="shared" ca="1" si="90"/>
        <v>0.1</v>
      </c>
      <c r="T308" s="1">
        <f t="shared" ca="1" si="90"/>
        <v>0.9</v>
      </c>
      <c r="U308" s="1">
        <f t="shared" ca="1" si="90"/>
        <v>17.399999999999999</v>
      </c>
      <c r="V308" s="1">
        <f t="shared" ca="1" si="90"/>
        <v>0</v>
      </c>
      <c r="W308" s="1">
        <f t="shared" ca="1" si="90"/>
        <v>4.18445674044266</v>
      </c>
      <c r="X308" s="1">
        <f t="shared" ca="1" si="90"/>
        <v>0</v>
      </c>
      <c r="Y308" s="1">
        <f t="shared" ca="1" si="90"/>
        <v>0</v>
      </c>
      <c r="Z308" s="1">
        <f t="shared" ca="1" si="90"/>
        <v>0</v>
      </c>
      <c r="AA308" s="1">
        <f t="shared" ca="1" si="90"/>
        <v>0</v>
      </c>
      <c r="AB308" s="1">
        <f t="shared" ca="1" si="86"/>
        <v>0</v>
      </c>
      <c r="AC308" s="1">
        <f t="shared" ca="1" si="90"/>
        <v>12.750075000000001</v>
      </c>
      <c r="AD308" s="1">
        <f t="shared" ca="1" si="90"/>
        <v>16.575097500000002</v>
      </c>
      <c r="AE308" s="1">
        <f t="shared" ca="1" si="90"/>
        <v>12.750075000000001</v>
      </c>
      <c r="AF308" s="1">
        <f t="shared" ca="1" si="90"/>
        <v>12.750075000000001</v>
      </c>
      <c r="AG308" s="1">
        <f t="shared" ca="1" si="90"/>
        <v>12.750075000000001</v>
      </c>
      <c r="AH308" s="1">
        <f t="shared" ca="1" si="90"/>
        <v>12.750075000000001</v>
      </c>
      <c r="AI308" s="1">
        <f t="shared" ca="1" si="82"/>
        <v>12.750075000000001</v>
      </c>
    </row>
    <row r="309" spans="2:35" x14ac:dyDescent="0.15">
      <c r="B309" s="1" t="str">
        <f t="shared" si="77"/>
        <v>土系10</v>
      </c>
      <c r="C309" s="1">
        <f t="shared" si="87"/>
        <v>10</v>
      </c>
      <c r="D309" s="14" t="s">
        <v>93</v>
      </c>
      <c r="E309" s="14">
        <f t="shared" si="88"/>
        <v>4</v>
      </c>
      <c r="F309" s="1" t="str">
        <f t="shared" si="75"/>
        <v>地脉</v>
      </c>
      <c r="H309" s="1">
        <f t="shared" ca="1" si="76"/>
        <v>298.57469733393424</v>
      </c>
      <c r="I309" s="1">
        <f t="shared" ca="1" si="89"/>
        <v>100</v>
      </c>
      <c r="J309" s="1">
        <f t="shared" ca="1" si="89"/>
        <v>79.580547112462</v>
      </c>
      <c r="K309" s="1">
        <f t="shared" ca="1" si="89"/>
        <v>14.16675</v>
      </c>
      <c r="L309" s="1">
        <f t="shared" ca="1" si="89"/>
        <v>99.4756838905775</v>
      </c>
      <c r="M309" s="1">
        <f t="shared" ca="1" si="89"/>
        <v>21.250125000000001</v>
      </c>
      <c r="N309" s="1">
        <f t="shared" ca="1" si="89"/>
        <v>0.2</v>
      </c>
      <c r="O309" s="1">
        <f t="shared" ca="1" si="89"/>
        <v>0.2</v>
      </c>
      <c r="P309" s="1">
        <f t="shared" ca="1" si="89"/>
        <v>0.36</v>
      </c>
      <c r="Q309" s="1">
        <f t="shared" ca="1" si="89"/>
        <v>0.1</v>
      </c>
      <c r="R309" s="1">
        <f t="shared" ca="1" si="89"/>
        <v>2.2999999999999998</v>
      </c>
      <c r="S309" s="1">
        <f t="shared" ca="1" si="90"/>
        <v>0.1</v>
      </c>
      <c r="T309" s="1">
        <f t="shared" ca="1" si="90"/>
        <v>0.9</v>
      </c>
      <c r="U309" s="1">
        <f t="shared" ca="1" si="90"/>
        <v>19.3333333333333</v>
      </c>
      <c r="V309" s="1">
        <f t="shared" ca="1" si="90"/>
        <v>0</v>
      </c>
      <c r="W309" s="1">
        <f t="shared" ca="1" si="90"/>
        <v>5.2355623100304003</v>
      </c>
      <c r="X309" s="1">
        <f t="shared" ca="1" si="90"/>
        <v>0</v>
      </c>
      <c r="Y309" s="1">
        <f t="shared" ca="1" si="90"/>
        <v>0</v>
      </c>
      <c r="Z309" s="1">
        <f t="shared" ca="1" si="90"/>
        <v>0</v>
      </c>
      <c r="AA309" s="1">
        <f t="shared" ca="1" si="90"/>
        <v>0</v>
      </c>
      <c r="AB309" s="1">
        <f t="shared" ca="1" si="90"/>
        <v>0</v>
      </c>
      <c r="AC309" s="1">
        <f t="shared" ca="1" si="90"/>
        <v>14.16675</v>
      </c>
      <c r="AD309" s="1">
        <f t="shared" ca="1" si="90"/>
        <v>18.416775000000001</v>
      </c>
      <c r="AE309" s="1">
        <f t="shared" ca="1" si="90"/>
        <v>14.16675</v>
      </c>
      <c r="AF309" s="1">
        <f t="shared" ca="1" si="90"/>
        <v>14.16675</v>
      </c>
      <c r="AG309" s="1">
        <f t="shared" ca="1" si="90"/>
        <v>14.16675</v>
      </c>
      <c r="AH309" s="1">
        <f t="shared" ca="1" si="90"/>
        <v>14.16675</v>
      </c>
      <c r="AI309" s="1">
        <f t="shared" ca="1" si="82"/>
        <v>14.16675</v>
      </c>
    </row>
    <row r="310" spans="2:35" x14ac:dyDescent="0.15">
      <c r="B310" s="1" t="str">
        <f t="shared" si="77"/>
        <v>土系11</v>
      </c>
      <c r="C310" s="1">
        <f t="shared" si="87"/>
        <v>11</v>
      </c>
      <c r="D310" s="14" t="s">
        <v>93</v>
      </c>
      <c r="E310" s="14">
        <f t="shared" si="88"/>
        <v>4</v>
      </c>
      <c r="F310" s="1" t="str">
        <f t="shared" si="75"/>
        <v>地脉</v>
      </c>
      <c r="H310" s="1">
        <f t="shared" ca="1" si="76"/>
        <v>330.4977781809589</v>
      </c>
      <c r="I310" s="1">
        <f t="shared" ca="1" si="89"/>
        <v>100</v>
      </c>
      <c r="J310" s="1">
        <f t="shared" ca="1" si="89"/>
        <v>88.251428571428804</v>
      </c>
      <c r="K310" s="1">
        <f t="shared" ca="1" si="89"/>
        <v>15.583425</v>
      </c>
      <c r="L310" s="1">
        <f t="shared" ca="1" si="89"/>
        <v>110.314285714286</v>
      </c>
      <c r="M310" s="1">
        <f t="shared" ca="1" si="89"/>
        <v>23.375137500000001</v>
      </c>
      <c r="N310" s="1">
        <f t="shared" ca="1" si="89"/>
        <v>0.2</v>
      </c>
      <c r="O310" s="1">
        <f t="shared" ca="1" si="89"/>
        <v>0.2</v>
      </c>
      <c r="P310" s="1">
        <f t="shared" ca="1" si="89"/>
        <v>0.36</v>
      </c>
      <c r="Q310" s="1">
        <f t="shared" ca="1" si="89"/>
        <v>0.1</v>
      </c>
      <c r="R310" s="1">
        <f t="shared" ca="1" si="89"/>
        <v>2.2999999999999998</v>
      </c>
      <c r="S310" s="1">
        <f t="shared" ca="1" si="90"/>
        <v>0.1</v>
      </c>
      <c r="T310" s="1">
        <f t="shared" ca="1" si="90"/>
        <v>0.9</v>
      </c>
      <c r="U310" s="1">
        <f t="shared" ca="1" si="90"/>
        <v>21.266666666666701</v>
      </c>
      <c r="V310" s="1">
        <f t="shared" ca="1" si="90"/>
        <v>0</v>
      </c>
      <c r="W310" s="1">
        <f t="shared" ca="1" si="90"/>
        <v>6.4204081632653098</v>
      </c>
      <c r="X310" s="1">
        <f t="shared" ca="1" si="90"/>
        <v>0</v>
      </c>
      <c r="Y310" s="1">
        <f t="shared" ca="1" si="90"/>
        <v>0</v>
      </c>
      <c r="Z310" s="1">
        <f t="shared" ca="1" si="90"/>
        <v>0</v>
      </c>
      <c r="AA310" s="1">
        <f t="shared" ca="1" si="90"/>
        <v>0</v>
      </c>
      <c r="AB310" s="1">
        <f t="shared" ca="1" si="90"/>
        <v>0</v>
      </c>
      <c r="AC310" s="1">
        <f t="shared" ca="1" si="90"/>
        <v>15.583425</v>
      </c>
      <c r="AD310" s="1">
        <f t="shared" ca="1" si="90"/>
        <v>20.258452500000001</v>
      </c>
      <c r="AE310" s="1">
        <f t="shared" ca="1" si="90"/>
        <v>15.583425</v>
      </c>
      <c r="AF310" s="1">
        <f t="shared" ca="1" si="90"/>
        <v>15.583425</v>
      </c>
      <c r="AG310" s="1">
        <f t="shared" ca="1" si="90"/>
        <v>15.583425</v>
      </c>
      <c r="AH310" s="1">
        <f t="shared" ca="1" si="90"/>
        <v>15.583425</v>
      </c>
      <c r="AI310" s="1">
        <f t="shared" ca="1" si="82"/>
        <v>15.583425</v>
      </c>
    </row>
    <row r="311" spans="2:35" x14ac:dyDescent="0.15">
      <c r="B311" s="1" t="str">
        <f t="shared" si="77"/>
        <v>土系12</v>
      </c>
      <c r="C311" s="1">
        <f t="shared" si="87"/>
        <v>12</v>
      </c>
      <c r="D311" s="14" t="s">
        <v>93</v>
      </c>
      <c r="E311" s="14">
        <f t="shared" si="88"/>
        <v>4</v>
      </c>
      <c r="F311" s="1" t="str">
        <f t="shared" si="75"/>
        <v>地脉</v>
      </c>
      <c r="H311" s="1">
        <f t="shared" ca="1" si="76"/>
        <v>381.21046987251111</v>
      </c>
      <c r="I311" s="1">
        <f t="shared" ca="1" si="89"/>
        <v>100</v>
      </c>
      <c r="J311" s="1">
        <f t="shared" ca="1" si="89"/>
        <v>97.056690647482412</v>
      </c>
      <c r="K311" s="1">
        <f t="shared" ca="1" si="89"/>
        <v>17.0001</v>
      </c>
      <c r="L311" s="1">
        <f t="shared" ca="1" si="89"/>
        <v>121.320863309353</v>
      </c>
      <c r="M311" s="1">
        <f t="shared" ca="1" si="89"/>
        <v>25.500149999999998</v>
      </c>
      <c r="N311" s="1">
        <f t="shared" ca="1" si="89"/>
        <v>0.2</v>
      </c>
      <c r="O311" s="1">
        <f t="shared" ca="1" si="89"/>
        <v>0.2</v>
      </c>
      <c r="P311" s="1">
        <f t="shared" ca="1" si="89"/>
        <v>0.36</v>
      </c>
      <c r="Q311" s="1">
        <f t="shared" ca="1" si="89"/>
        <v>0.1</v>
      </c>
      <c r="R311" s="1">
        <f t="shared" ca="1" si="89"/>
        <v>2.2999999999999998</v>
      </c>
      <c r="S311" s="1">
        <f t="shared" ca="1" si="90"/>
        <v>0.1</v>
      </c>
      <c r="T311" s="1">
        <f t="shared" ca="1" si="90"/>
        <v>0.9</v>
      </c>
      <c r="U311" s="1">
        <f t="shared" ca="1" si="90"/>
        <v>23.2</v>
      </c>
      <c r="V311" s="1">
        <f t="shared" ca="1" si="90"/>
        <v>0</v>
      </c>
      <c r="W311" s="1">
        <f t="shared" ca="1" si="90"/>
        <v>7.7438848920863297</v>
      </c>
      <c r="X311" s="1">
        <f t="shared" ca="1" si="90"/>
        <v>0</v>
      </c>
      <c r="Y311" s="1">
        <f t="shared" ca="1" si="90"/>
        <v>0</v>
      </c>
      <c r="Z311" s="1">
        <f t="shared" ca="1" si="90"/>
        <v>0</v>
      </c>
      <c r="AA311" s="1">
        <f t="shared" ca="1" si="90"/>
        <v>0</v>
      </c>
      <c r="AB311" s="1">
        <f t="shared" ca="1" si="90"/>
        <v>0</v>
      </c>
      <c r="AC311" s="1">
        <f t="shared" ca="1" si="90"/>
        <v>17.0001</v>
      </c>
      <c r="AD311" s="1">
        <f t="shared" ca="1" si="90"/>
        <v>22.10013</v>
      </c>
      <c r="AE311" s="1">
        <f t="shared" ca="1" si="90"/>
        <v>17.0001</v>
      </c>
      <c r="AF311" s="1">
        <f t="shared" ca="1" si="90"/>
        <v>17.0001</v>
      </c>
      <c r="AG311" s="1">
        <f t="shared" ca="1" si="90"/>
        <v>17.0001</v>
      </c>
      <c r="AH311" s="1">
        <f t="shared" ca="1" si="90"/>
        <v>17.0001</v>
      </c>
      <c r="AI311" s="1">
        <f t="shared" ca="1" si="82"/>
        <v>17.0001</v>
      </c>
    </row>
    <row r="312" spans="2:35" x14ac:dyDescent="0.15">
      <c r="B312" s="1" t="str">
        <f t="shared" si="77"/>
        <v>土系13</v>
      </c>
      <c r="C312" s="1">
        <f t="shared" si="87"/>
        <v>13</v>
      </c>
      <c r="D312" s="14" t="s">
        <v>93</v>
      </c>
      <c r="E312" s="14">
        <f t="shared" si="88"/>
        <v>4</v>
      </c>
      <c r="F312" s="1" t="str">
        <f t="shared" si="75"/>
        <v>地脉</v>
      </c>
      <c r="H312" s="1">
        <f t="shared" ca="1" si="76"/>
        <v>415.54308982997259</v>
      </c>
      <c r="I312" s="1">
        <f t="shared" ca="1" si="89"/>
        <v>100</v>
      </c>
      <c r="J312" s="1">
        <f t="shared" ca="1" si="89"/>
        <v>105.99763975155281</v>
      </c>
      <c r="K312" s="1">
        <f t="shared" ca="1" si="89"/>
        <v>18.416775000000001</v>
      </c>
      <c r="L312" s="1">
        <f t="shared" ca="1" si="89"/>
        <v>132.49704968944101</v>
      </c>
      <c r="M312" s="1">
        <f t="shared" ca="1" si="89"/>
        <v>27.625162500000002</v>
      </c>
      <c r="N312" s="1">
        <f t="shared" ca="1" si="89"/>
        <v>0.2</v>
      </c>
      <c r="O312" s="1">
        <f t="shared" ca="1" si="89"/>
        <v>0.2</v>
      </c>
      <c r="P312" s="1">
        <f t="shared" ca="1" si="89"/>
        <v>0.36</v>
      </c>
      <c r="Q312" s="1">
        <f t="shared" ca="1" si="89"/>
        <v>0.1</v>
      </c>
      <c r="R312" s="1">
        <f t="shared" ca="1" si="89"/>
        <v>2.2999999999999998</v>
      </c>
      <c r="S312" s="1">
        <f t="shared" ca="1" si="90"/>
        <v>0.1</v>
      </c>
      <c r="T312" s="1">
        <f t="shared" ca="1" si="90"/>
        <v>0.9</v>
      </c>
      <c r="U312" s="1">
        <f t="shared" ca="1" si="90"/>
        <v>25.133333333333301</v>
      </c>
      <c r="V312" s="1">
        <f t="shared" ca="1" si="90"/>
        <v>0</v>
      </c>
      <c r="W312" s="1">
        <f t="shared" ca="1" si="90"/>
        <v>9.2110248447204999</v>
      </c>
      <c r="X312" s="1">
        <f t="shared" ca="1" si="90"/>
        <v>0</v>
      </c>
      <c r="Y312" s="1">
        <f t="shared" ca="1" si="90"/>
        <v>0</v>
      </c>
      <c r="Z312" s="1">
        <f t="shared" ca="1" si="90"/>
        <v>0</v>
      </c>
      <c r="AA312" s="1">
        <f t="shared" ca="1" si="90"/>
        <v>0</v>
      </c>
      <c r="AB312" s="1">
        <f t="shared" ca="1" si="90"/>
        <v>0</v>
      </c>
      <c r="AC312" s="1">
        <f t="shared" ca="1" si="90"/>
        <v>18.416775000000001</v>
      </c>
      <c r="AD312" s="1">
        <f t="shared" ca="1" si="90"/>
        <v>23.941807500000003</v>
      </c>
      <c r="AE312" s="1">
        <f t="shared" ca="1" si="90"/>
        <v>18.416775000000001</v>
      </c>
      <c r="AF312" s="1">
        <f t="shared" ca="1" si="90"/>
        <v>18.416775000000001</v>
      </c>
      <c r="AG312" s="1">
        <f t="shared" ca="1" si="90"/>
        <v>18.416775000000001</v>
      </c>
      <c r="AH312" s="1">
        <f t="shared" ca="1" si="90"/>
        <v>18.416775000000001</v>
      </c>
      <c r="AI312" s="1">
        <f t="shared" ca="1" si="82"/>
        <v>18.416775000000001</v>
      </c>
    </row>
    <row r="313" spans="2:35" x14ac:dyDescent="0.15">
      <c r="B313" s="1" t="str">
        <f t="shared" si="77"/>
        <v>土系14</v>
      </c>
      <c r="C313" s="1">
        <f t="shared" si="87"/>
        <v>14</v>
      </c>
      <c r="D313" s="14" t="s">
        <v>93</v>
      </c>
      <c r="E313" s="14">
        <f t="shared" si="88"/>
        <v>4</v>
      </c>
      <c r="F313" s="1" t="str">
        <f t="shared" si="75"/>
        <v>地脉</v>
      </c>
      <c r="H313" s="1">
        <f t="shared" ca="1" si="76"/>
        <v>450.27033760303794</v>
      </c>
      <c r="I313" s="1">
        <f t="shared" ref="I313:R322" ca="1" si="91">mVlookup($C313,monsterBaseDate,I$2,FALSE)*(1+mVlookup($E313,monsterType,I$2,FALSE))</f>
        <v>100</v>
      </c>
      <c r="J313" s="1">
        <f t="shared" ca="1" si="91"/>
        <v>115.07562043795599</v>
      </c>
      <c r="K313" s="1">
        <f t="shared" ca="1" si="91"/>
        <v>19.833449999999999</v>
      </c>
      <c r="L313" s="1">
        <f t="shared" ca="1" si="91"/>
        <v>143.84452554744499</v>
      </c>
      <c r="M313" s="1">
        <f t="shared" ca="1" si="91"/>
        <v>29.750174999999999</v>
      </c>
      <c r="N313" s="1">
        <f t="shared" ca="1" si="91"/>
        <v>0.2</v>
      </c>
      <c r="O313" s="1">
        <f t="shared" ca="1" si="91"/>
        <v>0.2</v>
      </c>
      <c r="P313" s="1">
        <f t="shared" ca="1" si="91"/>
        <v>0.36</v>
      </c>
      <c r="Q313" s="1">
        <f t="shared" ca="1" si="91"/>
        <v>0.1</v>
      </c>
      <c r="R313" s="1">
        <f t="shared" ca="1" si="91"/>
        <v>2.2999999999999998</v>
      </c>
      <c r="S313" s="1">
        <f t="shared" ref="S313:AH328" ca="1" si="92">mVlookup($C313,monsterBaseDate,S$2,FALSE)*(1+mVlookup($E313,monsterType,S$2,FALSE))</f>
        <v>0.1</v>
      </c>
      <c r="T313" s="1">
        <f t="shared" ca="1" si="92"/>
        <v>0.9</v>
      </c>
      <c r="U313" s="1">
        <f t="shared" ca="1" si="92"/>
        <v>27.066666666666698</v>
      </c>
      <c r="V313" s="1">
        <f t="shared" ca="1" si="92"/>
        <v>0</v>
      </c>
      <c r="W313" s="1">
        <f t="shared" ca="1" si="92"/>
        <v>10.8270072992701</v>
      </c>
      <c r="X313" s="1">
        <f t="shared" ca="1" si="92"/>
        <v>0</v>
      </c>
      <c r="Y313" s="1">
        <f t="shared" ca="1" si="92"/>
        <v>0</v>
      </c>
      <c r="Z313" s="1">
        <f t="shared" ca="1" si="92"/>
        <v>0</v>
      </c>
      <c r="AA313" s="1">
        <f t="shared" ca="1" si="92"/>
        <v>0</v>
      </c>
      <c r="AB313" s="1">
        <f t="shared" ca="1" si="90"/>
        <v>0</v>
      </c>
      <c r="AC313" s="1">
        <f t="shared" ca="1" si="92"/>
        <v>19.833449999999999</v>
      </c>
      <c r="AD313" s="1">
        <f t="shared" ca="1" si="92"/>
        <v>25.783484999999999</v>
      </c>
      <c r="AE313" s="1">
        <f t="shared" ca="1" si="92"/>
        <v>19.833449999999999</v>
      </c>
      <c r="AF313" s="1">
        <f t="shared" ca="1" si="92"/>
        <v>19.833449999999999</v>
      </c>
      <c r="AG313" s="1">
        <f t="shared" ca="1" si="92"/>
        <v>19.833449999999999</v>
      </c>
      <c r="AH313" s="1">
        <f t="shared" ca="1" si="92"/>
        <v>19.833449999999999</v>
      </c>
      <c r="AI313" s="1">
        <f t="shared" ca="1" si="82"/>
        <v>19.833449999999999</v>
      </c>
    </row>
    <row r="314" spans="2:35" x14ac:dyDescent="0.15">
      <c r="B314" s="1" t="str">
        <f t="shared" si="77"/>
        <v>土系15</v>
      </c>
      <c r="C314" s="1">
        <f t="shared" si="87"/>
        <v>15</v>
      </c>
      <c r="D314" s="14" t="s">
        <v>93</v>
      </c>
      <c r="E314" s="14">
        <f t="shared" si="88"/>
        <v>4</v>
      </c>
      <c r="F314" s="1" t="str">
        <f t="shared" si="75"/>
        <v>地脉</v>
      </c>
      <c r="H314" s="1">
        <f t="shared" ca="1" si="76"/>
        <v>485.39221319170582</v>
      </c>
      <c r="I314" s="1">
        <f t="shared" ca="1" si="91"/>
        <v>100</v>
      </c>
      <c r="J314" s="1">
        <f t="shared" ca="1" si="91"/>
        <v>124.29201680672242</v>
      </c>
      <c r="K314" s="1">
        <f t="shared" ca="1" si="91"/>
        <v>21.250125000000001</v>
      </c>
      <c r="L314" s="1">
        <f t="shared" ca="1" si="91"/>
        <v>155.365021008403</v>
      </c>
      <c r="M314" s="1">
        <f t="shared" ca="1" si="91"/>
        <v>31.875187500000003</v>
      </c>
      <c r="N314" s="1">
        <f t="shared" ca="1" si="91"/>
        <v>0.2</v>
      </c>
      <c r="O314" s="1">
        <f t="shared" ca="1" si="91"/>
        <v>0.2</v>
      </c>
      <c r="P314" s="1">
        <f t="shared" ca="1" si="91"/>
        <v>0.36</v>
      </c>
      <c r="Q314" s="1">
        <f t="shared" ca="1" si="91"/>
        <v>0.1</v>
      </c>
      <c r="R314" s="1">
        <f t="shared" ca="1" si="91"/>
        <v>2.2999999999999998</v>
      </c>
      <c r="S314" s="1">
        <f t="shared" ca="1" si="92"/>
        <v>0.1</v>
      </c>
      <c r="T314" s="1">
        <f t="shared" ca="1" si="92"/>
        <v>0.9</v>
      </c>
      <c r="U314" s="1">
        <f t="shared" ca="1" si="92"/>
        <v>29</v>
      </c>
      <c r="V314" s="1">
        <f t="shared" ca="1" si="92"/>
        <v>0</v>
      </c>
      <c r="W314" s="1">
        <f t="shared" ca="1" si="92"/>
        <v>12.5971638655462</v>
      </c>
      <c r="X314" s="1">
        <f t="shared" ca="1" si="92"/>
        <v>0</v>
      </c>
      <c r="Y314" s="1">
        <f t="shared" ca="1" si="92"/>
        <v>0</v>
      </c>
      <c r="Z314" s="1">
        <f t="shared" ca="1" si="92"/>
        <v>0</v>
      </c>
      <c r="AA314" s="1">
        <f t="shared" ca="1" si="92"/>
        <v>0</v>
      </c>
      <c r="AB314" s="1">
        <f t="shared" ca="1" si="90"/>
        <v>0</v>
      </c>
      <c r="AC314" s="1">
        <f t="shared" ca="1" si="92"/>
        <v>21.250125000000001</v>
      </c>
      <c r="AD314" s="1">
        <f t="shared" ca="1" si="92"/>
        <v>27.625162500000002</v>
      </c>
      <c r="AE314" s="1">
        <f t="shared" ca="1" si="92"/>
        <v>21.250125000000001</v>
      </c>
      <c r="AF314" s="1">
        <f t="shared" ca="1" si="92"/>
        <v>21.250125000000001</v>
      </c>
      <c r="AG314" s="1">
        <f t="shared" ca="1" si="92"/>
        <v>21.250125000000001</v>
      </c>
      <c r="AH314" s="1">
        <f t="shared" ca="1" si="92"/>
        <v>21.250125000000001</v>
      </c>
      <c r="AI314" s="1">
        <f t="shared" ca="1" si="82"/>
        <v>21.250125000000001</v>
      </c>
    </row>
    <row r="315" spans="2:35" x14ac:dyDescent="0.15">
      <c r="B315" s="1" t="str">
        <f t="shared" si="77"/>
        <v>土系16</v>
      </c>
      <c r="C315" s="1">
        <f t="shared" si="87"/>
        <v>16</v>
      </c>
      <c r="D315" s="14" t="s">
        <v>93</v>
      </c>
      <c r="E315" s="14">
        <f t="shared" si="88"/>
        <v>4</v>
      </c>
      <c r="F315" s="1" t="str">
        <f t="shared" si="75"/>
        <v>地脉</v>
      </c>
      <c r="H315" s="1">
        <f t="shared" ca="1" si="76"/>
        <v>520.90871659597747</v>
      </c>
      <c r="I315" s="1">
        <f t="shared" ca="1" si="91"/>
        <v>100</v>
      </c>
      <c r="J315" s="1">
        <f t="shared" ca="1" si="91"/>
        <v>133.64825396825361</v>
      </c>
      <c r="K315" s="1">
        <f t="shared" ca="1" si="91"/>
        <v>22.666799999999999</v>
      </c>
      <c r="L315" s="1">
        <f t="shared" ca="1" si="91"/>
        <v>167.06031746031701</v>
      </c>
      <c r="M315" s="1">
        <f t="shared" ca="1" si="91"/>
        <v>34.0002</v>
      </c>
      <c r="N315" s="1">
        <f t="shared" ca="1" si="91"/>
        <v>0.2</v>
      </c>
      <c r="O315" s="1">
        <f t="shared" ca="1" si="91"/>
        <v>0.2</v>
      </c>
      <c r="P315" s="1">
        <f t="shared" ca="1" si="91"/>
        <v>0.36</v>
      </c>
      <c r="Q315" s="1">
        <f t="shared" ca="1" si="91"/>
        <v>0.1</v>
      </c>
      <c r="R315" s="1">
        <f t="shared" ca="1" si="91"/>
        <v>2.2999999999999998</v>
      </c>
      <c r="S315" s="1">
        <f t="shared" ca="1" si="92"/>
        <v>0.1</v>
      </c>
      <c r="T315" s="1">
        <f t="shared" ca="1" si="92"/>
        <v>0.9</v>
      </c>
      <c r="U315" s="1">
        <f t="shared" ca="1" si="92"/>
        <v>30.933333333333302</v>
      </c>
      <c r="V315" s="1">
        <f t="shared" ca="1" si="92"/>
        <v>0</v>
      </c>
      <c r="W315" s="1">
        <f t="shared" ca="1" si="92"/>
        <v>14.5269841269841</v>
      </c>
      <c r="X315" s="1">
        <f t="shared" ca="1" si="92"/>
        <v>0</v>
      </c>
      <c r="Y315" s="1">
        <f t="shared" ca="1" si="92"/>
        <v>0</v>
      </c>
      <c r="Z315" s="1">
        <f t="shared" ca="1" si="92"/>
        <v>0</v>
      </c>
      <c r="AA315" s="1">
        <f t="shared" ca="1" si="92"/>
        <v>0</v>
      </c>
      <c r="AB315" s="1">
        <f t="shared" ca="1" si="90"/>
        <v>0</v>
      </c>
      <c r="AC315" s="1">
        <f t="shared" ca="1" si="92"/>
        <v>22.666799999999999</v>
      </c>
      <c r="AD315" s="1">
        <f t="shared" ca="1" si="92"/>
        <v>29.466839999999998</v>
      </c>
      <c r="AE315" s="1">
        <f t="shared" ca="1" si="92"/>
        <v>22.666799999999999</v>
      </c>
      <c r="AF315" s="1">
        <f t="shared" ca="1" si="92"/>
        <v>22.666799999999999</v>
      </c>
      <c r="AG315" s="1">
        <f t="shared" ca="1" si="92"/>
        <v>22.666799999999999</v>
      </c>
      <c r="AH315" s="1">
        <f t="shared" ca="1" si="92"/>
        <v>22.666799999999999</v>
      </c>
      <c r="AI315" s="1">
        <f t="shared" ca="1" si="82"/>
        <v>22.666799999999999</v>
      </c>
    </row>
    <row r="316" spans="2:35" x14ac:dyDescent="0.15">
      <c r="B316" s="1" t="str">
        <f t="shared" si="77"/>
        <v>土系17</v>
      </c>
      <c r="C316" s="1">
        <f t="shared" si="87"/>
        <v>17</v>
      </c>
      <c r="D316" s="14" t="s">
        <v>93</v>
      </c>
      <c r="E316" s="14">
        <f t="shared" si="88"/>
        <v>4</v>
      </c>
      <c r="F316" s="1" t="str">
        <f t="shared" si="75"/>
        <v>地脉</v>
      </c>
      <c r="H316" s="1">
        <f t="shared" ca="1" si="76"/>
        <v>556.81984781585174</v>
      </c>
      <c r="I316" s="1">
        <f t="shared" ca="1" si="91"/>
        <v>100</v>
      </c>
      <c r="J316" s="1">
        <f t="shared" ca="1" si="91"/>
        <v>143.14579957356079</v>
      </c>
      <c r="K316" s="1">
        <f t="shared" ca="1" si="91"/>
        <v>24.083475</v>
      </c>
      <c r="L316" s="1">
        <f t="shared" ca="1" si="91"/>
        <v>178.93224946695099</v>
      </c>
      <c r="M316" s="1">
        <f t="shared" ca="1" si="91"/>
        <v>36.125212500000004</v>
      </c>
      <c r="N316" s="1">
        <f t="shared" ca="1" si="91"/>
        <v>0.2</v>
      </c>
      <c r="O316" s="1">
        <f t="shared" ca="1" si="91"/>
        <v>0.2</v>
      </c>
      <c r="P316" s="1">
        <f t="shared" ca="1" si="91"/>
        <v>0.36</v>
      </c>
      <c r="Q316" s="1">
        <f t="shared" ca="1" si="91"/>
        <v>0.1</v>
      </c>
      <c r="R316" s="1">
        <f t="shared" ca="1" si="91"/>
        <v>2.2999999999999998</v>
      </c>
      <c r="S316" s="1">
        <f t="shared" ca="1" si="92"/>
        <v>0.1</v>
      </c>
      <c r="T316" s="1">
        <f t="shared" ca="1" si="92"/>
        <v>0.9</v>
      </c>
      <c r="U316" s="1">
        <f t="shared" ca="1" si="92"/>
        <v>32.866666666666703</v>
      </c>
      <c r="V316" s="1">
        <f t="shared" ca="1" si="92"/>
        <v>0</v>
      </c>
      <c r="W316" s="1">
        <f t="shared" ca="1" si="92"/>
        <v>16.622121535181201</v>
      </c>
      <c r="X316" s="1">
        <f t="shared" ca="1" si="92"/>
        <v>0</v>
      </c>
      <c r="Y316" s="1">
        <f t="shared" ca="1" si="92"/>
        <v>0</v>
      </c>
      <c r="Z316" s="1">
        <f t="shared" ca="1" si="92"/>
        <v>0</v>
      </c>
      <c r="AA316" s="1">
        <f t="shared" ca="1" si="92"/>
        <v>0</v>
      </c>
      <c r="AB316" s="1">
        <f t="shared" ca="1" si="90"/>
        <v>0</v>
      </c>
      <c r="AC316" s="1">
        <f t="shared" ca="1" si="92"/>
        <v>24.083475</v>
      </c>
      <c r="AD316" s="1">
        <f t="shared" ca="1" si="92"/>
        <v>31.308517500000001</v>
      </c>
      <c r="AE316" s="1">
        <f t="shared" ca="1" si="92"/>
        <v>24.083475</v>
      </c>
      <c r="AF316" s="1">
        <f t="shared" ca="1" si="92"/>
        <v>24.083475</v>
      </c>
      <c r="AG316" s="1">
        <f t="shared" ca="1" si="92"/>
        <v>24.083475</v>
      </c>
      <c r="AH316" s="1">
        <f t="shared" ca="1" si="92"/>
        <v>24.083475</v>
      </c>
      <c r="AI316" s="1">
        <f t="shared" ca="1" si="82"/>
        <v>24.083475</v>
      </c>
    </row>
    <row r="317" spans="2:35" x14ac:dyDescent="0.15">
      <c r="B317" s="1" t="str">
        <f t="shared" si="77"/>
        <v>土系18</v>
      </c>
      <c r="C317" s="1">
        <f t="shared" si="87"/>
        <v>18</v>
      </c>
      <c r="D317" s="14" t="s">
        <v>93</v>
      </c>
      <c r="E317" s="14">
        <f t="shared" si="88"/>
        <v>4</v>
      </c>
      <c r="F317" s="1" t="str">
        <f t="shared" si="75"/>
        <v>地脉</v>
      </c>
      <c r="H317" s="1">
        <f t="shared" ca="1" si="76"/>
        <v>593.12560685132974</v>
      </c>
      <c r="I317" s="1">
        <f t="shared" ca="1" si="91"/>
        <v>100</v>
      </c>
      <c r="J317" s="1">
        <f t="shared" ca="1" si="91"/>
        <v>152.78616541353361</v>
      </c>
      <c r="K317" s="1">
        <f t="shared" ca="1" si="91"/>
        <v>25.500150000000001</v>
      </c>
      <c r="L317" s="1">
        <f t="shared" ca="1" si="91"/>
        <v>190.982706766917</v>
      </c>
      <c r="M317" s="1">
        <f t="shared" ca="1" si="91"/>
        <v>38.250225</v>
      </c>
      <c r="N317" s="1">
        <f t="shared" ca="1" si="91"/>
        <v>0.2</v>
      </c>
      <c r="O317" s="1">
        <f t="shared" ca="1" si="91"/>
        <v>0.2</v>
      </c>
      <c r="P317" s="1">
        <f t="shared" ca="1" si="91"/>
        <v>0.36</v>
      </c>
      <c r="Q317" s="1">
        <f t="shared" ca="1" si="91"/>
        <v>0.1</v>
      </c>
      <c r="R317" s="1">
        <f t="shared" ca="1" si="91"/>
        <v>2.2999999999999998</v>
      </c>
      <c r="S317" s="1">
        <f t="shared" ca="1" si="92"/>
        <v>0.1</v>
      </c>
      <c r="T317" s="1">
        <f t="shared" ca="1" si="92"/>
        <v>0.9</v>
      </c>
      <c r="U317" s="1">
        <f t="shared" ca="1" si="92"/>
        <v>34.799999999999997</v>
      </c>
      <c r="V317" s="1">
        <f t="shared" ca="1" si="92"/>
        <v>0</v>
      </c>
      <c r="W317" s="1">
        <f t="shared" ca="1" si="92"/>
        <v>18.888399570354501</v>
      </c>
      <c r="X317" s="1">
        <f t="shared" ca="1" si="92"/>
        <v>0</v>
      </c>
      <c r="Y317" s="1">
        <f t="shared" ca="1" si="92"/>
        <v>0</v>
      </c>
      <c r="Z317" s="1">
        <f t="shared" ca="1" si="92"/>
        <v>0</v>
      </c>
      <c r="AA317" s="1">
        <f t="shared" ca="1" si="92"/>
        <v>0</v>
      </c>
      <c r="AB317" s="1">
        <f t="shared" ca="1" si="90"/>
        <v>0</v>
      </c>
      <c r="AC317" s="1">
        <f t="shared" ca="1" si="92"/>
        <v>25.500150000000001</v>
      </c>
      <c r="AD317" s="1">
        <f t="shared" ca="1" si="92"/>
        <v>33.150195000000004</v>
      </c>
      <c r="AE317" s="1">
        <f t="shared" ca="1" si="92"/>
        <v>25.500150000000001</v>
      </c>
      <c r="AF317" s="1">
        <f t="shared" ca="1" si="92"/>
        <v>25.500150000000001</v>
      </c>
      <c r="AG317" s="1">
        <f t="shared" ca="1" si="92"/>
        <v>25.500150000000001</v>
      </c>
      <c r="AH317" s="1">
        <f t="shared" ca="1" si="92"/>
        <v>25.500150000000001</v>
      </c>
      <c r="AI317" s="1">
        <f t="shared" ca="1" si="82"/>
        <v>25.500150000000001</v>
      </c>
    </row>
    <row r="318" spans="2:35" x14ac:dyDescent="0.15">
      <c r="B318" s="1" t="str">
        <f t="shared" si="77"/>
        <v>土系19</v>
      </c>
      <c r="C318" s="1">
        <f t="shared" si="87"/>
        <v>19</v>
      </c>
      <c r="D318" s="14" t="s">
        <v>93</v>
      </c>
      <c r="E318" s="14">
        <f t="shared" si="88"/>
        <v>4</v>
      </c>
      <c r="F318" s="1" t="str">
        <f t="shared" si="75"/>
        <v>地脉</v>
      </c>
      <c r="H318" s="1">
        <f t="shared" ca="1" si="76"/>
        <v>629.82599370240894</v>
      </c>
      <c r="I318" s="1">
        <f t="shared" ca="1" si="91"/>
        <v>100</v>
      </c>
      <c r="J318" s="1">
        <f t="shared" ca="1" si="91"/>
        <v>162.5709090909088</v>
      </c>
      <c r="K318" s="1">
        <f t="shared" ca="1" si="91"/>
        <v>26.916824999999999</v>
      </c>
      <c r="L318" s="1">
        <f t="shared" ca="1" si="91"/>
        <v>203.213636363636</v>
      </c>
      <c r="M318" s="1">
        <f t="shared" ca="1" si="91"/>
        <v>40.375237499999997</v>
      </c>
      <c r="N318" s="1">
        <f t="shared" ca="1" si="91"/>
        <v>0.2</v>
      </c>
      <c r="O318" s="1">
        <f t="shared" ca="1" si="91"/>
        <v>0.2</v>
      </c>
      <c r="P318" s="1">
        <f t="shared" ca="1" si="91"/>
        <v>0.36</v>
      </c>
      <c r="Q318" s="1">
        <f t="shared" ca="1" si="91"/>
        <v>0.1</v>
      </c>
      <c r="R318" s="1">
        <f t="shared" ca="1" si="91"/>
        <v>2.2999999999999998</v>
      </c>
      <c r="S318" s="1">
        <f t="shared" ca="1" si="92"/>
        <v>0.1</v>
      </c>
      <c r="T318" s="1">
        <f t="shared" ca="1" si="92"/>
        <v>0.9</v>
      </c>
      <c r="U318" s="1">
        <f t="shared" ca="1" si="92"/>
        <v>36.733333333333299</v>
      </c>
      <c r="V318" s="1">
        <f t="shared" ca="1" si="92"/>
        <v>0</v>
      </c>
      <c r="W318" s="1">
        <f t="shared" ca="1" si="92"/>
        <v>21.3318181818182</v>
      </c>
      <c r="X318" s="1">
        <f t="shared" ca="1" si="92"/>
        <v>0</v>
      </c>
      <c r="Y318" s="1">
        <f t="shared" ca="1" si="92"/>
        <v>0</v>
      </c>
      <c r="Z318" s="1">
        <f t="shared" ca="1" si="92"/>
        <v>0</v>
      </c>
      <c r="AA318" s="1">
        <f t="shared" ca="1" si="92"/>
        <v>0</v>
      </c>
      <c r="AB318" s="1">
        <f t="shared" ca="1" si="90"/>
        <v>0</v>
      </c>
      <c r="AC318" s="1">
        <f t="shared" ca="1" si="92"/>
        <v>26.916824999999999</v>
      </c>
      <c r="AD318" s="1">
        <f t="shared" ca="1" si="92"/>
        <v>34.991872499999999</v>
      </c>
      <c r="AE318" s="1">
        <f t="shared" ca="1" si="92"/>
        <v>26.916824999999999</v>
      </c>
      <c r="AF318" s="1">
        <f t="shared" ca="1" si="92"/>
        <v>26.916824999999999</v>
      </c>
      <c r="AG318" s="1">
        <f t="shared" ca="1" si="92"/>
        <v>26.916824999999999</v>
      </c>
      <c r="AH318" s="1">
        <f t="shared" ca="1" si="92"/>
        <v>26.916824999999999</v>
      </c>
      <c r="AI318" s="1">
        <f t="shared" ca="1" si="82"/>
        <v>26.916824999999999</v>
      </c>
    </row>
    <row r="319" spans="2:35" x14ac:dyDescent="0.15">
      <c r="B319" s="1" t="str">
        <f t="shared" si="77"/>
        <v>土系20</v>
      </c>
      <c r="C319" s="1">
        <f t="shared" si="87"/>
        <v>20</v>
      </c>
      <c r="D319" s="14" t="s">
        <v>93</v>
      </c>
      <c r="E319" s="14">
        <f t="shared" si="88"/>
        <v>4</v>
      </c>
      <c r="F319" s="1" t="str">
        <f t="shared" si="75"/>
        <v>地脉</v>
      </c>
      <c r="H319" s="1">
        <f t="shared" ca="1" si="76"/>
        <v>666.92100836909185</v>
      </c>
      <c r="I319" s="1">
        <f t="shared" ca="1" si="91"/>
        <v>100</v>
      </c>
      <c r="J319" s="1">
        <f t="shared" ca="1" si="91"/>
        <v>172.50163576881121</v>
      </c>
      <c r="K319" s="1">
        <f t="shared" ca="1" si="91"/>
        <v>28.333500000000001</v>
      </c>
      <c r="L319" s="1">
        <f t="shared" ca="1" si="91"/>
        <v>215.62704471101401</v>
      </c>
      <c r="M319" s="1">
        <f t="shared" ca="1" si="91"/>
        <v>42.500250000000001</v>
      </c>
      <c r="N319" s="1">
        <f t="shared" ca="1" si="91"/>
        <v>0.2</v>
      </c>
      <c r="O319" s="1">
        <f t="shared" ca="1" si="91"/>
        <v>0.2</v>
      </c>
      <c r="P319" s="1">
        <f t="shared" ca="1" si="91"/>
        <v>0.36</v>
      </c>
      <c r="Q319" s="1">
        <f t="shared" ca="1" si="91"/>
        <v>0.1</v>
      </c>
      <c r="R319" s="1">
        <f t="shared" ca="1" si="91"/>
        <v>2.2999999999999998</v>
      </c>
      <c r="S319" s="1">
        <f t="shared" ca="1" si="92"/>
        <v>0.1</v>
      </c>
      <c r="T319" s="1">
        <f t="shared" ca="1" si="92"/>
        <v>0.9</v>
      </c>
      <c r="U319" s="1">
        <f t="shared" ca="1" si="92"/>
        <v>38.6666666666667</v>
      </c>
      <c r="V319" s="1">
        <f t="shared" ca="1" si="92"/>
        <v>0</v>
      </c>
      <c r="W319" s="1">
        <f t="shared" ca="1" si="92"/>
        <v>23.958560523446</v>
      </c>
      <c r="X319" s="1">
        <f t="shared" ca="1" si="92"/>
        <v>0</v>
      </c>
      <c r="Y319" s="1">
        <f t="shared" ca="1" si="92"/>
        <v>0</v>
      </c>
      <c r="Z319" s="1">
        <f t="shared" ca="1" si="92"/>
        <v>0</v>
      </c>
      <c r="AA319" s="1">
        <f t="shared" ca="1" si="92"/>
        <v>0</v>
      </c>
      <c r="AB319" s="1">
        <f t="shared" ca="1" si="92"/>
        <v>0</v>
      </c>
      <c r="AC319" s="1">
        <f t="shared" ca="1" si="92"/>
        <v>28.333500000000001</v>
      </c>
      <c r="AD319" s="1">
        <f t="shared" ca="1" si="92"/>
        <v>36.833550000000002</v>
      </c>
      <c r="AE319" s="1">
        <f t="shared" ca="1" si="92"/>
        <v>28.333500000000001</v>
      </c>
      <c r="AF319" s="1">
        <f t="shared" ca="1" si="92"/>
        <v>28.333500000000001</v>
      </c>
      <c r="AG319" s="1">
        <f t="shared" ca="1" si="92"/>
        <v>28.333500000000001</v>
      </c>
      <c r="AH319" s="1">
        <f t="shared" ca="1" si="92"/>
        <v>28.333500000000001</v>
      </c>
      <c r="AI319" s="1">
        <f t="shared" ca="1" si="82"/>
        <v>28.333500000000001</v>
      </c>
    </row>
    <row r="320" spans="2:35" x14ac:dyDescent="0.15">
      <c r="B320" s="1" t="str">
        <f t="shared" si="77"/>
        <v>土系21</v>
      </c>
      <c r="C320" s="1">
        <f t="shared" si="87"/>
        <v>21</v>
      </c>
      <c r="D320" s="14" t="s">
        <v>93</v>
      </c>
      <c r="E320" s="14">
        <f t="shared" si="88"/>
        <v>4</v>
      </c>
      <c r="F320" s="1" t="str">
        <f t="shared" si="75"/>
        <v>地脉</v>
      </c>
      <c r="H320" s="1">
        <f t="shared" ca="1" si="76"/>
        <v>704.41065085137882</v>
      </c>
      <c r="I320" s="1">
        <f t="shared" ca="1" si="91"/>
        <v>100</v>
      </c>
      <c r="J320" s="1">
        <f t="shared" ca="1" si="91"/>
        <v>182.58</v>
      </c>
      <c r="K320" s="1">
        <f t="shared" ca="1" si="91"/>
        <v>29.750174999999999</v>
      </c>
      <c r="L320" s="1">
        <f t="shared" ca="1" si="91"/>
        <v>228.22499999999999</v>
      </c>
      <c r="M320" s="1">
        <f t="shared" ca="1" si="91"/>
        <v>44.625262499999998</v>
      </c>
      <c r="N320" s="1">
        <f t="shared" ca="1" si="91"/>
        <v>0.2</v>
      </c>
      <c r="O320" s="1">
        <f t="shared" ca="1" si="91"/>
        <v>0.2</v>
      </c>
      <c r="P320" s="1">
        <f t="shared" ca="1" si="91"/>
        <v>0.36</v>
      </c>
      <c r="Q320" s="1">
        <f t="shared" ca="1" si="91"/>
        <v>0.1</v>
      </c>
      <c r="R320" s="1">
        <f t="shared" ca="1" si="91"/>
        <v>2.2999999999999998</v>
      </c>
      <c r="S320" s="1">
        <f t="shared" ca="1" si="92"/>
        <v>0.1</v>
      </c>
      <c r="T320" s="1">
        <f t="shared" ca="1" si="92"/>
        <v>0.9</v>
      </c>
      <c r="U320" s="1">
        <f t="shared" ca="1" si="92"/>
        <v>40.6</v>
      </c>
      <c r="V320" s="1">
        <f t="shared" ca="1" si="92"/>
        <v>0</v>
      </c>
      <c r="W320" s="1">
        <f t="shared" ca="1" si="92"/>
        <v>26.774999999999999</v>
      </c>
      <c r="X320" s="1">
        <f t="shared" ca="1" si="92"/>
        <v>0</v>
      </c>
      <c r="Y320" s="1">
        <f t="shared" ca="1" si="92"/>
        <v>0</v>
      </c>
      <c r="Z320" s="1">
        <f t="shared" ca="1" si="92"/>
        <v>0</v>
      </c>
      <c r="AA320" s="1">
        <f t="shared" ca="1" si="92"/>
        <v>0</v>
      </c>
      <c r="AB320" s="1">
        <f t="shared" ca="1" si="92"/>
        <v>0</v>
      </c>
      <c r="AC320" s="1">
        <f t="shared" ca="1" si="92"/>
        <v>29.750174999999999</v>
      </c>
      <c r="AD320" s="1">
        <f t="shared" ca="1" si="92"/>
        <v>38.675227499999998</v>
      </c>
      <c r="AE320" s="1">
        <f t="shared" ca="1" si="92"/>
        <v>29.750174999999999</v>
      </c>
      <c r="AF320" s="1">
        <f t="shared" ca="1" si="92"/>
        <v>29.750174999999999</v>
      </c>
      <c r="AG320" s="1">
        <f t="shared" ca="1" si="92"/>
        <v>29.750174999999999</v>
      </c>
      <c r="AH320" s="1">
        <f t="shared" ca="1" si="92"/>
        <v>29.750174999999999</v>
      </c>
      <c r="AI320" s="1">
        <f t="shared" ca="1" si="82"/>
        <v>29.750174999999999</v>
      </c>
    </row>
    <row r="321" spans="2:35" x14ac:dyDescent="0.15">
      <c r="B321" s="1" t="str">
        <f t="shared" si="77"/>
        <v>土系22</v>
      </c>
      <c r="C321" s="1">
        <f t="shared" si="87"/>
        <v>22</v>
      </c>
      <c r="D321" s="14" t="s">
        <v>93</v>
      </c>
      <c r="E321" s="14">
        <f t="shared" si="88"/>
        <v>4</v>
      </c>
      <c r="F321" s="1" t="str">
        <f t="shared" si="75"/>
        <v>地脉</v>
      </c>
      <c r="H321" s="1">
        <f t="shared" ca="1" si="76"/>
        <v>742.29492114926813</v>
      </c>
      <c r="I321" s="1">
        <f t="shared" ca="1" si="91"/>
        <v>100</v>
      </c>
      <c r="J321" s="1">
        <f t="shared" ca="1" si="91"/>
        <v>192.807707641196</v>
      </c>
      <c r="K321" s="1">
        <f t="shared" ca="1" si="91"/>
        <v>31.16685</v>
      </c>
      <c r="L321" s="1">
        <f t="shared" ca="1" si="91"/>
        <v>241.009634551495</v>
      </c>
      <c r="M321" s="1">
        <f t="shared" ca="1" si="91"/>
        <v>46.750275000000002</v>
      </c>
      <c r="N321" s="1">
        <f t="shared" ca="1" si="91"/>
        <v>0.2</v>
      </c>
      <c r="O321" s="1">
        <f t="shared" ca="1" si="91"/>
        <v>0.2</v>
      </c>
      <c r="P321" s="1">
        <f t="shared" ca="1" si="91"/>
        <v>0.36</v>
      </c>
      <c r="Q321" s="1">
        <f t="shared" ca="1" si="91"/>
        <v>0.1</v>
      </c>
      <c r="R321" s="1">
        <f t="shared" ca="1" si="91"/>
        <v>2.2999999999999998</v>
      </c>
      <c r="S321" s="1">
        <f t="shared" ca="1" si="92"/>
        <v>0.1</v>
      </c>
      <c r="T321" s="1">
        <f t="shared" ca="1" si="92"/>
        <v>0.9</v>
      </c>
      <c r="U321" s="1">
        <f t="shared" ca="1" si="92"/>
        <v>42.533333333333303</v>
      </c>
      <c r="V321" s="1">
        <f t="shared" ca="1" si="92"/>
        <v>0</v>
      </c>
      <c r="W321" s="1">
        <f t="shared" ca="1" si="92"/>
        <v>29.787707641196</v>
      </c>
      <c r="X321" s="1">
        <f t="shared" ca="1" si="92"/>
        <v>0</v>
      </c>
      <c r="Y321" s="1">
        <f t="shared" ca="1" si="92"/>
        <v>0</v>
      </c>
      <c r="Z321" s="1">
        <f t="shared" ca="1" si="92"/>
        <v>0</v>
      </c>
      <c r="AA321" s="1">
        <f t="shared" ca="1" si="92"/>
        <v>0</v>
      </c>
      <c r="AB321" s="1">
        <f t="shared" ca="1" si="92"/>
        <v>0</v>
      </c>
      <c r="AC321" s="1">
        <f t="shared" ca="1" si="92"/>
        <v>31.16685</v>
      </c>
      <c r="AD321" s="1">
        <f t="shared" ca="1" si="92"/>
        <v>40.516905000000001</v>
      </c>
      <c r="AE321" s="1">
        <f t="shared" ca="1" si="92"/>
        <v>31.16685</v>
      </c>
      <c r="AF321" s="1">
        <f t="shared" ca="1" si="92"/>
        <v>31.16685</v>
      </c>
      <c r="AG321" s="1">
        <f t="shared" ca="1" si="92"/>
        <v>31.16685</v>
      </c>
      <c r="AH321" s="1">
        <f t="shared" ca="1" si="92"/>
        <v>31.16685</v>
      </c>
      <c r="AI321" s="1">
        <f t="shared" ca="1" si="82"/>
        <v>31.16685</v>
      </c>
    </row>
    <row r="322" spans="2:35" x14ac:dyDescent="0.15">
      <c r="B322" s="1" t="str">
        <f t="shared" si="77"/>
        <v>土系23</v>
      </c>
      <c r="C322" s="1">
        <f t="shared" si="87"/>
        <v>23</v>
      </c>
      <c r="D322" s="14" t="s">
        <v>93</v>
      </c>
      <c r="E322" s="14">
        <f t="shared" si="88"/>
        <v>4</v>
      </c>
      <c r="F322" s="1" t="str">
        <f t="shared" si="75"/>
        <v>地脉</v>
      </c>
      <c r="H322" s="1">
        <f t="shared" ca="1" si="76"/>
        <v>820.61188444838956</v>
      </c>
      <c r="I322" s="1">
        <f t="shared" ca="1" si="91"/>
        <v>100</v>
      </c>
      <c r="J322" s="1">
        <f t="shared" ca="1" si="91"/>
        <v>203.1865178571432</v>
      </c>
      <c r="K322" s="1">
        <f t="shared" ca="1" si="91"/>
        <v>32.583525000000002</v>
      </c>
      <c r="L322" s="1">
        <f t="shared" ca="1" si="91"/>
        <v>253.98314732142899</v>
      </c>
      <c r="M322" s="1">
        <f t="shared" ca="1" si="91"/>
        <v>48.875287499999999</v>
      </c>
      <c r="N322" s="1">
        <f t="shared" ca="1" si="91"/>
        <v>0.2</v>
      </c>
      <c r="O322" s="1">
        <f t="shared" ca="1" si="91"/>
        <v>0.2</v>
      </c>
      <c r="P322" s="1">
        <f t="shared" ca="1" si="91"/>
        <v>0.36</v>
      </c>
      <c r="Q322" s="1">
        <f t="shared" ca="1" si="91"/>
        <v>0.1</v>
      </c>
      <c r="R322" s="1">
        <f t="shared" ca="1" si="91"/>
        <v>2.2999999999999998</v>
      </c>
      <c r="S322" s="1">
        <f t="shared" ca="1" si="92"/>
        <v>0.1</v>
      </c>
      <c r="T322" s="1">
        <f t="shared" ca="1" si="92"/>
        <v>0.9</v>
      </c>
      <c r="U322" s="1">
        <f t="shared" ca="1" si="92"/>
        <v>44.466666666666697</v>
      </c>
      <c r="V322" s="1">
        <f t="shared" ca="1" si="92"/>
        <v>0</v>
      </c>
      <c r="W322" s="1">
        <f t="shared" ca="1" si="92"/>
        <v>33.003459821428599</v>
      </c>
      <c r="X322" s="1">
        <f t="shared" ca="1" si="92"/>
        <v>0</v>
      </c>
      <c r="Y322" s="1">
        <f t="shared" ca="1" si="92"/>
        <v>0</v>
      </c>
      <c r="Z322" s="1">
        <f t="shared" ca="1" si="92"/>
        <v>0</v>
      </c>
      <c r="AA322" s="1">
        <f t="shared" ca="1" si="92"/>
        <v>0</v>
      </c>
      <c r="AB322" s="1">
        <f t="shared" ca="1" si="92"/>
        <v>0</v>
      </c>
      <c r="AC322" s="1">
        <f t="shared" ca="1" si="92"/>
        <v>32.583525000000002</v>
      </c>
      <c r="AD322" s="1">
        <f t="shared" ca="1" si="92"/>
        <v>42.358582500000004</v>
      </c>
      <c r="AE322" s="1">
        <f t="shared" ca="1" si="92"/>
        <v>32.583525000000002</v>
      </c>
      <c r="AF322" s="1">
        <f t="shared" ca="1" si="92"/>
        <v>32.583525000000002</v>
      </c>
      <c r="AG322" s="1">
        <f t="shared" ca="1" si="92"/>
        <v>32.583525000000002</v>
      </c>
      <c r="AH322" s="1">
        <f t="shared" ca="1" si="92"/>
        <v>32.583525000000002</v>
      </c>
      <c r="AI322" s="1">
        <f t="shared" ca="1" si="82"/>
        <v>32.583525000000002</v>
      </c>
    </row>
    <row r="323" spans="2:35" x14ac:dyDescent="0.15">
      <c r="B323" s="1" t="str">
        <f t="shared" si="77"/>
        <v>土系24</v>
      </c>
      <c r="C323" s="1">
        <f t="shared" si="87"/>
        <v>24</v>
      </c>
      <c r="D323" s="14" t="s">
        <v>93</v>
      </c>
      <c r="E323" s="14">
        <f t="shared" si="88"/>
        <v>4</v>
      </c>
      <c r="F323" s="1" t="str">
        <f t="shared" ref="F323:F386" si="93">VLOOKUP(E323,monsterType,4,FALSE)</f>
        <v>地脉</v>
      </c>
      <c r="H323" s="1">
        <f t="shared" ref="H323:H386" ca="1" si="94">mVlookup(C323,monsterBaseDate,H$2,FALSE)*(1+mVlookup(E323,monsterType,H$2,FALSE))*(1+mVlookup(C323,monsterHpRevise,D323,FALSE))</f>
        <v>861.26909611468932</v>
      </c>
      <c r="I323" s="1">
        <f t="shared" ref="I323:R332" ca="1" si="95">mVlookup($C323,monsterBaseDate,I$2,FALSE)*(1+mVlookup($E323,monsterType,I$2,FALSE))</f>
        <v>100</v>
      </c>
      <c r="J323" s="1">
        <f t="shared" ca="1" si="95"/>
        <v>213.71824521934718</v>
      </c>
      <c r="K323" s="1">
        <f t="shared" ca="1" si="95"/>
        <v>34.0002</v>
      </c>
      <c r="L323" s="1">
        <f t="shared" ca="1" si="95"/>
        <v>267.14780652418398</v>
      </c>
      <c r="M323" s="1">
        <f t="shared" ca="1" si="95"/>
        <v>51.000299999999996</v>
      </c>
      <c r="N323" s="1">
        <f t="shared" ca="1" si="95"/>
        <v>0.2</v>
      </c>
      <c r="O323" s="1">
        <f t="shared" ca="1" si="95"/>
        <v>0.2</v>
      </c>
      <c r="P323" s="1">
        <f t="shared" ca="1" si="95"/>
        <v>0.36</v>
      </c>
      <c r="Q323" s="1">
        <f t="shared" ca="1" si="95"/>
        <v>0.1</v>
      </c>
      <c r="R323" s="1">
        <f t="shared" ca="1" si="95"/>
        <v>2.2999999999999998</v>
      </c>
      <c r="S323" s="1">
        <f t="shared" ref="S323:AH338" ca="1" si="96">mVlookup($C323,monsterBaseDate,S$2,FALSE)*(1+mVlookup($E323,monsterType,S$2,FALSE))</f>
        <v>0.1</v>
      </c>
      <c r="T323" s="1">
        <f t="shared" ca="1" si="96"/>
        <v>0.9</v>
      </c>
      <c r="U323" s="1">
        <f t="shared" ca="1" si="96"/>
        <v>46.4</v>
      </c>
      <c r="V323" s="1">
        <f t="shared" ca="1" si="96"/>
        <v>0</v>
      </c>
      <c r="W323" s="1">
        <f t="shared" ca="1" si="96"/>
        <v>36.429246344207002</v>
      </c>
      <c r="X323" s="1">
        <f t="shared" ca="1" si="96"/>
        <v>0</v>
      </c>
      <c r="Y323" s="1">
        <f t="shared" ca="1" si="96"/>
        <v>0</v>
      </c>
      <c r="Z323" s="1">
        <f t="shared" ca="1" si="96"/>
        <v>0</v>
      </c>
      <c r="AA323" s="1">
        <f t="shared" ca="1" si="96"/>
        <v>0</v>
      </c>
      <c r="AB323" s="1">
        <f t="shared" ca="1" si="92"/>
        <v>0</v>
      </c>
      <c r="AC323" s="1">
        <f t="shared" ca="1" si="96"/>
        <v>34.0002</v>
      </c>
      <c r="AD323" s="1">
        <f t="shared" ca="1" si="96"/>
        <v>44.20026</v>
      </c>
      <c r="AE323" s="1">
        <f t="shared" ca="1" si="96"/>
        <v>34.0002</v>
      </c>
      <c r="AF323" s="1">
        <f t="shared" ca="1" si="96"/>
        <v>34.0002</v>
      </c>
      <c r="AG323" s="1">
        <f t="shared" ca="1" si="96"/>
        <v>34.0002</v>
      </c>
      <c r="AH323" s="1">
        <f t="shared" ca="1" si="96"/>
        <v>34.0002</v>
      </c>
      <c r="AI323" s="1">
        <f t="shared" ca="1" si="82"/>
        <v>34.0002</v>
      </c>
    </row>
    <row r="324" spans="2:35" x14ac:dyDescent="0.15">
      <c r="B324" s="1" t="str">
        <f t="shared" ref="B324:B387" si="97">D324&amp;C324</f>
        <v>土系25</v>
      </c>
      <c r="C324" s="1">
        <f t="shared" si="87"/>
        <v>25</v>
      </c>
      <c r="D324" s="14" t="s">
        <v>93</v>
      </c>
      <c r="E324" s="14">
        <f t="shared" si="88"/>
        <v>4</v>
      </c>
      <c r="F324" s="1" t="str">
        <f t="shared" si="93"/>
        <v>地脉</v>
      </c>
      <c r="H324" s="1">
        <f t="shared" ca="1" si="94"/>
        <v>902.34117728778949</v>
      </c>
      <c r="I324" s="1">
        <f t="shared" ca="1" si="95"/>
        <v>100</v>
      </c>
      <c r="J324" s="1">
        <f t="shared" ca="1" si="95"/>
        <v>224.40476190476161</v>
      </c>
      <c r="K324" s="1">
        <f t="shared" ca="1" si="95"/>
        <v>35.416874999999997</v>
      </c>
      <c r="L324" s="1">
        <f t="shared" ca="1" si="95"/>
        <v>280.50595238095201</v>
      </c>
      <c r="M324" s="1">
        <f t="shared" ca="1" si="95"/>
        <v>53.125312499999993</v>
      </c>
      <c r="N324" s="1">
        <f t="shared" ca="1" si="95"/>
        <v>0.2</v>
      </c>
      <c r="O324" s="1">
        <f t="shared" ca="1" si="95"/>
        <v>0.2</v>
      </c>
      <c r="P324" s="1">
        <f t="shared" ca="1" si="95"/>
        <v>0.36</v>
      </c>
      <c r="Q324" s="1">
        <f t="shared" ca="1" si="95"/>
        <v>0.1</v>
      </c>
      <c r="R324" s="1">
        <f t="shared" ca="1" si="95"/>
        <v>2.2999999999999998</v>
      </c>
      <c r="S324" s="1">
        <f t="shared" ca="1" si="96"/>
        <v>0.1</v>
      </c>
      <c r="T324" s="1">
        <f t="shared" ca="1" si="96"/>
        <v>0.9</v>
      </c>
      <c r="U324" s="1">
        <f t="shared" ca="1" si="96"/>
        <v>48.3333333333333</v>
      </c>
      <c r="V324" s="1">
        <f t="shared" ca="1" si="96"/>
        <v>0</v>
      </c>
      <c r="W324" s="1">
        <f t="shared" ca="1" si="96"/>
        <v>40.072278911564602</v>
      </c>
      <c r="X324" s="1">
        <f t="shared" ca="1" si="96"/>
        <v>0</v>
      </c>
      <c r="Y324" s="1">
        <f t="shared" ca="1" si="96"/>
        <v>0</v>
      </c>
      <c r="Z324" s="1">
        <f t="shared" ca="1" si="96"/>
        <v>0</v>
      </c>
      <c r="AA324" s="1">
        <f t="shared" ca="1" si="96"/>
        <v>0</v>
      </c>
      <c r="AB324" s="1">
        <f t="shared" ca="1" si="92"/>
        <v>0</v>
      </c>
      <c r="AC324" s="1">
        <f t="shared" ca="1" si="96"/>
        <v>35.416874999999997</v>
      </c>
      <c r="AD324" s="1">
        <f t="shared" ca="1" si="96"/>
        <v>46.041937499999996</v>
      </c>
      <c r="AE324" s="1">
        <f t="shared" ca="1" si="96"/>
        <v>35.416874999999997</v>
      </c>
      <c r="AF324" s="1">
        <f t="shared" ca="1" si="96"/>
        <v>35.416874999999997</v>
      </c>
      <c r="AG324" s="1">
        <f t="shared" ca="1" si="96"/>
        <v>35.416874999999997</v>
      </c>
      <c r="AH324" s="1">
        <f t="shared" ca="1" si="96"/>
        <v>35.416874999999997</v>
      </c>
      <c r="AI324" s="1">
        <f t="shared" ca="1" si="82"/>
        <v>35.416874999999997</v>
      </c>
    </row>
    <row r="325" spans="2:35" x14ac:dyDescent="0.15">
      <c r="B325" s="1" t="str">
        <f t="shared" si="97"/>
        <v>土系26</v>
      </c>
      <c r="C325" s="1">
        <f t="shared" si="87"/>
        <v>26</v>
      </c>
      <c r="D325" s="14" t="s">
        <v>93</v>
      </c>
      <c r="E325" s="14">
        <f t="shared" si="88"/>
        <v>4</v>
      </c>
      <c r="F325" s="1" t="str">
        <f t="shared" si="93"/>
        <v>地脉</v>
      </c>
      <c r="H325" s="1">
        <f t="shared" ca="1" si="94"/>
        <v>943.82812796768769</v>
      </c>
      <c r="I325" s="1">
        <f t="shared" ca="1" si="95"/>
        <v>100</v>
      </c>
      <c r="J325" s="1">
        <f t="shared" ca="1" si="95"/>
        <v>235.24800000000002</v>
      </c>
      <c r="K325" s="1">
        <f t="shared" ca="1" si="95"/>
        <v>36.833550000000002</v>
      </c>
      <c r="L325" s="1">
        <f t="shared" ca="1" si="95"/>
        <v>294.06</v>
      </c>
      <c r="M325" s="1">
        <f t="shared" ca="1" si="95"/>
        <v>55.250325000000004</v>
      </c>
      <c r="N325" s="1">
        <f t="shared" ca="1" si="95"/>
        <v>0.2</v>
      </c>
      <c r="O325" s="1">
        <f t="shared" ca="1" si="95"/>
        <v>0.2</v>
      </c>
      <c r="P325" s="1">
        <f t="shared" ca="1" si="95"/>
        <v>0.36</v>
      </c>
      <c r="Q325" s="1">
        <f t="shared" ca="1" si="95"/>
        <v>0.1</v>
      </c>
      <c r="R325" s="1">
        <f t="shared" ca="1" si="95"/>
        <v>2.2999999999999998</v>
      </c>
      <c r="S325" s="1">
        <f t="shared" ca="1" si="96"/>
        <v>0.1</v>
      </c>
      <c r="T325" s="1">
        <f t="shared" ca="1" si="96"/>
        <v>0.9</v>
      </c>
      <c r="U325" s="1">
        <f t="shared" ca="1" si="96"/>
        <v>50.266666666666701</v>
      </c>
      <c r="V325" s="1">
        <f t="shared" ca="1" si="96"/>
        <v>0</v>
      </c>
      <c r="W325" s="1">
        <f t="shared" ca="1" si="96"/>
        <v>43.94</v>
      </c>
      <c r="X325" s="1">
        <f t="shared" ca="1" si="96"/>
        <v>0</v>
      </c>
      <c r="Y325" s="1">
        <f t="shared" ca="1" si="96"/>
        <v>0</v>
      </c>
      <c r="Z325" s="1">
        <f t="shared" ca="1" si="96"/>
        <v>0</v>
      </c>
      <c r="AA325" s="1">
        <f t="shared" ca="1" si="96"/>
        <v>0</v>
      </c>
      <c r="AB325" s="1">
        <f t="shared" ca="1" si="92"/>
        <v>0</v>
      </c>
      <c r="AC325" s="1">
        <f t="shared" ca="1" si="96"/>
        <v>36.833550000000002</v>
      </c>
      <c r="AD325" s="1">
        <f t="shared" ca="1" si="96"/>
        <v>47.883615000000006</v>
      </c>
      <c r="AE325" s="1">
        <f t="shared" ca="1" si="96"/>
        <v>36.833550000000002</v>
      </c>
      <c r="AF325" s="1">
        <f t="shared" ca="1" si="96"/>
        <v>36.833550000000002</v>
      </c>
      <c r="AG325" s="1">
        <f t="shared" ca="1" si="96"/>
        <v>36.833550000000002</v>
      </c>
      <c r="AH325" s="1">
        <f t="shared" ca="1" si="96"/>
        <v>36.833550000000002</v>
      </c>
      <c r="AI325" s="1">
        <f t="shared" ca="1" si="82"/>
        <v>36.833550000000002</v>
      </c>
    </row>
    <row r="326" spans="2:35" x14ac:dyDescent="0.15">
      <c r="B326" s="1" t="str">
        <f t="shared" si="97"/>
        <v>土系27</v>
      </c>
      <c r="C326" s="1">
        <f t="shared" si="87"/>
        <v>27</v>
      </c>
      <c r="D326" s="14" t="s">
        <v>93</v>
      </c>
      <c r="E326" s="14">
        <f t="shared" si="88"/>
        <v>4</v>
      </c>
      <c r="F326" s="1" t="str">
        <f t="shared" si="93"/>
        <v>地脉</v>
      </c>
      <c r="H326" s="1">
        <f t="shared" ca="1" si="94"/>
        <v>985.72994815438528</v>
      </c>
      <c r="I326" s="1">
        <f t="shared" ca="1" si="95"/>
        <v>100</v>
      </c>
      <c r="J326" s="1">
        <f t="shared" ca="1" si="95"/>
        <v>246.24995391705039</v>
      </c>
      <c r="K326" s="1">
        <f t="shared" ca="1" si="95"/>
        <v>38.250225</v>
      </c>
      <c r="L326" s="1">
        <f t="shared" ca="1" si="95"/>
        <v>307.81244239631297</v>
      </c>
      <c r="M326" s="1">
        <f t="shared" ca="1" si="95"/>
        <v>57.375337500000001</v>
      </c>
      <c r="N326" s="1">
        <f t="shared" ca="1" si="95"/>
        <v>0.2</v>
      </c>
      <c r="O326" s="1">
        <f t="shared" ca="1" si="95"/>
        <v>0.2</v>
      </c>
      <c r="P326" s="1">
        <f t="shared" ca="1" si="95"/>
        <v>0.36</v>
      </c>
      <c r="Q326" s="1">
        <f t="shared" ca="1" si="95"/>
        <v>0.1</v>
      </c>
      <c r="R326" s="1">
        <f t="shared" ca="1" si="95"/>
        <v>2.2999999999999998</v>
      </c>
      <c r="S326" s="1">
        <f t="shared" ca="1" si="96"/>
        <v>0.1</v>
      </c>
      <c r="T326" s="1">
        <f t="shared" ca="1" si="96"/>
        <v>0.9</v>
      </c>
      <c r="U326" s="1">
        <f t="shared" ca="1" si="96"/>
        <v>52.2</v>
      </c>
      <c r="V326" s="1">
        <f t="shared" ca="1" si="96"/>
        <v>0</v>
      </c>
      <c r="W326" s="1">
        <f t="shared" ca="1" si="96"/>
        <v>48.040092165898599</v>
      </c>
      <c r="X326" s="1">
        <f t="shared" ca="1" si="96"/>
        <v>0</v>
      </c>
      <c r="Y326" s="1">
        <f t="shared" ca="1" si="96"/>
        <v>0</v>
      </c>
      <c r="Z326" s="1">
        <f t="shared" ca="1" si="96"/>
        <v>0</v>
      </c>
      <c r="AA326" s="1">
        <f t="shared" ca="1" si="96"/>
        <v>0</v>
      </c>
      <c r="AB326" s="1">
        <f t="shared" ca="1" si="92"/>
        <v>0</v>
      </c>
      <c r="AC326" s="1">
        <f t="shared" ca="1" si="96"/>
        <v>38.250225</v>
      </c>
      <c r="AD326" s="1">
        <f t="shared" ca="1" si="96"/>
        <v>49.725292500000002</v>
      </c>
      <c r="AE326" s="1">
        <f t="shared" ca="1" si="96"/>
        <v>38.250225</v>
      </c>
      <c r="AF326" s="1">
        <f t="shared" ca="1" si="96"/>
        <v>38.250225</v>
      </c>
      <c r="AG326" s="1">
        <f t="shared" ca="1" si="96"/>
        <v>38.250225</v>
      </c>
      <c r="AH326" s="1">
        <f t="shared" ca="1" si="96"/>
        <v>38.250225</v>
      </c>
      <c r="AI326" s="1">
        <f t="shared" ca="1" si="82"/>
        <v>38.250225</v>
      </c>
    </row>
    <row r="327" spans="2:35" x14ac:dyDescent="0.15">
      <c r="B327" s="1" t="str">
        <f t="shared" si="97"/>
        <v>土系28</v>
      </c>
      <c r="C327" s="1">
        <f t="shared" si="87"/>
        <v>28</v>
      </c>
      <c r="D327" s="14" t="s">
        <v>93</v>
      </c>
      <c r="E327" s="14">
        <f t="shared" si="88"/>
        <v>4</v>
      </c>
      <c r="F327" s="1" t="str">
        <f t="shared" si="93"/>
        <v>地脉</v>
      </c>
      <c r="H327" s="1">
        <f t="shared" ca="1" si="94"/>
        <v>1028.0466378478807</v>
      </c>
      <c r="I327" s="1">
        <f t="shared" ca="1" si="95"/>
        <v>100</v>
      </c>
      <c r="J327" s="1">
        <f t="shared" ca="1" si="95"/>
        <v>257.41268292682963</v>
      </c>
      <c r="K327" s="1">
        <f t="shared" ca="1" si="95"/>
        <v>39.666899999999998</v>
      </c>
      <c r="L327" s="1">
        <f t="shared" ca="1" si="95"/>
        <v>321.76585365853703</v>
      </c>
      <c r="M327" s="1">
        <f t="shared" ca="1" si="95"/>
        <v>59.500349999999997</v>
      </c>
      <c r="N327" s="1">
        <f t="shared" ca="1" si="95"/>
        <v>0.2</v>
      </c>
      <c r="O327" s="1">
        <f t="shared" ca="1" si="95"/>
        <v>0.2</v>
      </c>
      <c r="P327" s="1">
        <f t="shared" ca="1" si="95"/>
        <v>0.36</v>
      </c>
      <c r="Q327" s="1">
        <f t="shared" ca="1" si="95"/>
        <v>0.1</v>
      </c>
      <c r="R327" s="1">
        <f t="shared" ca="1" si="95"/>
        <v>2.2999999999999998</v>
      </c>
      <c r="S327" s="1">
        <f t="shared" ca="1" si="96"/>
        <v>0.1</v>
      </c>
      <c r="T327" s="1">
        <f t="shared" ca="1" si="96"/>
        <v>0.9</v>
      </c>
      <c r="U327" s="1">
        <f t="shared" ca="1" si="96"/>
        <v>54.133333333333297</v>
      </c>
      <c r="V327" s="1">
        <f t="shared" ca="1" si="96"/>
        <v>0</v>
      </c>
      <c r="W327" s="1">
        <f t="shared" ca="1" si="96"/>
        <v>52.380487804878101</v>
      </c>
      <c r="X327" s="1">
        <f t="shared" ca="1" si="96"/>
        <v>0</v>
      </c>
      <c r="Y327" s="1">
        <f t="shared" ca="1" si="96"/>
        <v>0</v>
      </c>
      <c r="Z327" s="1">
        <f t="shared" ca="1" si="96"/>
        <v>0</v>
      </c>
      <c r="AA327" s="1">
        <f t="shared" ca="1" si="96"/>
        <v>0</v>
      </c>
      <c r="AB327" s="1">
        <f t="shared" ca="1" si="92"/>
        <v>0</v>
      </c>
      <c r="AC327" s="1">
        <f t="shared" ca="1" si="96"/>
        <v>39.666899999999998</v>
      </c>
      <c r="AD327" s="1">
        <f t="shared" ca="1" si="96"/>
        <v>51.566969999999998</v>
      </c>
      <c r="AE327" s="1">
        <f t="shared" ca="1" si="96"/>
        <v>39.666899999999998</v>
      </c>
      <c r="AF327" s="1">
        <f t="shared" ca="1" si="96"/>
        <v>39.666899999999998</v>
      </c>
      <c r="AG327" s="1">
        <f t="shared" ca="1" si="96"/>
        <v>39.666899999999998</v>
      </c>
      <c r="AH327" s="1">
        <f t="shared" ca="1" si="96"/>
        <v>39.666899999999998</v>
      </c>
      <c r="AI327" s="1">
        <f t="shared" ca="1" si="82"/>
        <v>39.666899999999998</v>
      </c>
    </row>
    <row r="328" spans="2:35" x14ac:dyDescent="0.15">
      <c r="B328" s="1" t="str">
        <f t="shared" si="97"/>
        <v>土系29</v>
      </c>
      <c r="C328" s="1">
        <f t="shared" si="87"/>
        <v>29</v>
      </c>
      <c r="D328" s="14" t="s">
        <v>93</v>
      </c>
      <c r="E328" s="14">
        <f t="shared" si="88"/>
        <v>4</v>
      </c>
      <c r="F328" s="1" t="str">
        <f t="shared" si="93"/>
        <v>地脉</v>
      </c>
      <c r="H328" s="1">
        <f t="shared" ca="1" si="94"/>
        <v>1070.7781970481765</v>
      </c>
      <c r="I328" s="1">
        <f t="shared" ca="1" si="95"/>
        <v>100</v>
      </c>
      <c r="J328" s="1">
        <f t="shared" ca="1" si="95"/>
        <v>268.73831381733038</v>
      </c>
      <c r="K328" s="1">
        <f t="shared" ca="1" si="95"/>
        <v>41.083575000000003</v>
      </c>
      <c r="L328" s="1">
        <f t="shared" ca="1" si="95"/>
        <v>335.92289227166299</v>
      </c>
      <c r="M328" s="1">
        <f t="shared" ca="1" si="95"/>
        <v>61.625362500000008</v>
      </c>
      <c r="N328" s="1">
        <f t="shared" ca="1" si="95"/>
        <v>0.2</v>
      </c>
      <c r="O328" s="1">
        <f t="shared" ca="1" si="95"/>
        <v>0.2</v>
      </c>
      <c r="P328" s="1">
        <f t="shared" ca="1" si="95"/>
        <v>0.36</v>
      </c>
      <c r="Q328" s="1">
        <f t="shared" ca="1" si="95"/>
        <v>0.1</v>
      </c>
      <c r="R328" s="1">
        <f t="shared" ca="1" si="95"/>
        <v>2.2999999999999998</v>
      </c>
      <c r="S328" s="1">
        <f t="shared" ca="1" si="96"/>
        <v>0.1</v>
      </c>
      <c r="T328" s="1">
        <f t="shared" ca="1" si="96"/>
        <v>0.9</v>
      </c>
      <c r="U328" s="1">
        <f t="shared" ca="1" si="96"/>
        <v>56.066666666666698</v>
      </c>
      <c r="V328" s="1">
        <f t="shared" ca="1" si="96"/>
        <v>0</v>
      </c>
      <c r="W328" s="1">
        <f t="shared" ca="1" si="96"/>
        <v>56.969379391100702</v>
      </c>
      <c r="X328" s="1">
        <f t="shared" ca="1" si="96"/>
        <v>0</v>
      </c>
      <c r="Y328" s="1">
        <f t="shared" ca="1" si="96"/>
        <v>0</v>
      </c>
      <c r="Z328" s="1">
        <f t="shared" ca="1" si="96"/>
        <v>0</v>
      </c>
      <c r="AA328" s="1">
        <f t="shared" ca="1" si="96"/>
        <v>0</v>
      </c>
      <c r="AB328" s="1">
        <f t="shared" ca="1" si="92"/>
        <v>0</v>
      </c>
      <c r="AC328" s="1">
        <f t="shared" ca="1" si="96"/>
        <v>41.083575000000003</v>
      </c>
      <c r="AD328" s="1">
        <f t="shared" ca="1" si="96"/>
        <v>53.408647500000008</v>
      </c>
      <c r="AE328" s="1">
        <f t="shared" ca="1" si="96"/>
        <v>41.083575000000003</v>
      </c>
      <c r="AF328" s="1">
        <f t="shared" ca="1" si="96"/>
        <v>41.083575000000003</v>
      </c>
      <c r="AG328" s="1">
        <f t="shared" ca="1" si="96"/>
        <v>41.083575000000003</v>
      </c>
      <c r="AH328" s="1">
        <f t="shared" ca="1" si="96"/>
        <v>41.083575000000003</v>
      </c>
      <c r="AI328" s="1">
        <f t="shared" ca="1" si="82"/>
        <v>41.083575000000003</v>
      </c>
    </row>
    <row r="329" spans="2:35" x14ac:dyDescent="0.15">
      <c r="B329" s="1" t="str">
        <f t="shared" si="97"/>
        <v>土系30</v>
      </c>
      <c r="C329" s="1">
        <f t="shared" si="87"/>
        <v>30</v>
      </c>
      <c r="D329" s="14" t="s">
        <v>93</v>
      </c>
      <c r="E329" s="14">
        <f t="shared" si="88"/>
        <v>4</v>
      </c>
      <c r="F329" s="1" t="str">
        <f t="shared" si="93"/>
        <v>地脉</v>
      </c>
      <c r="H329" s="1">
        <f t="shared" ca="1" si="94"/>
        <v>1113.9246257552704</v>
      </c>
      <c r="I329" s="1">
        <f t="shared" ca="1" si="95"/>
        <v>100</v>
      </c>
      <c r="J329" s="1">
        <f t="shared" ca="1" si="95"/>
        <v>280.22904368358883</v>
      </c>
      <c r="K329" s="1">
        <f t="shared" ca="1" si="95"/>
        <v>42.500250000000001</v>
      </c>
      <c r="L329" s="1">
        <f t="shared" ca="1" si="95"/>
        <v>350.28630460448602</v>
      </c>
      <c r="M329" s="1">
        <f t="shared" ca="1" si="95"/>
        <v>63.750375000000005</v>
      </c>
      <c r="N329" s="1">
        <f t="shared" ca="1" si="95"/>
        <v>0.2</v>
      </c>
      <c r="O329" s="1">
        <f t="shared" ca="1" si="95"/>
        <v>0.2</v>
      </c>
      <c r="P329" s="1">
        <f t="shared" ca="1" si="95"/>
        <v>0.36</v>
      </c>
      <c r="Q329" s="1">
        <f t="shared" ca="1" si="95"/>
        <v>0.1</v>
      </c>
      <c r="R329" s="1">
        <f t="shared" ca="1" si="95"/>
        <v>2.2999999999999998</v>
      </c>
      <c r="S329" s="1">
        <f t="shared" ca="1" si="96"/>
        <v>0.1</v>
      </c>
      <c r="T329" s="1">
        <f t="shared" ca="1" si="96"/>
        <v>0.9</v>
      </c>
      <c r="U329" s="1">
        <f t="shared" ca="1" si="96"/>
        <v>58</v>
      </c>
      <c r="V329" s="1">
        <f t="shared" ca="1" si="96"/>
        <v>0</v>
      </c>
      <c r="W329" s="1">
        <f t="shared" ca="1" si="96"/>
        <v>61.815230224321098</v>
      </c>
      <c r="X329" s="1">
        <f t="shared" ca="1" si="96"/>
        <v>0</v>
      </c>
      <c r="Y329" s="1">
        <f t="shared" ca="1" si="96"/>
        <v>0</v>
      </c>
      <c r="Z329" s="1">
        <f t="shared" ca="1" si="96"/>
        <v>0</v>
      </c>
      <c r="AA329" s="1">
        <f t="shared" ca="1" si="96"/>
        <v>0</v>
      </c>
      <c r="AB329" s="1">
        <f t="shared" ca="1" si="96"/>
        <v>0</v>
      </c>
      <c r="AC329" s="1">
        <f t="shared" ca="1" si="96"/>
        <v>42.500250000000001</v>
      </c>
      <c r="AD329" s="1">
        <f t="shared" ca="1" si="96"/>
        <v>55.250325000000004</v>
      </c>
      <c r="AE329" s="1">
        <f t="shared" ca="1" si="96"/>
        <v>42.500250000000001</v>
      </c>
      <c r="AF329" s="1">
        <f t="shared" ca="1" si="96"/>
        <v>42.500250000000001</v>
      </c>
      <c r="AG329" s="1">
        <f t="shared" ca="1" si="96"/>
        <v>42.500250000000001</v>
      </c>
      <c r="AH329" s="1">
        <f t="shared" ca="1" si="96"/>
        <v>42.500250000000001</v>
      </c>
      <c r="AI329" s="1">
        <f t="shared" ca="1" si="82"/>
        <v>42.500250000000001</v>
      </c>
    </row>
    <row r="330" spans="2:35" x14ac:dyDescent="0.15">
      <c r="B330" s="1" t="str">
        <f t="shared" si="97"/>
        <v>土系31</v>
      </c>
      <c r="C330" s="1">
        <f t="shared" si="87"/>
        <v>31</v>
      </c>
      <c r="D330" s="14" t="s">
        <v>93</v>
      </c>
      <c r="E330" s="14">
        <f t="shared" si="88"/>
        <v>4</v>
      </c>
      <c r="F330" s="1" t="str">
        <f t="shared" si="93"/>
        <v>地脉</v>
      </c>
      <c r="H330" s="1">
        <f t="shared" ca="1" si="94"/>
        <v>1157.4859239691637</v>
      </c>
      <c r="I330" s="1">
        <f t="shared" ca="1" si="95"/>
        <v>100</v>
      </c>
      <c r="J330" s="1">
        <f t="shared" ca="1" si="95"/>
        <v>291.8871428571432</v>
      </c>
      <c r="K330" s="1">
        <f t="shared" ca="1" si="95"/>
        <v>43.916924999999999</v>
      </c>
      <c r="L330" s="1">
        <f t="shared" ca="1" si="95"/>
        <v>364.85892857142898</v>
      </c>
      <c r="M330" s="1">
        <f t="shared" ca="1" si="95"/>
        <v>65.875387500000002</v>
      </c>
      <c r="N330" s="1">
        <f t="shared" ca="1" si="95"/>
        <v>0.2</v>
      </c>
      <c r="O330" s="1">
        <f t="shared" ca="1" si="95"/>
        <v>0.2</v>
      </c>
      <c r="P330" s="1">
        <f t="shared" ca="1" si="95"/>
        <v>0.36</v>
      </c>
      <c r="Q330" s="1">
        <f t="shared" ca="1" si="95"/>
        <v>0.1</v>
      </c>
      <c r="R330" s="1">
        <f t="shared" ca="1" si="95"/>
        <v>2.2999999999999998</v>
      </c>
      <c r="S330" s="1">
        <f t="shared" ca="1" si="96"/>
        <v>0.1</v>
      </c>
      <c r="T330" s="1">
        <f t="shared" ca="1" si="96"/>
        <v>0.9</v>
      </c>
      <c r="U330" s="1">
        <f t="shared" ca="1" si="96"/>
        <v>59.933333333333302</v>
      </c>
      <c r="V330" s="1">
        <f t="shared" ca="1" si="96"/>
        <v>0</v>
      </c>
      <c r="W330" s="1">
        <f t="shared" ca="1" si="96"/>
        <v>66.9267857142857</v>
      </c>
      <c r="X330" s="1">
        <f t="shared" ca="1" si="96"/>
        <v>0</v>
      </c>
      <c r="Y330" s="1">
        <f t="shared" ca="1" si="96"/>
        <v>0</v>
      </c>
      <c r="Z330" s="1">
        <f t="shared" ca="1" si="96"/>
        <v>0</v>
      </c>
      <c r="AA330" s="1">
        <f t="shared" ca="1" si="96"/>
        <v>0</v>
      </c>
      <c r="AB330" s="1">
        <f t="shared" ca="1" si="96"/>
        <v>0</v>
      </c>
      <c r="AC330" s="1">
        <f t="shared" ca="1" si="96"/>
        <v>43.916924999999999</v>
      </c>
      <c r="AD330" s="1">
        <f t="shared" ca="1" si="96"/>
        <v>57.0920025</v>
      </c>
      <c r="AE330" s="1">
        <f t="shared" ca="1" si="96"/>
        <v>43.916924999999999</v>
      </c>
      <c r="AF330" s="1">
        <f t="shared" ca="1" si="96"/>
        <v>43.916924999999999</v>
      </c>
      <c r="AG330" s="1">
        <f t="shared" ca="1" si="96"/>
        <v>43.916924999999999</v>
      </c>
      <c r="AH330" s="1">
        <f t="shared" ca="1" si="96"/>
        <v>43.916924999999999</v>
      </c>
      <c r="AI330" s="1">
        <f t="shared" ca="1" si="82"/>
        <v>43.916924999999999</v>
      </c>
    </row>
    <row r="331" spans="2:35" x14ac:dyDescent="0.15">
      <c r="B331" s="1" t="str">
        <f t="shared" si="97"/>
        <v>土系32</v>
      </c>
      <c r="C331" s="1">
        <f t="shared" si="87"/>
        <v>32</v>
      </c>
      <c r="D331" s="14" t="s">
        <v>93</v>
      </c>
      <c r="E331" s="14">
        <f t="shared" si="88"/>
        <v>4</v>
      </c>
      <c r="F331" s="1" t="str">
        <f t="shared" si="93"/>
        <v>地脉</v>
      </c>
      <c r="H331" s="1">
        <f t="shared" ca="1" si="94"/>
        <v>1201.4620916898562</v>
      </c>
      <c r="I331" s="1">
        <f t="shared" ca="1" si="95"/>
        <v>100</v>
      </c>
      <c r="J331" s="1">
        <f t="shared" ca="1" si="95"/>
        <v>303.71495798319364</v>
      </c>
      <c r="K331" s="1">
        <f t="shared" ca="1" si="95"/>
        <v>45.333599999999997</v>
      </c>
      <c r="L331" s="1">
        <f t="shared" ca="1" si="95"/>
        <v>379.64369747899201</v>
      </c>
      <c r="M331" s="1">
        <f t="shared" ca="1" si="95"/>
        <v>68.000399999999999</v>
      </c>
      <c r="N331" s="1">
        <f t="shared" ca="1" si="95"/>
        <v>0.2</v>
      </c>
      <c r="O331" s="1">
        <f t="shared" ca="1" si="95"/>
        <v>0.2</v>
      </c>
      <c r="P331" s="1">
        <f t="shared" ca="1" si="95"/>
        <v>0.36</v>
      </c>
      <c r="Q331" s="1">
        <f t="shared" ca="1" si="95"/>
        <v>0.1</v>
      </c>
      <c r="R331" s="1">
        <f t="shared" ca="1" si="95"/>
        <v>2.2999999999999998</v>
      </c>
      <c r="S331" s="1">
        <f t="shared" ca="1" si="96"/>
        <v>0.1</v>
      </c>
      <c r="T331" s="1">
        <f t="shared" ca="1" si="96"/>
        <v>0.9</v>
      </c>
      <c r="U331" s="1">
        <f t="shared" ca="1" si="96"/>
        <v>61.866666666666703</v>
      </c>
      <c r="V331" s="1">
        <f t="shared" ca="1" si="96"/>
        <v>0</v>
      </c>
      <c r="W331" s="1">
        <f t="shared" ca="1" si="96"/>
        <v>72.313085234093606</v>
      </c>
      <c r="X331" s="1">
        <f t="shared" ca="1" si="96"/>
        <v>0</v>
      </c>
      <c r="Y331" s="1">
        <f t="shared" ca="1" si="96"/>
        <v>0</v>
      </c>
      <c r="Z331" s="1">
        <f t="shared" ca="1" si="96"/>
        <v>0</v>
      </c>
      <c r="AA331" s="1">
        <f t="shared" ca="1" si="96"/>
        <v>0</v>
      </c>
      <c r="AB331" s="1">
        <f t="shared" ca="1" si="96"/>
        <v>0</v>
      </c>
      <c r="AC331" s="1">
        <f t="shared" ca="1" si="96"/>
        <v>45.333599999999997</v>
      </c>
      <c r="AD331" s="1">
        <f t="shared" ca="1" si="96"/>
        <v>58.933679999999995</v>
      </c>
      <c r="AE331" s="1">
        <f t="shared" ca="1" si="96"/>
        <v>45.333599999999997</v>
      </c>
      <c r="AF331" s="1">
        <f t="shared" ca="1" si="96"/>
        <v>45.333599999999997</v>
      </c>
      <c r="AG331" s="1">
        <f t="shared" ca="1" si="96"/>
        <v>45.333599999999997</v>
      </c>
      <c r="AH331" s="1">
        <f t="shared" ca="1" si="96"/>
        <v>45.333599999999997</v>
      </c>
      <c r="AI331" s="1">
        <f t="shared" ca="1" si="82"/>
        <v>45.333599999999997</v>
      </c>
    </row>
    <row r="332" spans="2:35" x14ac:dyDescent="0.15">
      <c r="B332" s="1" t="str">
        <f t="shared" si="97"/>
        <v>土系33</v>
      </c>
      <c r="C332" s="1">
        <f t="shared" si="87"/>
        <v>33</v>
      </c>
      <c r="D332" s="14" t="s">
        <v>93</v>
      </c>
      <c r="E332" s="14">
        <f t="shared" si="88"/>
        <v>4</v>
      </c>
      <c r="F332" s="1" t="str">
        <f t="shared" si="93"/>
        <v>地脉</v>
      </c>
      <c r="H332" s="1">
        <f t="shared" ca="1" si="94"/>
        <v>1245.8531289173479</v>
      </c>
      <c r="I332" s="1">
        <f t="shared" ca="1" si="95"/>
        <v>100</v>
      </c>
      <c r="J332" s="1">
        <f t="shared" ca="1" si="95"/>
        <v>315.71491525423767</v>
      </c>
      <c r="K332" s="1">
        <f t="shared" ca="1" si="95"/>
        <v>46.750275000000002</v>
      </c>
      <c r="L332" s="1">
        <f t="shared" ca="1" si="95"/>
        <v>394.64364406779703</v>
      </c>
      <c r="M332" s="1">
        <f t="shared" ca="1" si="95"/>
        <v>70.12541250000001</v>
      </c>
      <c r="N332" s="1">
        <f t="shared" ca="1" si="95"/>
        <v>0.2</v>
      </c>
      <c r="O332" s="1">
        <f t="shared" ca="1" si="95"/>
        <v>0.2</v>
      </c>
      <c r="P332" s="1">
        <f t="shared" ca="1" si="95"/>
        <v>0.36</v>
      </c>
      <c r="Q332" s="1">
        <f t="shared" ca="1" si="95"/>
        <v>0.1</v>
      </c>
      <c r="R332" s="1">
        <f t="shared" ca="1" si="95"/>
        <v>2.2999999999999998</v>
      </c>
      <c r="S332" s="1">
        <f t="shared" ca="1" si="96"/>
        <v>0.1</v>
      </c>
      <c r="T332" s="1">
        <f t="shared" ca="1" si="96"/>
        <v>0.9</v>
      </c>
      <c r="U332" s="1">
        <f t="shared" ca="1" si="96"/>
        <v>63.8</v>
      </c>
      <c r="V332" s="1">
        <f t="shared" ca="1" si="96"/>
        <v>0</v>
      </c>
      <c r="W332" s="1">
        <f t="shared" ca="1" si="96"/>
        <v>77.983474576271206</v>
      </c>
      <c r="X332" s="1">
        <f t="shared" ca="1" si="96"/>
        <v>0</v>
      </c>
      <c r="Y332" s="1">
        <f t="shared" ca="1" si="96"/>
        <v>0</v>
      </c>
      <c r="Z332" s="1">
        <f t="shared" ca="1" si="96"/>
        <v>0</v>
      </c>
      <c r="AA332" s="1">
        <f t="shared" ca="1" si="96"/>
        <v>0</v>
      </c>
      <c r="AB332" s="1">
        <f t="shared" ca="1" si="96"/>
        <v>0</v>
      </c>
      <c r="AC332" s="1">
        <f t="shared" ca="1" si="96"/>
        <v>46.750275000000002</v>
      </c>
      <c r="AD332" s="1">
        <f t="shared" ca="1" si="96"/>
        <v>60.775357500000005</v>
      </c>
      <c r="AE332" s="1">
        <f t="shared" ca="1" si="96"/>
        <v>46.750275000000002</v>
      </c>
      <c r="AF332" s="1">
        <f t="shared" ca="1" si="96"/>
        <v>46.750275000000002</v>
      </c>
      <c r="AG332" s="1">
        <f t="shared" ca="1" si="96"/>
        <v>46.750275000000002</v>
      </c>
      <c r="AH332" s="1">
        <f t="shared" ca="1" si="96"/>
        <v>46.750275000000002</v>
      </c>
      <c r="AI332" s="1">
        <f t="shared" ca="1" si="82"/>
        <v>46.750275000000002</v>
      </c>
    </row>
    <row r="333" spans="2:35" x14ac:dyDescent="0.15">
      <c r="B333" s="1" t="str">
        <f t="shared" si="97"/>
        <v>土系34</v>
      </c>
      <c r="C333" s="1">
        <f t="shared" si="87"/>
        <v>34</v>
      </c>
      <c r="D333" s="14" t="s">
        <v>93</v>
      </c>
      <c r="E333" s="14">
        <f t="shared" si="88"/>
        <v>4</v>
      </c>
      <c r="F333" s="1" t="str">
        <f t="shared" si="93"/>
        <v>地脉</v>
      </c>
      <c r="H333" s="1">
        <f t="shared" ca="1" si="94"/>
        <v>1357.4516326240446</v>
      </c>
      <c r="I333" s="1">
        <f t="shared" ref="I333:R342" ca="1" si="98">mVlookup($C333,monsterBaseDate,I$2,FALSE)*(1+mVlookup($E333,monsterType,I$2,FALSE))</f>
        <v>100</v>
      </c>
      <c r="J333" s="1">
        <f t="shared" ca="1" si="98"/>
        <v>327.88952380952401</v>
      </c>
      <c r="K333" s="1">
        <f t="shared" ca="1" si="98"/>
        <v>48.16695</v>
      </c>
      <c r="L333" s="1">
        <f t="shared" ca="1" si="98"/>
        <v>409.86190476190501</v>
      </c>
      <c r="M333" s="1">
        <f t="shared" ca="1" si="98"/>
        <v>72.250425000000007</v>
      </c>
      <c r="N333" s="1">
        <f t="shared" ca="1" si="98"/>
        <v>0.2</v>
      </c>
      <c r="O333" s="1">
        <f t="shared" ca="1" si="98"/>
        <v>0.2</v>
      </c>
      <c r="P333" s="1">
        <f t="shared" ca="1" si="98"/>
        <v>0.36</v>
      </c>
      <c r="Q333" s="1">
        <f t="shared" ca="1" si="98"/>
        <v>0.1</v>
      </c>
      <c r="R333" s="1">
        <f t="shared" ca="1" si="98"/>
        <v>2.2999999999999998</v>
      </c>
      <c r="S333" s="1">
        <f t="shared" ref="S333:AH348" ca="1" si="99">mVlookup($C333,monsterBaseDate,S$2,FALSE)*(1+mVlookup($E333,monsterType,S$2,FALSE))</f>
        <v>0.1</v>
      </c>
      <c r="T333" s="1">
        <f t="shared" ca="1" si="99"/>
        <v>0.9</v>
      </c>
      <c r="U333" s="1">
        <f t="shared" ca="1" si="99"/>
        <v>65.733333333333306</v>
      </c>
      <c r="V333" s="1">
        <f t="shared" ca="1" si="99"/>
        <v>0</v>
      </c>
      <c r="W333" s="1">
        <f t="shared" ca="1" si="99"/>
        <v>83.947619047619099</v>
      </c>
      <c r="X333" s="1">
        <f t="shared" ca="1" si="99"/>
        <v>0</v>
      </c>
      <c r="Y333" s="1">
        <f t="shared" ca="1" si="99"/>
        <v>0</v>
      </c>
      <c r="Z333" s="1">
        <f t="shared" ca="1" si="99"/>
        <v>0</v>
      </c>
      <c r="AA333" s="1">
        <f t="shared" ca="1" si="99"/>
        <v>0</v>
      </c>
      <c r="AB333" s="1">
        <f t="shared" ca="1" si="96"/>
        <v>0</v>
      </c>
      <c r="AC333" s="1">
        <f t="shared" ca="1" si="99"/>
        <v>48.16695</v>
      </c>
      <c r="AD333" s="1">
        <f t="shared" ca="1" si="99"/>
        <v>62.617035000000001</v>
      </c>
      <c r="AE333" s="1">
        <f t="shared" ca="1" si="99"/>
        <v>48.16695</v>
      </c>
      <c r="AF333" s="1">
        <f t="shared" ca="1" si="99"/>
        <v>48.16695</v>
      </c>
      <c r="AG333" s="1">
        <f t="shared" ca="1" si="99"/>
        <v>48.16695</v>
      </c>
      <c r="AH333" s="1">
        <f t="shared" ca="1" si="99"/>
        <v>48.16695</v>
      </c>
      <c r="AI333" s="1">
        <f t="shared" ca="1" si="82"/>
        <v>48.16695</v>
      </c>
    </row>
    <row r="334" spans="2:35" x14ac:dyDescent="0.15">
      <c r="B334" s="1" t="str">
        <f t="shared" si="97"/>
        <v>土系35</v>
      </c>
      <c r="C334" s="1">
        <f t="shared" si="87"/>
        <v>35</v>
      </c>
      <c r="D334" s="14" t="s">
        <v>93</v>
      </c>
      <c r="E334" s="14">
        <f t="shared" si="88"/>
        <v>4</v>
      </c>
      <c r="F334" s="1" t="str">
        <f t="shared" si="93"/>
        <v>地脉</v>
      </c>
      <c r="H334" s="1">
        <f t="shared" ca="1" si="94"/>
        <v>1405.0126187879848</v>
      </c>
      <c r="I334" s="1">
        <f t="shared" ca="1" si="98"/>
        <v>100</v>
      </c>
      <c r="J334" s="1">
        <f t="shared" ca="1" si="98"/>
        <v>340.24137931034483</v>
      </c>
      <c r="K334" s="1">
        <f t="shared" ca="1" si="98"/>
        <v>49.583624999999998</v>
      </c>
      <c r="L334" s="1">
        <f t="shared" ca="1" si="98"/>
        <v>425.30172413793099</v>
      </c>
      <c r="M334" s="1">
        <f t="shared" ca="1" si="98"/>
        <v>74.375437500000004</v>
      </c>
      <c r="N334" s="1">
        <f t="shared" ca="1" si="98"/>
        <v>0.2</v>
      </c>
      <c r="O334" s="1">
        <f t="shared" ca="1" si="98"/>
        <v>0.2</v>
      </c>
      <c r="P334" s="1">
        <f t="shared" ca="1" si="98"/>
        <v>0.36</v>
      </c>
      <c r="Q334" s="1">
        <f t="shared" ca="1" si="98"/>
        <v>0.1</v>
      </c>
      <c r="R334" s="1">
        <f t="shared" ca="1" si="98"/>
        <v>2.2999999999999998</v>
      </c>
      <c r="S334" s="1">
        <f t="shared" ca="1" si="99"/>
        <v>0.1</v>
      </c>
      <c r="T334" s="1">
        <f t="shared" ca="1" si="99"/>
        <v>0.9</v>
      </c>
      <c r="U334" s="1">
        <f t="shared" ca="1" si="99"/>
        <v>67.6666666666667</v>
      </c>
      <c r="V334" s="1">
        <f t="shared" ca="1" si="99"/>
        <v>0</v>
      </c>
      <c r="W334" s="1">
        <f t="shared" ca="1" si="99"/>
        <v>90.215517241379303</v>
      </c>
      <c r="X334" s="1">
        <f t="shared" ca="1" si="99"/>
        <v>0</v>
      </c>
      <c r="Y334" s="1">
        <f t="shared" ca="1" si="99"/>
        <v>0</v>
      </c>
      <c r="Z334" s="1">
        <f t="shared" ca="1" si="99"/>
        <v>0</v>
      </c>
      <c r="AA334" s="1">
        <f t="shared" ca="1" si="99"/>
        <v>0</v>
      </c>
      <c r="AB334" s="1">
        <f t="shared" ca="1" si="96"/>
        <v>0</v>
      </c>
      <c r="AC334" s="1">
        <f t="shared" ca="1" si="99"/>
        <v>49.583624999999998</v>
      </c>
      <c r="AD334" s="1">
        <f t="shared" ca="1" si="99"/>
        <v>64.458712500000004</v>
      </c>
      <c r="AE334" s="1">
        <f t="shared" ca="1" si="99"/>
        <v>49.583624999999998</v>
      </c>
      <c r="AF334" s="1">
        <f t="shared" ca="1" si="99"/>
        <v>49.583624999999998</v>
      </c>
      <c r="AG334" s="1">
        <f t="shared" ca="1" si="99"/>
        <v>49.583624999999998</v>
      </c>
      <c r="AH334" s="1">
        <f t="shared" ca="1" si="99"/>
        <v>49.583624999999998</v>
      </c>
      <c r="AI334" s="1">
        <f t="shared" ca="1" si="82"/>
        <v>49.583624999999998</v>
      </c>
    </row>
    <row r="335" spans="2:35" x14ac:dyDescent="0.15">
      <c r="B335" s="1" t="str">
        <f t="shared" si="97"/>
        <v>土系36</v>
      </c>
      <c r="C335" s="1">
        <f t="shared" si="87"/>
        <v>36</v>
      </c>
      <c r="D335" s="14" t="s">
        <v>93</v>
      </c>
      <c r="E335" s="14">
        <f t="shared" si="88"/>
        <v>4</v>
      </c>
      <c r="F335" s="1" t="str">
        <f t="shared" si="93"/>
        <v>地脉</v>
      </c>
      <c r="H335" s="1">
        <f t="shared" ca="1" si="94"/>
        <v>1453.0099442745384</v>
      </c>
      <c r="I335" s="1">
        <f t="shared" ca="1" si="98"/>
        <v>100</v>
      </c>
      <c r="J335" s="1">
        <f t="shared" ca="1" si="98"/>
        <v>352.77316770186326</v>
      </c>
      <c r="K335" s="1">
        <f t="shared" ca="1" si="98"/>
        <v>51.000300000000003</v>
      </c>
      <c r="L335" s="1">
        <f t="shared" ca="1" si="98"/>
        <v>440.96645962732902</v>
      </c>
      <c r="M335" s="1">
        <f t="shared" ca="1" si="98"/>
        <v>76.500450000000001</v>
      </c>
      <c r="N335" s="1">
        <f t="shared" ca="1" si="98"/>
        <v>0.2</v>
      </c>
      <c r="O335" s="1">
        <f t="shared" ca="1" si="98"/>
        <v>0.2</v>
      </c>
      <c r="P335" s="1">
        <f t="shared" ca="1" si="98"/>
        <v>0.36</v>
      </c>
      <c r="Q335" s="1">
        <f t="shared" ca="1" si="98"/>
        <v>0.1</v>
      </c>
      <c r="R335" s="1">
        <f t="shared" ca="1" si="98"/>
        <v>2.2999999999999998</v>
      </c>
      <c r="S335" s="1">
        <f t="shared" ca="1" si="99"/>
        <v>0.1</v>
      </c>
      <c r="T335" s="1">
        <f t="shared" ca="1" si="99"/>
        <v>0.9</v>
      </c>
      <c r="U335" s="1">
        <f t="shared" ca="1" si="99"/>
        <v>69.599999999999994</v>
      </c>
      <c r="V335" s="1">
        <f t="shared" ca="1" si="99"/>
        <v>0</v>
      </c>
      <c r="W335" s="1">
        <f t="shared" ca="1" si="99"/>
        <v>96.797515527950296</v>
      </c>
      <c r="X335" s="1">
        <f t="shared" ca="1" si="99"/>
        <v>0</v>
      </c>
      <c r="Y335" s="1">
        <f t="shared" ca="1" si="99"/>
        <v>0</v>
      </c>
      <c r="Z335" s="1">
        <f t="shared" ca="1" si="99"/>
        <v>0</v>
      </c>
      <c r="AA335" s="1">
        <f t="shared" ca="1" si="99"/>
        <v>0</v>
      </c>
      <c r="AB335" s="1">
        <f t="shared" ca="1" si="96"/>
        <v>0</v>
      </c>
      <c r="AC335" s="1">
        <f t="shared" ca="1" si="99"/>
        <v>51.000300000000003</v>
      </c>
      <c r="AD335" s="1">
        <f t="shared" ca="1" si="99"/>
        <v>66.300390000000007</v>
      </c>
      <c r="AE335" s="1">
        <f t="shared" ca="1" si="99"/>
        <v>51.000300000000003</v>
      </c>
      <c r="AF335" s="1">
        <f t="shared" ca="1" si="99"/>
        <v>51.000300000000003</v>
      </c>
      <c r="AG335" s="1">
        <f t="shared" ca="1" si="99"/>
        <v>51.000300000000003</v>
      </c>
      <c r="AH335" s="1">
        <f t="shared" ca="1" si="99"/>
        <v>51.000300000000003</v>
      </c>
      <c r="AI335" s="1">
        <f t="shared" ca="1" si="82"/>
        <v>51.000300000000003</v>
      </c>
    </row>
    <row r="336" spans="2:35" x14ac:dyDescent="0.15">
      <c r="B336" s="1" t="str">
        <f t="shared" si="97"/>
        <v>土系37</v>
      </c>
      <c r="C336" s="1">
        <f t="shared" si="87"/>
        <v>37</v>
      </c>
      <c r="D336" s="14" t="s">
        <v>93</v>
      </c>
      <c r="E336" s="14">
        <f t="shared" si="88"/>
        <v>4</v>
      </c>
      <c r="F336" s="1" t="str">
        <f t="shared" si="93"/>
        <v>地脉</v>
      </c>
      <c r="H336" s="1">
        <f t="shared" ca="1" si="94"/>
        <v>1501.4436090836809</v>
      </c>
      <c r="I336" s="1">
        <f t="shared" ca="1" si="98"/>
        <v>100</v>
      </c>
      <c r="J336" s="1">
        <f t="shared" ca="1" si="98"/>
        <v>365.48766917293204</v>
      </c>
      <c r="K336" s="1">
        <f t="shared" ca="1" si="98"/>
        <v>52.416975000000001</v>
      </c>
      <c r="L336" s="1">
        <f t="shared" ca="1" si="98"/>
        <v>456.85958646616501</v>
      </c>
      <c r="M336" s="1">
        <f t="shared" ca="1" si="98"/>
        <v>78.625462499999998</v>
      </c>
      <c r="N336" s="1">
        <f t="shared" ca="1" si="98"/>
        <v>0.2</v>
      </c>
      <c r="O336" s="1">
        <f t="shared" ca="1" si="98"/>
        <v>0.2</v>
      </c>
      <c r="P336" s="1">
        <f t="shared" ca="1" si="98"/>
        <v>0.36</v>
      </c>
      <c r="Q336" s="1">
        <f t="shared" ca="1" si="98"/>
        <v>0.1</v>
      </c>
      <c r="R336" s="1">
        <f t="shared" ca="1" si="98"/>
        <v>2.2999999999999998</v>
      </c>
      <c r="S336" s="1">
        <f t="shared" ca="1" si="99"/>
        <v>0.1</v>
      </c>
      <c r="T336" s="1">
        <f t="shared" ca="1" si="99"/>
        <v>0.9</v>
      </c>
      <c r="U336" s="1">
        <f t="shared" ca="1" si="99"/>
        <v>71.533333333333303</v>
      </c>
      <c r="V336" s="1">
        <f t="shared" ca="1" si="99"/>
        <v>0</v>
      </c>
      <c r="W336" s="1">
        <f t="shared" ca="1" si="99"/>
        <v>103.704323308271</v>
      </c>
      <c r="X336" s="1">
        <f t="shared" ca="1" si="99"/>
        <v>0</v>
      </c>
      <c r="Y336" s="1">
        <f t="shared" ca="1" si="99"/>
        <v>0</v>
      </c>
      <c r="Z336" s="1">
        <f t="shared" ca="1" si="99"/>
        <v>0</v>
      </c>
      <c r="AA336" s="1">
        <f t="shared" ca="1" si="99"/>
        <v>0</v>
      </c>
      <c r="AB336" s="1">
        <f t="shared" ca="1" si="96"/>
        <v>0</v>
      </c>
      <c r="AC336" s="1">
        <f t="shared" ca="1" si="99"/>
        <v>52.416975000000001</v>
      </c>
      <c r="AD336" s="1">
        <f t="shared" ca="1" si="99"/>
        <v>68.14206750000001</v>
      </c>
      <c r="AE336" s="1">
        <f t="shared" ca="1" si="99"/>
        <v>52.416975000000001</v>
      </c>
      <c r="AF336" s="1">
        <f t="shared" ca="1" si="99"/>
        <v>52.416975000000001</v>
      </c>
      <c r="AG336" s="1">
        <f t="shared" ca="1" si="99"/>
        <v>52.416975000000001</v>
      </c>
      <c r="AH336" s="1">
        <f t="shared" ca="1" si="99"/>
        <v>52.416975000000001</v>
      </c>
      <c r="AI336" s="1">
        <f t="shared" ca="1" si="82"/>
        <v>52.416975000000001</v>
      </c>
    </row>
    <row r="337" spans="2:35" x14ac:dyDescent="0.15">
      <c r="B337" s="1" t="str">
        <f t="shared" si="97"/>
        <v>土系38</v>
      </c>
      <c r="C337" s="1">
        <f t="shared" si="87"/>
        <v>38</v>
      </c>
      <c r="D337" s="14" t="s">
        <v>93</v>
      </c>
      <c r="E337" s="14">
        <f t="shared" si="88"/>
        <v>4</v>
      </c>
      <c r="F337" s="1" t="str">
        <f t="shared" si="93"/>
        <v>地脉</v>
      </c>
      <c r="H337" s="1">
        <f t="shared" ca="1" si="94"/>
        <v>1550.3136132154414</v>
      </c>
      <c r="I337" s="1">
        <f t="shared" ca="1" si="98"/>
        <v>100</v>
      </c>
      <c r="J337" s="1">
        <f t="shared" ca="1" si="98"/>
        <v>378.38776232616965</v>
      </c>
      <c r="K337" s="1">
        <f t="shared" ca="1" si="98"/>
        <v>53.833649999999999</v>
      </c>
      <c r="L337" s="1">
        <f t="shared" ca="1" si="98"/>
        <v>472.98470290771201</v>
      </c>
      <c r="M337" s="1">
        <f t="shared" ca="1" si="98"/>
        <v>80.750474999999994</v>
      </c>
      <c r="N337" s="1">
        <f t="shared" ca="1" si="98"/>
        <v>0.2</v>
      </c>
      <c r="O337" s="1">
        <f t="shared" ca="1" si="98"/>
        <v>0.2</v>
      </c>
      <c r="P337" s="1">
        <f t="shared" ca="1" si="98"/>
        <v>0.36</v>
      </c>
      <c r="Q337" s="1">
        <f t="shared" ca="1" si="98"/>
        <v>0.1</v>
      </c>
      <c r="R337" s="1">
        <f t="shared" ca="1" si="98"/>
        <v>2.2999999999999998</v>
      </c>
      <c r="S337" s="1">
        <f t="shared" ca="1" si="99"/>
        <v>0.1</v>
      </c>
      <c r="T337" s="1">
        <f t="shared" ca="1" si="99"/>
        <v>0.9</v>
      </c>
      <c r="U337" s="1">
        <f t="shared" ca="1" si="99"/>
        <v>73.466666666666697</v>
      </c>
      <c r="V337" s="1">
        <f t="shared" ca="1" si="99"/>
        <v>0</v>
      </c>
      <c r="W337" s="1">
        <f t="shared" ca="1" si="99"/>
        <v>110.947029077118</v>
      </c>
      <c r="X337" s="1">
        <f t="shared" ca="1" si="99"/>
        <v>0</v>
      </c>
      <c r="Y337" s="1">
        <f t="shared" ca="1" si="99"/>
        <v>0</v>
      </c>
      <c r="Z337" s="1">
        <f t="shared" ca="1" si="99"/>
        <v>0</v>
      </c>
      <c r="AA337" s="1">
        <f t="shared" ca="1" si="99"/>
        <v>0</v>
      </c>
      <c r="AB337" s="1">
        <f t="shared" ca="1" si="96"/>
        <v>0</v>
      </c>
      <c r="AC337" s="1">
        <f t="shared" ca="1" si="99"/>
        <v>53.833649999999999</v>
      </c>
      <c r="AD337" s="1">
        <f t="shared" ca="1" si="99"/>
        <v>69.983744999999999</v>
      </c>
      <c r="AE337" s="1">
        <f t="shared" ca="1" si="99"/>
        <v>53.833649999999999</v>
      </c>
      <c r="AF337" s="1">
        <f t="shared" ca="1" si="99"/>
        <v>53.833649999999999</v>
      </c>
      <c r="AG337" s="1">
        <f t="shared" ca="1" si="99"/>
        <v>53.833649999999999</v>
      </c>
      <c r="AH337" s="1">
        <f t="shared" ca="1" si="99"/>
        <v>53.833649999999999</v>
      </c>
      <c r="AI337" s="1">
        <f t="shared" ca="1" si="82"/>
        <v>53.833649999999999</v>
      </c>
    </row>
    <row r="338" spans="2:35" x14ac:dyDescent="0.15">
      <c r="B338" s="1" t="str">
        <f t="shared" si="97"/>
        <v>土系39</v>
      </c>
      <c r="C338" s="1">
        <f t="shared" si="87"/>
        <v>39</v>
      </c>
      <c r="D338" s="14" t="s">
        <v>93</v>
      </c>
      <c r="E338" s="14">
        <f t="shared" si="88"/>
        <v>4</v>
      </c>
      <c r="F338" s="1" t="str">
        <f t="shared" si="93"/>
        <v>地脉</v>
      </c>
      <c r="H338" s="1">
        <f t="shared" ca="1" si="94"/>
        <v>1599.6199566698049</v>
      </c>
      <c r="I338" s="1">
        <f t="shared" ca="1" si="98"/>
        <v>100</v>
      </c>
      <c r="J338" s="1">
        <f t="shared" ca="1" si="98"/>
        <v>391.47642857142881</v>
      </c>
      <c r="K338" s="1">
        <f t="shared" ca="1" si="98"/>
        <v>55.250324999999997</v>
      </c>
      <c r="L338" s="1">
        <f t="shared" ca="1" si="98"/>
        <v>489.34553571428597</v>
      </c>
      <c r="M338" s="1">
        <f t="shared" ca="1" si="98"/>
        <v>82.875487499999991</v>
      </c>
      <c r="N338" s="1">
        <f t="shared" ca="1" si="98"/>
        <v>0.2</v>
      </c>
      <c r="O338" s="1">
        <f t="shared" ca="1" si="98"/>
        <v>0.2</v>
      </c>
      <c r="P338" s="1">
        <f t="shared" ca="1" si="98"/>
        <v>0.36</v>
      </c>
      <c r="Q338" s="1">
        <f t="shared" ca="1" si="98"/>
        <v>0.1</v>
      </c>
      <c r="R338" s="1">
        <f t="shared" ca="1" si="98"/>
        <v>2.2999999999999998</v>
      </c>
      <c r="S338" s="1">
        <f t="shared" ca="1" si="99"/>
        <v>0.1</v>
      </c>
      <c r="T338" s="1">
        <f t="shared" ca="1" si="99"/>
        <v>0.9</v>
      </c>
      <c r="U338" s="1">
        <f t="shared" ca="1" si="99"/>
        <v>75.400000000000006</v>
      </c>
      <c r="V338" s="1">
        <f t="shared" ca="1" si="99"/>
        <v>0</v>
      </c>
      <c r="W338" s="1">
        <f t="shared" ca="1" si="99"/>
        <v>118.537117346939</v>
      </c>
      <c r="X338" s="1">
        <f t="shared" ca="1" si="99"/>
        <v>0</v>
      </c>
      <c r="Y338" s="1">
        <f t="shared" ca="1" si="99"/>
        <v>0</v>
      </c>
      <c r="Z338" s="1">
        <f t="shared" ca="1" si="99"/>
        <v>0</v>
      </c>
      <c r="AA338" s="1">
        <f t="shared" ca="1" si="99"/>
        <v>0</v>
      </c>
      <c r="AB338" s="1">
        <f t="shared" ca="1" si="96"/>
        <v>0</v>
      </c>
      <c r="AC338" s="1">
        <f t="shared" ca="1" si="99"/>
        <v>55.250324999999997</v>
      </c>
      <c r="AD338" s="1">
        <f t="shared" ca="1" si="99"/>
        <v>71.825422500000002</v>
      </c>
      <c r="AE338" s="1">
        <f t="shared" ca="1" si="99"/>
        <v>55.250324999999997</v>
      </c>
      <c r="AF338" s="1">
        <f t="shared" ca="1" si="99"/>
        <v>55.250324999999997</v>
      </c>
      <c r="AG338" s="1">
        <f t="shared" ca="1" si="99"/>
        <v>55.250324999999997</v>
      </c>
      <c r="AH338" s="1">
        <f t="shared" ca="1" si="99"/>
        <v>55.250324999999997</v>
      </c>
      <c r="AI338" s="1">
        <f t="shared" ca="1" si="82"/>
        <v>55.250324999999997</v>
      </c>
    </row>
    <row r="339" spans="2:35" x14ac:dyDescent="0.15">
      <c r="B339" s="1" t="str">
        <f t="shared" si="97"/>
        <v>土系40</v>
      </c>
      <c r="C339" s="1">
        <f t="shared" si="87"/>
        <v>40</v>
      </c>
      <c r="D339" s="14" t="s">
        <v>93</v>
      </c>
      <c r="E339" s="14">
        <f t="shared" si="88"/>
        <v>4</v>
      </c>
      <c r="F339" s="1" t="str">
        <f t="shared" si="93"/>
        <v>地脉</v>
      </c>
      <c r="H339" s="1">
        <f t="shared" ca="1" si="94"/>
        <v>1649.3626394467719</v>
      </c>
      <c r="I339" s="1">
        <f t="shared" ca="1" si="98"/>
        <v>100</v>
      </c>
      <c r="J339" s="1">
        <f t="shared" ca="1" si="98"/>
        <v>404.75675675675683</v>
      </c>
      <c r="K339" s="1">
        <f t="shared" ca="1" si="98"/>
        <v>56.667000000000002</v>
      </c>
      <c r="L339" s="1">
        <f t="shared" ca="1" si="98"/>
        <v>505.94594594594599</v>
      </c>
      <c r="M339" s="1">
        <f t="shared" ca="1" si="98"/>
        <v>85.000500000000002</v>
      </c>
      <c r="N339" s="1">
        <f t="shared" ca="1" si="98"/>
        <v>0.2</v>
      </c>
      <c r="O339" s="1">
        <f t="shared" ca="1" si="98"/>
        <v>0.2</v>
      </c>
      <c r="P339" s="1">
        <f t="shared" ca="1" si="98"/>
        <v>0.36</v>
      </c>
      <c r="Q339" s="1">
        <f t="shared" ca="1" si="98"/>
        <v>0.1</v>
      </c>
      <c r="R339" s="1">
        <f t="shared" ca="1" si="98"/>
        <v>2.2999999999999998</v>
      </c>
      <c r="S339" s="1">
        <f t="shared" ca="1" si="99"/>
        <v>0.1</v>
      </c>
      <c r="T339" s="1">
        <f t="shared" ca="1" si="99"/>
        <v>0.9</v>
      </c>
      <c r="U339" s="1">
        <f t="shared" ca="1" si="99"/>
        <v>77.3333333333333</v>
      </c>
      <c r="V339" s="1">
        <f t="shared" ca="1" si="99"/>
        <v>0</v>
      </c>
      <c r="W339" s="1">
        <f t="shared" ca="1" si="99"/>
        <v>126.486486486487</v>
      </c>
      <c r="X339" s="1">
        <f t="shared" ca="1" si="99"/>
        <v>0</v>
      </c>
      <c r="Y339" s="1">
        <f t="shared" ca="1" si="99"/>
        <v>0</v>
      </c>
      <c r="Z339" s="1">
        <f t="shared" ca="1" si="99"/>
        <v>0</v>
      </c>
      <c r="AA339" s="1">
        <f t="shared" ca="1" si="99"/>
        <v>0</v>
      </c>
      <c r="AB339" s="1">
        <f t="shared" ca="1" si="99"/>
        <v>0</v>
      </c>
      <c r="AC339" s="1">
        <f t="shared" ca="1" si="99"/>
        <v>56.667000000000002</v>
      </c>
      <c r="AD339" s="1">
        <f t="shared" ca="1" si="99"/>
        <v>73.667100000000005</v>
      </c>
      <c r="AE339" s="1">
        <f t="shared" ca="1" si="99"/>
        <v>56.667000000000002</v>
      </c>
      <c r="AF339" s="1">
        <f t="shared" ca="1" si="99"/>
        <v>56.667000000000002</v>
      </c>
      <c r="AG339" s="1">
        <f t="shared" ca="1" si="99"/>
        <v>56.667000000000002</v>
      </c>
      <c r="AH339" s="1">
        <f t="shared" ca="1" si="99"/>
        <v>56.667000000000002</v>
      </c>
      <c r="AI339" s="1">
        <f t="shared" ref="AI339:AI402" ca="1" si="100">mVlookup($C339,monsterBaseDate,AI$2,FALSE)*(1+mVlookup($E339,monsterType,AI$2,FALSE))</f>
        <v>56.667000000000002</v>
      </c>
    </row>
    <row r="340" spans="2:35" x14ac:dyDescent="0.15">
      <c r="B340" s="1" t="str">
        <f t="shared" si="97"/>
        <v>土系41</v>
      </c>
      <c r="C340" s="1">
        <f t="shared" si="87"/>
        <v>41</v>
      </c>
      <c r="D340" s="14" t="s">
        <v>93</v>
      </c>
      <c r="E340" s="14">
        <f t="shared" si="88"/>
        <v>4</v>
      </c>
      <c r="F340" s="1" t="str">
        <f t="shared" si="93"/>
        <v>地脉</v>
      </c>
      <c r="H340" s="1">
        <f t="shared" ca="1" si="94"/>
        <v>1699.5416615463425</v>
      </c>
      <c r="I340" s="1">
        <f t="shared" ca="1" si="98"/>
        <v>100</v>
      </c>
      <c r="J340" s="1">
        <f t="shared" ca="1" si="98"/>
        <v>418.231948051948</v>
      </c>
      <c r="K340" s="1">
        <f t="shared" ca="1" si="98"/>
        <v>58.083674999999999</v>
      </c>
      <c r="L340" s="1">
        <f t="shared" ca="1" si="98"/>
        <v>522.78993506493498</v>
      </c>
      <c r="M340" s="1">
        <f t="shared" ca="1" si="98"/>
        <v>87.125512499999999</v>
      </c>
      <c r="N340" s="1">
        <f t="shared" ca="1" si="98"/>
        <v>0.2</v>
      </c>
      <c r="O340" s="1">
        <f t="shared" ca="1" si="98"/>
        <v>0.2</v>
      </c>
      <c r="P340" s="1">
        <f t="shared" ca="1" si="98"/>
        <v>0.36</v>
      </c>
      <c r="Q340" s="1">
        <f t="shared" ca="1" si="98"/>
        <v>0.1</v>
      </c>
      <c r="R340" s="1">
        <f t="shared" ca="1" si="98"/>
        <v>2.2999999999999998</v>
      </c>
      <c r="S340" s="1">
        <f t="shared" ca="1" si="99"/>
        <v>0.1</v>
      </c>
      <c r="T340" s="1">
        <f t="shared" ca="1" si="99"/>
        <v>0.9</v>
      </c>
      <c r="U340" s="1">
        <f t="shared" ca="1" si="99"/>
        <v>79.266666666666694</v>
      </c>
      <c r="V340" s="1">
        <f t="shared" ca="1" si="99"/>
        <v>0</v>
      </c>
      <c r="W340" s="1">
        <f t="shared" ca="1" si="99"/>
        <v>134.807467532468</v>
      </c>
      <c r="X340" s="1">
        <f t="shared" ca="1" si="99"/>
        <v>0</v>
      </c>
      <c r="Y340" s="1">
        <f t="shared" ca="1" si="99"/>
        <v>0</v>
      </c>
      <c r="Z340" s="1">
        <f t="shared" ca="1" si="99"/>
        <v>0</v>
      </c>
      <c r="AA340" s="1">
        <f t="shared" ca="1" si="99"/>
        <v>0</v>
      </c>
      <c r="AB340" s="1">
        <f t="shared" ca="1" si="99"/>
        <v>0</v>
      </c>
      <c r="AC340" s="1">
        <f t="shared" ca="1" si="99"/>
        <v>58.083674999999999</v>
      </c>
      <c r="AD340" s="1">
        <f t="shared" ca="1" si="99"/>
        <v>75.508777500000008</v>
      </c>
      <c r="AE340" s="1">
        <f t="shared" ca="1" si="99"/>
        <v>58.083674999999999</v>
      </c>
      <c r="AF340" s="1">
        <f t="shared" ca="1" si="99"/>
        <v>58.083674999999999</v>
      </c>
      <c r="AG340" s="1">
        <f t="shared" ca="1" si="99"/>
        <v>58.083674999999999</v>
      </c>
      <c r="AH340" s="1">
        <f t="shared" ca="1" si="99"/>
        <v>58.083674999999999</v>
      </c>
      <c r="AI340" s="1">
        <f t="shared" ca="1" si="100"/>
        <v>58.083674999999999</v>
      </c>
    </row>
    <row r="341" spans="2:35" x14ac:dyDescent="0.15">
      <c r="B341" s="1" t="str">
        <f t="shared" si="97"/>
        <v>土系42</v>
      </c>
      <c r="C341" s="1">
        <f t="shared" si="87"/>
        <v>42</v>
      </c>
      <c r="D341" s="14" t="s">
        <v>93</v>
      </c>
      <c r="E341" s="14">
        <f t="shared" si="88"/>
        <v>4</v>
      </c>
      <c r="F341" s="1" t="str">
        <f t="shared" si="93"/>
        <v>地脉</v>
      </c>
      <c r="H341" s="1">
        <f t="shared" ca="1" si="94"/>
        <v>1750.157022968516</v>
      </c>
      <c r="I341" s="1">
        <f t="shared" ca="1" si="98"/>
        <v>100</v>
      </c>
      <c r="J341" s="1">
        <f t="shared" ca="1" si="98"/>
        <v>431.90532110091766</v>
      </c>
      <c r="K341" s="1">
        <f t="shared" ca="1" si="98"/>
        <v>59.500349999999997</v>
      </c>
      <c r="L341" s="1">
        <f t="shared" ca="1" si="98"/>
        <v>539.88165137614703</v>
      </c>
      <c r="M341" s="1">
        <f t="shared" ca="1" si="98"/>
        <v>89.250524999999996</v>
      </c>
      <c r="N341" s="1">
        <f t="shared" ca="1" si="98"/>
        <v>0.2</v>
      </c>
      <c r="O341" s="1">
        <f t="shared" ca="1" si="98"/>
        <v>0.2</v>
      </c>
      <c r="P341" s="1">
        <f t="shared" ca="1" si="98"/>
        <v>0.36</v>
      </c>
      <c r="Q341" s="1">
        <f t="shared" ca="1" si="98"/>
        <v>0.1</v>
      </c>
      <c r="R341" s="1">
        <f t="shared" ca="1" si="98"/>
        <v>2.2999999999999998</v>
      </c>
      <c r="S341" s="1">
        <f t="shared" ca="1" si="99"/>
        <v>0.1</v>
      </c>
      <c r="T341" s="1">
        <f t="shared" ca="1" si="99"/>
        <v>0.9</v>
      </c>
      <c r="U341" s="1">
        <f t="shared" ca="1" si="99"/>
        <v>81.2</v>
      </c>
      <c r="V341" s="1">
        <f t="shared" ca="1" si="99"/>
        <v>0</v>
      </c>
      <c r="W341" s="1">
        <f t="shared" ca="1" si="99"/>
        <v>143.512844036697</v>
      </c>
      <c r="X341" s="1">
        <f t="shared" ca="1" si="99"/>
        <v>0</v>
      </c>
      <c r="Y341" s="1">
        <f t="shared" ca="1" si="99"/>
        <v>0</v>
      </c>
      <c r="Z341" s="1">
        <f t="shared" ca="1" si="99"/>
        <v>0</v>
      </c>
      <c r="AA341" s="1">
        <f t="shared" ca="1" si="99"/>
        <v>0</v>
      </c>
      <c r="AB341" s="1">
        <f t="shared" ca="1" si="99"/>
        <v>0</v>
      </c>
      <c r="AC341" s="1">
        <f t="shared" ca="1" si="99"/>
        <v>59.500349999999997</v>
      </c>
      <c r="AD341" s="1">
        <f t="shared" ca="1" si="99"/>
        <v>77.350454999999997</v>
      </c>
      <c r="AE341" s="1">
        <f t="shared" ca="1" si="99"/>
        <v>59.500349999999997</v>
      </c>
      <c r="AF341" s="1">
        <f t="shared" ca="1" si="99"/>
        <v>59.500349999999997</v>
      </c>
      <c r="AG341" s="1">
        <f t="shared" ca="1" si="99"/>
        <v>59.500349999999997</v>
      </c>
      <c r="AH341" s="1">
        <f t="shared" ca="1" si="99"/>
        <v>59.500349999999997</v>
      </c>
      <c r="AI341" s="1">
        <f t="shared" ca="1" si="100"/>
        <v>59.500349999999997</v>
      </c>
    </row>
    <row r="342" spans="2:35" x14ac:dyDescent="0.15">
      <c r="B342" s="1" t="str">
        <f t="shared" si="97"/>
        <v>土系43</v>
      </c>
      <c r="C342" s="1">
        <f t="shared" si="87"/>
        <v>43</v>
      </c>
      <c r="D342" s="14" t="s">
        <v>93</v>
      </c>
      <c r="E342" s="14">
        <f t="shared" si="88"/>
        <v>4</v>
      </c>
      <c r="F342" s="1" t="str">
        <f t="shared" si="93"/>
        <v>地脉</v>
      </c>
      <c r="H342" s="1">
        <f t="shared" ca="1" si="94"/>
        <v>1801.2087237132935</v>
      </c>
      <c r="I342" s="1">
        <f t="shared" ca="1" si="98"/>
        <v>100</v>
      </c>
      <c r="J342" s="1">
        <f t="shared" ca="1" si="98"/>
        <v>445.78031746031758</v>
      </c>
      <c r="K342" s="1">
        <f t="shared" ca="1" si="98"/>
        <v>60.917025000000002</v>
      </c>
      <c r="L342" s="1">
        <f t="shared" ca="1" si="98"/>
        <v>557.22539682539696</v>
      </c>
      <c r="M342" s="1">
        <f t="shared" ca="1" si="98"/>
        <v>91.375537500000007</v>
      </c>
      <c r="N342" s="1">
        <f t="shared" ca="1" si="98"/>
        <v>0.2</v>
      </c>
      <c r="O342" s="1">
        <f t="shared" ca="1" si="98"/>
        <v>0.2</v>
      </c>
      <c r="P342" s="1">
        <f t="shared" ca="1" si="98"/>
        <v>0.36</v>
      </c>
      <c r="Q342" s="1">
        <f t="shared" ca="1" si="98"/>
        <v>0.1</v>
      </c>
      <c r="R342" s="1">
        <f t="shared" ca="1" si="98"/>
        <v>2.2999999999999998</v>
      </c>
      <c r="S342" s="1">
        <f t="shared" ca="1" si="99"/>
        <v>0.1</v>
      </c>
      <c r="T342" s="1">
        <f t="shared" ca="1" si="99"/>
        <v>0.9</v>
      </c>
      <c r="U342" s="1">
        <f t="shared" ca="1" si="99"/>
        <v>83.133333333333297</v>
      </c>
      <c r="V342" s="1">
        <f t="shared" ca="1" si="99"/>
        <v>0</v>
      </c>
      <c r="W342" s="1">
        <f t="shared" ca="1" si="99"/>
        <v>152.61587301587301</v>
      </c>
      <c r="X342" s="1">
        <f t="shared" ca="1" si="99"/>
        <v>0</v>
      </c>
      <c r="Y342" s="1">
        <f t="shared" ca="1" si="99"/>
        <v>0</v>
      </c>
      <c r="Z342" s="1">
        <f t="shared" ca="1" si="99"/>
        <v>0</v>
      </c>
      <c r="AA342" s="1">
        <f t="shared" ca="1" si="99"/>
        <v>0</v>
      </c>
      <c r="AB342" s="1">
        <f t="shared" ca="1" si="99"/>
        <v>0</v>
      </c>
      <c r="AC342" s="1">
        <f t="shared" ca="1" si="99"/>
        <v>60.917025000000002</v>
      </c>
      <c r="AD342" s="1">
        <f t="shared" ca="1" si="99"/>
        <v>79.1921325</v>
      </c>
      <c r="AE342" s="1">
        <f t="shared" ca="1" si="99"/>
        <v>60.917025000000002</v>
      </c>
      <c r="AF342" s="1">
        <f t="shared" ca="1" si="99"/>
        <v>60.917025000000002</v>
      </c>
      <c r="AG342" s="1">
        <f t="shared" ca="1" si="99"/>
        <v>60.917025000000002</v>
      </c>
      <c r="AH342" s="1">
        <f t="shared" ca="1" si="99"/>
        <v>60.917025000000002</v>
      </c>
      <c r="AI342" s="1">
        <f t="shared" ca="1" si="100"/>
        <v>60.917025000000002</v>
      </c>
    </row>
    <row r="343" spans="2:35" x14ac:dyDescent="0.15">
      <c r="B343" s="1" t="str">
        <f t="shared" si="97"/>
        <v>土系44</v>
      </c>
      <c r="C343" s="1">
        <f t="shared" si="87"/>
        <v>44</v>
      </c>
      <c r="D343" s="14" t="s">
        <v>93</v>
      </c>
      <c r="E343" s="14">
        <f t="shared" si="88"/>
        <v>4</v>
      </c>
      <c r="F343" s="1" t="str">
        <f t="shared" si="93"/>
        <v>地脉</v>
      </c>
      <c r="H343" s="1">
        <f t="shared" ca="1" si="94"/>
        <v>1852.6967637806738</v>
      </c>
      <c r="I343" s="1">
        <f t="shared" ref="I343:R352" ca="1" si="101">mVlookup($C343,monsterBaseDate,I$2,FALSE)*(1+mVlookup($E343,monsterType,I$2,FALSE))</f>
        <v>100</v>
      </c>
      <c r="J343" s="1">
        <f t="shared" ca="1" si="101"/>
        <v>459.86050734312403</v>
      </c>
      <c r="K343" s="1">
        <f t="shared" ca="1" si="101"/>
        <v>62.3337</v>
      </c>
      <c r="L343" s="1">
        <f t="shared" ca="1" si="101"/>
        <v>574.82563417890503</v>
      </c>
      <c r="M343" s="1">
        <f t="shared" ca="1" si="101"/>
        <v>93.500550000000004</v>
      </c>
      <c r="N343" s="1">
        <f t="shared" ca="1" si="101"/>
        <v>0.2</v>
      </c>
      <c r="O343" s="1">
        <f t="shared" ca="1" si="101"/>
        <v>0.2</v>
      </c>
      <c r="P343" s="1">
        <f t="shared" ca="1" si="101"/>
        <v>0.36</v>
      </c>
      <c r="Q343" s="1">
        <f t="shared" ca="1" si="101"/>
        <v>0.1</v>
      </c>
      <c r="R343" s="1">
        <f t="shared" ca="1" si="101"/>
        <v>2.2999999999999998</v>
      </c>
      <c r="S343" s="1">
        <f t="shared" ref="S343:AH358" ca="1" si="102">mVlookup($C343,monsterBaseDate,S$2,FALSE)*(1+mVlookup($E343,monsterType,S$2,FALSE))</f>
        <v>0.1</v>
      </c>
      <c r="T343" s="1">
        <f t="shared" ca="1" si="102"/>
        <v>0.9</v>
      </c>
      <c r="U343" s="1">
        <f t="shared" ca="1" si="102"/>
        <v>85.066666666666706</v>
      </c>
      <c r="V343" s="1">
        <f t="shared" ca="1" si="102"/>
        <v>0</v>
      </c>
      <c r="W343" s="1">
        <f t="shared" ca="1" si="102"/>
        <v>162.13030707610201</v>
      </c>
      <c r="X343" s="1">
        <f t="shared" ca="1" si="102"/>
        <v>0</v>
      </c>
      <c r="Y343" s="1">
        <f t="shared" ca="1" si="102"/>
        <v>0</v>
      </c>
      <c r="Z343" s="1">
        <f t="shared" ca="1" si="102"/>
        <v>0</v>
      </c>
      <c r="AA343" s="1">
        <f t="shared" ca="1" si="102"/>
        <v>0</v>
      </c>
      <c r="AB343" s="1">
        <f t="shared" ca="1" si="99"/>
        <v>0</v>
      </c>
      <c r="AC343" s="1">
        <f t="shared" ca="1" si="102"/>
        <v>62.3337</v>
      </c>
      <c r="AD343" s="1">
        <f t="shared" ca="1" si="102"/>
        <v>81.033810000000003</v>
      </c>
      <c r="AE343" s="1">
        <f t="shared" ca="1" si="102"/>
        <v>62.3337</v>
      </c>
      <c r="AF343" s="1">
        <f t="shared" ca="1" si="102"/>
        <v>62.3337</v>
      </c>
      <c r="AG343" s="1">
        <f t="shared" ca="1" si="102"/>
        <v>62.3337</v>
      </c>
      <c r="AH343" s="1">
        <f t="shared" ca="1" si="102"/>
        <v>62.3337</v>
      </c>
      <c r="AI343" s="1">
        <f t="shared" ca="1" si="100"/>
        <v>62.3337</v>
      </c>
    </row>
    <row r="344" spans="2:35" x14ac:dyDescent="0.15">
      <c r="B344" s="1" t="str">
        <f t="shared" si="97"/>
        <v>土系45</v>
      </c>
      <c r="C344" s="1">
        <f t="shared" si="87"/>
        <v>45</v>
      </c>
      <c r="D344" s="14" t="s">
        <v>93</v>
      </c>
      <c r="E344" s="14">
        <f t="shared" si="88"/>
        <v>4</v>
      </c>
      <c r="F344" s="1" t="str">
        <f t="shared" si="93"/>
        <v>地脉</v>
      </c>
      <c r="H344" s="1">
        <f t="shared" ca="1" si="94"/>
        <v>2003.9135503539612</v>
      </c>
      <c r="I344" s="1">
        <f t="shared" ca="1" si="101"/>
        <v>100</v>
      </c>
      <c r="J344" s="1">
        <f t="shared" ca="1" si="101"/>
        <v>474.14959568733207</v>
      </c>
      <c r="K344" s="1">
        <f t="shared" ca="1" si="101"/>
        <v>63.750374999999998</v>
      </c>
      <c r="L344" s="1">
        <f t="shared" ca="1" si="101"/>
        <v>592.68699460916503</v>
      </c>
      <c r="M344" s="1">
        <f t="shared" ca="1" si="101"/>
        <v>95.625562500000001</v>
      </c>
      <c r="N344" s="1">
        <f t="shared" ca="1" si="101"/>
        <v>0.2</v>
      </c>
      <c r="O344" s="1">
        <f t="shared" ca="1" si="101"/>
        <v>0.2</v>
      </c>
      <c r="P344" s="1">
        <f t="shared" ca="1" si="101"/>
        <v>0.36</v>
      </c>
      <c r="Q344" s="1">
        <f t="shared" ca="1" si="101"/>
        <v>0.1</v>
      </c>
      <c r="R344" s="1">
        <f t="shared" ca="1" si="101"/>
        <v>2.2999999999999998</v>
      </c>
      <c r="S344" s="1">
        <f t="shared" ca="1" si="102"/>
        <v>0.1</v>
      </c>
      <c r="T344" s="1">
        <f t="shared" ca="1" si="102"/>
        <v>0.9</v>
      </c>
      <c r="U344" s="1">
        <f t="shared" ca="1" si="102"/>
        <v>87</v>
      </c>
      <c r="V344" s="1">
        <f t="shared" ca="1" si="102"/>
        <v>0</v>
      </c>
      <c r="W344" s="1">
        <f t="shared" ca="1" si="102"/>
        <v>172.07041778975801</v>
      </c>
      <c r="X344" s="1">
        <f t="shared" ca="1" si="102"/>
        <v>0</v>
      </c>
      <c r="Y344" s="1">
        <f t="shared" ca="1" si="102"/>
        <v>0</v>
      </c>
      <c r="Z344" s="1">
        <f t="shared" ca="1" si="102"/>
        <v>0</v>
      </c>
      <c r="AA344" s="1">
        <f t="shared" ca="1" si="102"/>
        <v>0</v>
      </c>
      <c r="AB344" s="1">
        <f t="shared" ca="1" si="99"/>
        <v>0</v>
      </c>
      <c r="AC344" s="1">
        <f t="shared" ca="1" si="102"/>
        <v>63.750374999999998</v>
      </c>
      <c r="AD344" s="1">
        <f t="shared" ca="1" si="102"/>
        <v>82.875487500000006</v>
      </c>
      <c r="AE344" s="1">
        <f t="shared" ca="1" si="102"/>
        <v>63.750374999999998</v>
      </c>
      <c r="AF344" s="1">
        <f t="shared" ca="1" si="102"/>
        <v>63.750374999999998</v>
      </c>
      <c r="AG344" s="1">
        <f t="shared" ca="1" si="102"/>
        <v>63.750374999999998</v>
      </c>
      <c r="AH344" s="1">
        <f t="shared" ca="1" si="102"/>
        <v>63.750374999999998</v>
      </c>
      <c r="AI344" s="1">
        <f t="shared" ca="1" si="100"/>
        <v>63.750374999999998</v>
      </c>
    </row>
    <row r="345" spans="2:35" x14ac:dyDescent="0.15">
      <c r="B345" s="1" t="str">
        <f t="shared" si="97"/>
        <v>土系46</v>
      </c>
      <c r="C345" s="1">
        <f t="shared" si="87"/>
        <v>46</v>
      </c>
      <c r="D345" s="14" t="s">
        <v>93</v>
      </c>
      <c r="E345" s="14">
        <f t="shared" si="88"/>
        <v>4</v>
      </c>
      <c r="F345" s="1" t="str">
        <f t="shared" si="93"/>
        <v>地脉</v>
      </c>
      <c r="H345" s="1">
        <f t="shared" ca="1" si="94"/>
        <v>2059.0039572365431</v>
      </c>
      <c r="I345" s="1">
        <f t="shared" ca="1" si="101"/>
        <v>100</v>
      </c>
      <c r="J345" s="1">
        <f t="shared" ca="1" si="101"/>
        <v>488.65142857142882</v>
      </c>
      <c r="K345" s="1">
        <f t="shared" ca="1" si="101"/>
        <v>65.167050000000003</v>
      </c>
      <c r="L345" s="1">
        <f t="shared" ca="1" si="101"/>
        <v>610.81428571428603</v>
      </c>
      <c r="M345" s="1">
        <f t="shared" ca="1" si="101"/>
        <v>97.750574999999998</v>
      </c>
      <c r="N345" s="1">
        <f t="shared" ca="1" si="101"/>
        <v>0.2</v>
      </c>
      <c r="O345" s="1">
        <f t="shared" ca="1" si="101"/>
        <v>0.2</v>
      </c>
      <c r="P345" s="1">
        <f t="shared" ca="1" si="101"/>
        <v>0.36</v>
      </c>
      <c r="Q345" s="1">
        <f t="shared" ca="1" si="101"/>
        <v>0.1</v>
      </c>
      <c r="R345" s="1">
        <f t="shared" ca="1" si="101"/>
        <v>2.2999999999999998</v>
      </c>
      <c r="S345" s="1">
        <f t="shared" ca="1" si="102"/>
        <v>0.1</v>
      </c>
      <c r="T345" s="1">
        <f t="shared" ca="1" si="102"/>
        <v>0.9</v>
      </c>
      <c r="U345" s="1">
        <f t="shared" ca="1" si="102"/>
        <v>88.933333333333294</v>
      </c>
      <c r="V345" s="1">
        <f t="shared" ca="1" si="102"/>
        <v>0</v>
      </c>
      <c r="W345" s="1">
        <f t="shared" ca="1" si="102"/>
        <v>182.451020408163</v>
      </c>
      <c r="X345" s="1">
        <f t="shared" ca="1" si="102"/>
        <v>0</v>
      </c>
      <c r="Y345" s="1">
        <f t="shared" ca="1" si="102"/>
        <v>0</v>
      </c>
      <c r="Z345" s="1">
        <f t="shared" ca="1" si="102"/>
        <v>0</v>
      </c>
      <c r="AA345" s="1">
        <f t="shared" ca="1" si="102"/>
        <v>0</v>
      </c>
      <c r="AB345" s="1">
        <f t="shared" ca="1" si="99"/>
        <v>0</v>
      </c>
      <c r="AC345" s="1">
        <f t="shared" ca="1" si="102"/>
        <v>65.167050000000003</v>
      </c>
      <c r="AD345" s="1">
        <f t="shared" ca="1" si="102"/>
        <v>84.717165000000008</v>
      </c>
      <c r="AE345" s="1">
        <f t="shared" ca="1" si="102"/>
        <v>65.167050000000003</v>
      </c>
      <c r="AF345" s="1">
        <f t="shared" ca="1" si="102"/>
        <v>65.167050000000003</v>
      </c>
      <c r="AG345" s="1">
        <f t="shared" ca="1" si="102"/>
        <v>65.167050000000003</v>
      </c>
      <c r="AH345" s="1">
        <f t="shared" ca="1" si="102"/>
        <v>65.167050000000003</v>
      </c>
      <c r="AI345" s="1">
        <f t="shared" ca="1" si="100"/>
        <v>65.167050000000003</v>
      </c>
    </row>
    <row r="346" spans="2:35" x14ac:dyDescent="0.15">
      <c r="B346" s="1" t="str">
        <f t="shared" si="97"/>
        <v>土系47</v>
      </c>
      <c r="C346" s="1">
        <f t="shared" si="87"/>
        <v>47</v>
      </c>
      <c r="D346" s="14" t="s">
        <v>93</v>
      </c>
      <c r="E346" s="14">
        <f t="shared" si="88"/>
        <v>4</v>
      </c>
      <c r="F346" s="1" t="str">
        <f t="shared" si="93"/>
        <v>地脉</v>
      </c>
      <c r="H346" s="1">
        <f t="shared" ca="1" si="94"/>
        <v>2114.5534508431501</v>
      </c>
      <c r="I346" s="1">
        <f t="shared" ca="1" si="101"/>
        <v>100</v>
      </c>
      <c r="J346" s="1">
        <f t="shared" ca="1" si="101"/>
        <v>503.37</v>
      </c>
      <c r="K346" s="1">
        <f t="shared" ca="1" si="101"/>
        <v>66.583725000000001</v>
      </c>
      <c r="L346" s="1">
        <f t="shared" ca="1" si="101"/>
        <v>629.21249999999998</v>
      </c>
      <c r="M346" s="1">
        <f t="shared" ca="1" si="101"/>
        <v>99.875587499999995</v>
      </c>
      <c r="N346" s="1">
        <f t="shared" ca="1" si="101"/>
        <v>0.2</v>
      </c>
      <c r="O346" s="1">
        <f t="shared" ca="1" si="101"/>
        <v>0.2</v>
      </c>
      <c r="P346" s="1">
        <f t="shared" ca="1" si="101"/>
        <v>0.36</v>
      </c>
      <c r="Q346" s="1">
        <f t="shared" ca="1" si="101"/>
        <v>0.1</v>
      </c>
      <c r="R346" s="1">
        <f t="shared" ca="1" si="101"/>
        <v>2.2999999999999998</v>
      </c>
      <c r="S346" s="1">
        <f t="shared" ca="1" si="102"/>
        <v>0.1</v>
      </c>
      <c r="T346" s="1">
        <f t="shared" ca="1" si="102"/>
        <v>0.9</v>
      </c>
      <c r="U346" s="1">
        <f t="shared" ca="1" si="102"/>
        <v>90.866666666666703</v>
      </c>
      <c r="V346" s="1">
        <f t="shared" ca="1" si="102"/>
        <v>0</v>
      </c>
      <c r="W346" s="1">
        <f t="shared" ca="1" si="102"/>
        <v>193.28749999999999</v>
      </c>
      <c r="X346" s="1">
        <f t="shared" ca="1" si="102"/>
        <v>0</v>
      </c>
      <c r="Y346" s="1">
        <f t="shared" ca="1" si="102"/>
        <v>0</v>
      </c>
      <c r="Z346" s="1">
        <f t="shared" ca="1" si="102"/>
        <v>0</v>
      </c>
      <c r="AA346" s="1">
        <f t="shared" ca="1" si="102"/>
        <v>0</v>
      </c>
      <c r="AB346" s="1">
        <f t="shared" ca="1" si="99"/>
        <v>0</v>
      </c>
      <c r="AC346" s="1">
        <f t="shared" ca="1" si="102"/>
        <v>66.583725000000001</v>
      </c>
      <c r="AD346" s="1">
        <f t="shared" ca="1" si="102"/>
        <v>86.558842500000011</v>
      </c>
      <c r="AE346" s="1">
        <f t="shared" ca="1" si="102"/>
        <v>66.583725000000001</v>
      </c>
      <c r="AF346" s="1">
        <f t="shared" ca="1" si="102"/>
        <v>66.583725000000001</v>
      </c>
      <c r="AG346" s="1">
        <f t="shared" ca="1" si="102"/>
        <v>66.583725000000001</v>
      </c>
      <c r="AH346" s="1">
        <f t="shared" ca="1" si="102"/>
        <v>66.583725000000001</v>
      </c>
      <c r="AI346" s="1">
        <f t="shared" ca="1" si="100"/>
        <v>66.583725000000001</v>
      </c>
    </row>
    <row r="347" spans="2:35" x14ac:dyDescent="0.15">
      <c r="B347" s="1" t="str">
        <f t="shared" si="97"/>
        <v>土系48</v>
      </c>
      <c r="C347" s="1">
        <f t="shared" si="87"/>
        <v>48</v>
      </c>
      <c r="D347" s="14" t="s">
        <v>93</v>
      </c>
      <c r="E347" s="14">
        <f t="shared" si="88"/>
        <v>4</v>
      </c>
      <c r="F347" s="1" t="str">
        <f t="shared" si="93"/>
        <v>地脉</v>
      </c>
      <c r="H347" s="1">
        <f t="shared" ca="1" si="94"/>
        <v>2170.5620311737675</v>
      </c>
      <c r="I347" s="1">
        <f t="shared" ca="1" si="101"/>
        <v>100</v>
      </c>
      <c r="J347" s="1">
        <f t="shared" ca="1" si="101"/>
        <v>518.30945908460478</v>
      </c>
      <c r="K347" s="1">
        <f t="shared" ca="1" si="101"/>
        <v>68.000399999999999</v>
      </c>
      <c r="L347" s="1">
        <f t="shared" ca="1" si="101"/>
        <v>647.88682385575601</v>
      </c>
      <c r="M347" s="1">
        <f t="shared" ca="1" si="101"/>
        <v>102.00059999999999</v>
      </c>
      <c r="N347" s="1">
        <f t="shared" ca="1" si="101"/>
        <v>0.2</v>
      </c>
      <c r="O347" s="1">
        <f t="shared" ca="1" si="101"/>
        <v>0.2</v>
      </c>
      <c r="P347" s="1">
        <f t="shared" ca="1" si="101"/>
        <v>0.36</v>
      </c>
      <c r="Q347" s="1">
        <f t="shared" ca="1" si="101"/>
        <v>0.1</v>
      </c>
      <c r="R347" s="1">
        <f t="shared" ca="1" si="101"/>
        <v>2.2999999999999998</v>
      </c>
      <c r="S347" s="1">
        <f t="shared" ca="1" si="102"/>
        <v>0.1</v>
      </c>
      <c r="T347" s="1">
        <f t="shared" ca="1" si="102"/>
        <v>0.9</v>
      </c>
      <c r="U347" s="1">
        <f t="shared" ca="1" si="102"/>
        <v>92.8</v>
      </c>
      <c r="V347" s="1">
        <f t="shared" ca="1" si="102"/>
        <v>0</v>
      </c>
      <c r="W347" s="1">
        <f t="shared" ca="1" si="102"/>
        <v>204.59583911234401</v>
      </c>
      <c r="X347" s="1">
        <f t="shared" ca="1" si="102"/>
        <v>0</v>
      </c>
      <c r="Y347" s="1">
        <f t="shared" ca="1" si="102"/>
        <v>0</v>
      </c>
      <c r="Z347" s="1">
        <f t="shared" ca="1" si="102"/>
        <v>0</v>
      </c>
      <c r="AA347" s="1">
        <f t="shared" ca="1" si="102"/>
        <v>0</v>
      </c>
      <c r="AB347" s="1">
        <f t="shared" ca="1" si="99"/>
        <v>0</v>
      </c>
      <c r="AC347" s="1">
        <f t="shared" ca="1" si="102"/>
        <v>68.000399999999999</v>
      </c>
      <c r="AD347" s="1">
        <f t="shared" ca="1" si="102"/>
        <v>88.40052</v>
      </c>
      <c r="AE347" s="1">
        <f t="shared" ca="1" si="102"/>
        <v>68.000399999999999</v>
      </c>
      <c r="AF347" s="1">
        <f t="shared" ca="1" si="102"/>
        <v>68.000399999999999</v>
      </c>
      <c r="AG347" s="1">
        <f t="shared" ca="1" si="102"/>
        <v>68.000399999999999</v>
      </c>
      <c r="AH347" s="1">
        <f t="shared" ca="1" si="102"/>
        <v>68.000399999999999</v>
      </c>
      <c r="AI347" s="1">
        <f t="shared" ca="1" si="100"/>
        <v>68.000399999999999</v>
      </c>
    </row>
    <row r="348" spans="2:35" x14ac:dyDescent="0.15">
      <c r="B348" s="1" t="str">
        <f t="shared" si="97"/>
        <v>土系49</v>
      </c>
      <c r="C348" s="1">
        <f t="shared" si="87"/>
        <v>49</v>
      </c>
      <c r="D348" s="14" t="s">
        <v>93</v>
      </c>
      <c r="E348" s="14">
        <f t="shared" si="88"/>
        <v>4</v>
      </c>
      <c r="F348" s="1" t="str">
        <f t="shared" si="93"/>
        <v>地脉</v>
      </c>
      <c r="H348" s="1">
        <f t="shared" ca="1" si="94"/>
        <v>2227.029698228424</v>
      </c>
      <c r="I348" s="1">
        <f t="shared" ca="1" si="101"/>
        <v>100</v>
      </c>
      <c r="J348" s="1">
        <f t="shared" ca="1" si="101"/>
        <v>533.47411764705919</v>
      </c>
      <c r="K348" s="1">
        <f t="shared" ca="1" si="101"/>
        <v>69.417074999999997</v>
      </c>
      <c r="L348" s="1">
        <f t="shared" ca="1" si="101"/>
        <v>666.84264705882401</v>
      </c>
      <c r="M348" s="1">
        <f t="shared" ca="1" si="101"/>
        <v>104.12561249999999</v>
      </c>
      <c r="N348" s="1">
        <f t="shared" ca="1" si="101"/>
        <v>0.2</v>
      </c>
      <c r="O348" s="1">
        <f t="shared" ca="1" si="101"/>
        <v>0.2</v>
      </c>
      <c r="P348" s="1">
        <f t="shared" ca="1" si="101"/>
        <v>0.36</v>
      </c>
      <c r="Q348" s="1">
        <f t="shared" ca="1" si="101"/>
        <v>0.1</v>
      </c>
      <c r="R348" s="1">
        <f t="shared" ca="1" si="101"/>
        <v>2.2999999999999998</v>
      </c>
      <c r="S348" s="1">
        <f t="shared" ca="1" si="102"/>
        <v>0.1</v>
      </c>
      <c r="T348" s="1">
        <f t="shared" ca="1" si="102"/>
        <v>0.9</v>
      </c>
      <c r="U348" s="1">
        <f t="shared" ca="1" si="102"/>
        <v>94.733333333333306</v>
      </c>
      <c r="V348" s="1">
        <f t="shared" ca="1" si="102"/>
        <v>0</v>
      </c>
      <c r="W348" s="1">
        <f t="shared" ca="1" si="102"/>
        <v>216.392647058824</v>
      </c>
      <c r="X348" s="1">
        <f t="shared" ca="1" si="102"/>
        <v>0</v>
      </c>
      <c r="Y348" s="1">
        <f t="shared" ca="1" si="102"/>
        <v>0</v>
      </c>
      <c r="Z348" s="1">
        <f t="shared" ca="1" si="102"/>
        <v>0</v>
      </c>
      <c r="AA348" s="1">
        <f t="shared" ca="1" si="102"/>
        <v>0</v>
      </c>
      <c r="AB348" s="1">
        <f t="shared" ca="1" si="99"/>
        <v>0</v>
      </c>
      <c r="AC348" s="1">
        <f t="shared" ca="1" si="102"/>
        <v>69.417074999999997</v>
      </c>
      <c r="AD348" s="1">
        <f t="shared" ca="1" si="102"/>
        <v>90.242197500000003</v>
      </c>
      <c r="AE348" s="1">
        <f t="shared" ca="1" si="102"/>
        <v>69.417074999999997</v>
      </c>
      <c r="AF348" s="1">
        <f t="shared" ca="1" si="102"/>
        <v>69.417074999999997</v>
      </c>
      <c r="AG348" s="1">
        <f t="shared" ca="1" si="102"/>
        <v>69.417074999999997</v>
      </c>
      <c r="AH348" s="1">
        <f t="shared" ca="1" si="102"/>
        <v>69.417074999999997</v>
      </c>
      <c r="AI348" s="1">
        <f t="shared" ca="1" si="100"/>
        <v>69.417074999999997</v>
      </c>
    </row>
    <row r="349" spans="2:35" x14ac:dyDescent="0.15">
      <c r="B349" s="1" t="str">
        <f t="shared" si="97"/>
        <v>土系50</v>
      </c>
      <c r="C349" s="1">
        <f t="shared" si="87"/>
        <v>50</v>
      </c>
      <c r="D349" s="14" t="s">
        <v>93</v>
      </c>
      <c r="E349" s="14">
        <f t="shared" si="88"/>
        <v>4</v>
      </c>
      <c r="F349" s="1" t="str">
        <f t="shared" si="93"/>
        <v>地脉</v>
      </c>
      <c r="H349" s="1">
        <f t="shared" ca="1" si="94"/>
        <v>2283.9564520070917</v>
      </c>
      <c r="I349" s="1">
        <f t="shared" ca="1" si="101"/>
        <v>100</v>
      </c>
      <c r="J349" s="1">
        <f t="shared" ca="1" si="101"/>
        <v>548.86845827439925</v>
      </c>
      <c r="K349" s="1">
        <f t="shared" ca="1" si="101"/>
        <v>70.833749999999995</v>
      </c>
      <c r="L349" s="1">
        <f t="shared" ca="1" si="101"/>
        <v>686.085572842999</v>
      </c>
      <c r="M349" s="1">
        <f t="shared" ca="1" si="101"/>
        <v>106.25062499999999</v>
      </c>
      <c r="N349" s="1">
        <f t="shared" ca="1" si="101"/>
        <v>0.2</v>
      </c>
      <c r="O349" s="1">
        <f t="shared" ca="1" si="101"/>
        <v>0.2</v>
      </c>
      <c r="P349" s="1">
        <f t="shared" ca="1" si="101"/>
        <v>0.36</v>
      </c>
      <c r="Q349" s="1">
        <f t="shared" ca="1" si="101"/>
        <v>0.1</v>
      </c>
      <c r="R349" s="1">
        <f t="shared" ca="1" si="101"/>
        <v>2.2999999999999998</v>
      </c>
      <c r="S349" s="1">
        <f t="shared" ca="1" si="102"/>
        <v>0.1</v>
      </c>
      <c r="T349" s="1">
        <f t="shared" ca="1" si="102"/>
        <v>0.9</v>
      </c>
      <c r="U349" s="1">
        <f t="shared" ca="1" si="102"/>
        <v>96.6666666666667</v>
      </c>
      <c r="V349" s="1">
        <f t="shared" ca="1" si="102"/>
        <v>0</v>
      </c>
      <c r="W349" s="1">
        <f t="shared" ca="1" si="102"/>
        <v>228.69519094766599</v>
      </c>
      <c r="X349" s="1">
        <f t="shared" ca="1" si="102"/>
        <v>0</v>
      </c>
      <c r="Y349" s="1">
        <f t="shared" ca="1" si="102"/>
        <v>0</v>
      </c>
      <c r="Z349" s="1">
        <f t="shared" ca="1" si="102"/>
        <v>0</v>
      </c>
      <c r="AA349" s="1">
        <f t="shared" ca="1" si="102"/>
        <v>0</v>
      </c>
      <c r="AB349" s="1">
        <f t="shared" ca="1" si="102"/>
        <v>0</v>
      </c>
      <c r="AC349" s="1">
        <f t="shared" ca="1" si="102"/>
        <v>70.833749999999995</v>
      </c>
      <c r="AD349" s="1">
        <f t="shared" ca="1" si="102"/>
        <v>92.083874999999992</v>
      </c>
      <c r="AE349" s="1">
        <f t="shared" ca="1" si="102"/>
        <v>70.833749999999995</v>
      </c>
      <c r="AF349" s="1">
        <f t="shared" ca="1" si="102"/>
        <v>70.833749999999995</v>
      </c>
      <c r="AG349" s="1">
        <f t="shared" ca="1" si="102"/>
        <v>70.833749999999995</v>
      </c>
      <c r="AH349" s="1">
        <f t="shared" ca="1" si="102"/>
        <v>70.833749999999995</v>
      </c>
      <c r="AI349" s="1">
        <f t="shared" ca="1" si="100"/>
        <v>70.833749999999995</v>
      </c>
    </row>
    <row r="350" spans="2:35" x14ac:dyDescent="0.15">
      <c r="B350" s="1" t="str">
        <f t="shared" si="97"/>
        <v>土系51</v>
      </c>
      <c r="C350" s="1">
        <f t="shared" si="87"/>
        <v>51</v>
      </c>
      <c r="D350" s="14" t="s">
        <v>93</v>
      </c>
      <c r="E350" s="14">
        <f t="shared" si="88"/>
        <v>4</v>
      </c>
      <c r="F350" s="1" t="str">
        <f t="shared" si="93"/>
        <v>地脉</v>
      </c>
      <c r="H350" s="1">
        <f t="shared" ca="1" si="94"/>
        <v>2341.3422925097834</v>
      </c>
      <c r="I350" s="1">
        <f t="shared" ca="1" si="101"/>
        <v>100</v>
      </c>
      <c r="J350" s="1">
        <f t="shared" ca="1" si="101"/>
        <v>564.49714285714322</v>
      </c>
      <c r="K350" s="1">
        <f t="shared" ca="1" si="101"/>
        <v>72.250425000000007</v>
      </c>
      <c r="L350" s="1">
        <f t="shared" ca="1" si="101"/>
        <v>705.62142857142896</v>
      </c>
      <c r="M350" s="1">
        <f t="shared" ca="1" si="101"/>
        <v>108.37563750000001</v>
      </c>
      <c r="N350" s="1">
        <f t="shared" ca="1" si="101"/>
        <v>0.2</v>
      </c>
      <c r="O350" s="1">
        <f t="shared" ca="1" si="101"/>
        <v>0.2</v>
      </c>
      <c r="P350" s="1">
        <f t="shared" ca="1" si="101"/>
        <v>0.36</v>
      </c>
      <c r="Q350" s="1">
        <f t="shared" ca="1" si="101"/>
        <v>0.1</v>
      </c>
      <c r="R350" s="1">
        <f t="shared" ca="1" si="101"/>
        <v>2.2999999999999998</v>
      </c>
      <c r="S350" s="1">
        <f t="shared" ca="1" si="102"/>
        <v>0.1</v>
      </c>
      <c r="T350" s="1">
        <f t="shared" ca="1" si="102"/>
        <v>0.9</v>
      </c>
      <c r="U350" s="1">
        <f t="shared" ca="1" si="102"/>
        <v>98.6</v>
      </c>
      <c r="V350" s="1">
        <f t="shared" ca="1" si="102"/>
        <v>0</v>
      </c>
      <c r="W350" s="1">
        <f t="shared" ca="1" si="102"/>
        <v>241.521428571429</v>
      </c>
      <c r="X350" s="1">
        <f t="shared" ca="1" si="102"/>
        <v>0</v>
      </c>
      <c r="Y350" s="1">
        <f t="shared" ca="1" si="102"/>
        <v>0</v>
      </c>
      <c r="Z350" s="1">
        <f t="shared" ca="1" si="102"/>
        <v>0</v>
      </c>
      <c r="AA350" s="1">
        <f t="shared" ca="1" si="102"/>
        <v>0</v>
      </c>
      <c r="AB350" s="1">
        <f t="shared" ca="1" si="102"/>
        <v>0</v>
      </c>
      <c r="AC350" s="1">
        <f t="shared" ca="1" si="102"/>
        <v>72.250425000000007</v>
      </c>
      <c r="AD350" s="1">
        <f t="shared" ca="1" si="102"/>
        <v>93.925552500000009</v>
      </c>
      <c r="AE350" s="1">
        <f t="shared" ca="1" si="102"/>
        <v>72.250425000000007</v>
      </c>
      <c r="AF350" s="1">
        <f t="shared" ca="1" si="102"/>
        <v>72.250425000000007</v>
      </c>
      <c r="AG350" s="1">
        <f t="shared" ca="1" si="102"/>
        <v>72.250425000000007</v>
      </c>
      <c r="AH350" s="1">
        <f t="shared" ca="1" si="102"/>
        <v>72.250425000000007</v>
      </c>
      <c r="AI350" s="1">
        <f t="shared" ca="1" si="100"/>
        <v>72.250425000000007</v>
      </c>
    </row>
    <row r="351" spans="2:35" x14ac:dyDescent="0.15">
      <c r="B351" s="1" t="str">
        <f t="shared" si="97"/>
        <v>土系52</v>
      </c>
      <c r="C351" s="1">
        <f t="shared" si="87"/>
        <v>52</v>
      </c>
      <c r="D351" s="14" t="s">
        <v>93</v>
      </c>
      <c r="E351" s="14">
        <f t="shared" si="88"/>
        <v>4</v>
      </c>
      <c r="F351" s="1" t="str">
        <f t="shared" si="93"/>
        <v>地脉</v>
      </c>
      <c r="H351" s="1">
        <f t="shared" ca="1" si="94"/>
        <v>2399.1872197364864</v>
      </c>
      <c r="I351" s="1">
        <f t="shared" ca="1" si="101"/>
        <v>100</v>
      </c>
      <c r="J351" s="1">
        <f t="shared" ca="1" si="101"/>
        <v>580.36502164502167</v>
      </c>
      <c r="K351" s="1">
        <f t="shared" ca="1" si="101"/>
        <v>73.667100000000005</v>
      </c>
      <c r="L351" s="1">
        <f t="shared" ca="1" si="101"/>
        <v>725.45627705627703</v>
      </c>
      <c r="M351" s="1">
        <f t="shared" ca="1" si="101"/>
        <v>110.50065000000001</v>
      </c>
      <c r="N351" s="1">
        <f t="shared" ca="1" si="101"/>
        <v>0.2</v>
      </c>
      <c r="O351" s="1">
        <f t="shared" ca="1" si="101"/>
        <v>0.2</v>
      </c>
      <c r="P351" s="1">
        <f t="shared" ca="1" si="101"/>
        <v>0.36</v>
      </c>
      <c r="Q351" s="1">
        <f t="shared" ca="1" si="101"/>
        <v>0.1</v>
      </c>
      <c r="R351" s="1">
        <f t="shared" ca="1" si="101"/>
        <v>2.2999999999999998</v>
      </c>
      <c r="S351" s="1">
        <f t="shared" ca="1" si="102"/>
        <v>0.1</v>
      </c>
      <c r="T351" s="1">
        <f t="shared" ca="1" si="102"/>
        <v>0.9</v>
      </c>
      <c r="U351" s="1">
        <f t="shared" ca="1" si="102"/>
        <v>100.533333333333</v>
      </c>
      <c r="V351" s="1">
        <f t="shared" ca="1" si="102"/>
        <v>0</v>
      </c>
      <c r="W351" s="1">
        <f t="shared" ca="1" si="102"/>
        <v>254.890043290043</v>
      </c>
      <c r="X351" s="1">
        <f t="shared" ca="1" si="102"/>
        <v>0</v>
      </c>
      <c r="Y351" s="1">
        <f t="shared" ca="1" si="102"/>
        <v>0</v>
      </c>
      <c r="Z351" s="1">
        <f t="shared" ca="1" si="102"/>
        <v>0</v>
      </c>
      <c r="AA351" s="1">
        <f t="shared" ca="1" si="102"/>
        <v>0</v>
      </c>
      <c r="AB351" s="1">
        <f t="shared" ca="1" si="102"/>
        <v>0</v>
      </c>
      <c r="AC351" s="1">
        <f t="shared" ca="1" si="102"/>
        <v>73.667100000000005</v>
      </c>
      <c r="AD351" s="1">
        <f t="shared" ca="1" si="102"/>
        <v>95.767230000000012</v>
      </c>
      <c r="AE351" s="1">
        <f t="shared" ca="1" si="102"/>
        <v>73.667100000000005</v>
      </c>
      <c r="AF351" s="1">
        <f t="shared" ca="1" si="102"/>
        <v>73.667100000000005</v>
      </c>
      <c r="AG351" s="1">
        <f t="shared" ca="1" si="102"/>
        <v>73.667100000000005</v>
      </c>
      <c r="AH351" s="1">
        <f t="shared" ca="1" si="102"/>
        <v>73.667100000000005</v>
      </c>
      <c r="AI351" s="1">
        <f t="shared" ca="1" si="100"/>
        <v>73.667100000000005</v>
      </c>
    </row>
    <row r="352" spans="2:35" x14ac:dyDescent="0.15">
      <c r="B352" s="1" t="str">
        <f t="shared" si="97"/>
        <v>土系53</v>
      </c>
      <c r="C352" s="1">
        <f t="shared" si="87"/>
        <v>53</v>
      </c>
      <c r="D352" s="14" t="s">
        <v>93</v>
      </c>
      <c r="E352" s="14">
        <f t="shared" si="88"/>
        <v>4</v>
      </c>
      <c r="F352" s="1" t="str">
        <f t="shared" si="93"/>
        <v>地脉</v>
      </c>
      <c r="H352" s="1">
        <f t="shared" ca="1" si="94"/>
        <v>2457.491233687228</v>
      </c>
      <c r="I352" s="1">
        <f t="shared" ca="1" si="101"/>
        <v>100</v>
      </c>
      <c r="J352" s="1">
        <f t="shared" ca="1" si="101"/>
        <v>596.47714285714324</v>
      </c>
      <c r="K352" s="1">
        <f t="shared" ca="1" si="101"/>
        <v>75.083775000000003</v>
      </c>
      <c r="L352" s="1">
        <f t="shared" ca="1" si="101"/>
        <v>745.59642857142899</v>
      </c>
      <c r="M352" s="1">
        <f t="shared" ca="1" si="101"/>
        <v>112.6256625</v>
      </c>
      <c r="N352" s="1">
        <f t="shared" ca="1" si="101"/>
        <v>0.2</v>
      </c>
      <c r="O352" s="1">
        <f t="shared" ca="1" si="101"/>
        <v>0.2</v>
      </c>
      <c r="P352" s="1">
        <f t="shared" ca="1" si="101"/>
        <v>0.36</v>
      </c>
      <c r="Q352" s="1">
        <f t="shared" ca="1" si="101"/>
        <v>0.1</v>
      </c>
      <c r="R352" s="1">
        <f t="shared" ca="1" si="101"/>
        <v>2.2999999999999998</v>
      </c>
      <c r="S352" s="1">
        <f t="shared" ca="1" si="102"/>
        <v>0.1</v>
      </c>
      <c r="T352" s="1">
        <f t="shared" ca="1" si="102"/>
        <v>0.9</v>
      </c>
      <c r="U352" s="1">
        <f t="shared" ca="1" si="102"/>
        <v>102.466666666667</v>
      </c>
      <c r="V352" s="1">
        <f t="shared" ca="1" si="102"/>
        <v>0</v>
      </c>
      <c r="W352" s="1">
        <f t="shared" ca="1" si="102"/>
        <v>268.820481049563</v>
      </c>
      <c r="X352" s="1">
        <f t="shared" ca="1" si="102"/>
        <v>0</v>
      </c>
      <c r="Y352" s="1">
        <f t="shared" ca="1" si="102"/>
        <v>0</v>
      </c>
      <c r="Z352" s="1">
        <f t="shared" ca="1" si="102"/>
        <v>0</v>
      </c>
      <c r="AA352" s="1">
        <f t="shared" ca="1" si="102"/>
        <v>0</v>
      </c>
      <c r="AB352" s="1">
        <f t="shared" ca="1" si="102"/>
        <v>0</v>
      </c>
      <c r="AC352" s="1">
        <f t="shared" ca="1" si="102"/>
        <v>75.083775000000003</v>
      </c>
      <c r="AD352" s="1">
        <f t="shared" ca="1" si="102"/>
        <v>97.608907500000001</v>
      </c>
      <c r="AE352" s="1">
        <f t="shared" ca="1" si="102"/>
        <v>75.083775000000003</v>
      </c>
      <c r="AF352" s="1">
        <f t="shared" ca="1" si="102"/>
        <v>75.083775000000003</v>
      </c>
      <c r="AG352" s="1">
        <f t="shared" ca="1" si="102"/>
        <v>75.083775000000003</v>
      </c>
      <c r="AH352" s="1">
        <f t="shared" ca="1" si="102"/>
        <v>75.083775000000003</v>
      </c>
      <c r="AI352" s="1">
        <f t="shared" ca="1" si="100"/>
        <v>75.083775000000003</v>
      </c>
    </row>
    <row r="353" spans="2:35" x14ac:dyDescent="0.15">
      <c r="B353" s="1" t="str">
        <f t="shared" si="97"/>
        <v>土系54</v>
      </c>
      <c r="C353" s="1">
        <f t="shared" si="87"/>
        <v>54</v>
      </c>
      <c r="D353" s="14" t="s">
        <v>93</v>
      </c>
      <c r="E353" s="14">
        <f t="shared" si="88"/>
        <v>4</v>
      </c>
      <c r="F353" s="1" t="str">
        <f t="shared" si="93"/>
        <v>地脉</v>
      </c>
      <c r="H353" s="1">
        <f t="shared" ca="1" si="94"/>
        <v>2516.2543343619805</v>
      </c>
      <c r="I353" s="1">
        <f t="shared" ref="I353:R362" ca="1" si="103">mVlookup($C353,monsterBaseDate,I$2,FALSE)*(1+mVlookup($E353,monsterType,I$2,FALSE))</f>
        <v>100</v>
      </c>
      <c r="J353" s="1">
        <f t="shared" ca="1" si="103"/>
        <v>612.83876288659837</v>
      </c>
      <c r="K353" s="1">
        <f t="shared" ca="1" si="103"/>
        <v>76.500450000000001</v>
      </c>
      <c r="L353" s="1">
        <f t="shared" ca="1" si="103"/>
        <v>766.048453608248</v>
      </c>
      <c r="M353" s="1">
        <f t="shared" ca="1" si="103"/>
        <v>114.750675</v>
      </c>
      <c r="N353" s="1">
        <f t="shared" ca="1" si="103"/>
        <v>0.2</v>
      </c>
      <c r="O353" s="1">
        <f t="shared" ca="1" si="103"/>
        <v>0.2</v>
      </c>
      <c r="P353" s="1">
        <f t="shared" ca="1" si="103"/>
        <v>0.36</v>
      </c>
      <c r="Q353" s="1">
        <f t="shared" ca="1" si="103"/>
        <v>0.1</v>
      </c>
      <c r="R353" s="1">
        <f t="shared" ca="1" si="103"/>
        <v>2.2999999999999998</v>
      </c>
      <c r="S353" s="1">
        <f t="shared" ref="S353:AH368" ca="1" si="104">mVlookup($C353,monsterBaseDate,S$2,FALSE)*(1+mVlookup($E353,monsterType,S$2,FALSE))</f>
        <v>0.1</v>
      </c>
      <c r="T353" s="1">
        <f t="shared" ca="1" si="104"/>
        <v>0.9</v>
      </c>
      <c r="U353" s="1">
        <f t="shared" ca="1" si="104"/>
        <v>104.4</v>
      </c>
      <c r="V353" s="1">
        <f t="shared" ca="1" si="104"/>
        <v>0</v>
      </c>
      <c r="W353" s="1">
        <f t="shared" ca="1" si="104"/>
        <v>283.332989690722</v>
      </c>
      <c r="X353" s="1">
        <f t="shared" ca="1" si="104"/>
        <v>0</v>
      </c>
      <c r="Y353" s="1">
        <f t="shared" ca="1" si="104"/>
        <v>0</v>
      </c>
      <c r="Z353" s="1">
        <f t="shared" ca="1" si="104"/>
        <v>0</v>
      </c>
      <c r="AA353" s="1">
        <f t="shared" ca="1" si="104"/>
        <v>0</v>
      </c>
      <c r="AB353" s="1">
        <f t="shared" ca="1" si="102"/>
        <v>0</v>
      </c>
      <c r="AC353" s="1">
        <f t="shared" ca="1" si="104"/>
        <v>76.500450000000001</v>
      </c>
      <c r="AD353" s="1">
        <f t="shared" ca="1" si="104"/>
        <v>99.450585000000004</v>
      </c>
      <c r="AE353" s="1">
        <f t="shared" ca="1" si="104"/>
        <v>76.500450000000001</v>
      </c>
      <c r="AF353" s="1">
        <f t="shared" ca="1" si="104"/>
        <v>76.500450000000001</v>
      </c>
      <c r="AG353" s="1">
        <f t="shared" ca="1" si="104"/>
        <v>76.500450000000001</v>
      </c>
      <c r="AH353" s="1">
        <f t="shared" ca="1" si="104"/>
        <v>76.500450000000001</v>
      </c>
      <c r="AI353" s="1">
        <f t="shared" ca="1" si="100"/>
        <v>76.500450000000001</v>
      </c>
    </row>
    <row r="354" spans="2:35" x14ac:dyDescent="0.15">
      <c r="B354" s="1" t="str">
        <f t="shared" si="97"/>
        <v>土系55</v>
      </c>
      <c r="C354" s="1">
        <f t="shared" si="87"/>
        <v>55</v>
      </c>
      <c r="D354" s="14" t="s">
        <v>93</v>
      </c>
      <c r="E354" s="14">
        <f t="shared" si="88"/>
        <v>4</v>
      </c>
      <c r="F354" s="1" t="str">
        <f t="shared" si="93"/>
        <v>地脉</v>
      </c>
      <c r="H354" s="1">
        <f t="shared" ca="1" si="94"/>
        <v>2575.4765217607583</v>
      </c>
      <c r="I354" s="1">
        <f t="shared" ca="1" si="103"/>
        <v>100</v>
      </c>
      <c r="J354" s="1">
        <f t="shared" ca="1" si="103"/>
        <v>629.45535714285768</v>
      </c>
      <c r="K354" s="1">
        <f t="shared" ca="1" si="103"/>
        <v>77.917124999999999</v>
      </c>
      <c r="L354" s="1">
        <f t="shared" ca="1" si="103"/>
        <v>786.81919642857201</v>
      </c>
      <c r="M354" s="1">
        <f t="shared" ca="1" si="103"/>
        <v>116.8756875</v>
      </c>
      <c r="N354" s="1">
        <f t="shared" ca="1" si="103"/>
        <v>0.2</v>
      </c>
      <c r="O354" s="1">
        <f t="shared" ca="1" si="103"/>
        <v>0.2</v>
      </c>
      <c r="P354" s="1">
        <f t="shared" ca="1" si="103"/>
        <v>0.36</v>
      </c>
      <c r="Q354" s="1">
        <f t="shared" ca="1" si="103"/>
        <v>0.1</v>
      </c>
      <c r="R354" s="1">
        <f t="shared" ca="1" si="103"/>
        <v>2.2999999999999998</v>
      </c>
      <c r="S354" s="1">
        <f t="shared" ca="1" si="104"/>
        <v>0.1</v>
      </c>
      <c r="T354" s="1">
        <f t="shared" ca="1" si="104"/>
        <v>0.9</v>
      </c>
      <c r="U354" s="1">
        <f t="shared" ca="1" si="104"/>
        <v>106.333333333333</v>
      </c>
      <c r="V354" s="1">
        <f t="shared" ca="1" si="104"/>
        <v>0</v>
      </c>
      <c r="W354" s="1">
        <f t="shared" ca="1" si="104"/>
        <v>298.44866071428601</v>
      </c>
      <c r="X354" s="1">
        <f t="shared" ca="1" si="104"/>
        <v>0</v>
      </c>
      <c r="Y354" s="1">
        <f t="shared" ca="1" si="104"/>
        <v>0</v>
      </c>
      <c r="Z354" s="1">
        <f t="shared" ca="1" si="104"/>
        <v>0</v>
      </c>
      <c r="AA354" s="1">
        <f t="shared" ca="1" si="104"/>
        <v>0</v>
      </c>
      <c r="AB354" s="1">
        <f t="shared" ca="1" si="102"/>
        <v>0</v>
      </c>
      <c r="AC354" s="1">
        <f t="shared" ca="1" si="104"/>
        <v>77.917124999999999</v>
      </c>
      <c r="AD354" s="1">
        <f t="shared" ca="1" si="104"/>
        <v>101.29226250000001</v>
      </c>
      <c r="AE354" s="1">
        <f t="shared" ca="1" si="104"/>
        <v>77.917124999999999</v>
      </c>
      <c r="AF354" s="1">
        <f t="shared" ca="1" si="104"/>
        <v>77.917124999999999</v>
      </c>
      <c r="AG354" s="1">
        <f t="shared" ca="1" si="104"/>
        <v>77.917124999999999</v>
      </c>
      <c r="AH354" s="1">
        <f t="shared" ca="1" si="104"/>
        <v>77.917124999999999</v>
      </c>
      <c r="AI354" s="1">
        <f t="shared" ca="1" si="100"/>
        <v>77.917124999999999</v>
      </c>
    </row>
    <row r="355" spans="2:35" x14ac:dyDescent="0.15">
      <c r="B355" s="1" t="str">
        <f t="shared" si="97"/>
        <v>土系56</v>
      </c>
      <c r="C355" s="1">
        <f t="shared" si="87"/>
        <v>56</v>
      </c>
      <c r="D355" s="14" t="s">
        <v>93</v>
      </c>
      <c r="E355" s="14">
        <f t="shared" si="88"/>
        <v>4</v>
      </c>
      <c r="F355" s="1" t="str">
        <f t="shared" si="93"/>
        <v>地脉</v>
      </c>
      <c r="H355" s="1">
        <f t="shared" ca="1" si="94"/>
        <v>2773.3501156646903</v>
      </c>
      <c r="I355" s="1">
        <f t="shared" ca="1" si="103"/>
        <v>100</v>
      </c>
      <c r="J355" s="1">
        <f t="shared" ca="1" si="103"/>
        <v>646.33263157894805</v>
      </c>
      <c r="K355" s="1">
        <f t="shared" ca="1" si="103"/>
        <v>79.333799999999997</v>
      </c>
      <c r="L355" s="1">
        <f t="shared" ca="1" si="103"/>
        <v>807.91578947368498</v>
      </c>
      <c r="M355" s="1">
        <f t="shared" ca="1" si="103"/>
        <v>119.00069999999999</v>
      </c>
      <c r="N355" s="1">
        <f t="shared" ca="1" si="103"/>
        <v>0.2</v>
      </c>
      <c r="O355" s="1">
        <f t="shared" ca="1" si="103"/>
        <v>0.2</v>
      </c>
      <c r="P355" s="1">
        <f t="shared" ca="1" si="103"/>
        <v>0.36</v>
      </c>
      <c r="Q355" s="1">
        <f t="shared" ca="1" si="103"/>
        <v>0.1</v>
      </c>
      <c r="R355" s="1">
        <f t="shared" ca="1" si="103"/>
        <v>2.2999999999999998</v>
      </c>
      <c r="S355" s="1">
        <f t="shared" ca="1" si="104"/>
        <v>0.1</v>
      </c>
      <c r="T355" s="1">
        <f t="shared" ca="1" si="104"/>
        <v>0.9</v>
      </c>
      <c r="U355" s="1">
        <f t="shared" ca="1" si="104"/>
        <v>108.26666666666701</v>
      </c>
      <c r="V355" s="1">
        <f t="shared" ca="1" si="104"/>
        <v>0</v>
      </c>
      <c r="W355" s="1">
        <f t="shared" ca="1" si="104"/>
        <v>314.18947368421101</v>
      </c>
      <c r="X355" s="1">
        <f t="shared" ca="1" si="104"/>
        <v>0</v>
      </c>
      <c r="Y355" s="1">
        <f t="shared" ca="1" si="104"/>
        <v>0</v>
      </c>
      <c r="Z355" s="1">
        <f t="shared" ca="1" si="104"/>
        <v>0</v>
      </c>
      <c r="AA355" s="1">
        <f t="shared" ca="1" si="104"/>
        <v>0</v>
      </c>
      <c r="AB355" s="1">
        <f t="shared" ca="1" si="102"/>
        <v>0</v>
      </c>
      <c r="AC355" s="1">
        <f t="shared" ca="1" si="104"/>
        <v>79.333799999999997</v>
      </c>
      <c r="AD355" s="1">
        <f t="shared" ca="1" si="104"/>
        <v>103.13394</v>
      </c>
      <c r="AE355" s="1">
        <f t="shared" ca="1" si="104"/>
        <v>79.333799999999997</v>
      </c>
      <c r="AF355" s="1">
        <f t="shared" ca="1" si="104"/>
        <v>79.333799999999997</v>
      </c>
      <c r="AG355" s="1">
        <f t="shared" ca="1" si="104"/>
        <v>79.333799999999997</v>
      </c>
      <c r="AH355" s="1">
        <f t="shared" ca="1" si="104"/>
        <v>79.333799999999997</v>
      </c>
      <c r="AI355" s="1">
        <f t="shared" ca="1" si="100"/>
        <v>79.333799999999997</v>
      </c>
    </row>
    <row r="356" spans="2:35" x14ac:dyDescent="0.15">
      <c r="B356" s="1" t="str">
        <f t="shared" si="97"/>
        <v>土系57</v>
      </c>
      <c r="C356" s="1">
        <f t="shared" si="87"/>
        <v>57</v>
      </c>
      <c r="D356" s="14" t="s">
        <v>93</v>
      </c>
      <c r="E356" s="14">
        <f t="shared" si="88"/>
        <v>4</v>
      </c>
      <c r="F356" s="1" t="str">
        <f t="shared" si="93"/>
        <v>地脉</v>
      </c>
      <c r="H356" s="1">
        <f t="shared" ca="1" si="94"/>
        <v>2836.6443430430918</v>
      </c>
      <c r="I356" s="1">
        <f t="shared" ca="1" si="103"/>
        <v>100</v>
      </c>
      <c r="J356" s="1">
        <f t="shared" ca="1" si="103"/>
        <v>663.47653495440807</v>
      </c>
      <c r="K356" s="1">
        <f t="shared" ca="1" si="103"/>
        <v>80.750474999999994</v>
      </c>
      <c r="L356" s="1">
        <f t="shared" ca="1" si="103"/>
        <v>829.34566869301</v>
      </c>
      <c r="M356" s="1">
        <f t="shared" ca="1" si="103"/>
        <v>121.12571249999999</v>
      </c>
      <c r="N356" s="1">
        <f t="shared" ca="1" si="103"/>
        <v>0.2</v>
      </c>
      <c r="O356" s="1">
        <f t="shared" ca="1" si="103"/>
        <v>0.2</v>
      </c>
      <c r="P356" s="1">
        <f t="shared" ca="1" si="103"/>
        <v>0.36</v>
      </c>
      <c r="Q356" s="1">
        <f t="shared" ca="1" si="103"/>
        <v>0.1</v>
      </c>
      <c r="R356" s="1">
        <f t="shared" ca="1" si="103"/>
        <v>2.2999999999999998</v>
      </c>
      <c r="S356" s="1">
        <f t="shared" ca="1" si="104"/>
        <v>0.1</v>
      </c>
      <c r="T356" s="1">
        <f t="shared" ca="1" si="104"/>
        <v>0.9</v>
      </c>
      <c r="U356" s="1">
        <f t="shared" ca="1" si="104"/>
        <v>110.2</v>
      </c>
      <c r="V356" s="1">
        <f t="shared" ca="1" si="104"/>
        <v>0</v>
      </c>
      <c r="W356" s="1">
        <f t="shared" ca="1" si="104"/>
        <v>330.57834346504598</v>
      </c>
      <c r="X356" s="1">
        <f t="shared" ca="1" si="104"/>
        <v>0</v>
      </c>
      <c r="Y356" s="1">
        <f t="shared" ca="1" si="104"/>
        <v>0</v>
      </c>
      <c r="Z356" s="1">
        <f t="shared" ca="1" si="104"/>
        <v>0</v>
      </c>
      <c r="AA356" s="1">
        <f t="shared" ca="1" si="104"/>
        <v>0</v>
      </c>
      <c r="AB356" s="1">
        <f t="shared" ca="1" si="102"/>
        <v>0</v>
      </c>
      <c r="AC356" s="1">
        <f t="shared" ca="1" si="104"/>
        <v>80.750474999999994</v>
      </c>
      <c r="AD356" s="1">
        <f t="shared" ca="1" si="104"/>
        <v>104.9756175</v>
      </c>
      <c r="AE356" s="1">
        <f t="shared" ca="1" si="104"/>
        <v>80.750474999999994</v>
      </c>
      <c r="AF356" s="1">
        <f t="shared" ca="1" si="104"/>
        <v>80.750474999999994</v>
      </c>
      <c r="AG356" s="1">
        <f t="shared" ca="1" si="104"/>
        <v>80.750474999999994</v>
      </c>
      <c r="AH356" s="1">
        <f t="shared" ca="1" si="104"/>
        <v>80.750474999999994</v>
      </c>
      <c r="AI356" s="1">
        <f t="shared" ca="1" si="100"/>
        <v>80.750474999999994</v>
      </c>
    </row>
    <row r="357" spans="2:35" x14ac:dyDescent="0.15">
      <c r="B357" s="1" t="str">
        <f t="shared" si="97"/>
        <v>土系58</v>
      </c>
      <c r="C357" s="1">
        <f t="shared" si="87"/>
        <v>58</v>
      </c>
      <c r="D357" s="14" t="s">
        <v>93</v>
      </c>
      <c r="E357" s="14">
        <f t="shared" si="88"/>
        <v>4</v>
      </c>
      <c r="F357" s="1" t="str">
        <f t="shared" si="93"/>
        <v>地脉</v>
      </c>
      <c r="H357" s="1">
        <f t="shared" ca="1" si="94"/>
        <v>2900.4217324625643</v>
      </c>
      <c r="I357" s="1">
        <f t="shared" ca="1" si="103"/>
        <v>100</v>
      </c>
      <c r="J357" s="1">
        <f t="shared" ca="1" si="103"/>
        <v>680.8932718894016</v>
      </c>
      <c r="K357" s="1">
        <f t="shared" ca="1" si="103"/>
        <v>82.167150000000007</v>
      </c>
      <c r="L357" s="1">
        <f t="shared" ca="1" si="103"/>
        <v>851.116589861752</v>
      </c>
      <c r="M357" s="1">
        <f t="shared" ca="1" si="103"/>
        <v>123.25072500000002</v>
      </c>
      <c r="N357" s="1">
        <f t="shared" ca="1" si="103"/>
        <v>0.2</v>
      </c>
      <c r="O357" s="1">
        <f t="shared" ca="1" si="103"/>
        <v>0.2</v>
      </c>
      <c r="P357" s="1">
        <f t="shared" ca="1" si="103"/>
        <v>0.36</v>
      </c>
      <c r="Q357" s="1">
        <f t="shared" ca="1" si="103"/>
        <v>0.1</v>
      </c>
      <c r="R357" s="1">
        <f t="shared" ca="1" si="103"/>
        <v>2.2999999999999998</v>
      </c>
      <c r="S357" s="1">
        <f t="shared" ca="1" si="104"/>
        <v>0.1</v>
      </c>
      <c r="T357" s="1">
        <f t="shared" ca="1" si="104"/>
        <v>0.9</v>
      </c>
      <c r="U357" s="1">
        <f t="shared" ca="1" si="104"/>
        <v>112.133333333333</v>
      </c>
      <c r="V357" s="1">
        <f t="shared" ca="1" si="104"/>
        <v>0</v>
      </c>
      <c r="W357" s="1">
        <f t="shared" ca="1" si="104"/>
        <v>347.63917050691299</v>
      </c>
      <c r="X357" s="1">
        <f t="shared" ca="1" si="104"/>
        <v>0</v>
      </c>
      <c r="Y357" s="1">
        <f t="shared" ca="1" si="104"/>
        <v>0</v>
      </c>
      <c r="Z357" s="1">
        <f t="shared" ca="1" si="104"/>
        <v>0</v>
      </c>
      <c r="AA357" s="1">
        <f t="shared" ca="1" si="104"/>
        <v>0</v>
      </c>
      <c r="AB357" s="1">
        <f t="shared" ca="1" si="102"/>
        <v>0</v>
      </c>
      <c r="AC357" s="1">
        <f t="shared" ca="1" si="104"/>
        <v>82.167150000000007</v>
      </c>
      <c r="AD357" s="1">
        <f t="shared" ca="1" si="104"/>
        <v>106.81729500000002</v>
      </c>
      <c r="AE357" s="1">
        <f t="shared" ca="1" si="104"/>
        <v>82.167150000000007</v>
      </c>
      <c r="AF357" s="1">
        <f t="shared" ca="1" si="104"/>
        <v>82.167150000000007</v>
      </c>
      <c r="AG357" s="1">
        <f t="shared" ca="1" si="104"/>
        <v>82.167150000000007</v>
      </c>
      <c r="AH357" s="1">
        <f t="shared" ca="1" si="104"/>
        <v>82.167150000000007</v>
      </c>
      <c r="AI357" s="1">
        <f t="shared" ca="1" si="100"/>
        <v>82.167150000000007</v>
      </c>
    </row>
    <row r="358" spans="2:35" x14ac:dyDescent="0.15">
      <c r="B358" s="1" t="str">
        <f t="shared" si="97"/>
        <v>土系59</v>
      </c>
      <c r="C358" s="1">
        <f t="shared" si="87"/>
        <v>59</v>
      </c>
      <c r="D358" s="14" t="s">
        <v>93</v>
      </c>
      <c r="E358" s="14">
        <f t="shared" si="88"/>
        <v>4</v>
      </c>
      <c r="F358" s="1" t="str">
        <f t="shared" si="93"/>
        <v>地脉</v>
      </c>
      <c r="H358" s="1">
        <f t="shared" ca="1" si="94"/>
        <v>2964.6822839230804</v>
      </c>
      <c r="I358" s="1">
        <f t="shared" ca="1" si="103"/>
        <v>100</v>
      </c>
      <c r="J358" s="1">
        <f t="shared" ca="1" si="103"/>
        <v>698.58931677018643</v>
      </c>
      <c r="K358" s="1">
        <f t="shared" ca="1" si="103"/>
        <v>83.583825000000004</v>
      </c>
      <c r="L358" s="1">
        <f t="shared" ca="1" si="103"/>
        <v>873.23664596273295</v>
      </c>
      <c r="M358" s="1">
        <f t="shared" ca="1" si="103"/>
        <v>125.37573750000001</v>
      </c>
      <c r="N358" s="1">
        <f t="shared" ca="1" si="103"/>
        <v>0.2</v>
      </c>
      <c r="O358" s="1">
        <f t="shared" ca="1" si="103"/>
        <v>0.2</v>
      </c>
      <c r="P358" s="1">
        <f t="shared" ca="1" si="103"/>
        <v>0.36</v>
      </c>
      <c r="Q358" s="1">
        <f t="shared" ca="1" si="103"/>
        <v>0.1</v>
      </c>
      <c r="R358" s="1">
        <f t="shared" ca="1" si="103"/>
        <v>2.2999999999999998</v>
      </c>
      <c r="S358" s="1">
        <f t="shared" ca="1" si="104"/>
        <v>0.1</v>
      </c>
      <c r="T358" s="1">
        <f t="shared" ca="1" si="104"/>
        <v>0.9</v>
      </c>
      <c r="U358" s="1">
        <f t="shared" ca="1" si="104"/>
        <v>114.066666666667</v>
      </c>
      <c r="V358" s="1">
        <f t="shared" ca="1" si="104"/>
        <v>0</v>
      </c>
      <c r="W358" s="1">
        <f t="shared" ca="1" si="104"/>
        <v>365.396894409938</v>
      </c>
      <c r="X358" s="1">
        <f t="shared" ca="1" si="104"/>
        <v>0</v>
      </c>
      <c r="Y358" s="1">
        <f t="shared" ca="1" si="104"/>
        <v>0</v>
      </c>
      <c r="Z358" s="1">
        <f t="shared" ca="1" si="104"/>
        <v>0</v>
      </c>
      <c r="AA358" s="1">
        <f t="shared" ca="1" si="104"/>
        <v>0</v>
      </c>
      <c r="AB358" s="1">
        <f t="shared" ca="1" si="102"/>
        <v>0</v>
      </c>
      <c r="AC358" s="1">
        <f t="shared" ca="1" si="104"/>
        <v>83.583825000000004</v>
      </c>
      <c r="AD358" s="1">
        <f t="shared" ca="1" si="104"/>
        <v>108.6589725</v>
      </c>
      <c r="AE358" s="1">
        <f t="shared" ca="1" si="104"/>
        <v>83.583825000000004</v>
      </c>
      <c r="AF358" s="1">
        <f t="shared" ca="1" si="104"/>
        <v>83.583825000000004</v>
      </c>
      <c r="AG358" s="1">
        <f t="shared" ca="1" si="104"/>
        <v>83.583825000000004</v>
      </c>
      <c r="AH358" s="1">
        <f t="shared" ca="1" si="104"/>
        <v>83.583825000000004</v>
      </c>
      <c r="AI358" s="1">
        <f t="shared" ca="1" si="100"/>
        <v>83.583825000000004</v>
      </c>
    </row>
    <row r="359" spans="2:35" x14ac:dyDescent="0.15">
      <c r="B359" s="1" t="str">
        <f t="shared" si="97"/>
        <v>土系60</v>
      </c>
      <c r="C359" s="1">
        <f t="shared" ref="C359:C422" si="105">C260</f>
        <v>60</v>
      </c>
      <c r="D359" s="14" t="s">
        <v>93</v>
      </c>
      <c r="E359" s="14">
        <f t="shared" ref="E359:E422" si="106">E260+1</f>
        <v>4</v>
      </c>
      <c r="F359" s="1" t="str">
        <f t="shared" si="93"/>
        <v>地脉</v>
      </c>
      <c r="H359" s="1">
        <f t="shared" ca="1" si="94"/>
        <v>3029.425997424667</v>
      </c>
      <c r="I359" s="1">
        <f t="shared" ca="1" si="103"/>
        <v>100</v>
      </c>
      <c r="J359" s="1">
        <f t="shared" ca="1" si="103"/>
        <v>716.5714285714289</v>
      </c>
      <c r="K359" s="1">
        <f t="shared" ca="1" si="103"/>
        <v>85.000500000000002</v>
      </c>
      <c r="L359" s="1">
        <f t="shared" ca="1" si="103"/>
        <v>895.71428571428601</v>
      </c>
      <c r="M359" s="1">
        <f t="shared" ca="1" si="103"/>
        <v>127.50075000000001</v>
      </c>
      <c r="N359" s="1">
        <f t="shared" ca="1" si="103"/>
        <v>0.2</v>
      </c>
      <c r="O359" s="1">
        <f t="shared" ca="1" si="103"/>
        <v>0.2</v>
      </c>
      <c r="P359" s="1">
        <f t="shared" ca="1" si="103"/>
        <v>0.36</v>
      </c>
      <c r="Q359" s="1">
        <f t="shared" ca="1" si="103"/>
        <v>0.1</v>
      </c>
      <c r="R359" s="1">
        <f t="shared" ca="1" si="103"/>
        <v>2.2999999999999998</v>
      </c>
      <c r="S359" s="1">
        <f t="shared" ca="1" si="104"/>
        <v>0.1</v>
      </c>
      <c r="T359" s="1">
        <f t="shared" ca="1" si="104"/>
        <v>0.9</v>
      </c>
      <c r="U359" s="1">
        <f t="shared" ca="1" si="104"/>
        <v>116</v>
      </c>
      <c r="V359" s="1">
        <f t="shared" ca="1" si="104"/>
        <v>0</v>
      </c>
      <c r="W359" s="1">
        <f t="shared" ca="1" si="104"/>
        <v>383.87755102040802</v>
      </c>
      <c r="X359" s="1">
        <f t="shared" ca="1" si="104"/>
        <v>0</v>
      </c>
      <c r="Y359" s="1">
        <f t="shared" ca="1" si="104"/>
        <v>0</v>
      </c>
      <c r="Z359" s="1">
        <f t="shared" ca="1" si="104"/>
        <v>0</v>
      </c>
      <c r="AA359" s="1">
        <f t="shared" ca="1" si="104"/>
        <v>0</v>
      </c>
      <c r="AB359" s="1">
        <f t="shared" ca="1" si="104"/>
        <v>0</v>
      </c>
      <c r="AC359" s="1">
        <f t="shared" ca="1" si="104"/>
        <v>85.000500000000002</v>
      </c>
      <c r="AD359" s="1">
        <f t="shared" ca="1" si="104"/>
        <v>110.50065000000001</v>
      </c>
      <c r="AE359" s="1">
        <f t="shared" ca="1" si="104"/>
        <v>85.000500000000002</v>
      </c>
      <c r="AF359" s="1">
        <f t="shared" ca="1" si="104"/>
        <v>85.000500000000002</v>
      </c>
      <c r="AG359" s="1">
        <f t="shared" ca="1" si="104"/>
        <v>85.000500000000002</v>
      </c>
      <c r="AH359" s="1">
        <f t="shared" ca="1" si="104"/>
        <v>85.000500000000002</v>
      </c>
      <c r="AI359" s="1">
        <f t="shared" ca="1" si="100"/>
        <v>85.000500000000002</v>
      </c>
    </row>
    <row r="360" spans="2:35" x14ac:dyDescent="0.15">
      <c r="B360" s="1" t="str">
        <f t="shared" si="97"/>
        <v>土系61</v>
      </c>
      <c r="C360" s="1">
        <f t="shared" si="105"/>
        <v>61</v>
      </c>
      <c r="D360" s="14" t="s">
        <v>93</v>
      </c>
      <c r="E360" s="14">
        <f t="shared" si="106"/>
        <v>4</v>
      </c>
      <c r="F360" s="1" t="str">
        <f t="shared" si="93"/>
        <v>地脉</v>
      </c>
      <c r="H360" s="1">
        <f t="shared" ca="1" si="94"/>
        <v>3094.6528729672964</v>
      </c>
      <c r="I360" s="1">
        <f t="shared" ca="1" si="103"/>
        <v>100</v>
      </c>
      <c r="J360" s="1">
        <f t="shared" ca="1" si="103"/>
        <v>734.84666666666726</v>
      </c>
      <c r="K360" s="1">
        <f t="shared" ca="1" si="103"/>
        <v>86.417175</v>
      </c>
      <c r="L360" s="1">
        <f t="shared" ca="1" si="103"/>
        <v>918.55833333333396</v>
      </c>
      <c r="M360" s="1">
        <f t="shared" ca="1" si="103"/>
        <v>129.62576250000001</v>
      </c>
      <c r="N360" s="1">
        <f t="shared" ca="1" si="103"/>
        <v>0.2</v>
      </c>
      <c r="O360" s="1">
        <f t="shared" ca="1" si="103"/>
        <v>0.2</v>
      </c>
      <c r="P360" s="1">
        <f t="shared" ca="1" si="103"/>
        <v>0.36</v>
      </c>
      <c r="Q360" s="1">
        <f t="shared" ca="1" si="103"/>
        <v>0.1</v>
      </c>
      <c r="R360" s="1">
        <f t="shared" ca="1" si="103"/>
        <v>2.2999999999999998</v>
      </c>
      <c r="S360" s="1">
        <f t="shared" ca="1" si="104"/>
        <v>0.1</v>
      </c>
      <c r="T360" s="1">
        <f t="shared" ca="1" si="104"/>
        <v>0.9</v>
      </c>
      <c r="U360" s="1">
        <f t="shared" ca="1" si="104"/>
        <v>117.933333333333</v>
      </c>
      <c r="V360" s="1">
        <f t="shared" ca="1" si="104"/>
        <v>0</v>
      </c>
      <c r="W360" s="1">
        <f t="shared" ca="1" si="104"/>
        <v>403.10833333333397</v>
      </c>
      <c r="X360" s="1">
        <f t="shared" ca="1" si="104"/>
        <v>0</v>
      </c>
      <c r="Y360" s="1">
        <f t="shared" ca="1" si="104"/>
        <v>0</v>
      </c>
      <c r="Z360" s="1">
        <f t="shared" ca="1" si="104"/>
        <v>0</v>
      </c>
      <c r="AA360" s="1">
        <f t="shared" ca="1" si="104"/>
        <v>0</v>
      </c>
      <c r="AB360" s="1">
        <f t="shared" ca="1" si="104"/>
        <v>0</v>
      </c>
      <c r="AC360" s="1">
        <f t="shared" ca="1" si="104"/>
        <v>86.417175</v>
      </c>
      <c r="AD360" s="1">
        <f t="shared" ca="1" si="104"/>
        <v>112.34232750000001</v>
      </c>
      <c r="AE360" s="1">
        <f t="shared" ca="1" si="104"/>
        <v>86.417175</v>
      </c>
      <c r="AF360" s="1">
        <f t="shared" ca="1" si="104"/>
        <v>86.417175</v>
      </c>
      <c r="AG360" s="1">
        <f t="shared" ca="1" si="104"/>
        <v>86.417175</v>
      </c>
      <c r="AH360" s="1">
        <f t="shared" ca="1" si="104"/>
        <v>86.417175</v>
      </c>
      <c r="AI360" s="1">
        <f t="shared" ca="1" si="100"/>
        <v>86.417175</v>
      </c>
    </row>
    <row r="361" spans="2:35" x14ac:dyDescent="0.15">
      <c r="B361" s="1" t="str">
        <f t="shared" si="97"/>
        <v>土系62</v>
      </c>
      <c r="C361" s="1">
        <f t="shared" si="105"/>
        <v>62</v>
      </c>
      <c r="D361" s="14" t="s">
        <v>93</v>
      </c>
      <c r="E361" s="14">
        <f t="shared" si="106"/>
        <v>4</v>
      </c>
      <c r="F361" s="1" t="str">
        <f t="shared" si="93"/>
        <v>地脉</v>
      </c>
      <c r="H361" s="1">
        <f t="shared" ca="1" si="94"/>
        <v>3160.3629105509972</v>
      </c>
      <c r="I361" s="1">
        <f t="shared" ca="1" si="103"/>
        <v>100</v>
      </c>
      <c r="J361" s="1">
        <f t="shared" ca="1" si="103"/>
        <v>753.42240770465526</v>
      </c>
      <c r="K361" s="1">
        <f t="shared" ca="1" si="103"/>
        <v>87.833849999999998</v>
      </c>
      <c r="L361" s="1">
        <f t="shared" ca="1" si="103"/>
        <v>941.77800963081904</v>
      </c>
      <c r="M361" s="1">
        <f t="shared" ca="1" si="103"/>
        <v>131.750775</v>
      </c>
      <c r="N361" s="1">
        <f t="shared" ca="1" si="103"/>
        <v>0.2</v>
      </c>
      <c r="O361" s="1">
        <f t="shared" ca="1" si="103"/>
        <v>0.2</v>
      </c>
      <c r="P361" s="1">
        <f t="shared" ca="1" si="103"/>
        <v>0.36</v>
      </c>
      <c r="Q361" s="1">
        <f t="shared" ca="1" si="103"/>
        <v>0.1</v>
      </c>
      <c r="R361" s="1">
        <f t="shared" ca="1" si="103"/>
        <v>2.2999999999999998</v>
      </c>
      <c r="S361" s="1">
        <f t="shared" ca="1" si="104"/>
        <v>0.1</v>
      </c>
      <c r="T361" s="1">
        <f t="shared" ca="1" si="104"/>
        <v>0.9</v>
      </c>
      <c r="U361" s="1">
        <f t="shared" ca="1" si="104"/>
        <v>119.866666666667</v>
      </c>
      <c r="V361" s="1">
        <f t="shared" ca="1" si="104"/>
        <v>0</v>
      </c>
      <c r="W361" s="1">
        <f t="shared" ca="1" si="104"/>
        <v>423.11765650080298</v>
      </c>
      <c r="X361" s="1">
        <f t="shared" ca="1" si="104"/>
        <v>0</v>
      </c>
      <c r="Y361" s="1">
        <f t="shared" ca="1" si="104"/>
        <v>0</v>
      </c>
      <c r="Z361" s="1">
        <f t="shared" ca="1" si="104"/>
        <v>0</v>
      </c>
      <c r="AA361" s="1">
        <f t="shared" ca="1" si="104"/>
        <v>0</v>
      </c>
      <c r="AB361" s="1">
        <f t="shared" ca="1" si="104"/>
        <v>0</v>
      </c>
      <c r="AC361" s="1">
        <f t="shared" ca="1" si="104"/>
        <v>87.833849999999998</v>
      </c>
      <c r="AD361" s="1">
        <f t="shared" ca="1" si="104"/>
        <v>114.184005</v>
      </c>
      <c r="AE361" s="1">
        <f t="shared" ca="1" si="104"/>
        <v>87.833849999999998</v>
      </c>
      <c r="AF361" s="1">
        <f t="shared" ca="1" si="104"/>
        <v>87.833849999999998</v>
      </c>
      <c r="AG361" s="1">
        <f t="shared" ca="1" si="104"/>
        <v>87.833849999999998</v>
      </c>
      <c r="AH361" s="1">
        <f t="shared" ca="1" si="104"/>
        <v>87.833849999999998</v>
      </c>
      <c r="AI361" s="1">
        <f t="shared" ca="1" si="100"/>
        <v>87.833849999999998</v>
      </c>
    </row>
    <row r="362" spans="2:35" x14ac:dyDescent="0.15">
      <c r="B362" s="1" t="str">
        <f t="shared" si="97"/>
        <v>土系63</v>
      </c>
      <c r="C362" s="1">
        <f t="shared" si="105"/>
        <v>63</v>
      </c>
      <c r="D362" s="14" t="s">
        <v>93</v>
      </c>
      <c r="E362" s="14">
        <f t="shared" si="106"/>
        <v>4</v>
      </c>
      <c r="F362" s="1" t="str">
        <f t="shared" si="93"/>
        <v>地脉</v>
      </c>
      <c r="H362" s="1">
        <f t="shared" ca="1" si="94"/>
        <v>3226.5561101757412</v>
      </c>
      <c r="I362" s="1">
        <f t="shared" ca="1" si="103"/>
        <v>100</v>
      </c>
      <c r="J362" s="1">
        <f t="shared" ca="1" si="103"/>
        <v>772.30636363636404</v>
      </c>
      <c r="K362" s="1">
        <f t="shared" ca="1" si="103"/>
        <v>89.250524999999996</v>
      </c>
      <c r="L362" s="1">
        <f t="shared" ca="1" si="103"/>
        <v>965.38295454545505</v>
      </c>
      <c r="M362" s="1">
        <f t="shared" ca="1" si="103"/>
        <v>133.8757875</v>
      </c>
      <c r="N362" s="1">
        <f t="shared" ca="1" si="103"/>
        <v>0.2</v>
      </c>
      <c r="O362" s="1">
        <f t="shared" ca="1" si="103"/>
        <v>0.2</v>
      </c>
      <c r="P362" s="1">
        <f t="shared" ca="1" si="103"/>
        <v>0.36</v>
      </c>
      <c r="Q362" s="1">
        <f t="shared" ca="1" si="103"/>
        <v>0.1</v>
      </c>
      <c r="R362" s="1">
        <f t="shared" ca="1" si="103"/>
        <v>2.2999999999999998</v>
      </c>
      <c r="S362" s="1">
        <f t="shared" ca="1" si="104"/>
        <v>0.1</v>
      </c>
      <c r="T362" s="1">
        <f t="shared" ca="1" si="104"/>
        <v>0.9</v>
      </c>
      <c r="U362" s="1">
        <f t="shared" ca="1" si="104"/>
        <v>121.8</v>
      </c>
      <c r="V362" s="1">
        <f t="shared" ca="1" si="104"/>
        <v>0</v>
      </c>
      <c r="W362" s="1">
        <f t="shared" ca="1" si="104"/>
        <v>443.93522727272801</v>
      </c>
      <c r="X362" s="1">
        <f t="shared" ca="1" si="104"/>
        <v>0</v>
      </c>
      <c r="Y362" s="1">
        <f t="shared" ca="1" si="104"/>
        <v>0</v>
      </c>
      <c r="Z362" s="1">
        <f t="shared" ca="1" si="104"/>
        <v>0</v>
      </c>
      <c r="AA362" s="1">
        <f t="shared" ca="1" si="104"/>
        <v>0</v>
      </c>
      <c r="AB362" s="1">
        <f t="shared" ca="1" si="104"/>
        <v>0</v>
      </c>
      <c r="AC362" s="1">
        <f t="shared" ca="1" si="104"/>
        <v>89.250524999999996</v>
      </c>
      <c r="AD362" s="1">
        <f t="shared" ca="1" si="104"/>
        <v>116.0256825</v>
      </c>
      <c r="AE362" s="1">
        <f t="shared" ca="1" si="104"/>
        <v>89.250524999999996</v>
      </c>
      <c r="AF362" s="1">
        <f t="shared" ca="1" si="104"/>
        <v>89.250524999999996</v>
      </c>
      <c r="AG362" s="1">
        <f t="shared" ca="1" si="104"/>
        <v>89.250524999999996</v>
      </c>
      <c r="AH362" s="1">
        <f t="shared" ca="1" si="104"/>
        <v>89.250524999999996</v>
      </c>
      <c r="AI362" s="1">
        <f t="shared" ca="1" si="100"/>
        <v>89.250524999999996</v>
      </c>
    </row>
    <row r="363" spans="2:35" x14ac:dyDescent="0.15">
      <c r="B363" s="1" t="str">
        <f t="shared" si="97"/>
        <v>土系64</v>
      </c>
      <c r="C363" s="1">
        <f t="shared" si="105"/>
        <v>64</v>
      </c>
      <c r="D363" s="14" t="s">
        <v>93</v>
      </c>
      <c r="E363" s="14">
        <f t="shared" si="106"/>
        <v>4</v>
      </c>
      <c r="F363" s="1" t="str">
        <f t="shared" si="93"/>
        <v>地脉</v>
      </c>
      <c r="H363" s="1">
        <f t="shared" ca="1" si="94"/>
        <v>3293.2324718415416</v>
      </c>
      <c r="I363" s="1">
        <f t="shared" ref="I363:R372" ca="1" si="107">mVlookup($C363,monsterBaseDate,I$2,FALSE)*(1+mVlookup($E363,monsterType,I$2,FALSE))</f>
        <v>100</v>
      </c>
      <c r="J363" s="1">
        <f t="shared" ca="1" si="107"/>
        <v>791.50660098522246</v>
      </c>
      <c r="K363" s="1">
        <f t="shared" ca="1" si="107"/>
        <v>90.667199999999994</v>
      </c>
      <c r="L363" s="1">
        <f t="shared" ca="1" si="107"/>
        <v>989.38325123152799</v>
      </c>
      <c r="M363" s="1">
        <f t="shared" ca="1" si="107"/>
        <v>136.0008</v>
      </c>
      <c r="N363" s="1">
        <f t="shared" ca="1" si="107"/>
        <v>0.2</v>
      </c>
      <c r="O363" s="1">
        <f t="shared" ca="1" si="107"/>
        <v>0.2</v>
      </c>
      <c r="P363" s="1">
        <f t="shared" ca="1" si="107"/>
        <v>0.36</v>
      </c>
      <c r="Q363" s="1">
        <f t="shared" ca="1" si="107"/>
        <v>0.1</v>
      </c>
      <c r="R363" s="1">
        <f t="shared" ca="1" si="107"/>
        <v>2.2999999999999998</v>
      </c>
      <c r="S363" s="1">
        <f t="shared" ref="S363:AH378" ca="1" si="108">mVlookup($C363,monsterBaseDate,S$2,FALSE)*(1+mVlookup($E363,monsterType,S$2,FALSE))</f>
        <v>0.1</v>
      </c>
      <c r="T363" s="1">
        <f t="shared" ca="1" si="108"/>
        <v>0.9</v>
      </c>
      <c r="U363" s="1">
        <f t="shared" ca="1" si="108"/>
        <v>123.73333333333299</v>
      </c>
      <c r="V363" s="1">
        <f t="shared" ca="1" si="108"/>
        <v>0</v>
      </c>
      <c r="W363" s="1">
        <f t="shared" ca="1" si="108"/>
        <v>465.59211822660097</v>
      </c>
      <c r="X363" s="1">
        <f t="shared" ca="1" si="108"/>
        <v>0</v>
      </c>
      <c r="Y363" s="1">
        <f t="shared" ca="1" si="108"/>
        <v>0</v>
      </c>
      <c r="Z363" s="1">
        <f t="shared" ca="1" si="108"/>
        <v>0</v>
      </c>
      <c r="AA363" s="1">
        <f t="shared" ca="1" si="108"/>
        <v>0</v>
      </c>
      <c r="AB363" s="1">
        <f t="shared" ca="1" si="104"/>
        <v>0</v>
      </c>
      <c r="AC363" s="1">
        <f t="shared" ca="1" si="108"/>
        <v>90.667199999999994</v>
      </c>
      <c r="AD363" s="1">
        <f t="shared" ca="1" si="108"/>
        <v>117.86735999999999</v>
      </c>
      <c r="AE363" s="1">
        <f t="shared" ca="1" si="108"/>
        <v>90.667199999999994</v>
      </c>
      <c r="AF363" s="1">
        <f t="shared" ca="1" si="108"/>
        <v>90.667199999999994</v>
      </c>
      <c r="AG363" s="1">
        <f t="shared" ca="1" si="108"/>
        <v>90.667199999999994</v>
      </c>
      <c r="AH363" s="1">
        <f t="shared" ca="1" si="108"/>
        <v>90.667199999999994</v>
      </c>
      <c r="AI363" s="1">
        <f t="shared" ca="1" si="100"/>
        <v>90.667199999999994</v>
      </c>
    </row>
    <row r="364" spans="2:35" x14ac:dyDescent="0.15">
      <c r="B364" s="1" t="str">
        <f t="shared" si="97"/>
        <v>土系65</v>
      </c>
      <c r="C364" s="1">
        <f t="shared" si="105"/>
        <v>65</v>
      </c>
      <c r="D364" s="14" t="s">
        <v>93</v>
      </c>
      <c r="E364" s="14">
        <f t="shared" si="106"/>
        <v>4</v>
      </c>
      <c r="F364" s="1" t="str">
        <f t="shared" si="93"/>
        <v>地脉</v>
      </c>
      <c r="H364" s="1">
        <f t="shared" ca="1" si="94"/>
        <v>3360.3919955484139</v>
      </c>
      <c r="I364" s="1">
        <f t="shared" ca="1" si="107"/>
        <v>100</v>
      </c>
      <c r="J364" s="1">
        <f t="shared" ca="1" si="107"/>
        <v>811.03156146179208</v>
      </c>
      <c r="K364" s="1">
        <f t="shared" ca="1" si="107"/>
        <v>92.083875000000006</v>
      </c>
      <c r="L364" s="1">
        <f t="shared" ca="1" si="107"/>
        <v>1013.78945182724</v>
      </c>
      <c r="M364" s="1">
        <f t="shared" ca="1" si="107"/>
        <v>138.12581249999999</v>
      </c>
      <c r="N364" s="1">
        <f t="shared" ca="1" si="107"/>
        <v>0.2</v>
      </c>
      <c r="O364" s="1">
        <f t="shared" ca="1" si="107"/>
        <v>0.2</v>
      </c>
      <c r="P364" s="1">
        <f t="shared" ca="1" si="107"/>
        <v>0.36</v>
      </c>
      <c r="Q364" s="1">
        <f t="shared" ca="1" si="107"/>
        <v>0.1</v>
      </c>
      <c r="R364" s="1">
        <f t="shared" ca="1" si="107"/>
        <v>2.2999999999999998</v>
      </c>
      <c r="S364" s="1">
        <f t="shared" ca="1" si="108"/>
        <v>0.1</v>
      </c>
      <c r="T364" s="1">
        <f t="shared" ca="1" si="108"/>
        <v>0.9</v>
      </c>
      <c r="U364" s="1">
        <f t="shared" ca="1" si="108"/>
        <v>125.666666666667</v>
      </c>
      <c r="V364" s="1">
        <f t="shared" ca="1" si="108"/>
        <v>0</v>
      </c>
      <c r="W364" s="1">
        <f t="shared" ca="1" si="108"/>
        <v>488.12084717608002</v>
      </c>
      <c r="X364" s="1">
        <f t="shared" ca="1" si="108"/>
        <v>0</v>
      </c>
      <c r="Y364" s="1">
        <f t="shared" ca="1" si="108"/>
        <v>0</v>
      </c>
      <c r="Z364" s="1">
        <f t="shared" ca="1" si="108"/>
        <v>0</v>
      </c>
      <c r="AA364" s="1">
        <f t="shared" ca="1" si="108"/>
        <v>0</v>
      </c>
      <c r="AB364" s="1">
        <f t="shared" ca="1" si="104"/>
        <v>0</v>
      </c>
      <c r="AC364" s="1">
        <f t="shared" ca="1" si="108"/>
        <v>92.083875000000006</v>
      </c>
      <c r="AD364" s="1">
        <f t="shared" ca="1" si="108"/>
        <v>119.70903750000001</v>
      </c>
      <c r="AE364" s="1">
        <f t="shared" ca="1" si="108"/>
        <v>92.083875000000006</v>
      </c>
      <c r="AF364" s="1">
        <f t="shared" ca="1" si="108"/>
        <v>92.083875000000006</v>
      </c>
      <c r="AG364" s="1">
        <f t="shared" ca="1" si="108"/>
        <v>92.083875000000006</v>
      </c>
      <c r="AH364" s="1">
        <f t="shared" ca="1" si="108"/>
        <v>92.083875000000006</v>
      </c>
      <c r="AI364" s="1">
        <f t="shared" ca="1" si="100"/>
        <v>92.083875000000006</v>
      </c>
    </row>
    <row r="365" spans="2:35" x14ac:dyDescent="0.15">
      <c r="B365" s="1" t="str">
        <f t="shared" si="97"/>
        <v>土系66</v>
      </c>
      <c r="C365" s="1">
        <f t="shared" si="105"/>
        <v>66</v>
      </c>
      <c r="D365" s="14" t="s">
        <v>93</v>
      </c>
      <c r="E365" s="14">
        <f t="shared" si="106"/>
        <v>4</v>
      </c>
      <c r="F365" s="1" t="str">
        <f t="shared" si="93"/>
        <v>地脉</v>
      </c>
      <c r="H365" s="1">
        <f t="shared" ca="1" si="94"/>
        <v>3428.0346812963285</v>
      </c>
      <c r="I365" s="1">
        <f t="shared" ca="1" si="107"/>
        <v>100</v>
      </c>
      <c r="J365" s="1">
        <f t="shared" ca="1" si="107"/>
        <v>830.89008403361606</v>
      </c>
      <c r="K365" s="1">
        <f t="shared" ca="1" si="107"/>
        <v>93.500550000000004</v>
      </c>
      <c r="L365" s="1">
        <f t="shared" ca="1" si="107"/>
        <v>1038.61260504202</v>
      </c>
      <c r="M365" s="1">
        <f t="shared" ca="1" si="107"/>
        <v>140.25082500000002</v>
      </c>
      <c r="N365" s="1">
        <f t="shared" ca="1" si="107"/>
        <v>0.2</v>
      </c>
      <c r="O365" s="1">
        <f t="shared" ca="1" si="107"/>
        <v>0.2</v>
      </c>
      <c r="P365" s="1">
        <f t="shared" ca="1" si="107"/>
        <v>0.36</v>
      </c>
      <c r="Q365" s="1">
        <f t="shared" ca="1" si="107"/>
        <v>0.1</v>
      </c>
      <c r="R365" s="1">
        <f t="shared" ca="1" si="107"/>
        <v>2.2999999999999998</v>
      </c>
      <c r="S365" s="1">
        <f t="shared" ca="1" si="108"/>
        <v>0.1</v>
      </c>
      <c r="T365" s="1">
        <f t="shared" ca="1" si="108"/>
        <v>0.9</v>
      </c>
      <c r="U365" s="1">
        <f t="shared" ca="1" si="108"/>
        <v>127.6</v>
      </c>
      <c r="V365" s="1">
        <f t="shared" ca="1" si="108"/>
        <v>0</v>
      </c>
      <c r="W365" s="1">
        <f t="shared" ca="1" si="108"/>
        <v>511.55546218487399</v>
      </c>
      <c r="X365" s="1">
        <f t="shared" ca="1" si="108"/>
        <v>0</v>
      </c>
      <c r="Y365" s="1">
        <f t="shared" ca="1" si="108"/>
        <v>0</v>
      </c>
      <c r="Z365" s="1">
        <f t="shared" ca="1" si="108"/>
        <v>0</v>
      </c>
      <c r="AA365" s="1">
        <f t="shared" ca="1" si="108"/>
        <v>0</v>
      </c>
      <c r="AB365" s="1">
        <f t="shared" ca="1" si="104"/>
        <v>0</v>
      </c>
      <c r="AC365" s="1">
        <f t="shared" ca="1" si="108"/>
        <v>93.500550000000004</v>
      </c>
      <c r="AD365" s="1">
        <f t="shared" ca="1" si="108"/>
        <v>121.55071500000001</v>
      </c>
      <c r="AE365" s="1">
        <f t="shared" ca="1" si="108"/>
        <v>93.500550000000004</v>
      </c>
      <c r="AF365" s="1">
        <f t="shared" ca="1" si="108"/>
        <v>93.500550000000004</v>
      </c>
      <c r="AG365" s="1">
        <f t="shared" ca="1" si="108"/>
        <v>93.500550000000004</v>
      </c>
      <c r="AH365" s="1">
        <f t="shared" ca="1" si="108"/>
        <v>93.500550000000004</v>
      </c>
      <c r="AI365" s="1">
        <f t="shared" ca="1" si="100"/>
        <v>93.500550000000004</v>
      </c>
    </row>
    <row r="366" spans="2:35" x14ac:dyDescent="0.15">
      <c r="B366" s="1" t="str">
        <f t="shared" si="97"/>
        <v>土系67</v>
      </c>
      <c r="C366" s="1">
        <f t="shared" si="105"/>
        <v>67</v>
      </c>
      <c r="D366" s="14" t="s">
        <v>93</v>
      </c>
      <c r="E366" s="14">
        <f t="shared" si="106"/>
        <v>4</v>
      </c>
      <c r="F366" s="1" t="str">
        <f t="shared" si="93"/>
        <v>地脉</v>
      </c>
      <c r="H366" s="1">
        <f t="shared" ca="1" si="94"/>
        <v>3680.3487966403691</v>
      </c>
      <c r="I366" s="1">
        <f t="shared" ca="1" si="107"/>
        <v>100</v>
      </c>
      <c r="J366" s="1">
        <f t="shared" ca="1" si="107"/>
        <v>851.09142857143206</v>
      </c>
      <c r="K366" s="1">
        <f t="shared" ca="1" si="107"/>
        <v>94.917225000000002</v>
      </c>
      <c r="L366" s="1">
        <f t="shared" ca="1" si="107"/>
        <v>1063.86428571429</v>
      </c>
      <c r="M366" s="1">
        <f t="shared" ca="1" si="107"/>
        <v>142.37583749999999</v>
      </c>
      <c r="N366" s="1">
        <f t="shared" ca="1" si="107"/>
        <v>0.2</v>
      </c>
      <c r="O366" s="1">
        <f t="shared" ca="1" si="107"/>
        <v>0.2</v>
      </c>
      <c r="P366" s="1">
        <f t="shared" ca="1" si="107"/>
        <v>0.36</v>
      </c>
      <c r="Q366" s="1">
        <f t="shared" ca="1" si="107"/>
        <v>0.1</v>
      </c>
      <c r="R366" s="1">
        <f t="shared" ca="1" si="107"/>
        <v>2.2999999999999998</v>
      </c>
      <c r="S366" s="1">
        <f t="shared" ca="1" si="108"/>
        <v>0.1</v>
      </c>
      <c r="T366" s="1">
        <f t="shared" ca="1" si="108"/>
        <v>0.9</v>
      </c>
      <c r="U366" s="1">
        <f t="shared" ca="1" si="108"/>
        <v>129.53333333333299</v>
      </c>
      <c r="V366" s="1">
        <f t="shared" ca="1" si="108"/>
        <v>0</v>
      </c>
      <c r="W366" s="1">
        <f t="shared" ca="1" si="108"/>
        <v>535.93163265306202</v>
      </c>
      <c r="X366" s="1">
        <f t="shared" ca="1" si="108"/>
        <v>0</v>
      </c>
      <c r="Y366" s="1">
        <f t="shared" ca="1" si="108"/>
        <v>0</v>
      </c>
      <c r="Z366" s="1">
        <f t="shared" ca="1" si="108"/>
        <v>0</v>
      </c>
      <c r="AA366" s="1">
        <f t="shared" ca="1" si="108"/>
        <v>0</v>
      </c>
      <c r="AB366" s="1">
        <f t="shared" ca="1" si="104"/>
        <v>0</v>
      </c>
      <c r="AC366" s="1">
        <f t="shared" ca="1" si="108"/>
        <v>94.917225000000002</v>
      </c>
      <c r="AD366" s="1">
        <f t="shared" ca="1" si="108"/>
        <v>123.3923925</v>
      </c>
      <c r="AE366" s="1">
        <f t="shared" ca="1" si="108"/>
        <v>94.917225000000002</v>
      </c>
      <c r="AF366" s="1">
        <f t="shared" ca="1" si="108"/>
        <v>94.917225000000002</v>
      </c>
      <c r="AG366" s="1">
        <f t="shared" ca="1" si="108"/>
        <v>94.917225000000002</v>
      </c>
      <c r="AH366" s="1">
        <f t="shared" ca="1" si="108"/>
        <v>94.917225000000002</v>
      </c>
      <c r="AI366" s="1">
        <f t="shared" ca="1" si="100"/>
        <v>94.917225000000002</v>
      </c>
    </row>
    <row r="367" spans="2:35" x14ac:dyDescent="0.15">
      <c r="B367" s="1" t="str">
        <f t="shared" si="97"/>
        <v>土系68</v>
      </c>
      <c r="C367" s="1">
        <f t="shared" si="105"/>
        <v>68</v>
      </c>
      <c r="D367" s="14" t="s">
        <v>93</v>
      </c>
      <c r="E367" s="14">
        <f t="shared" si="106"/>
        <v>4</v>
      </c>
      <c r="F367" s="1" t="str">
        <f t="shared" si="93"/>
        <v>地脉</v>
      </c>
      <c r="H367" s="1">
        <f t="shared" ca="1" si="94"/>
        <v>3752.5723357673646</v>
      </c>
      <c r="I367" s="1">
        <f t="shared" ca="1" si="107"/>
        <v>100</v>
      </c>
      <c r="J367" s="1">
        <f t="shared" ca="1" si="107"/>
        <v>871.64530120481595</v>
      </c>
      <c r="K367" s="1">
        <f t="shared" ca="1" si="107"/>
        <v>96.3339</v>
      </c>
      <c r="L367" s="1">
        <f t="shared" ca="1" si="107"/>
        <v>1089.5566265060199</v>
      </c>
      <c r="M367" s="1">
        <f t="shared" ca="1" si="107"/>
        <v>144.50085000000001</v>
      </c>
      <c r="N367" s="1">
        <f t="shared" ca="1" si="107"/>
        <v>0.2</v>
      </c>
      <c r="O367" s="1">
        <f t="shared" ca="1" si="107"/>
        <v>0.2</v>
      </c>
      <c r="P367" s="1">
        <f t="shared" ca="1" si="107"/>
        <v>0.36</v>
      </c>
      <c r="Q367" s="1">
        <f t="shared" ca="1" si="107"/>
        <v>0.1</v>
      </c>
      <c r="R367" s="1">
        <f t="shared" ca="1" si="107"/>
        <v>2.2999999999999998</v>
      </c>
      <c r="S367" s="1">
        <f t="shared" ca="1" si="108"/>
        <v>0.1</v>
      </c>
      <c r="T367" s="1">
        <f t="shared" ca="1" si="108"/>
        <v>0.9</v>
      </c>
      <c r="U367" s="1">
        <f t="shared" ca="1" si="108"/>
        <v>131.46666666666701</v>
      </c>
      <c r="V367" s="1">
        <f t="shared" ca="1" si="108"/>
        <v>0</v>
      </c>
      <c r="W367" s="1">
        <f t="shared" ca="1" si="108"/>
        <v>561.28674698795203</v>
      </c>
      <c r="X367" s="1">
        <f t="shared" ca="1" si="108"/>
        <v>0</v>
      </c>
      <c r="Y367" s="1">
        <f t="shared" ca="1" si="108"/>
        <v>0</v>
      </c>
      <c r="Z367" s="1">
        <f t="shared" ca="1" si="108"/>
        <v>0</v>
      </c>
      <c r="AA367" s="1">
        <f t="shared" ca="1" si="108"/>
        <v>0</v>
      </c>
      <c r="AB367" s="1">
        <f t="shared" ca="1" si="104"/>
        <v>0</v>
      </c>
      <c r="AC367" s="1">
        <f t="shared" ca="1" si="108"/>
        <v>96.3339</v>
      </c>
      <c r="AD367" s="1">
        <f t="shared" ca="1" si="108"/>
        <v>125.23407</v>
      </c>
      <c r="AE367" s="1">
        <f t="shared" ca="1" si="108"/>
        <v>96.3339</v>
      </c>
      <c r="AF367" s="1">
        <f t="shared" ca="1" si="108"/>
        <v>96.3339</v>
      </c>
      <c r="AG367" s="1">
        <f t="shared" ca="1" si="108"/>
        <v>96.3339</v>
      </c>
      <c r="AH367" s="1">
        <f t="shared" ca="1" si="108"/>
        <v>96.3339</v>
      </c>
      <c r="AI367" s="1">
        <f t="shared" ca="1" si="100"/>
        <v>96.3339</v>
      </c>
    </row>
    <row r="368" spans="2:35" x14ac:dyDescent="0.15">
      <c r="B368" s="1" t="str">
        <f t="shared" si="97"/>
        <v>土系69</v>
      </c>
      <c r="C368" s="1">
        <f t="shared" si="105"/>
        <v>69</v>
      </c>
      <c r="D368" s="14" t="s">
        <v>93</v>
      </c>
      <c r="E368" s="14">
        <f t="shared" si="106"/>
        <v>4</v>
      </c>
      <c r="F368" s="1" t="str">
        <f t="shared" si="93"/>
        <v>地脉</v>
      </c>
      <c r="H368" s="1">
        <f t="shared" ca="1" si="94"/>
        <v>3825.3044913670824</v>
      </c>
      <c r="I368" s="1">
        <f t="shared" ca="1" si="107"/>
        <v>100</v>
      </c>
      <c r="J368" s="1">
        <f t="shared" ca="1" si="107"/>
        <v>892.56188153310404</v>
      </c>
      <c r="K368" s="1">
        <f t="shared" ca="1" si="107"/>
        <v>97.750574999999998</v>
      </c>
      <c r="L368" s="1">
        <f t="shared" ca="1" si="107"/>
        <v>1115.7023519163799</v>
      </c>
      <c r="M368" s="1">
        <f t="shared" ca="1" si="107"/>
        <v>146.62586249999998</v>
      </c>
      <c r="N368" s="1">
        <f t="shared" ca="1" si="107"/>
        <v>0.2</v>
      </c>
      <c r="O368" s="1">
        <f t="shared" ca="1" si="107"/>
        <v>0.2</v>
      </c>
      <c r="P368" s="1">
        <f t="shared" ca="1" si="107"/>
        <v>0.36</v>
      </c>
      <c r="Q368" s="1">
        <f t="shared" ca="1" si="107"/>
        <v>0.1</v>
      </c>
      <c r="R368" s="1">
        <f t="shared" ca="1" si="107"/>
        <v>2.2999999999999998</v>
      </c>
      <c r="S368" s="1">
        <f t="shared" ca="1" si="108"/>
        <v>0.1</v>
      </c>
      <c r="T368" s="1">
        <f t="shared" ca="1" si="108"/>
        <v>0.9</v>
      </c>
      <c r="U368" s="1">
        <f t="shared" ca="1" si="108"/>
        <v>133.4</v>
      </c>
      <c r="V368" s="1">
        <f t="shared" ca="1" si="108"/>
        <v>0</v>
      </c>
      <c r="W368" s="1">
        <f t="shared" ca="1" si="108"/>
        <v>587.66001742160302</v>
      </c>
      <c r="X368" s="1">
        <f t="shared" ca="1" si="108"/>
        <v>0</v>
      </c>
      <c r="Y368" s="1">
        <f t="shared" ca="1" si="108"/>
        <v>0</v>
      </c>
      <c r="Z368" s="1">
        <f t="shared" ca="1" si="108"/>
        <v>0</v>
      </c>
      <c r="AA368" s="1">
        <f t="shared" ca="1" si="108"/>
        <v>0</v>
      </c>
      <c r="AB368" s="1">
        <f t="shared" ca="1" si="104"/>
        <v>0</v>
      </c>
      <c r="AC368" s="1">
        <f t="shared" ca="1" si="108"/>
        <v>97.750574999999998</v>
      </c>
      <c r="AD368" s="1">
        <f t="shared" ca="1" si="108"/>
        <v>127.07574750000001</v>
      </c>
      <c r="AE368" s="1">
        <f t="shared" ca="1" si="108"/>
        <v>97.750574999999998</v>
      </c>
      <c r="AF368" s="1">
        <f t="shared" ca="1" si="108"/>
        <v>97.750574999999998</v>
      </c>
      <c r="AG368" s="1">
        <f t="shared" ca="1" si="108"/>
        <v>97.750574999999998</v>
      </c>
      <c r="AH368" s="1">
        <f t="shared" ca="1" si="108"/>
        <v>97.750574999999998</v>
      </c>
      <c r="AI368" s="1">
        <f t="shared" ca="1" si="100"/>
        <v>97.750574999999998</v>
      </c>
    </row>
    <row r="369" spans="2:35" x14ac:dyDescent="0.15">
      <c r="B369" s="1" t="str">
        <f t="shared" si="97"/>
        <v>土系70</v>
      </c>
      <c r="C369" s="1">
        <f t="shared" si="105"/>
        <v>70</v>
      </c>
      <c r="D369" s="14" t="s">
        <v>93</v>
      </c>
      <c r="E369" s="14">
        <f t="shared" si="106"/>
        <v>4</v>
      </c>
      <c r="F369" s="1" t="str">
        <f t="shared" si="93"/>
        <v>地脉</v>
      </c>
      <c r="H369" s="1">
        <f t="shared" ca="1" si="94"/>
        <v>3898.5452634395197</v>
      </c>
      <c r="I369" s="1">
        <f t="shared" ca="1" si="107"/>
        <v>100</v>
      </c>
      <c r="J369" s="1">
        <f t="shared" ca="1" si="107"/>
        <v>913.85185185185605</v>
      </c>
      <c r="K369" s="1">
        <f t="shared" ca="1" si="107"/>
        <v>99.167249999999996</v>
      </c>
      <c r="L369" s="1">
        <f t="shared" ca="1" si="107"/>
        <v>1142.31481481482</v>
      </c>
      <c r="M369" s="1">
        <f t="shared" ca="1" si="107"/>
        <v>148.75087500000001</v>
      </c>
      <c r="N369" s="1">
        <f t="shared" ca="1" si="107"/>
        <v>0.2</v>
      </c>
      <c r="O369" s="1">
        <f t="shared" ca="1" si="107"/>
        <v>0.2</v>
      </c>
      <c r="P369" s="1">
        <f t="shared" ca="1" si="107"/>
        <v>0.36</v>
      </c>
      <c r="Q369" s="1">
        <f t="shared" ca="1" si="107"/>
        <v>0.1</v>
      </c>
      <c r="R369" s="1">
        <f t="shared" ca="1" si="107"/>
        <v>2.2999999999999998</v>
      </c>
      <c r="S369" s="1">
        <f t="shared" ca="1" si="108"/>
        <v>0.1</v>
      </c>
      <c r="T369" s="1">
        <f t="shared" ca="1" si="108"/>
        <v>0.9</v>
      </c>
      <c r="U369" s="1">
        <f t="shared" ca="1" si="108"/>
        <v>135.333333333333</v>
      </c>
      <c r="V369" s="1">
        <f t="shared" ca="1" si="108"/>
        <v>0</v>
      </c>
      <c r="W369" s="1">
        <f t="shared" ca="1" si="108"/>
        <v>615.09259259259295</v>
      </c>
      <c r="X369" s="1">
        <f t="shared" ca="1" si="108"/>
        <v>0</v>
      </c>
      <c r="Y369" s="1">
        <f t="shared" ca="1" si="108"/>
        <v>0</v>
      </c>
      <c r="Z369" s="1">
        <f t="shared" ca="1" si="108"/>
        <v>0</v>
      </c>
      <c r="AA369" s="1">
        <f t="shared" ca="1" si="108"/>
        <v>0</v>
      </c>
      <c r="AB369" s="1">
        <f t="shared" ca="1" si="108"/>
        <v>0</v>
      </c>
      <c r="AC369" s="1">
        <f t="shared" ca="1" si="108"/>
        <v>99.167249999999996</v>
      </c>
      <c r="AD369" s="1">
        <f t="shared" ca="1" si="108"/>
        <v>128.91742500000001</v>
      </c>
      <c r="AE369" s="1">
        <f t="shared" ca="1" si="108"/>
        <v>99.167249999999996</v>
      </c>
      <c r="AF369" s="1">
        <f t="shared" ca="1" si="108"/>
        <v>99.167249999999996</v>
      </c>
      <c r="AG369" s="1">
        <f t="shared" ca="1" si="108"/>
        <v>99.167249999999996</v>
      </c>
      <c r="AH369" s="1">
        <f t="shared" ca="1" si="108"/>
        <v>99.167249999999996</v>
      </c>
      <c r="AI369" s="1">
        <f t="shared" ca="1" si="100"/>
        <v>99.167249999999996</v>
      </c>
    </row>
    <row r="370" spans="2:35" x14ac:dyDescent="0.15">
      <c r="B370" s="1" t="str">
        <f t="shared" si="97"/>
        <v>土系71</v>
      </c>
      <c r="C370" s="1">
        <f t="shared" si="105"/>
        <v>71</v>
      </c>
      <c r="D370" s="14" t="s">
        <v>93</v>
      </c>
      <c r="E370" s="14">
        <f t="shared" si="106"/>
        <v>4</v>
      </c>
      <c r="F370" s="1" t="str">
        <f t="shared" si="93"/>
        <v>地脉</v>
      </c>
      <c r="H370" s="1">
        <f t="shared" ca="1" si="94"/>
        <v>3972.2946519846919</v>
      </c>
      <c r="I370" s="1">
        <f t="shared" ca="1" si="107"/>
        <v>100</v>
      </c>
      <c r="J370" s="1">
        <f t="shared" ca="1" si="107"/>
        <v>935.52642857143201</v>
      </c>
      <c r="K370" s="1">
        <f t="shared" ca="1" si="107"/>
        <v>100.58392499999999</v>
      </c>
      <c r="L370" s="1">
        <f t="shared" ca="1" si="107"/>
        <v>1169.40803571429</v>
      </c>
      <c r="M370" s="1">
        <f t="shared" ca="1" si="107"/>
        <v>150.87588749999998</v>
      </c>
      <c r="N370" s="1">
        <f t="shared" ca="1" si="107"/>
        <v>0.2</v>
      </c>
      <c r="O370" s="1">
        <f t="shared" ca="1" si="107"/>
        <v>0.2</v>
      </c>
      <c r="P370" s="1">
        <f t="shared" ca="1" si="107"/>
        <v>0.36</v>
      </c>
      <c r="Q370" s="1">
        <f t="shared" ca="1" si="107"/>
        <v>0.1</v>
      </c>
      <c r="R370" s="1">
        <f t="shared" ca="1" si="107"/>
        <v>2.2999999999999998</v>
      </c>
      <c r="S370" s="1">
        <f t="shared" ca="1" si="108"/>
        <v>0.1</v>
      </c>
      <c r="T370" s="1">
        <f t="shared" ca="1" si="108"/>
        <v>0.9</v>
      </c>
      <c r="U370" s="1">
        <f t="shared" ca="1" si="108"/>
        <v>137.26666666666699</v>
      </c>
      <c r="V370" s="1">
        <f t="shared" ca="1" si="108"/>
        <v>0</v>
      </c>
      <c r="W370" s="1">
        <f t="shared" ca="1" si="108"/>
        <v>643.62767857142899</v>
      </c>
      <c r="X370" s="1">
        <f t="shared" ca="1" si="108"/>
        <v>0</v>
      </c>
      <c r="Y370" s="1">
        <f t="shared" ca="1" si="108"/>
        <v>0</v>
      </c>
      <c r="Z370" s="1">
        <f t="shared" ca="1" si="108"/>
        <v>0</v>
      </c>
      <c r="AA370" s="1">
        <f t="shared" ca="1" si="108"/>
        <v>0</v>
      </c>
      <c r="AB370" s="1">
        <f t="shared" ca="1" si="108"/>
        <v>0</v>
      </c>
      <c r="AC370" s="1">
        <f t="shared" ca="1" si="108"/>
        <v>100.58392499999999</v>
      </c>
      <c r="AD370" s="1">
        <f t="shared" ca="1" si="108"/>
        <v>130.75910249999998</v>
      </c>
      <c r="AE370" s="1">
        <f t="shared" ca="1" si="108"/>
        <v>100.58392499999999</v>
      </c>
      <c r="AF370" s="1">
        <f t="shared" ca="1" si="108"/>
        <v>100.58392499999999</v>
      </c>
      <c r="AG370" s="1">
        <f t="shared" ca="1" si="108"/>
        <v>100.58392499999999</v>
      </c>
      <c r="AH370" s="1">
        <f t="shared" ca="1" si="108"/>
        <v>100.58392499999999</v>
      </c>
      <c r="AI370" s="1">
        <f t="shared" ca="1" si="100"/>
        <v>100.58392499999999</v>
      </c>
    </row>
    <row r="371" spans="2:35" x14ac:dyDescent="0.15">
      <c r="B371" s="1" t="str">
        <f t="shared" si="97"/>
        <v>土系72</v>
      </c>
      <c r="C371" s="1">
        <f t="shared" si="105"/>
        <v>72</v>
      </c>
      <c r="D371" s="14" t="s">
        <v>93</v>
      </c>
      <c r="E371" s="14">
        <f t="shared" si="106"/>
        <v>4</v>
      </c>
      <c r="F371" s="1" t="str">
        <f t="shared" si="93"/>
        <v>地脉</v>
      </c>
      <c r="H371" s="1">
        <f t="shared" ca="1" si="94"/>
        <v>4046.552657002585</v>
      </c>
      <c r="I371" s="1">
        <f t="shared" ca="1" si="107"/>
        <v>100</v>
      </c>
      <c r="J371" s="1">
        <f t="shared" ca="1" si="107"/>
        <v>957.59739602170396</v>
      </c>
      <c r="K371" s="1">
        <f t="shared" ca="1" si="107"/>
        <v>102.00060000000001</v>
      </c>
      <c r="L371" s="1">
        <f t="shared" ca="1" si="107"/>
        <v>1196.9967450271299</v>
      </c>
      <c r="M371" s="1">
        <f t="shared" ca="1" si="107"/>
        <v>153.0009</v>
      </c>
      <c r="N371" s="1">
        <f t="shared" ca="1" si="107"/>
        <v>0.2</v>
      </c>
      <c r="O371" s="1">
        <f t="shared" ca="1" si="107"/>
        <v>0.2</v>
      </c>
      <c r="P371" s="1">
        <f t="shared" ca="1" si="107"/>
        <v>0.36</v>
      </c>
      <c r="Q371" s="1">
        <f t="shared" ca="1" si="107"/>
        <v>0.1</v>
      </c>
      <c r="R371" s="1">
        <f t="shared" ca="1" si="107"/>
        <v>2.2999999999999998</v>
      </c>
      <c r="S371" s="1">
        <f t="shared" ca="1" si="108"/>
        <v>0.1</v>
      </c>
      <c r="T371" s="1">
        <f t="shared" ca="1" si="108"/>
        <v>0.9</v>
      </c>
      <c r="U371" s="1">
        <f t="shared" ca="1" si="108"/>
        <v>139.19999999999999</v>
      </c>
      <c r="V371" s="1">
        <f t="shared" ca="1" si="108"/>
        <v>0</v>
      </c>
      <c r="W371" s="1">
        <f t="shared" ca="1" si="108"/>
        <v>673.31066907775801</v>
      </c>
      <c r="X371" s="1">
        <f t="shared" ca="1" si="108"/>
        <v>0</v>
      </c>
      <c r="Y371" s="1">
        <f t="shared" ca="1" si="108"/>
        <v>0</v>
      </c>
      <c r="Z371" s="1">
        <f t="shared" ca="1" si="108"/>
        <v>0</v>
      </c>
      <c r="AA371" s="1">
        <f t="shared" ca="1" si="108"/>
        <v>0</v>
      </c>
      <c r="AB371" s="1">
        <f t="shared" ca="1" si="108"/>
        <v>0</v>
      </c>
      <c r="AC371" s="1">
        <f t="shared" ca="1" si="108"/>
        <v>102.00060000000001</v>
      </c>
      <c r="AD371" s="1">
        <f t="shared" ca="1" si="108"/>
        <v>132.60078000000001</v>
      </c>
      <c r="AE371" s="1">
        <f t="shared" ca="1" si="108"/>
        <v>102.00060000000001</v>
      </c>
      <c r="AF371" s="1">
        <f t="shared" ca="1" si="108"/>
        <v>102.00060000000001</v>
      </c>
      <c r="AG371" s="1">
        <f t="shared" ca="1" si="108"/>
        <v>102.00060000000001</v>
      </c>
      <c r="AH371" s="1">
        <f t="shared" ca="1" si="108"/>
        <v>102.00060000000001</v>
      </c>
      <c r="AI371" s="1">
        <f t="shared" ca="1" si="100"/>
        <v>102.00060000000001</v>
      </c>
    </row>
    <row r="372" spans="2:35" x14ac:dyDescent="0.15">
      <c r="B372" s="1" t="str">
        <f t="shared" si="97"/>
        <v>土系73</v>
      </c>
      <c r="C372" s="1">
        <f t="shared" si="105"/>
        <v>73</v>
      </c>
      <c r="D372" s="14" t="s">
        <v>93</v>
      </c>
      <c r="E372" s="14">
        <f t="shared" si="106"/>
        <v>4</v>
      </c>
      <c r="F372" s="1" t="str">
        <f t="shared" si="93"/>
        <v>地脉</v>
      </c>
      <c r="H372" s="1">
        <f t="shared" ca="1" si="94"/>
        <v>4121.3192784932116</v>
      </c>
      <c r="I372" s="1">
        <f t="shared" ca="1" si="107"/>
        <v>100</v>
      </c>
      <c r="J372" s="1">
        <f t="shared" ca="1" si="107"/>
        <v>980.07714285714394</v>
      </c>
      <c r="K372" s="1">
        <f t="shared" ca="1" si="107"/>
        <v>103.417275</v>
      </c>
      <c r="L372" s="1">
        <f t="shared" ca="1" si="107"/>
        <v>1225.0964285714299</v>
      </c>
      <c r="M372" s="1">
        <f t="shared" ca="1" si="107"/>
        <v>155.1259125</v>
      </c>
      <c r="N372" s="1">
        <f t="shared" ca="1" si="107"/>
        <v>0.2</v>
      </c>
      <c r="O372" s="1">
        <f t="shared" ca="1" si="107"/>
        <v>0.2</v>
      </c>
      <c r="P372" s="1">
        <f t="shared" ca="1" si="107"/>
        <v>0.36</v>
      </c>
      <c r="Q372" s="1">
        <f t="shared" ca="1" si="107"/>
        <v>0.1</v>
      </c>
      <c r="R372" s="1">
        <f t="shared" ca="1" si="107"/>
        <v>2.2999999999999998</v>
      </c>
      <c r="S372" s="1">
        <f t="shared" ca="1" si="108"/>
        <v>0.1</v>
      </c>
      <c r="T372" s="1">
        <f t="shared" ca="1" si="108"/>
        <v>0.9</v>
      </c>
      <c r="U372" s="1">
        <f t="shared" ca="1" si="108"/>
        <v>141.13333333333301</v>
      </c>
      <c r="V372" s="1">
        <f t="shared" ca="1" si="108"/>
        <v>0</v>
      </c>
      <c r="W372" s="1">
        <f t="shared" ca="1" si="108"/>
        <v>704.18928571428603</v>
      </c>
      <c r="X372" s="1">
        <f t="shared" ca="1" si="108"/>
        <v>0</v>
      </c>
      <c r="Y372" s="1">
        <f t="shared" ca="1" si="108"/>
        <v>0</v>
      </c>
      <c r="Z372" s="1">
        <f t="shared" ca="1" si="108"/>
        <v>0</v>
      </c>
      <c r="AA372" s="1">
        <f t="shared" ca="1" si="108"/>
        <v>0</v>
      </c>
      <c r="AB372" s="1">
        <f t="shared" ca="1" si="108"/>
        <v>0</v>
      </c>
      <c r="AC372" s="1">
        <f t="shared" ca="1" si="108"/>
        <v>103.417275</v>
      </c>
      <c r="AD372" s="1">
        <f t="shared" ca="1" si="108"/>
        <v>134.44245750000002</v>
      </c>
      <c r="AE372" s="1">
        <f t="shared" ca="1" si="108"/>
        <v>103.417275</v>
      </c>
      <c r="AF372" s="1">
        <f t="shared" ca="1" si="108"/>
        <v>103.417275</v>
      </c>
      <c r="AG372" s="1">
        <f t="shared" ca="1" si="108"/>
        <v>103.417275</v>
      </c>
      <c r="AH372" s="1">
        <f t="shared" ca="1" si="108"/>
        <v>103.417275</v>
      </c>
      <c r="AI372" s="1">
        <f t="shared" ca="1" si="100"/>
        <v>103.417275</v>
      </c>
    </row>
    <row r="373" spans="2:35" x14ac:dyDescent="0.15">
      <c r="B373" s="1" t="str">
        <f t="shared" si="97"/>
        <v>土系74</v>
      </c>
      <c r="C373" s="1">
        <f t="shared" si="105"/>
        <v>74</v>
      </c>
      <c r="D373" s="14" t="s">
        <v>93</v>
      </c>
      <c r="E373" s="14">
        <f t="shared" si="106"/>
        <v>4</v>
      </c>
      <c r="F373" s="1" t="str">
        <f t="shared" si="93"/>
        <v>地脉</v>
      </c>
      <c r="H373" s="1">
        <f t="shared" ca="1" si="94"/>
        <v>4196.5945164565601</v>
      </c>
      <c r="I373" s="1">
        <f t="shared" ref="I373:R382" ca="1" si="109">mVlookup($C373,monsterBaseDate,I$2,FALSE)*(1+mVlookup($E373,monsterType,I$2,FALSE))</f>
        <v>100</v>
      </c>
      <c r="J373" s="1">
        <f t="shared" ca="1" si="109"/>
        <v>1002.9787012987041</v>
      </c>
      <c r="K373" s="1">
        <f t="shared" ca="1" si="109"/>
        <v>104.83395</v>
      </c>
      <c r="L373" s="1">
        <f t="shared" ca="1" si="109"/>
        <v>1253.7233766233801</v>
      </c>
      <c r="M373" s="1">
        <f t="shared" ca="1" si="109"/>
        <v>157.250925</v>
      </c>
      <c r="N373" s="1">
        <f t="shared" ca="1" si="109"/>
        <v>0.2</v>
      </c>
      <c r="O373" s="1">
        <f t="shared" ca="1" si="109"/>
        <v>0.2</v>
      </c>
      <c r="P373" s="1">
        <f t="shared" ca="1" si="109"/>
        <v>0.36</v>
      </c>
      <c r="Q373" s="1">
        <f t="shared" ca="1" si="109"/>
        <v>0.1</v>
      </c>
      <c r="R373" s="1">
        <f t="shared" ca="1" si="109"/>
        <v>2.2999999999999998</v>
      </c>
      <c r="S373" s="1">
        <f t="shared" ref="S373:AH388" ca="1" si="110">mVlookup($C373,monsterBaseDate,S$2,FALSE)*(1+mVlookup($E373,monsterType,S$2,FALSE))</f>
        <v>0.1</v>
      </c>
      <c r="T373" s="1">
        <f t="shared" ca="1" si="110"/>
        <v>0.9</v>
      </c>
      <c r="U373" s="1">
        <f t="shared" ca="1" si="110"/>
        <v>143.066666666667</v>
      </c>
      <c r="V373" s="1">
        <f t="shared" ca="1" si="110"/>
        <v>0</v>
      </c>
      <c r="W373" s="1">
        <f t="shared" ca="1" si="110"/>
        <v>736.31372912801601</v>
      </c>
      <c r="X373" s="1">
        <f t="shared" ca="1" si="110"/>
        <v>0</v>
      </c>
      <c r="Y373" s="1">
        <f t="shared" ca="1" si="110"/>
        <v>0</v>
      </c>
      <c r="Z373" s="1">
        <f t="shared" ca="1" si="110"/>
        <v>0</v>
      </c>
      <c r="AA373" s="1">
        <f t="shared" ca="1" si="110"/>
        <v>0</v>
      </c>
      <c r="AB373" s="1">
        <f t="shared" ca="1" si="108"/>
        <v>0</v>
      </c>
      <c r="AC373" s="1">
        <f t="shared" ca="1" si="110"/>
        <v>104.83395</v>
      </c>
      <c r="AD373" s="1">
        <f t="shared" ca="1" si="110"/>
        <v>136.28413500000002</v>
      </c>
      <c r="AE373" s="1">
        <f t="shared" ca="1" si="110"/>
        <v>104.83395</v>
      </c>
      <c r="AF373" s="1">
        <f t="shared" ca="1" si="110"/>
        <v>104.83395</v>
      </c>
      <c r="AG373" s="1">
        <f t="shared" ca="1" si="110"/>
        <v>104.83395</v>
      </c>
      <c r="AH373" s="1">
        <f t="shared" ca="1" si="110"/>
        <v>104.83395</v>
      </c>
      <c r="AI373" s="1">
        <f t="shared" ca="1" si="100"/>
        <v>104.83395</v>
      </c>
    </row>
    <row r="374" spans="2:35" x14ac:dyDescent="0.15">
      <c r="B374" s="1" t="str">
        <f t="shared" si="97"/>
        <v>土系75</v>
      </c>
      <c r="C374" s="1">
        <f t="shared" si="105"/>
        <v>75</v>
      </c>
      <c r="D374" s="14" t="s">
        <v>93</v>
      </c>
      <c r="E374" s="14">
        <f t="shared" si="106"/>
        <v>4</v>
      </c>
      <c r="F374" s="1" t="str">
        <f t="shared" si="93"/>
        <v>地脉</v>
      </c>
      <c r="H374" s="1">
        <f t="shared" ca="1" si="94"/>
        <v>4272.3783708926285</v>
      </c>
      <c r="I374" s="1">
        <f t="shared" ca="1" si="109"/>
        <v>100</v>
      </c>
      <c r="J374" s="1">
        <f t="shared" ca="1" si="109"/>
        <v>1026.315789473688</v>
      </c>
      <c r="K374" s="1">
        <f t="shared" ca="1" si="109"/>
        <v>106.250625</v>
      </c>
      <c r="L374" s="1">
        <f t="shared" ca="1" si="109"/>
        <v>1282.89473684211</v>
      </c>
      <c r="M374" s="1">
        <f t="shared" ca="1" si="109"/>
        <v>159.37593749999999</v>
      </c>
      <c r="N374" s="1">
        <f t="shared" ca="1" si="109"/>
        <v>0.2</v>
      </c>
      <c r="O374" s="1">
        <f t="shared" ca="1" si="109"/>
        <v>0.2</v>
      </c>
      <c r="P374" s="1">
        <f t="shared" ca="1" si="109"/>
        <v>0.36</v>
      </c>
      <c r="Q374" s="1">
        <f t="shared" ca="1" si="109"/>
        <v>0.1</v>
      </c>
      <c r="R374" s="1">
        <f t="shared" ca="1" si="109"/>
        <v>2.2999999999999998</v>
      </c>
      <c r="S374" s="1">
        <f t="shared" ca="1" si="110"/>
        <v>0.1</v>
      </c>
      <c r="T374" s="1">
        <f t="shared" ca="1" si="110"/>
        <v>0.9</v>
      </c>
      <c r="U374" s="1">
        <f t="shared" ca="1" si="110"/>
        <v>145</v>
      </c>
      <c r="V374" s="1">
        <f t="shared" ca="1" si="110"/>
        <v>0</v>
      </c>
      <c r="W374" s="1">
        <f t="shared" ca="1" si="110"/>
        <v>769.73684210526403</v>
      </c>
      <c r="X374" s="1">
        <f t="shared" ca="1" si="110"/>
        <v>0</v>
      </c>
      <c r="Y374" s="1">
        <f t="shared" ca="1" si="110"/>
        <v>0</v>
      </c>
      <c r="Z374" s="1">
        <f t="shared" ca="1" si="110"/>
        <v>0</v>
      </c>
      <c r="AA374" s="1">
        <f t="shared" ca="1" si="110"/>
        <v>0</v>
      </c>
      <c r="AB374" s="1">
        <f t="shared" ca="1" si="108"/>
        <v>0</v>
      </c>
      <c r="AC374" s="1">
        <f t="shared" ca="1" si="110"/>
        <v>106.250625</v>
      </c>
      <c r="AD374" s="1">
        <f t="shared" ca="1" si="110"/>
        <v>138.12581249999999</v>
      </c>
      <c r="AE374" s="1">
        <f t="shared" ca="1" si="110"/>
        <v>106.250625</v>
      </c>
      <c r="AF374" s="1">
        <f t="shared" ca="1" si="110"/>
        <v>106.250625</v>
      </c>
      <c r="AG374" s="1">
        <f t="shared" ca="1" si="110"/>
        <v>106.250625</v>
      </c>
      <c r="AH374" s="1">
        <f t="shared" ca="1" si="110"/>
        <v>106.250625</v>
      </c>
      <c r="AI374" s="1">
        <f t="shared" ca="1" si="100"/>
        <v>106.250625</v>
      </c>
    </row>
    <row r="375" spans="2:35" x14ac:dyDescent="0.15">
      <c r="B375" s="1" t="str">
        <f t="shared" si="97"/>
        <v>土系76</v>
      </c>
      <c r="C375" s="1">
        <f t="shared" si="105"/>
        <v>76</v>
      </c>
      <c r="D375" s="14" t="s">
        <v>93</v>
      </c>
      <c r="E375" s="14">
        <f t="shared" si="106"/>
        <v>4</v>
      </c>
      <c r="F375" s="1" t="str">
        <f t="shared" si="93"/>
        <v>地脉</v>
      </c>
      <c r="H375" s="1">
        <f t="shared" ca="1" si="94"/>
        <v>4348.6708418014323</v>
      </c>
      <c r="I375" s="1">
        <f t="shared" ca="1" si="109"/>
        <v>100</v>
      </c>
      <c r="J375" s="1">
        <f t="shared" ca="1" si="109"/>
        <v>1050.102857142856</v>
      </c>
      <c r="K375" s="1">
        <f t="shared" ca="1" si="109"/>
        <v>107.6673</v>
      </c>
      <c r="L375" s="1">
        <f t="shared" ca="1" si="109"/>
        <v>1312.62857142857</v>
      </c>
      <c r="M375" s="1">
        <f t="shared" ca="1" si="109"/>
        <v>161.50094999999999</v>
      </c>
      <c r="N375" s="1">
        <f t="shared" ca="1" si="109"/>
        <v>0.2</v>
      </c>
      <c r="O375" s="1">
        <f t="shared" ca="1" si="109"/>
        <v>0.2</v>
      </c>
      <c r="P375" s="1">
        <f t="shared" ca="1" si="109"/>
        <v>0.36</v>
      </c>
      <c r="Q375" s="1">
        <f t="shared" ca="1" si="109"/>
        <v>0.1</v>
      </c>
      <c r="R375" s="1">
        <f t="shared" ca="1" si="109"/>
        <v>2.2999999999999998</v>
      </c>
      <c r="S375" s="1">
        <f t="shared" ca="1" si="110"/>
        <v>0.1</v>
      </c>
      <c r="T375" s="1">
        <f t="shared" ca="1" si="110"/>
        <v>0.9</v>
      </c>
      <c r="U375" s="1">
        <f t="shared" ca="1" si="110"/>
        <v>146.933333333333</v>
      </c>
      <c r="V375" s="1">
        <f t="shared" ca="1" si="110"/>
        <v>0</v>
      </c>
      <c r="W375" s="1">
        <f t="shared" ca="1" si="110"/>
        <v>804.51428571428596</v>
      </c>
      <c r="X375" s="1">
        <f t="shared" ca="1" si="110"/>
        <v>0</v>
      </c>
      <c r="Y375" s="1">
        <f t="shared" ca="1" si="110"/>
        <v>0</v>
      </c>
      <c r="Z375" s="1">
        <f t="shared" ca="1" si="110"/>
        <v>0</v>
      </c>
      <c r="AA375" s="1">
        <f t="shared" ca="1" si="110"/>
        <v>0</v>
      </c>
      <c r="AB375" s="1">
        <f t="shared" ca="1" si="108"/>
        <v>0</v>
      </c>
      <c r="AC375" s="1">
        <f t="shared" ca="1" si="110"/>
        <v>107.6673</v>
      </c>
      <c r="AD375" s="1">
        <f t="shared" ca="1" si="110"/>
        <v>139.96749</v>
      </c>
      <c r="AE375" s="1">
        <f t="shared" ca="1" si="110"/>
        <v>107.6673</v>
      </c>
      <c r="AF375" s="1">
        <f t="shared" ca="1" si="110"/>
        <v>107.6673</v>
      </c>
      <c r="AG375" s="1">
        <f t="shared" ca="1" si="110"/>
        <v>107.6673</v>
      </c>
      <c r="AH375" s="1">
        <f t="shared" ca="1" si="110"/>
        <v>107.6673</v>
      </c>
      <c r="AI375" s="1">
        <f t="shared" ca="1" si="100"/>
        <v>107.6673</v>
      </c>
    </row>
    <row r="376" spans="2:35" x14ac:dyDescent="0.15">
      <c r="B376" s="1" t="str">
        <f t="shared" si="97"/>
        <v>土系77</v>
      </c>
      <c r="C376" s="1">
        <f t="shared" si="105"/>
        <v>77</v>
      </c>
      <c r="D376" s="14" t="s">
        <v>93</v>
      </c>
      <c r="E376" s="14">
        <f t="shared" si="106"/>
        <v>4</v>
      </c>
      <c r="F376" s="1" t="str">
        <f t="shared" si="93"/>
        <v>地脉</v>
      </c>
      <c r="H376" s="1">
        <f t="shared" ca="1" si="94"/>
        <v>4425.471929182956</v>
      </c>
      <c r="I376" s="1">
        <f t="shared" ca="1" si="109"/>
        <v>100</v>
      </c>
      <c r="J376" s="1">
        <f t="shared" ca="1" si="109"/>
        <v>1074.3551351351359</v>
      </c>
      <c r="K376" s="1">
        <f t="shared" ca="1" si="109"/>
        <v>109.083975</v>
      </c>
      <c r="L376" s="1">
        <f t="shared" ca="1" si="109"/>
        <v>1342.94391891892</v>
      </c>
      <c r="M376" s="1">
        <f t="shared" ca="1" si="109"/>
        <v>163.62596249999999</v>
      </c>
      <c r="N376" s="1">
        <f t="shared" ca="1" si="109"/>
        <v>0.2</v>
      </c>
      <c r="O376" s="1">
        <f t="shared" ca="1" si="109"/>
        <v>0.2</v>
      </c>
      <c r="P376" s="1">
        <f t="shared" ca="1" si="109"/>
        <v>0.36</v>
      </c>
      <c r="Q376" s="1">
        <f t="shared" ca="1" si="109"/>
        <v>0.1</v>
      </c>
      <c r="R376" s="1">
        <f t="shared" ca="1" si="109"/>
        <v>2.2999999999999998</v>
      </c>
      <c r="S376" s="1">
        <f t="shared" ca="1" si="110"/>
        <v>0.1</v>
      </c>
      <c r="T376" s="1">
        <f t="shared" ca="1" si="110"/>
        <v>0.9</v>
      </c>
      <c r="U376" s="1">
        <f t="shared" ca="1" si="110"/>
        <v>148.86666666666699</v>
      </c>
      <c r="V376" s="1">
        <f t="shared" ca="1" si="110"/>
        <v>0</v>
      </c>
      <c r="W376" s="1">
        <f t="shared" ca="1" si="110"/>
        <v>840.70472972973096</v>
      </c>
      <c r="X376" s="1">
        <f t="shared" ca="1" si="110"/>
        <v>0</v>
      </c>
      <c r="Y376" s="1">
        <f t="shared" ca="1" si="110"/>
        <v>0</v>
      </c>
      <c r="Z376" s="1">
        <f t="shared" ca="1" si="110"/>
        <v>0</v>
      </c>
      <c r="AA376" s="1">
        <f t="shared" ca="1" si="110"/>
        <v>0</v>
      </c>
      <c r="AB376" s="1">
        <f t="shared" ca="1" si="108"/>
        <v>0</v>
      </c>
      <c r="AC376" s="1">
        <f t="shared" ca="1" si="110"/>
        <v>109.083975</v>
      </c>
      <c r="AD376" s="1">
        <f t="shared" ca="1" si="110"/>
        <v>141.8091675</v>
      </c>
      <c r="AE376" s="1">
        <f t="shared" ca="1" si="110"/>
        <v>109.083975</v>
      </c>
      <c r="AF376" s="1">
        <f t="shared" ca="1" si="110"/>
        <v>109.083975</v>
      </c>
      <c r="AG376" s="1">
        <f t="shared" ca="1" si="110"/>
        <v>109.083975</v>
      </c>
      <c r="AH376" s="1">
        <f t="shared" ca="1" si="110"/>
        <v>109.083975</v>
      </c>
      <c r="AI376" s="1">
        <f t="shared" ca="1" si="100"/>
        <v>109.083975</v>
      </c>
    </row>
    <row r="377" spans="2:35" x14ac:dyDescent="0.15">
      <c r="B377" s="1" t="str">
        <f t="shared" si="97"/>
        <v>土系78</v>
      </c>
      <c r="C377" s="1">
        <f t="shared" si="105"/>
        <v>78</v>
      </c>
      <c r="D377" s="14" t="s">
        <v>93</v>
      </c>
      <c r="E377" s="14">
        <f t="shared" si="106"/>
        <v>4</v>
      </c>
      <c r="F377" s="1" t="str">
        <f t="shared" si="93"/>
        <v>地脉</v>
      </c>
      <c r="H377" s="1">
        <f t="shared" ca="1" si="94"/>
        <v>4740.799976656569</v>
      </c>
      <c r="I377" s="1">
        <f t="shared" ca="1" si="109"/>
        <v>100</v>
      </c>
      <c r="J377" s="1">
        <f t="shared" ca="1" si="109"/>
        <v>1099.0886888454002</v>
      </c>
      <c r="K377" s="1">
        <f t="shared" ca="1" si="109"/>
        <v>110.50064999999999</v>
      </c>
      <c r="L377" s="1">
        <f t="shared" ca="1" si="109"/>
        <v>1373.8608610567501</v>
      </c>
      <c r="M377" s="1">
        <f t="shared" ca="1" si="109"/>
        <v>165.75097499999998</v>
      </c>
      <c r="N377" s="1">
        <f t="shared" ca="1" si="109"/>
        <v>0.2</v>
      </c>
      <c r="O377" s="1">
        <f t="shared" ca="1" si="109"/>
        <v>0.2</v>
      </c>
      <c r="P377" s="1">
        <f t="shared" ca="1" si="109"/>
        <v>0.36</v>
      </c>
      <c r="Q377" s="1">
        <f t="shared" ca="1" si="109"/>
        <v>0.1</v>
      </c>
      <c r="R377" s="1">
        <f t="shared" ca="1" si="109"/>
        <v>2.2999999999999998</v>
      </c>
      <c r="S377" s="1">
        <f t="shared" ca="1" si="110"/>
        <v>0.1</v>
      </c>
      <c r="T377" s="1">
        <f t="shared" ca="1" si="110"/>
        <v>0.9</v>
      </c>
      <c r="U377" s="1">
        <f t="shared" ca="1" si="110"/>
        <v>150.80000000000001</v>
      </c>
      <c r="V377" s="1">
        <f t="shared" ca="1" si="110"/>
        <v>0</v>
      </c>
      <c r="W377" s="1">
        <f t="shared" ca="1" si="110"/>
        <v>878.37005870841597</v>
      </c>
      <c r="X377" s="1">
        <f t="shared" ca="1" si="110"/>
        <v>0</v>
      </c>
      <c r="Y377" s="1">
        <f t="shared" ca="1" si="110"/>
        <v>0</v>
      </c>
      <c r="Z377" s="1">
        <f t="shared" ca="1" si="110"/>
        <v>0</v>
      </c>
      <c r="AA377" s="1">
        <f t="shared" ca="1" si="110"/>
        <v>0</v>
      </c>
      <c r="AB377" s="1">
        <f t="shared" ca="1" si="108"/>
        <v>0</v>
      </c>
      <c r="AC377" s="1">
        <f t="shared" ca="1" si="110"/>
        <v>110.50064999999999</v>
      </c>
      <c r="AD377" s="1">
        <f t="shared" ca="1" si="110"/>
        <v>143.650845</v>
      </c>
      <c r="AE377" s="1">
        <f t="shared" ca="1" si="110"/>
        <v>110.50064999999999</v>
      </c>
      <c r="AF377" s="1">
        <f t="shared" ca="1" si="110"/>
        <v>110.50064999999999</v>
      </c>
      <c r="AG377" s="1">
        <f t="shared" ca="1" si="110"/>
        <v>110.50064999999999</v>
      </c>
      <c r="AH377" s="1">
        <f t="shared" ca="1" si="110"/>
        <v>110.50064999999999</v>
      </c>
      <c r="AI377" s="1">
        <f t="shared" ca="1" si="100"/>
        <v>110.50064999999999</v>
      </c>
    </row>
    <row r="378" spans="2:35" x14ac:dyDescent="0.15">
      <c r="B378" s="1" t="str">
        <f t="shared" si="97"/>
        <v>土系79</v>
      </c>
      <c r="C378" s="1">
        <f t="shared" si="105"/>
        <v>79</v>
      </c>
      <c r="D378" s="14" t="s">
        <v>93</v>
      </c>
      <c r="E378" s="14">
        <f t="shared" si="106"/>
        <v>4</v>
      </c>
      <c r="F378" s="1" t="str">
        <f t="shared" si="93"/>
        <v>地脉</v>
      </c>
      <c r="H378" s="1">
        <f t="shared" ca="1" si="94"/>
        <v>4822.7317959752654</v>
      </c>
      <c r="I378" s="1">
        <f t="shared" ca="1" si="109"/>
        <v>100</v>
      </c>
      <c r="J378" s="1">
        <f t="shared" ca="1" si="109"/>
        <v>1124.3204761904801</v>
      </c>
      <c r="K378" s="1">
        <f t="shared" ca="1" si="109"/>
        <v>111.91732500000001</v>
      </c>
      <c r="L378" s="1">
        <f t="shared" ca="1" si="109"/>
        <v>1405.4005952381001</v>
      </c>
      <c r="M378" s="1">
        <f t="shared" ca="1" si="109"/>
        <v>167.87598750000001</v>
      </c>
      <c r="N378" s="1">
        <f t="shared" ca="1" si="109"/>
        <v>0.2</v>
      </c>
      <c r="O378" s="1">
        <f t="shared" ca="1" si="109"/>
        <v>0.2</v>
      </c>
      <c r="P378" s="1">
        <f t="shared" ca="1" si="109"/>
        <v>0.36</v>
      </c>
      <c r="Q378" s="1">
        <f t="shared" ca="1" si="109"/>
        <v>0.1</v>
      </c>
      <c r="R378" s="1">
        <f t="shared" ca="1" si="109"/>
        <v>2.2999999999999998</v>
      </c>
      <c r="S378" s="1">
        <f t="shared" ca="1" si="110"/>
        <v>0.1</v>
      </c>
      <c r="T378" s="1">
        <f t="shared" ca="1" si="110"/>
        <v>0.9</v>
      </c>
      <c r="U378" s="1">
        <f t="shared" ca="1" si="110"/>
        <v>152.73333333333301</v>
      </c>
      <c r="V378" s="1">
        <f t="shared" ca="1" si="110"/>
        <v>0</v>
      </c>
      <c r="W378" s="1">
        <f t="shared" ca="1" si="110"/>
        <v>917.57559523809596</v>
      </c>
      <c r="X378" s="1">
        <f t="shared" ca="1" si="110"/>
        <v>0</v>
      </c>
      <c r="Y378" s="1">
        <f t="shared" ca="1" si="110"/>
        <v>0</v>
      </c>
      <c r="Z378" s="1">
        <f t="shared" ca="1" si="110"/>
        <v>0</v>
      </c>
      <c r="AA378" s="1">
        <f t="shared" ca="1" si="110"/>
        <v>0</v>
      </c>
      <c r="AB378" s="1">
        <f t="shared" ca="1" si="108"/>
        <v>0</v>
      </c>
      <c r="AC378" s="1">
        <f t="shared" ca="1" si="110"/>
        <v>111.91732500000001</v>
      </c>
      <c r="AD378" s="1">
        <f t="shared" ca="1" si="110"/>
        <v>145.49252250000001</v>
      </c>
      <c r="AE378" s="1">
        <f t="shared" ca="1" si="110"/>
        <v>111.91732500000001</v>
      </c>
      <c r="AF378" s="1">
        <f t="shared" ca="1" si="110"/>
        <v>111.91732500000001</v>
      </c>
      <c r="AG378" s="1">
        <f t="shared" ca="1" si="110"/>
        <v>111.91732500000001</v>
      </c>
      <c r="AH378" s="1">
        <f t="shared" ca="1" si="110"/>
        <v>111.91732500000001</v>
      </c>
      <c r="AI378" s="1">
        <f t="shared" ca="1" si="100"/>
        <v>111.91732500000001</v>
      </c>
    </row>
    <row r="379" spans="2:35" x14ac:dyDescent="0.15">
      <c r="B379" s="1" t="str">
        <f t="shared" si="97"/>
        <v>土系80</v>
      </c>
      <c r="C379" s="1">
        <f t="shared" si="105"/>
        <v>80</v>
      </c>
      <c r="D379" s="14" t="s">
        <v>93</v>
      </c>
      <c r="E379" s="14">
        <f t="shared" si="106"/>
        <v>4</v>
      </c>
      <c r="F379" s="1" t="str">
        <f t="shared" si="93"/>
        <v>地脉</v>
      </c>
      <c r="H379" s="1">
        <f t="shared" ca="1" si="94"/>
        <v>4905.1991173810202</v>
      </c>
      <c r="I379" s="1">
        <f t="shared" ca="1" si="109"/>
        <v>100</v>
      </c>
      <c r="J379" s="1">
        <f t="shared" ca="1" si="109"/>
        <v>1150.068410462776</v>
      </c>
      <c r="K379" s="1">
        <f t="shared" ca="1" si="109"/>
        <v>113.334</v>
      </c>
      <c r="L379" s="1">
        <f t="shared" ca="1" si="109"/>
        <v>1437.5855130784701</v>
      </c>
      <c r="M379" s="1">
        <f t="shared" ca="1" si="109"/>
        <v>170.001</v>
      </c>
      <c r="N379" s="1">
        <f t="shared" ca="1" si="109"/>
        <v>0.2</v>
      </c>
      <c r="O379" s="1">
        <f t="shared" ca="1" si="109"/>
        <v>0.2</v>
      </c>
      <c r="P379" s="1">
        <f t="shared" ca="1" si="109"/>
        <v>0.36</v>
      </c>
      <c r="Q379" s="1">
        <f t="shared" ca="1" si="109"/>
        <v>0.1</v>
      </c>
      <c r="R379" s="1">
        <f t="shared" ca="1" si="109"/>
        <v>2.2999999999999998</v>
      </c>
      <c r="S379" s="1">
        <f t="shared" ca="1" si="110"/>
        <v>0.1</v>
      </c>
      <c r="T379" s="1">
        <f t="shared" ca="1" si="110"/>
        <v>0.9</v>
      </c>
      <c r="U379" s="1">
        <f t="shared" ca="1" si="110"/>
        <v>154.666666666667</v>
      </c>
      <c r="V379" s="1">
        <f t="shared" ca="1" si="110"/>
        <v>0</v>
      </c>
      <c r="W379" s="1">
        <f t="shared" ca="1" si="110"/>
        <v>958.39034205231496</v>
      </c>
      <c r="X379" s="1">
        <f t="shared" ca="1" si="110"/>
        <v>0</v>
      </c>
      <c r="Y379" s="1">
        <f t="shared" ca="1" si="110"/>
        <v>0</v>
      </c>
      <c r="Z379" s="1">
        <f t="shared" ca="1" si="110"/>
        <v>0</v>
      </c>
      <c r="AA379" s="1">
        <f t="shared" ca="1" si="110"/>
        <v>0</v>
      </c>
      <c r="AB379" s="1">
        <f t="shared" ca="1" si="110"/>
        <v>0</v>
      </c>
      <c r="AC379" s="1">
        <f t="shared" ca="1" si="110"/>
        <v>113.334</v>
      </c>
      <c r="AD379" s="1">
        <f t="shared" ca="1" si="110"/>
        <v>147.33420000000001</v>
      </c>
      <c r="AE379" s="1">
        <f t="shared" ca="1" si="110"/>
        <v>113.334</v>
      </c>
      <c r="AF379" s="1">
        <f t="shared" ca="1" si="110"/>
        <v>113.334</v>
      </c>
      <c r="AG379" s="1">
        <f t="shared" ca="1" si="110"/>
        <v>113.334</v>
      </c>
      <c r="AH379" s="1">
        <f t="shared" ca="1" si="110"/>
        <v>113.334</v>
      </c>
      <c r="AI379" s="1">
        <f t="shared" ca="1" si="100"/>
        <v>113.334</v>
      </c>
    </row>
    <row r="380" spans="2:35" x14ac:dyDescent="0.15">
      <c r="B380" s="1" t="str">
        <f t="shared" si="97"/>
        <v>土系81</v>
      </c>
      <c r="C380" s="1">
        <f t="shared" si="105"/>
        <v>81</v>
      </c>
      <c r="D380" s="14" t="s">
        <v>93</v>
      </c>
      <c r="E380" s="14">
        <f t="shared" si="106"/>
        <v>4</v>
      </c>
      <c r="F380" s="1" t="str">
        <f t="shared" si="93"/>
        <v>地脉</v>
      </c>
      <c r="H380" s="1">
        <f t="shared" ca="1" si="94"/>
        <v>4988.2019408738179</v>
      </c>
      <c r="I380" s="1">
        <f t="shared" ca="1" si="109"/>
        <v>100</v>
      </c>
      <c r="J380" s="1">
        <f t="shared" ca="1" si="109"/>
        <v>1176.3514285714321</v>
      </c>
      <c r="K380" s="1">
        <f t="shared" ca="1" si="109"/>
        <v>114.750675</v>
      </c>
      <c r="L380" s="1">
        <f t="shared" ca="1" si="109"/>
        <v>1470.43928571429</v>
      </c>
      <c r="M380" s="1">
        <f t="shared" ca="1" si="109"/>
        <v>172.1260125</v>
      </c>
      <c r="N380" s="1">
        <f t="shared" ca="1" si="109"/>
        <v>0.2</v>
      </c>
      <c r="O380" s="1">
        <f t="shared" ca="1" si="109"/>
        <v>0.2</v>
      </c>
      <c r="P380" s="1">
        <f t="shared" ca="1" si="109"/>
        <v>0.36</v>
      </c>
      <c r="Q380" s="1">
        <f t="shared" ca="1" si="109"/>
        <v>0.1</v>
      </c>
      <c r="R380" s="1">
        <f t="shared" ca="1" si="109"/>
        <v>2.2999999999999998</v>
      </c>
      <c r="S380" s="1">
        <f t="shared" ca="1" si="110"/>
        <v>0.1</v>
      </c>
      <c r="T380" s="1">
        <f t="shared" ca="1" si="110"/>
        <v>0.9</v>
      </c>
      <c r="U380" s="1">
        <f t="shared" ca="1" si="110"/>
        <v>156.6</v>
      </c>
      <c r="V380" s="1">
        <f t="shared" ca="1" si="110"/>
        <v>0</v>
      </c>
      <c r="W380" s="1">
        <f t="shared" ca="1" si="110"/>
        <v>1000.88724489796</v>
      </c>
      <c r="X380" s="1">
        <f t="shared" ca="1" si="110"/>
        <v>0</v>
      </c>
      <c r="Y380" s="1">
        <f t="shared" ca="1" si="110"/>
        <v>0</v>
      </c>
      <c r="Z380" s="1">
        <f t="shared" ca="1" si="110"/>
        <v>0</v>
      </c>
      <c r="AA380" s="1">
        <f t="shared" ca="1" si="110"/>
        <v>0</v>
      </c>
      <c r="AB380" s="1">
        <f t="shared" ca="1" si="110"/>
        <v>0</v>
      </c>
      <c r="AC380" s="1">
        <f t="shared" ca="1" si="110"/>
        <v>114.750675</v>
      </c>
      <c r="AD380" s="1">
        <f t="shared" ca="1" si="110"/>
        <v>149.17587750000001</v>
      </c>
      <c r="AE380" s="1">
        <f t="shared" ca="1" si="110"/>
        <v>114.750675</v>
      </c>
      <c r="AF380" s="1">
        <f t="shared" ca="1" si="110"/>
        <v>114.750675</v>
      </c>
      <c r="AG380" s="1">
        <f t="shared" ca="1" si="110"/>
        <v>114.750675</v>
      </c>
      <c r="AH380" s="1">
        <f t="shared" ca="1" si="110"/>
        <v>114.750675</v>
      </c>
      <c r="AI380" s="1">
        <f t="shared" ca="1" si="100"/>
        <v>114.750675</v>
      </c>
    </row>
    <row r="381" spans="2:35" x14ac:dyDescent="0.15">
      <c r="B381" s="1" t="str">
        <f t="shared" si="97"/>
        <v>土系82</v>
      </c>
      <c r="C381" s="1">
        <f t="shared" si="105"/>
        <v>82</v>
      </c>
      <c r="D381" s="14" t="s">
        <v>93</v>
      </c>
      <c r="E381" s="14">
        <f t="shared" si="106"/>
        <v>4</v>
      </c>
      <c r="F381" s="1" t="str">
        <f t="shared" si="93"/>
        <v>地脉</v>
      </c>
      <c r="H381" s="1">
        <f t="shared" ca="1" si="94"/>
        <v>5071.740266453673</v>
      </c>
      <c r="I381" s="1">
        <f t="shared" ca="1" si="109"/>
        <v>100</v>
      </c>
      <c r="J381" s="1">
        <f t="shared" ca="1" si="109"/>
        <v>1203.1895652173921</v>
      </c>
      <c r="K381" s="1">
        <f t="shared" ca="1" si="109"/>
        <v>116.16735</v>
      </c>
      <c r="L381" s="1">
        <f t="shared" ca="1" si="109"/>
        <v>1503.98695652174</v>
      </c>
      <c r="M381" s="1">
        <f t="shared" ca="1" si="109"/>
        <v>174.251025</v>
      </c>
      <c r="N381" s="1">
        <f t="shared" ca="1" si="109"/>
        <v>0.2</v>
      </c>
      <c r="O381" s="1">
        <f t="shared" ca="1" si="109"/>
        <v>0.2</v>
      </c>
      <c r="P381" s="1">
        <f t="shared" ca="1" si="109"/>
        <v>0.36</v>
      </c>
      <c r="Q381" s="1">
        <f t="shared" ca="1" si="109"/>
        <v>0.1</v>
      </c>
      <c r="R381" s="1">
        <f t="shared" ca="1" si="109"/>
        <v>2.2999999999999998</v>
      </c>
      <c r="S381" s="1">
        <f t="shared" ca="1" si="110"/>
        <v>0.1</v>
      </c>
      <c r="T381" s="1">
        <f t="shared" ca="1" si="110"/>
        <v>0.9</v>
      </c>
      <c r="U381" s="1">
        <f t="shared" ca="1" si="110"/>
        <v>158.53333333333299</v>
      </c>
      <c r="V381" s="1">
        <f t="shared" ca="1" si="110"/>
        <v>0</v>
      </c>
      <c r="W381" s="1">
        <f t="shared" ca="1" si="110"/>
        <v>1045.1434782608701</v>
      </c>
      <c r="X381" s="1">
        <f t="shared" ca="1" si="110"/>
        <v>0</v>
      </c>
      <c r="Y381" s="1">
        <f t="shared" ca="1" si="110"/>
        <v>0</v>
      </c>
      <c r="Z381" s="1">
        <f t="shared" ca="1" si="110"/>
        <v>0</v>
      </c>
      <c r="AA381" s="1">
        <f t="shared" ca="1" si="110"/>
        <v>0</v>
      </c>
      <c r="AB381" s="1">
        <f t="shared" ca="1" si="110"/>
        <v>0</v>
      </c>
      <c r="AC381" s="1">
        <f t="shared" ca="1" si="110"/>
        <v>116.16735</v>
      </c>
      <c r="AD381" s="1">
        <f t="shared" ca="1" si="110"/>
        <v>151.01755500000002</v>
      </c>
      <c r="AE381" s="1">
        <f t="shared" ca="1" si="110"/>
        <v>116.16735</v>
      </c>
      <c r="AF381" s="1">
        <f t="shared" ca="1" si="110"/>
        <v>116.16735</v>
      </c>
      <c r="AG381" s="1">
        <f t="shared" ca="1" si="110"/>
        <v>116.16735</v>
      </c>
      <c r="AH381" s="1">
        <f t="shared" ca="1" si="110"/>
        <v>116.16735</v>
      </c>
      <c r="AI381" s="1">
        <f t="shared" ca="1" si="100"/>
        <v>116.16735</v>
      </c>
    </row>
    <row r="382" spans="2:35" x14ac:dyDescent="0.15">
      <c r="B382" s="1" t="str">
        <f t="shared" si="97"/>
        <v>土系83</v>
      </c>
      <c r="C382" s="1">
        <f t="shared" si="105"/>
        <v>83</v>
      </c>
      <c r="D382" s="14" t="s">
        <v>93</v>
      </c>
      <c r="E382" s="14">
        <f t="shared" si="106"/>
        <v>4</v>
      </c>
      <c r="F382" s="1" t="str">
        <f t="shared" si="93"/>
        <v>地脉</v>
      </c>
      <c r="H382" s="1">
        <f t="shared" ca="1" si="94"/>
        <v>5155.8140941205711</v>
      </c>
      <c r="I382" s="1">
        <f t="shared" ca="1" si="109"/>
        <v>100</v>
      </c>
      <c r="J382" s="1">
        <f t="shared" ca="1" si="109"/>
        <v>1230.6040336134481</v>
      </c>
      <c r="K382" s="1">
        <f t="shared" ca="1" si="109"/>
        <v>117.584025</v>
      </c>
      <c r="L382" s="1">
        <f t="shared" ca="1" si="109"/>
        <v>1538.25504201681</v>
      </c>
      <c r="M382" s="1">
        <f t="shared" ca="1" si="109"/>
        <v>176.3760375</v>
      </c>
      <c r="N382" s="1">
        <f t="shared" ca="1" si="109"/>
        <v>0.2</v>
      </c>
      <c r="O382" s="1">
        <f t="shared" ca="1" si="109"/>
        <v>0.2</v>
      </c>
      <c r="P382" s="1">
        <f t="shared" ca="1" si="109"/>
        <v>0.36</v>
      </c>
      <c r="Q382" s="1">
        <f t="shared" ca="1" si="109"/>
        <v>0.1</v>
      </c>
      <c r="R382" s="1">
        <f t="shared" ca="1" si="109"/>
        <v>2.2999999999999998</v>
      </c>
      <c r="S382" s="1">
        <f t="shared" ca="1" si="110"/>
        <v>0.1</v>
      </c>
      <c r="T382" s="1">
        <f t="shared" ca="1" si="110"/>
        <v>0.9</v>
      </c>
      <c r="U382" s="1">
        <f t="shared" ca="1" si="110"/>
        <v>160.46666666666701</v>
      </c>
      <c r="V382" s="1">
        <f t="shared" ca="1" si="110"/>
        <v>0</v>
      </c>
      <c r="W382" s="1">
        <f t="shared" ca="1" si="110"/>
        <v>1091.2407563025199</v>
      </c>
      <c r="X382" s="1">
        <f t="shared" ca="1" si="110"/>
        <v>0</v>
      </c>
      <c r="Y382" s="1">
        <f t="shared" ca="1" si="110"/>
        <v>0</v>
      </c>
      <c r="Z382" s="1">
        <f t="shared" ca="1" si="110"/>
        <v>0</v>
      </c>
      <c r="AA382" s="1">
        <f t="shared" ca="1" si="110"/>
        <v>0</v>
      </c>
      <c r="AB382" s="1">
        <f t="shared" ca="1" si="110"/>
        <v>0</v>
      </c>
      <c r="AC382" s="1">
        <f t="shared" ca="1" si="110"/>
        <v>117.584025</v>
      </c>
      <c r="AD382" s="1">
        <f t="shared" ca="1" si="110"/>
        <v>152.85923249999999</v>
      </c>
      <c r="AE382" s="1">
        <f t="shared" ca="1" si="110"/>
        <v>117.584025</v>
      </c>
      <c r="AF382" s="1">
        <f t="shared" ca="1" si="110"/>
        <v>117.584025</v>
      </c>
      <c r="AG382" s="1">
        <f t="shared" ca="1" si="110"/>
        <v>117.584025</v>
      </c>
      <c r="AH382" s="1">
        <f t="shared" ca="1" si="110"/>
        <v>117.584025</v>
      </c>
      <c r="AI382" s="1">
        <f t="shared" ca="1" si="100"/>
        <v>117.584025</v>
      </c>
    </row>
    <row r="383" spans="2:35" x14ac:dyDescent="0.15">
      <c r="B383" s="1" t="str">
        <f t="shared" si="97"/>
        <v>土系84</v>
      </c>
      <c r="C383" s="1">
        <f t="shared" si="105"/>
        <v>84</v>
      </c>
      <c r="D383" s="14" t="s">
        <v>93</v>
      </c>
      <c r="E383" s="14">
        <f t="shared" si="106"/>
        <v>4</v>
      </c>
      <c r="F383" s="1" t="str">
        <f t="shared" si="93"/>
        <v>地脉</v>
      </c>
      <c r="H383" s="1">
        <f t="shared" ca="1" si="94"/>
        <v>5240.4234238745266</v>
      </c>
      <c r="I383" s="1">
        <f t="shared" ref="I383:R392" ca="1" si="111">mVlookup($C383,monsterBaseDate,I$2,FALSE)*(1+mVlookup($E383,monsterType,I$2,FALSE))</f>
        <v>100</v>
      </c>
      <c r="J383" s="1">
        <f t="shared" ca="1" si="111"/>
        <v>1258.6173134328401</v>
      </c>
      <c r="K383" s="1">
        <f t="shared" ca="1" si="111"/>
        <v>119.00069999999999</v>
      </c>
      <c r="L383" s="1">
        <f t="shared" ca="1" si="111"/>
        <v>1573.2716417910499</v>
      </c>
      <c r="M383" s="1">
        <f t="shared" ca="1" si="111"/>
        <v>178.50104999999999</v>
      </c>
      <c r="N383" s="1">
        <f t="shared" ca="1" si="111"/>
        <v>0.2</v>
      </c>
      <c r="O383" s="1">
        <f t="shared" ca="1" si="111"/>
        <v>0.2</v>
      </c>
      <c r="P383" s="1">
        <f t="shared" ca="1" si="111"/>
        <v>0.36</v>
      </c>
      <c r="Q383" s="1">
        <f t="shared" ca="1" si="111"/>
        <v>0.1</v>
      </c>
      <c r="R383" s="1">
        <f t="shared" ca="1" si="111"/>
        <v>2.2999999999999998</v>
      </c>
      <c r="S383" s="1">
        <f t="shared" ref="S383:AH398" ca="1" si="112">mVlookup($C383,monsterBaseDate,S$2,FALSE)*(1+mVlookup($E383,monsterType,S$2,FALSE))</f>
        <v>0.1</v>
      </c>
      <c r="T383" s="1">
        <f t="shared" ca="1" si="112"/>
        <v>0.9</v>
      </c>
      <c r="U383" s="1">
        <f t="shared" ca="1" si="112"/>
        <v>162.4</v>
      </c>
      <c r="V383" s="1">
        <f t="shared" ca="1" si="112"/>
        <v>0</v>
      </c>
      <c r="W383" s="1">
        <f t="shared" ca="1" si="112"/>
        <v>1139.26567164179</v>
      </c>
      <c r="X383" s="1">
        <f t="shared" ca="1" si="112"/>
        <v>0</v>
      </c>
      <c r="Y383" s="1">
        <f t="shared" ca="1" si="112"/>
        <v>0</v>
      </c>
      <c r="Z383" s="1">
        <f t="shared" ca="1" si="112"/>
        <v>0</v>
      </c>
      <c r="AA383" s="1">
        <f t="shared" ca="1" si="112"/>
        <v>0</v>
      </c>
      <c r="AB383" s="1">
        <f t="shared" ca="1" si="110"/>
        <v>0</v>
      </c>
      <c r="AC383" s="1">
        <f t="shared" ca="1" si="112"/>
        <v>119.00069999999999</v>
      </c>
      <c r="AD383" s="1">
        <f t="shared" ca="1" si="112"/>
        <v>154.70090999999999</v>
      </c>
      <c r="AE383" s="1">
        <f t="shared" ca="1" si="112"/>
        <v>119.00069999999999</v>
      </c>
      <c r="AF383" s="1">
        <f t="shared" ca="1" si="112"/>
        <v>119.00069999999999</v>
      </c>
      <c r="AG383" s="1">
        <f t="shared" ca="1" si="112"/>
        <v>119.00069999999999</v>
      </c>
      <c r="AH383" s="1">
        <f t="shared" ca="1" si="112"/>
        <v>119.00069999999999</v>
      </c>
      <c r="AI383" s="1">
        <f t="shared" ca="1" si="100"/>
        <v>119.00069999999999</v>
      </c>
    </row>
    <row r="384" spans="2:35" x14ac:dyDescent="0.15">
      <c r="B384" s="1" t="str">
        <f t="shared" si="97"/>
        <v>土系85</v>
      </c>
      <c r="C384" s="1">
        <f t="shared" si="105"/>
        <v>85</v>
      </c>
      <c r="D384" s="14" t="s">
        <v>93</v>
      </c>
      <c r="E384" s="14">
        <f t="shared" si="106"/>
        <v>4</v>
      </c>
      <c r="F384" s="1" t="str">
        <f t="shared" si="93"/>
        <v>地脉</v>
      </c>
      <c r="H384" s="1">
        <f t="shared" ca="1" si="94"/>
        <v>5325.5682557155242</v>
      </c>
      <c r="I384" s="1">
        <f t="shared" ca="1" si="111"/>
        <v>100</v>
      </c>
      <c r="J384" s="1">
        <f t="shared" ca="1" si="111"/>
        <v>1287.253246753248</v>
      </c>
      <c r="K384" s="1">
        <f t="shared" ca="1" si="111"/>
        <v>120.41737500000001</v>
      </c>
      <c r="L384" s="1">
        <f t="shared" ca="1" si="111"/>
        <v>1609.0665584415599</v>
      </c>
      <c r="M384" s="1">
        <f t="shared" ca="1" si="111"/>
        <v>180.62606250000002</v>
      </c>
      <c r="N384" s="1">
        <f t="shared" ca="1" si="111"/>
        <v>0.2</v>
      </c>
      <c r="O384" s="1">
        <f t="shared" ca="1" si="111"/>
        <v>0.2</v>
      </c>
      <c r="P384" s="1">
        <f t="shared" ca="1" si="111"/>
        <v>0.36</v>
      </c>
      <c r="Q384" s="1">
        <f t="shared" ca="1" si="111"/>
        <v>0.1</v>
      </c>
      <c r="R384" s="1">
        <f t="shared" ca="1" si="111"/>
        <v>2.2999999999999998</v>
      </c>
      <c r="S384" s="1">
        <f t="shared" ca="1" si="112"/>
        <v>0.1</v>
      </c>
      <c r="T384" s="1">
        <f t="shared" ca="1" si="112"/>
        <v>0.9</v>
      </c>
      <c r="U384" s="1">
        <f t="shared" ca="1" si="112"/>
        <v>164.333333333333</v>
      </c>
      <c r="V384" s="1">
        <f t="shared" ca="1" si="112"/>
        <v>0</v>
      </c>
      <c r="W384" s="1">
        <f t="shared" ca="1" si="112"/>
        <v>1189.3100649350699</v>
      </c>
      <c r="X384" s="1">
        <f t="shared" ca="1" si="112"/>
        <v>0</v>
      </c>
      <c r="Y384" s="1">
        <f t="shared" ca="1" si="112"/>
        <v>0</v>
      </c>
      <c r="Z384" s="1">
        <f t="shared" ca="1" si="112"/>
        <v>0</v>
      </c>
      <c r="AA384" s="1">
        <f t="shared" ca="1" si="112"/>
        <v>0</v>
      </c>
      <c r="AB384" s="1">
        <f t="shared" ca="1" si="110"/>
        <v>0</v>
      </c>
      <c r="AC384" s="1">
        <f t="shared" ca="1" si="112"/>
        <v>120.41737500000001</v>
      </c>
      <c r="AD384" s="1">
        <f t="shared" ca="1" si="112"/>
        <v>156.54258750000002</v>
      </c>
      <c r="AE384" s="1">
        <f t="shared" ca="1" si="112"/>
        <v>120.41737500000001</v>
      </c>
      <c r="AF384" s="1">
        <f t="shared" ca="1" si="112"/>
        <v>120.41737500000001</v>
      </c>
      <c r="AG384" s="1">
        <f t="shared" ca="1" si="112"/>
        <v>120.41737500000001</v>
      </c>
      <c r="AH384" s="1">
        <f t="shared" ca="1" si="112"/>
        <v>120.41737500000001</v>
      </c>
      <c r="AI384" s="1">
        <f t="shared" ca="1" si="100"/>
        <v>120.41737500000001</v>
      </c>
    </row>
    <row r="385" spans="2:35" x14ac:dyDescent="0.15">
      <c r="B385" s="1" t="str">
        <f t="shared" si="97"/>
        <v>土系86</v>
      </c>
      <c r="C385" s="1">
        <f t="shared" si="105"/>
        <v>86</v>
      </c>
      <c r="D385" s="14" t="s">
        <v>93</v>
      </c>
      <c r="E385" s="14">
        <f t="shared" si="106"/>
        <v>4</v>
      </c>
      <c r="F385" s="1" t="str">
        <f t="shared" si="93"/>
        <v>地脉</v>
      </c>
      <c r="H385" s="1">
        <f t="shared" ca="1" si="94"/>
        <v>5411.2485896435819</v>
      </c>
      <c r="I385" s="1">
        <f t="shared" ca="1" si="111"/>
        <v>100</v>
      </c>
      <c r="J385" s="1">
        <f t="shared" ca="1" si="111"/>
        <v>1316.5371428571441</v>
      </c>
      <c r="K385" s="1">
        <f t="shared" ca="1" si="111"/>
        <v>121.83405</v>
      </c>
      <c r="L385" s="1">
        <f t="shared" ca="1" si="111"/>
        <v>1645.6714285714299</v>
      </c>
      <c r="M385" s="1">
        <f t="shared" ca="1" si="111"/>
        <v>182.75107500000001</v>
      </c>
      <c r="N385" s="1">
        <f t="shared" ca="1" si="111"/>
        <v>0.2</v>
      </c>
      <c r="O385" s="1">
        <f t="shared" ca="1" si="111"/>
        <v>0.2</v>
      </c>
      <c r="P385" s="1">
        <f t="shared" ca="1" si="111"/>
        <v>0.36</v>
      </c>
      <c r="Q385" s="1">
        <f t="shared" ca="1" si="111"/>
        <v>0.1</v>
      </c>
      <c r="R385" s="1">
        <f t="shared" ca="1" si="111"/>
        <v>2.2999999999999998</v>
      </c>
      <c r="S385" s="1">
        <f t="shared" ca="1" si="112"/>
        <v>0.1</v>
      </c>
      <c r="T385" s="1">
        <f t="shared" ca="1" si="112"/>
        <v>0.9</v>
      </c>
      <c r="U385" s="1">
        <f t="shared" ca="1" si="112"/>
        <v>166.26666666666699</v>
      </c>
      <c r="V385" s="1">
        <f t="shared" ca="1" si="112"/>
        <v>0</v>
      </c>
      <c r="W385" s="1">
        <f t="shared" ca="1" si="112"/>
        <v>1241.4714285714299</v>
      </c>
      <c r="X385" s="1">
        <f t="shared" ca="1" si="112"/>
        <v>0</v>
      </c>
      <c r="Y385" s="1">
        <f t="shared" ca="1" si="112"/>
        <v>0</v>
      </c>
      <c r="Z385" s="1">
        <f t="shared" ca="1" si="112"/>
        <v>0</v>
      </c>
      <c r="AA385" s="1">
        <f t="shared" ca="1" si="112"/>
        <v>0</v>
      </c>
      <c r="AB385" s="1">
        <f t="shared" ca="1" si="110"/>
        <v>0</v>
      </c>
      <c r="AC385" s="1">
        <f t="shared" ca="1" si="112"/>
        <v>121.83405</v>
      </c>
      <c r="AD385" s="1">
        <f t="shared" ca="1" si="112"/>
        <v>158.384265</v>
      </c>
      <c r="AE385" s="1">
        <f t="shared" ca="1" si="112"/>
        <v>121.83405</v>
      </c>
      <c r="AF385" s="1">
        <f t="shared" ca="1" si="112"/>
        <v>121.83405</v>
      </c>
      <c r="AG385" s="1">
        <f t="shared" ca="1" si="112"/>
        <v>121.83405</v>
      </c>
      <c r="AH385" s="1">
        <f t="shared" ca="1" si="112"/>
        <v>121.83405</v>
      </c>
      <c r="AI385" s="1">
        <f t="shared" ca="1" si="100"/>
        <v>121.83405</v>
      </c>
    </row>
    <row r="386" spans="2:35" x14ac:dyDescent="0.15">
      <c r="B386" s="1" t="str">
        <f t="shared" si="97"/>
        <v>土系87</v>
      </c>
      <c r="C386" s="1">
        <f t="shared" si="105"/>
        <v>87</v>
      </c>
      <c r="D386" s="14" t="s">
        <v>93</v>
      </c>
      <c r="E386" s="14">
        <f t="shared" si="106"/>
        <v>4</v>
      </c>
      <c r="F386" s="1" t="str">
        <f t="shared" si="93"/>
        <v>地脉</v>
      </c>
      <c r="H386" s="1">
        <f t="shared" ca="1" si="94"/>
        <v>5497.4644256586798</v>
      </c>
      <c r="I386" s="1">
        <f t="shared" ca="1" si="111"/>
        <v>100</v>
      </c>
      <c r="J386" s="1">
        <f t="shared" ca="1" si="111"/>
        <v>1346.4958928571441</v>
      </c>
      <c r="K386" s="1">
        <f t="shared" ca="1" si="111"/>
        <v>123.250725</v>
      </c>
      <c r="L386" s="1">
        <f t="shared" ca="1" si="111"/>
        <v>1683.1198660714299</v>
      </c>
      <c r="M386" s="1">
        <f t="shared" ca="1" si="111"/>
        <v>184.87608750000001</v>
      </c>
      <c r="N386" s="1">
        <f t="shared" ca="1" si="111"/>
        <v>0.2</v>
      </c>
      <c r="O386" s="1">
        <f t="shared" ca="1" si="111"/>
        <v>0.2</v>
      </c>
      <c r="P386" s="1">
        <f t="shared" ca="1" si="111"/>
        <v>0.36</v>
      </c>
      <c r="Q386" s="1">
        <f t="shared" ca="1" si="111"/>
        <v>0.1</v>
      </c>
      <c r="R386" s="1">
        <f t="shared" ca="1" si="111"/>
        <v>2.2999999999999998</v>
      </c>
      <c r="S386" s="1">
        <f t="shared" ca="1" si="112"/>
        <v>0.1</v>
      </c>
      <c r="T386" s="1">
        <f t="shared" ca="1" si="112"/>
        <v>0.9</v>
      </c>
      <c r="U386" s="1">
        <f t="shared" ca="1" si="112"/>
        <v>168.2</v>
      </c>
      <c r="V386" s="1">
        <f t="shared" ca="1" si="112"/>
        <v>0</v>
      </c>
      <c r="W386" s="1">
        <f t="shared" ca="1" si="112"/>
        <v>1295.85334821429</v>
      </c>
      <c r="X386" s="1">
        <f t="shared" ca="1" si="112"/>
        <v>0</v>
      </c>
      <c r="Y386" s="1">
        <f t="shared" ca="1" si="112"/>
        <v>0</v>
      </c>
      <c r="Z386" s="1">
        <f t="shared" ca="1" si="112"/>
        <v>0</v>
      </c>
      <c r="AA386" s="1">
        <f t="shared" ca="1" si="112"/>
        <v>0</v>
      </c>
      <c r="AB386" s="1">
        <f t="shared" ca="1" si="110"/>
        <v>0</v>
      </c>
      <c r="AC386" s="1">
        <f t="shared" ca="1" si="112"/>
        <v>123.250725</v>
      </c>
      <c r="AD386" s="1">
        <f t="shared" ca="1" si="112"/>
        <v>160.2259425</v>
      </c>
      <c r="AE386" s="1">
        <f t="shared" ca="1" si="112"/>
        <v>123.250725</v>
      </c>
      <c r="AF386" s="1">
        <f t="shared" ca="1" si="112"/>
        <v>123.250725</v>
      </c>
      <c r="AG386" s="1">
        <f t="shared" ca="1" si="112"/>
        <v>123.250725</v>
      </c>
      <c r="AH386" s="1">
        <f t="shared" ca="1" si="112"/>
        <v>123.250725</v>
      </c>
      <c r="AI386" s="1">
        <f t="shared" ca="1" si="100"/>
        <v>123.250725</v>
      </c>
    </row>
    <row r="387" spans="2:35" x14ac:dyDescent="0.15">
      <c r="B387" s="1" t="str">
        <f t="shared" si="97"/>
        <v>土系88</v>
      </c>
      <c r="C387" s="1">
        <f t="shared" si="105"/>
        <v>88</v>
      </c>
      <c r="D387" s="14" t="s">
        <v>93</v>
      </c>
      <c r="E387" s="14">
        <f t="shared" si="106"/>
        <v>4</v>
      </c>
      <c r="F387" s="1" t="str">
        <f t="shared" ref="F387:F450" si="113">VLOOKUP(E387,monsterType,4,FALSE)</f>
        <v>地脉</v>
      </c>
      <c r="H387" s="1">
        <f t="shared" ref="H387:H450" ca="1" si="114">mVlookup(C387,monsterBaseDate,H$2,FALSE)*(1+mVlookup(E387,monsterType,H$2,FALSE))*(1+mVlookup(C387,monsterHpRevise,D387,FALSE))</f>
        <v>5584.215763760837</v>
      </c>
      <c r="I387" s="1">
        <f t="shared" ca="1" si="111"/>
        <v>100</v>
      </c>
      <c r="J387" s="1">
        <f t="shared" ca="1" si="111"/>
        <v>1377.1580952380962</v>
      </c>
      <c r="K387" s="1">
        <f t="shared" ca="1" si="111"/>
        <v>124.6674</v>
      </c>
      <c r="L387" s="1">
        <f t="shared" ca="1" si="111"/>
        <v>1721.44761904762</v>
      </c>
      <c r="M387" s="1">
        <f t="shared" ca="1" si="111"/>
        <v>187.00110000000001</v>
      </c>
      <c r="N387" s="1">
        <f t="shared" ca="1" si="111"/>
        <v>0.2</v>
      </c>
      <c r="O387" s="1">
        <f t="shared" ca="1" si="111"/>
        <v>0.2</v>
      </c>
      <c r="P387" s="1">
        <f t="shared" ca="1" si="111"/>
        <v>0.36</v>
      </c>
      <c r="Q387" s="1">
        <f t="shared" ca="1" si="111"/>
        <v>0.1</v>
      </c>
      <c r="R387" s="1">
        <f t="shared" ca="1" si="111"/>
        <v>2.2999999999999998</v>
      </c>
      <c r="S387" s="1">
        <f t="shared" ca="1" si="112"/>
        <v>0.1</v>
      </c>
      <c r="T387" s="1">
        <f t="shared" ca="1" si="112"/>
        <v>0.9</v>
      </c>
      <c r="U387" s="1">
        <f t="shared" ca="1" si="112"/>
        <v>170.13333333333301</v>
      </c>
      <c r="V387" s="1">
        <f t="shared" ca="1" si="112"/>
        <v>0</v>
      </c>
      <c r="W387" s="1">
        <f t="shared" ca="1" si="112"/>
        <v>1352.56598639456</v>
      </c>
      <c r="X387" s="1">
        <f t="shared" ca="1" si="112"/>
        <v>0</v>
      </c>
      <c r="Y387" s="1">
        <f t="shared" ca="1" si="112"/>
        <v>0</v>
      </c>
      <c r="Z387" s="1">
        <f t="shared" ca="1" si="112"/>
        <v>0</v>
      </c>
      <c r="AA387" s="1">
        <f t="shared" ca="1" si="112"/>
        <v>0</v>
      </c>
      <c r="AB387" s="1">
        <f t="shared" ca="1" si="110"/>
        <v>0</v>
      </c>
      <c r="AC387" s="1">
        <f t="shared" ca="1" si="112"/>
        <v>124.6674</v>
      </c>
      <c r="AD387" s="1">
        <f t="shared" ca="1" si="112"/>
        <v>162.06762000000001</v>
      </c>
      <c r="AE387" s="1">
        <f t="shared" ca="1" si="112"/>
        <v>124.6674</v>
      </c>
      <c r="AF387" s="1">
        <f t="shared" ca="1" si="112"/>
        <v>124.6674</v>
      </c>
      <c r="AG387" s="1">
        <f t="shared" ca="1" si="112"/>
        <v>124.6674</v>
      </c>
      <c r="AH387" s="1">
        <f t="shared" ca="1" si="112"/>
        <v>124.6674</v>
      </c>
      <c r="AI387" s="1">
        <f t="shared" ca="1" si="100"/>
        <v>124.6674</v>
      </c>
    </row>
    <row r="388" spans="2:35" x14ac:dyDescent="0.15">
      <c r="B388" s="1" t="str">
        <f t="shared" ref="B388:B451" si="115">D388&amp;C388</f>
        <v>土系89</v>
      </c>
      <c r="C388" s="1">
        <f t="shared" si="105"/>
        <v>89</v>
      </c>
      <c r="D388" s="14" t="s">
        <v>93</v>
      </c>
      <c r="E388" s="14">
        <f t="shared" si="106"/>
        <v>4</v>
      </c>
      <c r="F388" s="1" t="str">
        <f t="shared" si="113"/>
        <v>地脉</v>
      </c>
      <c r="H388" s="1">
        <f t="shared" ca="1" si="114"/>
        <v>5971.9664568623948</v>
      </c>
      <c r="I388" s="1">
        <f t="shared" ca="1" si="111"/>
        <v>100</v>
      </c>
      <c r="J388" s="1">
        <f t="shared" ca="1" si="111"/>
        <v>1408.554193548392</v>
      </c>
      <c r="K388" s="1">
        <f t="shared" ca="1" si="111"/>
        <v>126.084075</v>
      </c>
      <c r="L388" s="1">
        <f t="shared" ca="1" si="111"/>
        <v>1760.6927419354899</v>
      </c>
      <c r="M388" s="1">
        <f t="shared" ca="1" si="111"/>
        <v>189.1261125</v>
      </c>
      <c r="N388" s="1">
        <f t="shared" ca="1" si="111"/>
        <v>0.2</v>
      </c>
      <c r="O388" s="1">
        <f t="shared" ca="1" si="111"/>
        <v>0.2</v>
      </c>
      <c r="P388" s="1">
        <f t="shared" ca="1" si="111"/>
        <v>0.36</v>
      </c>
      <c r="Q388" s="1">
        <f t="shared" ca="1" si="111"/>
        <v>0.1</v>
      </c>
      <c r="R388" s="1">
        <f t="shared" ca="1" si="111"/>
        <v>2.2999999999999998</v>
      </c>
      <c r="S388" s="1">
        <f t="shared" ca="1" si="112"/>
        <v>0.1</v>
      </c>
      <c r="T388" s="1">
        <f t="shared" ca="1" si="112"/>
        <v>0.9</v>
      </c>
      <c r="U388" s="1">
        <f t="shared" ca="1" si="112"/>
        <v>172.066666666667</v>
      </c>
      <c r="V388" s="1">
        <f t="shared" ca="1" si="112"/>
        <v>0</v>
      </c>
      <c r="W388" s="1">
        <f t="shared" ca="1" si="112"/>
        <v>1411.72661290323</v>
      </c>
      <c r="X388" s="1">
        <f t="shared" ca="1" si="112"/>
        <v>0</v>
      </c>
      <c r="Y388" s="1">
        <f t="shared" ca="1" si="112"/>
        <v>0</v>
      </c>
      <c r="Z388" s="1">
        <f t="shared" ca="1" si="112"/>
        <v>0</v>
      </c>
      <c r="AA388" s="1">
        <f t="shared" ca="1" si="112"/>
        <v>0</v>
      </c>
      <c r="AB388" s="1">
        <f t="shared" ca="1" si="110"/>
        <v>0</v>
      </c>
      <c r="AC388" s="1">
        <f t="shared" ca="1" si="112"/>
        <v>126.084075</v>
      </c>
      <c r="AD388" s="1">
        <f t="shared" ca="1" si="112"/>
        <v>163.90929750000001</v>
      </c>
      <c r="AE388" s="1">
        <f t="shared" ca="1" si="112"/>
        <v>126.084075</v>
      </c>
      <c r="AF388" s="1">
        <f t="shared" ca="1" si="112"/>
        <v>126.084075</v>
      </c>
      <c r="AG388" s="1">
        <f t="shared" ca="1" si="112"/>
        <v>126.084075</v>
      </c>
      <c r="AH388" s="1">
        <f t="shared" ca="1" si="112"/>
        <v>126.084075</v>
      </c>
      <c r="AI388" s="1">
        <f t="shared" ca="1" si="100"/>
        <v>126.084075</v>
      </c>
    </row>
    <row r="389" spans="2:35" x14ac:dyDescent="0.15">
      <c r="B389" s="1" t="str">
        <f t="shared" si="115"/>
        <v>土系90</v>
      </c>
      <c r="C389" s="1">
        <f t="shared" si="105"/>
        <v>90</v>
      </c>
      <c r="D389" s="14" t="s">
        <v>93</v>
      </c>
      <c r="E389" s="14">
        <f t="shared" si="106"/>
        <v>4</v>
      </c>
      <c r="F389" s="1" t="str">
        <f t="shared" si="113"/>
        <v>地脉</v>
      </c>
      <c r="H389" s="1">
        <f t="shared" ca="1" si="114"/>
        <v>6064.4414355164872</v>
      </c>
      <c r="I389" s="1">
        <f t="shared" ca="1" si="111"/>
        <v>100</v>
      </c>
      <c r="J389" s="1">
        <f t="shared" ca="1" si="111"/>
        <v>1440.7166276346641</v>
      </c>
      <c r="K389" s="1">
        <f t="shared" ca="1" si="111"/>
        <v>127.50075</v>
      </c>
      <c r="L389" s="1">
        <f t="shared" ca="1" si="111"/>
        <v>1800.8957845433299</v>
      </c>
      <c r="M389" s="1">
        <f t="shared" ca="1" si="111"/>
        <v>191.251125</v>
      </c>
      <c r="N389" s="1">
        <f t="shared" ca="1" si="111"/>
        <v>0.2</v>
      </c>
      <c r="O389" s="1">
        <f t="shared" ca="1" si="111"/>
        <v>0.2</v>
      </c>
      <c r="P389" s="1">
        <f t="shared" ca="1" si="111"/>
        <v>0.36</v>
      </c>
      <c r="Q389" s="1">
        <f t="shared" ca="1" si="111"/>
        <v>0.1</v>
      </c>
      <c r="R389" s="1">
        <f t="shared" ca="1" si="111"/>
        <v>2.2999999999999998</v>
      </c>
      <c r="S389" s="1">
        <f t="shared" ca="1" si="112"/>
        <v>0.1</v>
      </c>
      <c r="T389" s="1">
        <f t="shared" ca="1" si="112"/>
        <v>0.9</v>
      </c>
      <c r="U389" s="1">
        <f t="shared" ca="1" si="112"/>
        <v>174</v>
      </c>
      <c r="V389" s="1">
        <f t="shared" ca="1" si="112"/>
        <v>0</v>
      </c>
      <c r="W389" s="1">
        <f t="shared" ca="1" si="112"/>
        <v>1473.4601873536301</v>
      </c>
      <c r="X389" s="1">
        <f t="shared" ca="1" si="112"/>
        <v>0</v>
      </c>
      <c r="Y389" s="1">
        <f t="shared" ca="1" si="112"/>
        <v>0</v>
      </c>
      <c r="Z389" s="1">
        <f t="shared" ca="1" si="112"/>
        <v>0</v>
      </c>
      <c r="AA389" s="1">
        <f t="shared" ca="1" si="112"/>
        <v>0</v>
      </c>
      <c r="AB389" s="1">
        <f t="shared" ca="1" si="112"/>
        <v>0</v>
      </c>
      <c r="AC389" s="1">
        <f t="shared" ca="1" si="112"/>
        <v>127.50075</v>
      </c>
      <c r="AD389" s="1">
        <f t="shared" ca="1" si="112"/>
        <v>165.75097500000001</v>
      </c>
      <c r="AE389" s="1">
        <f t="shared" ca="1" si="112"/>
        <v>127.50075</v>
      </c>
      <c r="AF389" s="1">
        <f t="shared" ca="1" si="112"/>
        <v>127.50075</v>
      </c>
      <c r="AG389" s="1">
        <f t="shared" ca="1" si="112"/>
        <v>127.50075</v>
      </c>
      <c r="AH389" s="1">
        <f t="shared" ca="1" si="112"/>
        <v>127.50075</v>
      </c>
      <c r="AI389" s="1">
        <f t="shared" ca="1" si="100"/>
        <v>127.50075</v>
      </c>
    </row>
    <row r="390" spans="2:35" x14ac:dyDescent="0.15">
      <c r="B390" s="1" t="str">
        <f t="shared" si="115"/>
        <v>土系91</v>
      </c>
      <c r="C390" s="1">
        <f t="shared" si="105"/>
        <v>91</v>
      </c>
      <c r="D390" s="14" t="s">
        <v>93</v>
      </c>
      <c r="E390" s="14">
        <f t="shared" si="106"/>
        <v>4</v>
      </c>
      <c r="F390" s="1" t="str">
        <f t="shared" si="113"/>
        <v>地脉</v>
      </c>
      <c r="H390" s="1">
        <f t="shared" ca="1" si="114"/>
        <v>6157.4802859916244</v>
      </c>
      <c r="I390" s="1">
        <f t="shared" ca="1" si="111"/>
        <v>100</v>
      </c>
      <c r="J390" s="1">
        <f t="shared" ca="1" si="111"/>
        <v>1473.68</v>
      </c>
      <c r="K390" s="1">
        <f t="shared" ca="1" si="111"/>
        <v>128.91742500000001</v>
      </c>
      <c r="L390" s="1">
        <f t="shared" ca="1" si="111"/>
        <v>1842.1</v>
      </c>
      <c r="M390" s="1">
        <f t="shared" ca="1" si="111"/>
        <v>193.37613750000003</v>
      </c>
      <c r="N390" s="1">
        <f t="shared" ca="1" si="111"/>
        <v>0.2</v>
      </c>
      <c r="O390" s="1">
        <f t="shared" ca="1" si="111"/>
        <v>0.2</v>
      </c>
      <c r="P390" s="1">
        <f t="shared" ca="1" si="111"/>
        <v>0.36</v>
      </c>
      <c r="Q390" s="1">
        <f t="shared" ca="1" si="111"/>
        <v>0.1</v>
      </c>
      <c r="R390" s="1">
        <f t="shared" ca="1" si="111"/>
        <v>2.2999999999999998</v>
      </c>
      <c r="S390" s="1">
        <f t="shared" ca="1" si="112"/>
        <v>0.1</v>
      </c>
      <c r="T390" s="1">
        <f t="shared" ca="1" si="112"/>
        <v>0.9</v>
      </c>
      <c r="U390" s="1">
        <f t="shared" ca="1" si="112"/>
        <v>175.933333333333</v>
      </c>
      <c r="V390" s="1">
        <f t="shared" ca="1" si="112"/>
        <v>0</v>
      </c>
      <c r="W390" s="1">
        <f t="shared" ca="1" si="112"/>
        <v>1537.9</v>
      </c>
      <c r="X390" s="1">
        <f t="shared" ca="1" si="112"/>
        <v>0</v>
      </c>
      <c r="Y390" s="1">
        <f t="shared" ca="1" si="112"/>
        <v>0</v>
      </c>
      <c r="Z390" s="1">
        <f t="shared" ca="1" si="112"/>
        <v>0</v>
      </c>
      <c r="AA390" s="1">
        <f t="shared" ca="1" si="112"/>
        <v>0</v>
      </c>
      <c r="AB390" s="1">
        <f t="shared" ca="1" si="112"/>
        <v>0</v>
      </c>
      <c r="AC390" s="1">
        <f t="shared" ca="1" si="112"/>
        <v>128.91742500000001</v>
      </c>
      <c r="AD390" s="1">
        <f t="shared" ca="1" si="112"/>
        <v>167.59265250000001</v>
      </c>
      <c r="AE390" s="1">
        <f t="shared" ca="1" si="112"/>
        <v>128.91742500000001</v>
      </c>
      <c r="AF390" s="1">
        <f t="shared" ca="1" si="112"/>
        <v>128.91742500000001</v>
      </c>
      <c r="AG390" s="1">
        <f t="shared" ca="1" si="112"/>
        <v>128.91742500000001</v>
      </c>
      <c r="AH390" s="1">
        <f t="shared" ca="1" si="112"/>
        <v>128.91742500000001</v>
      </c>
      <c r="AI390" s="1">
        <f t="shared" ca="1" si="100"/>
        <v>128.91742500000001</v>
      </c>
    </row>
    <row r="391" spans="2:35" x14ac:dyDescent="0.15">
      <c r="B391" s="1" t="str">
        <f t="shared" si="115"/>
        <v>土系92</v>
      </c>
      <c r="C391" s="1">
        <f t="shared" si="105"/>
        <v>92</v>
      </c>
      <c r="D391" s="14" t="s">
        <v>93</v>
      </c>
      <c r="E391" s="14">
        <f t="shared" si="106"/>
        <v>4</v>
      </c>
      <c r="F391" s="1" t="str">
        <f t="shared" si="113"/>
        <v>地脉</v>
      </c>
      <c r="H391" s="1">
        <f t="shared" ca="1" si="114"/>
        <v>6251.0830082878365</v>
      </c>
      <c r="I391" s="1">
        <f t="shared" ca="1" si="111"/>
        <v>100</v>
      </c>
      <c r="J391" s="1">
        <f t="shared" ca="1" si="111"/>
        <v>1507.481259079904</v>
      </c>
      <c r="K391" s="1">
        <f t="shared" ca="1" si="111"/>
        <v>130.33410000000001</v>
      </c>
      <c r="L391" s="1">
        <f t="shared" ca="1" si="111"/>
        <v>1884.35157384988</v>
      </c>
      <c r="M391" s="1">
        <f t="shared" ca="1" si="111"/>
        <v>195.50115</v>
      </c>
      <c r="N391" s="1">
        <f t="shared" ca="1" si="111"/>
        <v>0.2</v>
      </c>
      <c r="O391" s="1">
        <f t="shared" ca="1" si="111"/>
        <v>0.2</v>
      </c>
      <c r="P391" s="1">
        <f t="shared" ca="1" si="111"/>
        <v>0.36</v>
      </c>
      <c r="Q391" s="1">
        <f t="shared" ca="1" si="111"/>
        <v>0.1</v>
      </c>
      <c r="R391" s="1">
        <f t="shared" ca="1" si="111"/>
        <v>2.2999999999999998</v>
      </c>
      <c r="S391" s="1">
        <f t="shared" ca="1" si="112"/>
        <v>0.1</v>
      </c>
      <c r="T391" s="1">
        <f t="shared" ca="1" si="112"/>
        <v>0.9</v>
      </c>
      <c r="U391" s="1">
        <f t="shared" ca="1" si="112"/>
        <v>177.86666666666699</v>
      </c>
      <c r="V391" s="1">
        <f t="shared" ca="1" si="112"/>
        <v>0</v>
      </c>
      <c r="W391" s="1">
        <f t="shared" ca="1" si="112"/>
        <v>1605.18837772397</v>
      </c>
      <c r="X391" s="1">
        <f t="shared" ca="1" si="112"/>
        <v>0</v>
      </c>
      <c r="Y391" s="1">
        <f t="shared" ca="1" si="112"/>
        <v>0</v>
      </c>
      <c r="Z391" s="1">
        <f t="shared" ca="1" si="112"/>
        <v>0</v>
      </c>
      <c r="AA391" s="1">
        <f t="shared" ca="1" si="112"/>
        <v>0</v>
      </c>
      <c r="AB391" s="1">
        <f t="shared" ca="1" si="112"/>
        <v>0</v>
      </c>
      <c r="AC391" s="1">
        <f t="shared" ca="1" si="112"/>
        <v>130.33410000000001</v>
      </c>
      <c r="AD391" s="1">
        <f t="shared" ca="1" si="112"/>
        <v>169.43433000000002</v>
      </c>
      <c r="AE391" s="1">
        <f t="shared" ca="1" si="112"/>
        <v>130.33410000000001</v>
      </c>
      <c r="AF391" s="1">
        <f t="shared" ca="1" si="112"/>
        <v>130.33410000000001</v>
      </c>
      <c r="AG391" s="1">
        <f t="shared" ca="1" si="112"/>
        <v>130.33410000000001</v>
      </c>
      <c r="AH391" s="1">
        <f t="shared" ca="1" si="112"/>
        <v>130.33410000000001</v>
      </c>
      <c r="AI391" s="1">
        <f t="shared" ca="1" si="100"/>
        <v>130.33410000000001</v>
      </c>
    </row>
    <row r="392" spans="2:35" x14ac:dyDescent="0.15">
      <c r="B392" s="1" t="str">
        <f t="shared" si="115"/>
        <v>土系93</v>
      </c>
      <c r="C392" s="1">
        <f t="shared" si="105"/>
        <v>93</v>
      </c>
      <c r="D392" s="14" t="s">
        <v>93</v>
      </c>
      <c r="E392" s="14">
        <f t="shared" si="106"/>
        <v>4</v>
      </c>
      <c r="F392" s="1" t="str">
        <f t="shared" si="113"/>
        <v>地脉</v>
      </c>
      <c r="H392" s="1">
        <f t="shared" ca="1" si="114"/>
        <v>6345.2496024051079</v>
      </c>
      <c r="I392" s="1">
        <f t="shared" ca="1" si="111"/>
        <v>100</v>
      </c>
      <c r="J392" s="1">
        <f t="shared" ca="1" si="111"/>
        <v>1542.1599014778321</v>
      </c>
      <c r="K392" s="1">
        <f t="shared" ca="1" si="111"/>
        <v>131.750775</v>
      </c>
      <c r="L392" s="1">
        <f t="shared" ca="1" si="111"/>
        <v>1927.6998768472899</v>
      </c>
      <c r="M392" s="1">
        <f t="shared" ca="1" si="111"/>
        <v>197.62616250000002</v>
      </c>
      <c r="N392" s="1">
        <f t="shared" ca="1" si="111"/>
        <v>0.2</v>
      </c>
      <c r="O392" s="1">
        <f t="shared" ca="1" si="111"/>
        <v>0.2</v>
      </c>
      <c r="P392" s="1">
        <f t="shared" ca="1" si="111"/>
        <v>0.36</v>
      </c>
      <c r="Q392" s="1">
        <f t="shared" ca="1" si="111"/>
        <v>0.1</v>
      </c>
      <c r="R392" s="1">
        <f t="shared" ca="1" si="111"/>
        <v>2.2999999999999998</v>
      </c>
      <c r="S392" s="1">
        <f t="shared" ca="1" si="112"/>
        <v>0.1</v>
      </c>
      <c r="T392" s="1">
        <f t="shared" ca="1" si="112"/>
        <v>0.9</v>
      </c>
      <c r="U392" s="1">
        <f t="shared" ca="1" si="112"/>
        <v>179.8</v>
      </c>
      <c r="V392" s="1">
        <f t="shared" ca="1" si="112"/>
        <v>0</v>
      </c>
      <c r="W392" s="1">
        <f t="shared" ca="1" si="112"/>
        <v>1675.4774630541899</v>
      </c>
      <c r="X392" s="1">
        <f t="shared" ca="1" si="112"/>
        <v>0</v>
      </c>
      <c r="Y392" s="1">
        <f t="shared" ca="1" si="112"/>
        <v>0</v>
      </c>
      <c r="Z392" s="1">
        <f t="shared" ca="1" si="112"/>
        <v>0</v>
      </c>
      <c r="AA392" s="1">
        <f t="shared" ca="1" si="112"/>
        <v>0</v>
      </c>
      <c r="AB392" s="1">
        <f t="shared" ca="1" si="112"/>
        <v>0</v>
      </c>
      <c r="AC392" s="1">
        <f t="shared" ca="1" si="112"/>
        <v>131.750775</v>
      </c>
      <c r="AD392" s="1">
        <f t="shared" ca="1" si="112"/>
        <v>171.27600750000002</v>
      </c>
      <c r="AE392" s="1">
        <f t="shared" ca="1" si="112"/>
        <v>131.750775</v>
      </c>
      <c r="AF392" s="1">
        <f t="shared" ca="1" si="112"/>
        <v>131.750775</v>
      </c>
      <c r="AG392" s="1">
        <f t="shared" ca="1" si="112"/>
        <v>131.750775</v>
      </c>
      <c r="AH392" s="1">
        <f t="shared" ca="1" si="112"/>
        <v>131.750775</v>
      </c>
      <c r="AI392" s="1">
        <f t="shared" ca="1" si="100"/>
        <v>131.750775</v>
      </c>
    </row>
    <row r="393" spans="2:35" x14ac:dyDescent="0.15">
      <c r="B393" s="1" t="str">
        <f t="shared" si="115"/>
        <v>土系94</v>
      </c>
      <c r="C393" s="1">
        <f t="shared" si="105"/>
        <v>94</v>
      </c>
      <c r="D393" s="14" t="s">
        <v>93</v>
      </c>
      <c r="E393" s="14">
        <f t="shared" si="106"/>
        <v>4</v>
      </c>
      <c r="F393" s="1" t="str">
        <f t="shared" si="113"/>
        <v>地脉</v>
      </c>
      <c r="H393" s="1">
        <f t="shared" ca="1" si="114"/>
        <v>6439.9800683434405</v>
      </c>
      <c r="I393" s="1">
        <f t="shared" ref="I393:R402" ca="1" si="116">mVlookup($C393,monsterBaseDate,I$2,FALSE)*(1+mVlookup($E393,monsterType,I$2,FALSE))</f>
        <v>100</v>
      </c>
      <c r="J393" s="1">
        <f t="shared" ca="1" si="116"/>
        <v>1577.7581954887282</v>
      </c>
      <c r="K393" s="1">
        <f t="shared" ca="1" si="116"/>
        <v>133.16745</v>
      </c>
      <c r="L393" s="1">
        <f t="shared" ca="1" si="116"/>
        <v>1972.1977443609101</v>
      </c>
      <c r="M393" s="1">
        <f t="shared" ca="1" si="116"/>
        <v>199.75117499999999</v>
      </c>
      <c r="N393" s="1">
        <f t="shared" ca="1" si="116"/>
        <v>0.2</v>
      </c>
      <c r="O393" s="1">
        <f t="shared" ca="1" si="116"/>
        <v>0.2</v>
      </c>
      <c r="P393" s="1">
        <f t="shared" ca="1" si="116"/>
        <v>0.36</v>
      </c>
      <c r="Q393" s="1">
        <f t="shared" ca="1" si="116"/>
        <v>0.1</v>
      </c>
      <c r="R393" s="1">
        <f t="shared" ca="1" si="116"/>
        <v>2.2999999999999998</v>
      </c>
      <c r="S393" s="1">
        <f t="shared" ref="S393:AH408" ca="1" si="117">mVlookup($C393,monsterBaseDate,S$2,FALSE)*(1+mVlookup($E393,monsterType,S$2,FALSE))</f>
        <v>0.1</v>
      </c>
      <c r="T393" s="1">
        <f t="shared" ca="1" si="117"/>
        <v>0.9</v>
      </c>
      <c r="U393" s="1">
        <f t="shared" ca="1" si="117"/>
        <v>181.73333333333301</v>
      </c>
      <c r="V393" s="1">
        <f t="shared" ca="1" si="117"/>
        <v>0</v>
      </c>
      <c r="W393" s="1">
        <f t="shared" ca="1" si="117"/>
        <v>1748.93007518797</v>
      </c>
      <c r="X393" s="1">
        <f t="shared" ca="1" si="117"/>
        <v>0</v>
      </c>
      <c r="Y393" s="1">
        <f t="shared" ca="1" si="117"/>
        <v>0</v>
      </c>
      <c r="Z393" s="1">
        <f t="shared" ca="1" si="117"/>
        <v>0</v>
      </c>
      <c r="AA393" s="1">
        <f t="shared" ca="1" si="117"/>
        <v>0</v>
      </c>
      <c r="AB393" s="1">
        <f t="shared" ca="1" si="112"/>
        <v>0</v>
      </c>
      <c r="AC393" s="1">
        <f t="shared" ca="1" si="117"/>
        <v>133.16745</v>
      </c>
      <c r="AD393" s="1">
        <f t="shared" ca="1" si="117"/>
        <v>173.11768500000002</v>
      </c>
      <c r="AE393" s="1">
        <f t="shared" ca="1" si="117"/>
        <v>133.16745</v>
      </c>
      <c r="AF393" s="1">
        <f t="shared" ca="1" si="117"/>
        <v>133.16745</v>
      </c>
      <c r="AG393" s="1">
        <f t="shared" ca="1" si="117"/>
        <v>133.16745</v>
      </c>
      <c r="AH393" s="1">
        <f t="shared" ca="1" si="117"/>
        <v>133.16745</v>
      </c>
      <c r="AI393" s="1">
        <f t="shared" ca="1" si="100"/>
        <v>133.16745</v>
      </c>
    </row>
    <row r="394" spans="2:35" x14ac:dyDescent="0.15">
      <c r="B394" s="1" t="str">
        <f t="shared" si="115"/>
        <v>土系95</v>
      </c>
      <c r="C394" s="1">
        <f t="shared" si="105"/>
        <v>95</v>
      </c>
      <c r="D394" s="14" t="s">
        <v>93</v>
      </c>
      <c r="E394" s="14">
        <f t="shared" si="106"/>
        <v>4</v>
      </c>
      <c r="F394" s="1" t="str">
        <f t="shared" si="113"/>
        <v>地脉</v>
      </c>
      <c r="H394" s="1">
        <f t="shared" ca="1" si="114"/>
        <v>6535.2744061028316</v>
      </c>
      <c r="I394" s="1">
        <f t="shared" ca="1" si="116"/>
        <v>100</v>
      </c>
      <c r="J394" s="1">
        <f t="shared" ca="1" si="116"/>
        <v>1614.3214285714321</v>
      </c>
      <c r="K394" s="1">
        <f t="shared" ca="1" si="116"/>
        <v>134.584125</v>
      </c>
      <c r="L394" s="1">
        <f t="shared" ca="1" si="116"/>
        <v>2017.9017857142901</v>
      </c>
      <c r="M394" s="1">
        <f t="shared" ca="1" si="116"/>
        <v>201.87618750000001</v>
      </c>
      <c r="N394" s="1">
        <f t="shared" ca="1" si="116"/>
        <v>0.2</v>
      </c>
      <c r="O394" s="1">
        <f t="shared" ca="1" si="116"/>
        <v>0.2</v>
      </c>
      <c r="P394" s="1">
        <f t="shared" ca="1" si="116"/>
        <v>0.36</v>
      </c>
      <c r="Q394" s="1">
        <f t="shared" ca="1" si="116"/>
        <v>0.1</v>
      </c>
      <c r="R394" s="1">
        <f t="shared" ca="1" si="116"/>
        <v>2.2999999999999998</v>
      </c>
      <c r="S394" s="1">
        <f t="shared" ca="1" si="117"/>
        <v>0.1</v>
      </c>
      <c r="T394" s="1">
        <f t="shared" ca="1" si="117"/>
        <v>0.9</v>
      </c>
      <c r="U394" s="1">
        <f t="shared" ca="1" si="117"/>
        <v>183.666666666667</v>
      </c>
      <c r="V394" s="1">
        <f t="shared" ca="1" si="117"/>
        <v>0</v>
      </c>
      <c r="W394" s="1">
        <f t="shared" ca="1" si="117"/>
        <v>1825.7206632653099</v>
      </c>
      <c r="X394" s="1">
        <f t="shared" ca="1" si="117"/>
        <v>0</v>
      </c>
      <c r="Y394" s="1">
        <f t="shared" ca="1" si="117"/>
        <v>0</v>
      </c>
      <c r="Z394" s="1">
        <f t="shared" ca="1" si="117"/>
        <v>0</v>
      </c>
      <c r="AA394" s="1">
        <f t="shared" ca="1" si="117"/>
        <v>0</v>
      </c>
      <c r="AB394" s="1">
        <f t="shared" ca="1" si="112"/>
        <v>0</v>
      </c>
      <c r="AC394" s="1">
        <f t="shared" ca="1" si="117"/>
        <v>134.584125</v>
      </c>
      <c r="AD394" s="1">
        <f t="shared" ca="1" si="117"/>
        <v>174.9593625</v>
      </c>
      <c r="AE394" s="1">
        <f t="shared" ca="1" si="117"/>
        <v>134.584125</v>
      </c>
      <c r="AF394" s="1">
        <f t="shared" ca="1" si="117"/>
        <v>134.584125</v>
      </c>
      <c r="AG394" s="1">
        <f t="shared" ca="1" si="117"/>
        <v>134.584125</v>
      </c>
      <c r="AH394" s="1">
        <f t="shared" ca="1" si="117"/>
        <v>134.584125</v>
      </c>
      <c r="AI394" s="1">
        <f t="shared" ca="1" si="100"/>
        <v>134.584125</v>
      </c>
    </row>
    <row r="395" spans="2:35" x14ac:dyDescent="0.15">
      <c r="B395" s="1" t="str">
        <f t="shared" si="115"/>
        <v>土系96</v>
      </c>
      <c r="C395" s="1">
        <f t="shared" si="105"/>
        <v>96</v>
      </c>
      <c r="D395" s="14" t="s">
        <v>93</v>
      </c>
      <c r="E395" s="14">
        <f t="shared" si="106"/>
        <v>4</v>
      </c>
      <c r="F395" s="1" t="str">
        <f t="shared" si="113"/>
        <v>地脉</v>
      </c>
      <c r="H395" s="1">
        <f t="shared" ca="1" si="114"/>
        <v>6631.1326156832984</v>
      </c>
      <c r="I395" s="1">
        <f t="shared" ca="1" si="116"/>
        <v>100</v>
      </c>
      <c r="J395" s="1">
        <f t="shared" ca="1" si="116"/>
        <v>1651.8981818181842</v>
      </c>
      <c r="K395" s="1">
        <f t="shared" ca="1" si="116"/>
        <v>136.0008</v>
      </c>
      <c r="L395" s="1">
        <f t="shared" ca="1" si="116"/>
        <v>2064.8727272727301</v>
      </c>
      <c r="M395" s="1">
        <f t="shared" ca="1" si="116"/>
        <v>204.00119999999998</v>
      </c>
      <c r="N395" s="1">
        <f t="shared" ca="1" si="116"/>
        <v>0.2</v>
      </c>
      <c r="O395" s="1">
        <f t="shared" ca="1" si="116"/>
        <v>0.2</v>
      </c>
      <c r="P395" s="1">
        <f t="shared" ca="1" si="116"/>
        <v>0.36</v>
      </c>
      <c r="Q395" s="1">
        <f t="shared" ca="1" si="116"/>
        <v>0.1</v>
      </c>
      <c r="R395" s="1">
        <f t="shared" ca="1" si="116"/>
        <v>2.2999999999999998</v>
      </c>
      <c r="S395" s="1">
        <f t="shared" ca="1" si="117"/>
        <v>0.1</v>
      </c>
      <c r="T395" s="1">
        <f t="shared" ca="1" si="117"/>
        <v>0.9</v>
      </c>
      <c r="U395" s="1">
        <f t="shared" ca="1" si="117"/>
        <v>185.6</v>
      </c>
      <c r="V395" s="1">
        <f t="shared" ca="1" si="117"/>
        <v>0</v>
      </c>
      <c r="W395" s="1">
        <f t="shared" ca="1" si="117"/>
        <v>1906.03636363637</v>
      </c>
      <c r="X395" s="1">
        <f t="shared" ca="1" si="117"/>
        <v>0</v>
      </c>
      <c r="Y395" s="1">
        <f t="shared" ca="1" si="117"/>
        <v>0</v>
      </c>
      <c r="Z395" s="1">
        <f t="shared" ca="1" si="117"/>
        <v>0</v>
      </c>
      <c r="AA395" s="1">
        <f t="shared" ca="1" si="117"/>
        <v>0</v>
      </c>
      <c r="AB395" s="1">
        <f t="shared" ca="1" si="112"/>
        <v>0</v>
      </c>
      <c r="AC395" s="1">
        <f t="shared" ca="1" si="117"/>
        <v>136.0008</v>
      </c>
      <c r="AD395" s="1">
        <f t="shared" ca="1" si="117"/>
        <v>176.80104</v>
      </c>
      <c r="AE395" s="1">
        <f t="shared" ca="1" si="117"/>
        <v>136.0008</v>
      </c>
      <c r="AF395" s="1">
        <f t="shared" ca="1" si="117"/>
        <v>136.0008</v>
      </c>
      <c r="AG395" s="1">
        <f t="shared" ca="1" si="117"/>
        <v>136.0008</v>
      </c>
      <c r="AH395" s="1">
        <f t="shared" ca="1" si="117"/>
        <v>136.0008</v>
      </c>
      <c r="AI395" s="1">
        <f t="shared" ca="1" si="100"/>
        <v>136.0008</v>
      </c>
    </row>
    <row r="396" spans="2:35" x14ac:dyDescent="0.15">
      <c r="B396" s="1" t="str">
        <f t="shared" si="115"/>
        <v>土系97</v>
      </c>
      <c r="C396" s="1">
        <f t="shared" si="105"/>
        <v>97</v>
      </c>
      <c r="D396" s="14" t="s">
        <v>93</v>
      </c>
      <c r="E396" s="14">
        <f t="shared" si="106"/>
        <v>4</v>
      </c>
      <c r="F396" s="1" t="str">
        <f t="shared" si="113"/>
        <v>地脉</v>
      </c>
      <c r="H396" s="1">
        <f t="shared" ca="1" si="114"/>
        <v>6727.5546970848109</v>
      </c>
      <c r="I396" s="1">
        <f t="shared" ca="1" si="116"/>
        <v>100</v>
      </c>
      <c r="J396" s="1">
        <f t="shared" ca="1" si="116"/>
        <v>1690.5406349206403</v>
      </c>
      <c r="K396" s="1">
        <f t="shared" ca="1" si="116"/>
        <v>137.417475</v>
      </c>
      <c r="L396" s="1">
        <f t="shared" ca="1" si="116"/>
        <v>2113.1757936508002</v>
      </c>
      <c r="M396" s="1">
        <f t="shared" ca="1" si="116"/>
        <v>206.12621250000001</v>
      </c>
      <c r="N396" s="1">
        <f t="shared" ca="1" si="116"/>
        <v>0.2</v>
      </c>
      <c r="O396" s="1">
        <f t="shared" ca="1" si="116"/>
        <v>0.2</v>
      </c>
      <c r="P396" s="1">
        <f t="shared" ca="1" si="116"/>
        <v>0.36</v>
      </c>
      <c r="Q396" s="1">
        <f t="shared" ca="1" si="116"/>
        <v>0.1</v>
      </c>
      <c r="R396" s="1">
        <f t="shared" ca="1" si="116"/>
        <v>2.2999999999999998</v>
      </c>
      <c r="S396" s="1">
        <f t="shared" ca="1" si="117"/>
        <v>0.1</v>
      </c>
      <c r="T396" s="1">
        <f t="shared" ca="1" si="117"/>
        <v>0.9</v>
      </c>
      <c r="U396" s="1">
        <f t="shared" ca="1" si="117"/>
        <v>187.53333333333299</v>
      </c>
      <c r="V396" s="1">
        <f t="shared" ca="1" si="117"/>
        <v>0</v>
      </c>
      <c r="W396" s="1">
        <f t="shared" ca="1" si="117"/>
        <v>1990.0781746031801</v>
      </c>
      <c r="X396" s="1">
        <f t="shared" ca="1" si="117"/>
        <v>0</v>
      </c>
      <c r="Y396" s="1">
        <f t="shared" ca="1" si="117"/>
        <v>0</v>
      </c>
      <c r="Z396" s="1">
        <f t="shared" ca="1" si="117"/>
        <v>0</v>
      </c>
      <c r="AA396" s="1">
        <f t="shared" ca="1" si="117"/>
        <v>0</v>
      </c>
      <c r="AB396" s="1">
        <f t="shared" ca="1" si="112"/>
        <v>0</v>
      </c>
      <c r="AC396" s="1">
        <f t="shared" ca="1" si="117"/>
        <v>137.417475</v>
      </c>
      <c r="AD396" s="1">
        <f t="shared" ca="1" si="117"/>
        <v>178.6427175</v>
      </c>
      <c r="AE396" s="1">
        <f t="shared" ca="1" si="117"/>
        <v>137.417475</v>
      </c>
      <c r="AF396" s="1">
        <f t="shared" ca="1" si="117"/>
        <v>137.417475</v>
      </c>
      <c r="AG396" s="1">
        <f t="shared" ca="1" si="117"/>
        <v>137.417475</v>
      </c>
      <c r="AH396" s="1">
        <f t="shared" ca="1" si="117"/>
        <v>137.417475</v>
      </c>
      <c r="AI396" s="1">
        <f t="shared" ca="1" si="100"/>
        <v>137.417475</v>
      </c>
    </row>
    <row r="397" spans="2:35" x14ac:dyDescent="0.15">
      <c r="B397" s="1" t="str">
        <f t="shared" si="115"/>
        <v>土系98</v>
      </c>
      <c r="C397" s="1">
        <f t="shared" si="105"/>
        <v>98</v>
      </c>
      <c r="D397" s="14" t="s">
        <v>93</v>
      </c>
      <c r="E397" s="14">
        <f t="shared" si="106"/>
        <v>4</v>
      </c>
      <c r="F397" s="1" t="str">
        <f t="shared" si="113"/>
        <v>地脉</v>
      </c>
      <c r="H397" s="1">
        <f t="shared" ca="1" si="114"/>
        <v>6824.5406503073837</v>
      </c>
      <c r="I397" s="1">
        <f t="shared" ca="1" si="116"/>
        <v>100</v>
      </c>
      <c r="J397" s="1">
        <f t="shared" ca="1" si="116"/>
        <v>1730.3049056603841</v>
      </c>
      <c r="K397" s="1">
        <f t="shared" ca="1" si="116"/>
        <v>138.83414999999999</v>
      </c>
      <c r="L397" s="1">
        <f t="shared" ca="1" si="116"/>
        <v>2162.8811320754799</v>
      </c>
      <c r="M397" s="1">
        <f t="shared" ca="1" si="116"/>
        <v>208.25122499999998</v>
      </c>
      <c r="N397" s="1">
        <f t="shared" ca="1" si="116"/>
        <v>0.2</v>
      </c>
      <c r="O397" s="1">
        <f t="shared" ca="1" si="116"/>
        <v>0.2</v>
      </c>
      <c r="P397" s="1">
        <f t="shared" ca="1" si="116"/>
        <v>0.36</v>
      </c>
      <c r="Q397" s="1">
        <f t="shared" ca="1" si="116"/>
        <v>0.1</v>
      </c>
      <c r="R397" s="1">
        <f t="shared" ca="1" si="116"/>
        <v>2.2999999999999998</v>
      </c>
      <c r="S397" s="1">
        <f t="shared" ca="1" si="117"/>
        <v>0.1</v>
      </c>
      <c r="T397" s="1">
        <f t="shared" ca="1" si="117"/>
        <v>0.9</v>
      </c>
      <c r="U397" s="1">
        <f t="shared" ca="1" si="117"/>
        <v>189.46666666666701</v>
      </c>
      <c r="V397" s="1">
        <f t="shared" ca="1" si="117"/>
        <v>0</v>
      </c>
      <c r="W397" s="1">
        <f t="shared" ca="1" si="117"/>
        <v>2078.0622641509499</v>
      </c>
      <c r="X397" s="1">
        <f t="shared" ca="1" si="117"/>
        <v>0</v>
      </c>
      <c r="Y397" s="1">
        <f t="shared" ca="1" si="117"/>
        <v>0</v>
      </c>
      <c r="Z397" s="1">
        <f t="shared" ca="1" si="117"/>
        <v>0</v>
      </c>
      <c r="AA397" s="1">
        <f t="shared" ca="1" si="117"/>
        <v>0</v>
      </c>
      <c r="AB397" s="1">
        <f t="shared" ca="1" si="112"/>
        <v>0</v>
      </c>
      <c r="AC397" s="1">
        <f t="shared" ca="1" si="117"/>
        <v>138.83414999999999</v>
      </c>
      <c r="AD397" s="1">
        <f t="shared" ca="1" si="117"/>
        <v>180.48439500000001</v>
      </c>
      <c r="AE397" s="1">
        <f t="shared" ca="1" si="117"/>
        <v>138.83414999999999</v>
      </c>
      <c r="AF397" s="1">
        <f t="shared" ca="1" si="117"/>
        <v>138.83414999999999</v>
      </c>
      <c r="AG397" s="1">
        <f t="shared" ca="1" si="117"/>
        <v>138.83414999999999</v>
      </c>
      <c r="AH397" s="1">
        <f t="shared" ca="1" si="117"/>
        <v>138.83414999999999</v>
      </c>
      <c r="AI397" s="1">
        <f t="shared" ca="1" si="100"/>
        <v>138.83414999999999</v>
      </c>
    </row>
    <row r="398" spans="2:35" x14ac:dyDescent="0.15">
      <c r="B398" s="1" t="str">
        <f t="shared" si="115"/>
        <v>土系99</v>
      </c>
      <c r="C398" s="1">
        <f t="shared" si="105"/>
        <v>99</v>
      </c>
      <c r="D398" s="14" t="s">
        <v>93</v>
      </c>
      <c r="E398" s="14">
        <f t="shared" si="106"/>
        <v>4</v>
      </c>
      <c r="F398" s="1" t="str">
        <f t="shared" si="113"/>
        <v>地脉</v>
      </c>
      <c r="H398" s="1">
        <f t="shared" ca="1" si="114"/>
        <v>6922.0904753510304</v>
      </c>
      <c r="I398" s="1">
        <f t="shared" ca="1" si="116"/>
        <v>100</v>
      </c>
      <c r="J398" s="1">
        <f t="shared" ca="1" si="116"/>
        <v>1771.2514285714319</v>
      </c>
      <c r="K398" s="1">
        <f t="shared" ca="1" si="116"/>
        <v>140.25082499999999</v>
      </c>
      <c r="L398" s="1">
        <f t="shared" ca="1" si="116"/>
        <v>2214.0642857142898</v>
      </c>
      <c r="M398" s="1">
        <f t="shared" ca="1" si="116"/>
        <v>210.3762375</v>
      </c>
      <c r="N398" s="1">
        <f t="shared" ca="1" si="116"/>
        <v>0.2</v>
      </c>
      <c r="O398" s="1">
        <f t="shared" ca="1" si="116"/>
        <v>0.2</v>
      </c>
      <c r="P398" s="1">
        <f t="shared" ca="1" si="116"/>
        <v>0.36</v>
      </c>
      <c r="Q398" s="1">
        <f t="shared" ca="1" si="116"/>
        <v>0.1</v>
      </c>
      <c r="R398" s="1">
        <f t="shared" ca="1" si="116"/>
        <v>2.2999999999999998</v>
      </c>
      <c r="S398" s="1">
        <f t="shared" ca="1" si="117"/>
        <v>0.1</v>
      </c>
      <c r="T398" s="1">
        <f t="shared" ca="1" si="117"/>
        <v>0.9</v>
      </c>
      <c r="U398" s="1">
        <f t="shared" ca="1" si="117"/>
        <v>191.4</v>
      </c>
      <c r="V398" s="1">
        <f t="shared" ca="1" si="117"/>
        <v>0</v>
      </c>
      <c r="W398" s="1">
        <f t="shared" ca="1" si="117"/>
        <v>2170.2214285714299</v>
      </c>
      <c r="X398" s="1">
        <f t="shared" ca="1" si="117"/>
        <v>0</v>
      </c>
      <c r="Y398" s="1">
        <f t="shared" ca="1" si="117"/>
        <v>0</v>
      </c>
      <c r="Z398" s="1">
        <f t="shared" ca="1" si="117"/>
        <v>0</v>
      </c>
      <c r="AA398" s="1">
        <f t="shared" ca="1" si="117"/>
        <v>0</v>
      </c>
      <c r="AB398" s="1">
        <f t="shared" ca="1" si="112"/>
        <v>0</v>
      </c>
      <c r="AC398" s="1">
        <f t="shared" ca="1" si="117"/>
        <v>140.25082499999999</v>
      </c>
      <c r="AD398" s="1">
        <f t="shared" ca="1" si="117"/>
        <v>182.32607250000001</v>
      </c>
      <c r="AE398" s="1">
        <f t="shared" ca="1" si="117"/>
        <v>140.25082499999999</v>
      </c>
      <c r="AF398" s="1">
        <f t="shared" ca="1" si="117"/>
        <v>140.25082499999999</v>
      </c>
      <c r="AG398" s="1">
        <f t="shared" ca="1" si="117"/>
        <v>140.25082499999999</v>
      </c>
      <c r="AH398" s="1">
        <f t="shared" ca="1" si="117"/>
        <v>140.25082499999999</v>
      </c>
      <c r="AI398" s="1">
        <f t="shared" ca="1" si="100"/>
        <v>140.25082499999999</v>
      </c>
    </row>
    <row r="399" spans="2:35" x14ac:dyDescent="0.15">
      <c r="B399" s="1" t="str">
        <f t="shared" si="115"/>
        <v>金属系1</v>
      </c>
      <c r="C399" s="1">
        <f t="shared" si="105"/>
        <v>1</v>
      </c>
      <c r="D399" s="14" t="s">
        <v>94</v>
      </c>
      <c r="E399" s="14">
        <f t="shared" si="106"/>
        <v>5</v>
      </c>
      <c r="F399" s="1" t="str">
        <f t="shared" si="113"/>
        <v>物理</v>
      </c>
      <c r="H399" s="1">
        <f t="shared" ca="1" si="114"/>
        <v>19.365104190290488</v>
      </c>
      <c r="I399" s="1">
        <f t="shared" ca="1" si="116"/>
        <v>100</v>
      </c>
      <c r="J399" s="1">
        <f t="shared" ca="1" si="116"/>
        <v>8.0843749999999996</v>
      </c>
      <c r="K399" s="1">
        <f t="shared" ca="1" si="116"/>
        <v>2.1250125</v>
      </c>
      <c r="L399" s="1">
        <f t="shared" ca="1" si="116"/>
        <v>8.0843749999999996</v>
      </c>
      <c r="M399" s="1">
        <f t="shared" ca="1" si="116"/>
        <v>1.4166749999999999</v>
      </c>
      <c r="N399" s="1">
        <f t="shared" ca="1" si="116"/>
        <v>0.2</v>
      </c>
      <c r="O399" s="1">
        <f t="shared" ca="1" si="116"/>
        <v>0.2</v>
      </c>
      <c r="P399" s="1">
        <f t="shared" ca="1" si="116"/>
        <v>0.36</v>
      </c>
      <c r="Q399" s="1">
        <f t="shared" ca="1" si="116"/>
        <v>0.1</v>
      </c>
      <c r="R399" s="1">
        <f t="shared" ca="1" si="116"/>
        <v>2.4</v>
      </c>
      <c r="S399" s="1">
        <f t="shared" ca="1" si="117"/>
        <v>0.1</v>
      </c>
      <c r="T399" s="1">
        <f t="shared" ca="1" si="117"/>
        <v>0.9</v>
      </c>
      <c r="U399" s="1">
        <f t="shared" ca="1" si="117"/>
        <v>1.93333333333333</v>
      </c>
      <c r="V399" s="1">
        <f t="shared" ca="1" si="117"/>
        <v>4.0625000000000001E-2</v>
      </c>
      <c r="W399" s="1">
        <f t="shared" ca="1" si="117"/>
        <v>0</v>
      </c>
      <c r="X399" s="1">
        <f t="shared" ca="1" si="117"/>
        <v>0</v>
      </c>
      <c r="Y399" s="1">
        <f t="shared" ca="1" si="117"/>
        <v>0</v>
      </c>
      <c r="Z399" s="1">
        <f t="shared" ca="1" si="117"/>
        <v>0</v>
      </c>
      <c r="AA399" s="1">
        <f t="shared" ca="1" si="117"/>
        <v>0</v>
      </c>
      <c r="AB399" s="1">
        <f t="shared" ca="1" si="117"/>
        <v>0</v>
      </c>
      <c r="AC399" s="1">
        <f t="shared" ca="1" si="117"/>
        <v>2.1250125</v>
      </c>
      <c r="AD399" s="1">
        <f t="shared" ca="1" si="117"/>
        <v>2.1250125</v>
      </c>
      <c r="AE399" s="1">
        <f t="shared" ca="1" si="117"/>
        <v>2.1250125</v>
      </c>
      <c r="AF399" s="1">
        <f t="shared" ca="1" si="117"/>
        <v>2.1250125</v>
      </c>
      <c r="AG399" s="1">
        <f t="shared" ca="1" si="117"/>
        <v>2.1250125</v>
      </c>
      <c r="AH399" s="1">
        <f t="shared" ca="1" si="117"/>
        <v>2.1250125</v>
      </c>
      <c r="AI399" s="1">
        <f t="shared" ca="1" si="100"/>
        <v>2.1250125</v>
      </c>
    </row>
    <row r="400" spans="2:35" x14ac:dyDescent="0.15">
      <c r="B400" s="1" t="str">
        <f t="shared" si="115"/>
        <v>金属系2</v>
      </c>
      <c r="C400" s="1">
        <f t="shared" si="105"/>
        <v>2</v>
      </c>
      <c r="D400" s="14" t="s">
        <v>94</v>
      </c>
      <c r="E400" s="14">
        <f t="shared" si="106"/>
        <v>5</v>
      </c>
      <c r="F400" s="1" t="str">
        <f t="shared" si="113"/>
        <v>物理</v>
      </c>
      <c r="H400" s="1">
        <f t="shared" ca="1" si="114"/>
        <v>42.532810657947252</v>
      </c>
      <c r="I400" s="1">
        <f t="shared" ca="1" si="116"/>
        <v>100</v>
      </c>
      <c r="J400" s="1">
        <f t="shared" ca="1" si="116"/>
        <v>16.721476510067099</v>
      </c>
      <c r="K400" s="1">
        <f t="shared" ca="1" si="116"/>
        <v>4.2500249999999999</v>
      </c>
      <c r="L400" s="1">
        <f t="shared" ca="1" si="116"/>
        <v>16.721476510067099</v>
      </c>
      <c r="M400" s="1">
        <f t="shared" ca="1" si="116"/>
        <v>2.8333499999999998</v>
      </c>
      <c r="N400" s="1">
        <f t="shared" ca="1" si="116"/>
        <v>0.2</v>
      </c>
      <c r="O400" s="1">
        <f t="shared" ca="1" si="116"/>
        <v>0.2</v>
      </c>
      <c r="P400" s="1">
        <f t="shared" ca="1" si="116"/>
        <v>0.36</v>
      </c>
      <c r="Q400" s="1">
        <f t="shared" ca="1" si="116"/>
        <v>0.1</v>
      </c>
      <c r="R400" s="1">
        <f t="shared" ca="1" si="116"/>
        <v>2.4</v>
      </c>
      <c r="S400" s="1">
        <f t="shared" ca="1" si="117"/>
        <v>0.1</v>
      </c>
      <c r="T400" s="1">
        <f t="shared" ca="1" si="117"/>
        <v>0.9</v>
      </c>
      <c r="U400" s="1">
        <f t="shared" ca="1" si="117"/>
        <v>3.8666666666666698</v>
      </c>
      <c r="V400" s="1">
        <f t="shared" ca="1" si="117"/>
        <v>0.16890380313199099</v>
      </c>
      <c r="W400" s="1">
        <f t="shared" ca="1" si="117"/>
        <v>0</v>
      </c>
      <c r="X400" s="1">
        <f t="shared" ca="1" si="117"/>
        <v>0</v>
      </c>
      <c r="Y400" s="1">
        <f t="shared" ca="1" si="117"/>
        <v>0</v>
      </c>
      <c r="Z400" s="1">
        <f t="shared" ca="1" si="117"/>
        <v>0</v>
      </c>
      <c r="AA400" s="1">
        <f t="shared" ca="1" si="117"/>
        <v>0</v>
      </c>
      <c r="AB400" s="1">
        <f t="shared" ca="1" si="117"/>
        <v>0</v>
      </c>
      <c r="AC400" s="1">
        <f t="shared" ca="1" si="117"/>
        <v>4.2500249999999999</v>
      </c>
      <c r="AD400" s="1">
        <f t="shared" ca="1" si="117"/>
        <v>4.2500249999999999</v>
      </c>
      <c r="AE400" s="1">
        <f t="shared" ca="1" si="117"/>
        <v>4.2500249999999999</v>
      </c>
      <c r="AF400" s="1">
        <f t="shared" ca="1" si="117"/>
        <v>4.2500249999999999</v>
      </c>
      <c r="AG400" s="1">
        <f t="shared" ca="1" si="117"/>
        <v>4.2500249999999999</v>
      </c>
      <c r="AH400" s="1">
        <f t="shared" ca="1" si="117"/>
        <v>4.2500249999999999</v>
      </c>
      <c r="AI400" s="1">
        <f t="shared" ca="1" si="100"/>
        <v>4.2500249999999999</v>
      </c>
    </row>
    <row r="401" spans="2:35" x14ac:dyDescent="0.15">
      <c r="B401" s="1" t="str">
        <f t="shared" si="115"/>
        <v>金属系3</v>
      </c>
      <c r="C401" s="1">
        <f t="shared" si="105"/>
        <v>3</v>
      </c>
      <c r="D401" s="14" t="s">
        <v>94</v>
      </c>
      <c r="E401" s="14">
        <f t="shared" si="106"/>
        <v>5</v>
      </c>
      <c r="F401" s="1" t="str">
        <f t="shared" si="113"/>
        <v>物理</v>
      </c>
      <c r="H401" s="1">
        <f t="shared" ca="1" si="114"/>
        <v>69.57353796366219</v>
      </c>
      <c r="I401" s="1">
        <f t="shared" ca="1" si="116"/>
        <v>100</v>
      </c>
      <c r="J401" s="1">
        <f t="shared" ca="1" si="116"/>
        <v>25.956081081081098</v>
      </c>
      <c r="K401" s="1">
        <f t="shared" ca="1" si="116"/>
        <v>6.3750374999999995</v>
      </c>
      <c r="L401" s="1">
        <f t="shared" ca="1" si="116"/>
        <v>25.956081081081098</v>
      </c>
      <c r="M401" s="1">
        <f t="shared" ca="1" si="116"/>
        <v>4.2500249999999999</v>
      </c>
      <c r="N401" s="1">
        <f t="shared" ca="1" si="116"/>
        <v>0.2</v>
      </c>
      <c r="O401" s="1">
        <f t="shared" ca="1" si="116"/>
        <v>0.2</v>
      </c>
      <c r="P401" s="1">
        <f t="shared" ca="1" si="116"/>
        <v>0.36</v>
      </c>
      <c r="Q401" s="1">
        <f t="shared" ca="1" si="116"/>
        <v>0.1</v>
      </c>
      <c r="R401" s="1">
        <f t="shared" ca="1" si="116"/>
        <v>2.4</v>
      </c>
      <c r="S401" s="1">
        <f t="shared" ca="1" si="117"/>
        <v>0.1</v>
      </c>
      <c r="T401" s="1">
        <f t="shared" ca="1" si="117"/>
        <v>0.9</v>
      </c>
      <c r="U401" s="1">
        <f t="shared" ca="1" si="117"/>
        <v>5.8</v>
      </c>
      <c r="V401" s="1">
        <f t="shared" ca="1" si="117"/>
        <v>0.39527027027027001</v>
      </c>
      <c r="W401" s="1">
        <f t="shared" ca="1" si="117"/>
        <v>0</v>
      </c>
      <c r="X401" s="1">
        <f t="shared" ca="1" si="117"/>
        <v>0</v>
      </c>
      <c r="Y401" s="1">
        <f t="shared" ca="1" si="117"/>
        <v>0</v>
      </c>
      <c r="Z401" s="1">
        <f t="shared" ca="1" si="117"/>
        <v>0</v>
      </c>
      <c r="AA401" s="1">
        <f t="shared" ca="1" si="117"/>
        <v>0</v>
      </c>
      <c r="AB401" s="1">
        <f t="shared" ca="1" si="117"/>
        <v>0</v>
      </c>
      <c r="AC401" s="1">
        <f t="shared" ca="1" si="117"/>
        <v>6.3750374999999995</v>
      </c>
      <c r="AD401" s="1">
        <f t="shared" ca="1" si="117"/>
        <v>6.3750374999999995</v>
      </c>
      <c r="AE401" s="1">
        <f t="shared" ca="1" si="117"/>
        <v>6.3750374999999995</v>
      </c>
      <c r="AF401" s="1">
        <f t="shared" ca="1" si="117"/>
        <v>6.3750374999999995</v>
      </c>
      <c r="AG401" s="1">
        <f t="shared" ca="1" si="117"/>
        <v>6.3750374999999995</v>
      </c>
      <c r="AH401" s="1">
        <f t="shared" ca="1" si="117"/>
        <v>6.3750374999999995</v>
      </c>
      <c r="AI401" s="1">
        <f t="shared" ca="1" si="100"/>
        <v>6.3750374999999995</v>
      </c>
    </row>
    <row r="402" spans="2:35" x14ac:dyDescent="0.15">
      <c r="B402" s="1" t="str">
        <f t="shared" si="115"/>
        <v>金属系4</v>
      </c>
      <c r="C402" s="1">
        <f t="shared" si="105"/>
        <v>4</v>
      </c>
      <c r="D402" s="14" t="s">
        <v>94</v>
      </c>
      <c r="E402" s="14">
        <f t="shared" si="106"/>
        <v>5</v>
      </c>
      <c r="F402" s="1" t="str">
        <f t="shared" si="113"/>
        <v>物理</v>
      </c>
      <c r="H402" s="1">
        <f t="shared" ca="1" si="114"/>
        <v>100.557704668127</v>
      </c>
      <c r="I402" s="1">
        <f t="shared" ca="1" si="116"/>
        <v>100</v>
      </c>
      <c r="J402" s="1">
        <f t="shared" ca="1" si="116"/>
        <v>35.837837837837803</v>
      </c>
      <c r="K402" s="1">
        <f t="shared" ca="1" si="116"/>
        <v>8.5000499999999999</v>
      </c>
      <c r="L402" s="1">
        <f t="shared" ca="1" si="116"/>
        <v>35.837837837837803</v>
      </c>
      <c r="M402" s="1">
        <f t="shared" ca="1" si="116"/>
        <v>5.6666999999999996</v>
      </c>
      <c r="N402" s="1">
        <f t="shared" ca="1" si="116"/>
        <v>0.2</v>
      </c>
      <c r="O402" s="1">
        <f t="shared" ca="1" si="116"/>
        <v>0.2</v>
      </c>
      <c r="P402" s="1">
        <f t="shared" ca="1" si="116"/>
        <v>0.36</v>
      </c>
      <c r="Q402" s="1">
        <f t="shared" ca="1" si="116"/>
        <v>0.1</v>
      </c>
      <c r="R402" s="1">
        <f t="shared" ca="1" si="116"/>
        <v>2.4</v>
      </c>
      <c r="S402" s="1">
        <f t="shared" ca="1" si="117"/>
        <v>0.1</v>
      </c>
      <c r="T402" s="1">
        <f t="shared" ca="1" si="117"/>
        <v>0.9</v>
      </c>
      <c r="U402" s="1">
        <f t="shared" ca="1" si="117"/>
        <v>7.7333333333333298</v>
      </c>
      <c r="V402" s="1">
        <f t="shared" ca="1" si="117"/>
        <v>0.73138444567016003</v>
      </c>
      <c r="W402" s="1">
        <f t="shared" ca="1" si="117"/>
        <v>0</v>
      </c>
      <c r="X402" s="1">
        <f t="shared" ca="1" si="117"/>
        <v>0</v>
      </c>
      <c r="Y402" s="1">
        <f t="shared" ca="1" si="117"/>
        <v>0</v>
      </c>
      <c r="Z402" s="1">
        <f t="shared" ca="1" si="117"/>
        <v>0</v>
      </c>
      <c r="AA402" s="1">
        <f t="shared" ca="1" si="117"/>
        <v>0</v>
      </c>
      <c r="AB402" s="1">
        <f t="shared" ca="1" si="117"/>
        <v>0</v>
      </c>
      <c r="AC402" s="1">
        <f t="shared" ca="1" si="117"/>
        <v>8.5000499999999999</v>
      </c>
      <c r="AD402" s="1">
        <f t="shared" ca="1" si="117"/>
        <v>8.5000499999999999</v>
      </c>
      <c r="AE402" s="1">
        <f t="shared" ca="1" si="117"/>
        <v>8.5000499999999999</v>
      </c>
      <c r="AF402" s="1">
        <f t="shared" ca="1" si="117"/>
        <v>8.5000499999999999</v>
      </c>
      <c r="AG402" s="1">
        <f t="shared" ca="1" si="117"/>
        <v>8.5000499999999999</v>
      </c>
      <c r="AH402" s="1">
        <f t="shared" ca="1" si="117"/>
        <v>8.5000499999999999</v>
      </c>
      <c r="AI402" s="1">
        <f t="shared" ca="1" si="100"/>
        <v>8.5000499999999999</v>
      </c>
    </row>
    <row r="403" spans="2:35" x14ac:dyDescent="0.15">
      <c r="B403" s="1" t="str">
        <f t="shared" si="115"/>
        <v>金属系5</v>
      </c>
      <c r="C403" s="1">
        <f t="shared" si="105"/>
        <v>5</v>
      </c>
      <c r="D403" s="14" t="s">
        <v>94</v>
      </c>
      <c r="E403" s="14">
        <f t="shared" si="106"/>
        <v>5</v>
      </c>
      <c r="F403" s="1" t="str">
        <f t="shared" si="113"/>
        <v>物理</v>
      </c>
      <c r="H403" s="1">
        <f t="shared" ca="1" si="114"/>
        <v>135.55572933203408</v>
      </c>
      <c r="I403" s="1">
        <f t="shared" ref="I403:R412" ca="1" si="118">mVlookup($C403,monsterBaseDate,I$2,FALSE)*(1+mVlookup($E403,monsterType,I$2,FALSE))</f>
        <v>100</v>
      </c>
      <c r="J403" s="1">
        <f t="shared" ca="1" si="118"/>
        <v>46.421946347031998</v>
      </c>
      <c r="K403" s="1">
        <f t="shared" ca="1" si="118"/>
        <v>10.6250625</v>
      </c>
      <c r="L403" s="1">
        <f t="shared" ca="1" si="118"/>
        <v>46.421946347031998</v>
      </c>
      <c r="M403" s="1">
        <f t="shared" ca="1" si="118"/>
        <v>7.0833750000000002</v>
      </c>
      <c r="N403" s="1">
        <f t="shared" ca="1" si="118"/>
        <v>0.2</v>
      </c>
      <c r="O403" s="1">
        <f t="shared" ca="1" si="118"/>
        <v>0.2</v>
      </c>
      <c r="P403" s="1">
        <f t="shared" ca="1" si="118"/>
        <v>0.36</v>
      </c>
      <c r="Q403" s="1">
        <f t="shared" ca="1" si="118"/>
        <v>0.1</v>
      </c>
      <c r="R403" s="1">
        <f t="shared" ca="1" si="118"/>
        <v>2.4</v>
      </c>
      <c r="S403" s="1">
        <f t="shared" ref="S403:AH418" ca="1" si="119">mVlookup($C403,monsterBaseDate,S$2,FALSE)*(1+mVlookup($E403,monsterType,S$2,FALSE))</f>
        <v>0.1</v>
      </c>
      <c r="T403" s="1">
        <f t="shared" ca="1" si="119"/>
        <v>0.9</v>
      </c>
      <c r="U403" s="1">
        <f t="shared" ca="1" si="119"/>
        <v>9.6666666666666696</v>
      </c>
      <c r="V403" s="1">
        <f t="shared" ca="1" si="119"/>
        <v>1.1903063165905601</v>
      </c>
      <c r="W403" s="1">
        <f t="shared" ca="1" si="119"/>
        <v>0</v>
      </c>
      <c r="X403" s="1">
        <f t="shared" ca="1" si="119"/>
        <v>0</v>
      </c>
      <c r="Y403" s="1">
        <f t="shared" ca="1" si="119"/>
        <v>0</v>
      </c>
      <c r="Z403" s="1">
        <f t="shared" ca="1" si="119"/>
        <v>0</v>
      </c>
      <c r="AA403" s="1">
        <f t="shared" ca="1" si="119"/>
        <v>0</v>
      </c>
      <c r="AB403" s="1">
        <f t="shared" ca="1" si="117"/>
        <v>0</v>
      </c>
      <c r="AC403" s="1">
        <f t="shared" ca="1" si="119"/>
        <v>10.6250625</v>
      </c>
      <c r="AD403" s="1">
        <f t="shared" ca="1" si="119"/>
        <v>10.6250625</v>
      </c>
      <c r="AE403" s="1">
        <f t="shared" ca="1" si="119"/>
        <v>10.6250625</v>
      </c>
      <c r="AF403" s="1">
        <f t="shared" ca="1" si="119"/>
        <v>10.6250625</v>
      </c>
      <c r="AG403" s="1">
        <f t="shared" ca="1" si="119"/>
        <v>10.6250625</v>
      </c>
      <c r="AH403" s="1">
        <f t="shared" ca="1" si="119"/>
        <v>10.6250625</v>
      </c>
      <c r="AI403" s="1">
        <f t="shared" ref="AI403:AI466" ca="1" si="120">mVlookup($C403,monsterBaseDate,AI$2,FALSE)*(1+mVlookup($E403,monsterType,AI$2,FALSE))</f>
        <v>10.6250625</v>
      </c>
    </row>
    <row r="404" spans="2:35" x14ac:dyDescent="0.15">
      <c r="B404" s="1" t="str">
        <f t="shared" si="115"/>
        <v>金属系6</v>
      </c>
      <c r="C404" s="1">
        <f t="shared" si="105"/>
        <v>6</v>
      </c>
      <c r="D404" s="14" t="s">
        <v>94</v>
      </c>
      <c r="E404" s="14">
        <f t="shared" si="106"/>
        <v>5</v>
      </c>
      <c r="F404" s="1" t="str">
        <f t="shared" si="113"/>
        <v>物理</v>
      </c>
      <c r="H404" s="1">
        <f t="shared" ca="1" si="114"/>
        <v>174.63803051607431</v>
      </c>
      <c r="I404" s="1">
        <f t="shared" ca="1" si="118"/>
        <v>100</v>
      </c>
      <c r="J404" s="1">
        <f t="shared" ca="1" si="118"/>
        <v>57.7699507389163</v>
      </c>
      <c r="K404" s="1">
        <f t="shared" ca="1" si="118"/>
        <v>12.750074999999999</v>
      </c>
      <c r="L404" s="1">
        <f t="shared" ca="1" si="118"/>
        <v>57.7699507389163</v>
      </c>
      <c r="M404" s="1">
        <f t="shared" ca="1" si="118"/>
        <v>8.5000499999999999</v>
      </c>
      <c r="N404" s="1">
        <f t="shared" ca="1" si="118"/>
        <v>0.2</v>
      </c>
      <c r="O404" s="1">
        <f t="shared" ca="1" si="118"/>
        <v>0.2</v>
      </c>
      <c r="P404" s="1">
        <f t="shared" ca="1" si="118"/>
        <v>0.36</v>
      </c>
      <c r="Q404" s="1">
        <f t="shared" ca="1" si="118"/>
        <v>0.1</v>
      </c>
      <c r="R404" s="1">
        <f t="shared" ca="1" si="118"/>
        <v>2.4</v>
      </c>
      <c r="S404" s="1">
        <f t="shared" ca="1" si="119"/>
        <v>0.1</v>
      </c>
      <c r="T404" s="1">
        <f t="shared" ca="1" si="119"/>
        <v>0.9</v>
      </c>
      <c r="U404" s="1">
        <f t="shared" ca="1" si="119"/>
        <v>11.6</v>
      </c>
      <c r="V404" s="1">
        <f t="shared" ca="1" si="119"/>
        <v>1.7866995073891601</v>
      </c>
      <c r="W404" s="1">
        <f t="shared" ca="1" si="119"/>
        <v>0</v>
      </c>
      <c r="X404" s="1">
        <f t="shared" ca="1" si="119"/>
        <v>0</v>
      </c>
      <c r="Y404" s="1">
        <f t="shared" ca="1" si="119"/>
        <v>0</v>
      </c>
      <c r="Z404" s="1">
        <f t="shared" ca="1" si="119"/>
        <v>0</v>
      </c>
      <c r="AA404" s="1">
        <f t="shared" ca="1" si="119"/>
        <v>0</v>
      </c>
      <c r="AB404" s="1">
        <f t="shared" ca="1" si="117"/>
        <v>0</v>
      </c>
      <c r="AC404" s="1">
        <f t="shared" ca="1" si="119"/>
        <v>12.750074999999999</v>
      </c>
      <c r="AD404" s="1">
        <f t="shared" ca="1" si="119"/>
        <v>12.750074999999999</v>
      </c>
      <c r="AE404" s="1">
        <f t="shared" ca="1" si="119"/>
        <v>12.750074999999999</v>
      </c>
      <c r="AF404" s="1">
        <f t="shared" ca="1" si="119"/>
        <v>12.750074999999999</v>
      </c>
      <c r="AG404" s="1">
        <f t="shared" ca="1" si="119"/>
        <v>12.750074999999999</v>
      </c>
      <c r="AH404" s="1">
        <f t="shared" ca="1" si="119"/>
        <v>12.750074999999999</v>
      </c>
      <c r="AI404" s="1">
        <f t="shared" ca="1" si="120"/>
        <v>12.750074999999999</v>
      </c>
    </row>
    <row r="405" spans="2:35" x14ac:dyDescent="0.15">
      <c r="B405" s="1" t="str">
        <f t="shared" si="115"/>
        <v>金属系7</v>
      </c>
      <c r="C405" s="1">
        <f t="shared" si="105"/>
        <v>7</v>
      </c>
      <c r="D405" s="14" t="s">
        <v>94</v>
      </c>
      <c r="E405" s="14">
        <f t="shared" si="106"/>
        <v>5</v>
      </c>
      <c r="F405" s="1" t="str">
        <f t="shared" si="113"/>
        <v>物理</v>
      </c>
      <c r="H405" s="1">
        <f t="shared" ca="1" si="114"/>
        <v>217.87502678094191</v>
      </c>
      <c r="I405" s="1">
        <f t="shared" ca="1" si="118"/>
        <v>100</v>
      </c>
      <c r="J405" s="1">
        <f t="shared" ca="1" si="118"/>
        <v>67.952083333333306</v>
      </c>
      <c r="K405" s="1">
        <f t="shared" ca="1" si="118"/>
        <v>14.875087499999999</v>
      </c>
      <c r="L405" s="1">
        <f t="shared" ca="1" si="118"/>
        <v>67.952083333333306</v>
      </c>
      <c r="M405" s="1">
        <f t="shared" ca="1" si="118"/>
        <v>9.9167249999999996</v>
      </c>
      <c r="N405" s="1">
        <f t="shared" ca="1" si="118"/>
        <v>0.2</v>
      </c>
      <c r="O405" s="1">
        <f t="shared" ca="1" si="118"/>
        <v>0.2</v>
      </c>
      <c r="P405" s="1">
        <f t="shared" ca="1" si="118"/>
        <v>0.36</v>
      </c>
      <c r="Q405" s="1">
        <f t="shared" ca="1" si="118"/>
        <v>0.1</v>
      </c>
      <c r="R405" s="1">
        <f t="shared" ca="1" si="118"/>
        <v>2.4</v>
      </c>
      <c r="S405" s="1">
        <f t="shared" ca="1" si="119"/>
        <v>0.1</v>
      </c>
      <c r="T405" s="1">
        <f t="shared" ca="1" si="119"/>
        <v>0.9</v>
      </c>
      <c r="U405" s="1">
        <f t="shared" ca="1" si="119"/>
        <v>13.533333333333299</v>
      </c>
      <c r="V405" s="1">
        <f t="shared" ca="1" si="119"/>
        <v>2.46458333333333</v>
      </c>
      <c r="W405" s="1">
        <f t="shared" ca="1" si="119"/>
        <v>0</v>
      </c>
      <c r="X405" s="1">
        <f t="shared" ca="1" si="119"/>
        <v>0</v>
      </c>
      <c r="Y405" s="1">
        <f t="shared" ca="1" si="119"/>
        <v>0</v>
      </c>
      <c r="Z405" s="1">
        <f t="shared" ca="1" si="119"/>
        <v>0</v>
      </c>
      <c r="AA405" s="1">
        <f t="shared" ca="1" si="119"/>
        <v>0</v>
      </c>
      <c r="AB405" s="1">
        <f t="shared" ca="1" si="117"/>
        <v>0</v>
      </c>
      <c r="AC405" s="1">
        <f t="shared" ca="1" si="119"/>
        <v>14.875087499999999</v>
      </c>
      <c r="AD405" s="1">
        <f t="shared" ca="1" si="119"/>
        <v>14.875087499999999</v>
      </c>
      <c r="AE405" s="1">
        <f t="shared" ca="1" si="119"/>
        <v>14.875087499999999</v>
      </c>
      <c r="AF405" s="1">
        <f t="shared" ca="1" si="119"/>
        <v>14.875087499999999</v>
      </c>
      <c r="AG405" s="1">
        <f t="shared" ca="1" si="119"/>
        <v>14.875087499999999</v>
      </c>
      <c r="AH405" s="1">
        <f t="shared" ca="1" si="119"/>
        <v>14.875087499999999</v>
      </c>
      <c r="AI405" s="1">
        <f t="shared" ca="1" si="120"/>
        <v>14.875087499999999</v>
      </c>
    </row>
    <row r="406" spans="2:35" x14ac:dyDescent="0.15">
      <c r="B406" s="1" t="str">
        <f t="shared" si="115"/>
        <v>金属系8</v>
      </c>
      <c r="C406" s="1">
        <f t="shared" si="105"/>
        <v>8</v>
      </c>
      <c r="D406" s="14" t="s">
        <v>94</v>
      </c>
      <c r="E406" s="14">
        <f t="shared" si="106"/>
        <v>5</v>
      </c>
      <c r="F406" s="1" t="str">
        <f t="shared" si="113"/>
        <v>物理</v>
      </c>
      <c r="H406" s="1">
        <f t="shared" ca="1" si="114"/>
        <v>265.33713668732759</v>
      </c>
      <c r="I406" s="1">
        <f t="shared" ca="1" si="118"/>
        <v>100</v>
      </c>
      <c r="J406" s="1">
        <f t="shared" ca="1" si="118"/>
        <v>78.296103896103901</v>
      </c>
      <c r="K406" s="1">
        <f t="shared" ca="1" si="118"/>
        <v>17.0001</v>
      </c>
      <c r="L406" s="1">
        <f t="shared" ca="1" si="118"/>
        <v>78.296103896103901</v>
      </c>
      <c r="M406" s="1">
        <f t="shared" ca="1" si="118"/>
        <v>11.333399999999999</v>
      </c>
      <c r="N406" s="1">
        <f t="shared" ca="1" si="118"/>
        <v>0.2</v>
      </c>
      <c r="O406" s="1">
        <f t="shared" ca="1" si="118"/>
        <v>0.2</v>
      </c>
      <c r="P406" s="1">
        <f t="shared" ca="1" si="118"/>
        <v>0.36</v>
      </c>
      <c r="Q406" s="1">
        <f t="shared" ca="1" si="118"/>
        <v>0.1</v>
      </c>
      <c r="R406" s="1">
        <f t="shared" ca="1" si="118"/>
        <v>2.4</v>
      </c>
      <c r="S406" s="1">
        <f t="shared" ca="1" si="119"/>
        <v>0.1</v>
      </c>
      <c r="T406" s="1">
        <f t="shared" ca="1" si="119"/>
        <v>0.9</v>
      </c>
      <c r="U406" s="1">
        <f t="shared" ca="1" si="119"/>
        <v>15.466666666666701</v>
      </c>
      <c r="V406" s="1">
        <f t="shared" ca="1" si="119"/>
        <v>3.2623376623376599</v>
      </c>
      <c r="W406" s="1">
        <f t="shared" ca="1" si="119"/>
        <v>0</v>
      </c>
      <c r="X406" s="1">
        <f t="shared" ca="1" si="119"/>
        <v>0</v>
      </c>
      <c r="Y406" s="1">
        <f t="shared" ca="1" si="119"/>
        <v>0</v>
      </c>
      <c r="Z406" s="1">
        <f t="shared" ca="1" si="119"/>
        <v>0</v>
      </c>
      <c r="AA406" s="1">
        <f t="shared" ca="1" si="119"/>
        <v>0</v>
      </c>
      <c r="AB406" s="1">
        <f t="shared" ca="1" si="117"/>
        <v>0</v>
      </c>
      <c r="AC406" s="1">
        <f t="shared" ca="1" si="119"/>
        <v>17.0001</v>
      </c>
      <c r="AD406" s="1">
        <f t="shared" ca="1" si="119"/>
        <v>17.0001</v>
      </c>
      <c r="AE406" s="1">
        <f t="shared" ca="1" si="119"/>
        <v>17.0001</v>
      </c>
      <c r="AF406" s="1">
        <f t="shared" ca="1" si="119"/>
        <v>17.0001</v>
      </c>
      <c r="AG406" s="1">
        <f t="shared" ca="1" si="119"/>
        <v>17.0001</v>
      </c>
      <c r="AH406" s="1">
        <f t="shared" ca="1" si="119"/>
        <v>17.0001</v>
      </c>
      <c r="AI406" s="1">
        <f t="shared" ca="1" si="120"/>
        <v>17.0001</v>
      </c>
    </row>
    <row r="407" spans="2:35" x14ac:dyDescent="0.15">
      <c r="B407" s="1" t="str">
        <f t="shared" si="115"/>
        <v>金属系9</v>
      </c>
      <c r="C407" s="1">
        <f t="shared" si="105"/>
        <v>9</v>
      </c>
      <c r="D407" s="14" t="s">
        <v>94</v>
      </c>
      <c r="E407" s="14">
        <f t="shared" si="106"/>
        <v>5</v>
      </c>
      <c r="F407" s="1" t="str">
        <f t="shared" si="113"/>
        <v>物理</v>
      </c>
      <c r="H407" s="1">
        <f t="shared" ca="1" si="114"/>
        <v>317.09477879592208</v>
      </c>
      <c r="I407" s="1">
        <f t="shared" ca="1" si="118"/>
        <v>100</v>
      </c>
      <c r="J407" s="1">
        <f t="shared" ca="1" si="118"/>
        <v>88.803470824949699</v>
      </c>
      <c r="K407" s="1">
        <f t="shared" ca="1" si="118"/>
        <v>19.1251125</v>
      </c>
      <c r="L407" s="1">
        <f t="shared" ca="1" si="118"/>
        <v>88.803470824949699</v>
      </c>
      <c r="M407" s="1">
        <f t="shared" ca="1" si="118"/>
        <v>12.750075000000001</v>
      </c>
      <c r="N407" s="1">
        <f t="shared" ca="1" si="118"/>
        <v>0.2</v>
      </c>
      <c r="O407" s="1">
        <f t="shared" ca="1" si="118"/>
        <v>0.2</v>
      </c>
      <c r="P407" s="1">
        <f t="shared" ca="1" si="118"/>
        <v>0.36</v>
      </c>
      <c r="Q407" s="1">
        <f t="shared" ca="1" si="118"/>
        <v>0.1</v>
      </c>
      <c r="R407" s="1">
        <f t="shared" ca="1" si="118"/>
        <v>2.4</v>
      </c>
      <c r="S407" s="1">
        <f t="shared" ca="1" si="119"/>
        <v>0.1</v>
      </c>
      <c r="T407" s="1">
        <f t="shared" ca="1" si="119"/>
        <v>0.9</v>
      </c>
      <c r="U407" s="1">
        <f t="shared" ca="1" si="119"/>
        <v>17.399999999999999</v>
      </c>
      <c r="V407" s="1">
        <f t="shared" ca="1" si="119"/>
        <v>4.18445674044266</v>
      </c>
      <c r="W407" s="1">
        <f t="shared" ca="1" si="119"/>
        <v>0</v>
      </c>
      <c r="X407" s="1">
        <f t="shared" ca="1" si="119"/>
        <v>0</v>
      </c>
      <c r="Y407" s="1">
        <f t="shared" ca="1" si="119"/>
        <v>0</v>
      </c>
      <c r="Z407" s="1">
        <f t="shared" ca="1" si="119"/>
        <v>0</v>
      </c>
      <c r="AA407" s="1">
        <f t="shared" ca="1" si="119"/>
        <v>0</v>
      </c>
      <c r="AB407" s="1">
        <f t="shared" ca="1" si="117"/>
        <v>0</v>
      </c>
      <c r="AC407" s="1">
        <f t="shared" ca="1" si="119"/>
        <v>19.1251125</v>
      </c>
      <c r="AD407" s="1">
        <f t="shared" ca="1" si="119"/>
        <v>19.1251125</v>
      </c>
      <c r="AE407" s="1">
        <f t="shared" ca="1" si="119"/>
        <v>19.1251125</v>
      </c>
      <c r="AF407" s="1">
        <f t="shared" ca="1" si="119"/>
        <v>19.1251125</v>
      </c>
      <c r="AG407" s="1">
        <f t="shared" ca="1" si="119"/>
        <v>19.1251125</v>
      </c>
      <c r="AH407" s="1">
        <f t="shared" ca="1" si="119"/>
        <v>19.1251125</v>
      </c>
      <c r="AI407" s="1">
        <f t="shared" ca="1" si="120"/>
        <v>19.1251125</v>
      </c>
    </row>
    <row r="408" spans="2:35" x14ac:dyDescent="0.15">
      <c r="B408" s="1" t="str">
        <f t="shared" si="115"/>
        <v>金属系10</v>
      </c>
      <c r="C408" s="1">
        <f t="shared" si="105"/>
        <v>10</v>
      </c>
      <c r="D408" s="14" t="s">
        <v>94</v>
      </c>
      <c r="E408" s="14">
        <f t="shared" si="106"/>
        <v>5</v>
      </c>
      <c r="F408" s="1" t="str">
        <f t="shared" si="113"/>
        <v>物理</v>
      </c>
      <c r="H408" s="1">
        <f t="shared" ca="1" si="114"/>
        <v>373.21837166741778</v>
      </c>
      <c r="I408" s="1">
        <f t="shared" ca="1" si="118"/>
        <v>100</v>
      </c>
      <c r="J408" s="1">
        <f t="shared" ca="1" si="118"/>
        <v>99.4756838905775</v>
      </c>
      <c r="K408" s="1">
        <f t="shared" ca="1" si="118"/>
        <v>21.250125000000001</v>
      </c>
      <c r="L408" s="1">
        <f t="shared" ca="1" si="118"/>
        <v>99.4756838905775</v>
      </c>
      <c r="M408" s="1">
        <f t="shared" ca="1" si="118"/>
        <v>14.16675</v>
      </c>
      <c r="N408" s="1">
        <f t="shared" ca="1" si="118"/>
        <v>0.2</v>
      </c>
      <c r="O408" s="1">
        <f t="shared" ca="1" si="118"/>
        <v>0.2</v>
      </c>
      <c r="P408" s="1">
        <f t="shared" ca="1" si="118"/>
        <v>0.36</v>
      </c>
      <c r="Q408" s="1">
        <f t="shared" ca="1" si="118"/>
        <v>0.1</v>
      </c>
      <c r="R408" s="1">
        <f t="shared" ca="1" si="118"/>
        <v>2.4</v>
      </c>
      <c r="S408" s="1">
        <f t="shared" ca="1" si="119"/>
        <v>0.1</v>
      </c>
      <c r="T408" s="1">
        <f t="shared" ca="1" si="119"/>
        <v>0.9</v>
      </c>
      <c r="U408" s="1">
        <f t="shared" ca="1" si="119"/>
        <v>19.3333333333333</v>
      </c>
      <c r="V408" s="1">
        <f t="shared" ca="1" si="119"/>
        <v>5.2355623100304003</v>
      </c>
      <c r="W408" s="1">
        <f t="shared" ca="1" si="119"/>
        <v>0</v>
      </c>
      <c r="X408" s="1">
        <f t="shared" ca="1" si="119"/>
        <v>0</v>
      </c>
      <c r="Y408" s="1">
        <f t="shared" ca="1" si="119"/>
        <v>0</v>
      </c>
      <c r="Z408" s="1">
        <f t="shared" ca="1" si="119"/>
        <v>0</v>
      </c>
      <c r="AA408" s="1">
        <f t="shared" ca="1" si="119"/>
        <v>0</v>
      </c>
      <c r="AB408" s="1">
        <f t="shared" ca="1" si="117"/>
        <v>0</v>
      </c>
      <c r="AC408" s="1">
        <f t="shared" ca="1" si="119"/>
        <v>21.250125000000001</v>
      </c>
      <c r="AD408" s="1">
        <f t="shared" ca="1" si="119"/>
        <v>21.250125000000001</v>
      </c>
      <c r="AE408" s="1">
        <f t="shared" ca="1" si="119"/>
        <v>21.250125000000001</v>
      </c>
      <c r="AF408" s="1">
        <f t="shared" ca="1" si="119"/>
        <v>21.250125000000001</v>
      </c>
      <c r="AG408" s="1">
        <f t="shared" ca="1" si="119"/>
        <v>21.250125000000001</v>
      </c>
      <c r="AH408" s="1">
        <f t="shared" ca="1" si="119"/>
        <v>21.250125000000001</v>
      </c>
      <c r="AI408" s="1">
        <f t="shared" ca="1" si="120"/>
        <v>21.250125000000001</v>
      </c>
    </row>
    <row r="409" spans="2:35" x14ac:dyDescent="0.15">
      <c r="B409" s="1" t="str">
        <f t="shared" si="115"/>
        <v>金属系11</v>
      </c>
      <c r="C409" s="1">
        <f t="shared" si="105"/>
        <v>11</v>
      </c>
      <c r="D409" s="14" t="s">
        <v>94</v>
      </c>
      <c r="E409" s="14">
        <f t="shared" si="106"/>
        <v>5</v>
      </c>
      <c r="F409" s="1" t="str">
        <f t="shared" si="113"/>
        <v>物理</v>
      </c>
      <c r="H409" s="1">
        <f t="shared" ca="1" si="114"/>
        <v>413.12222272619863</v>
      </c>
      <c r="I409" s="1">
        <f t="shared" ca="1" si="118"/>
        <v>100</v>
      </c>
      <c r="J409" s="1">
        <f t="shared" ca="1" si="118"/>
        <v>110.314285714286</v>
      </c>
      <c r="K409" s="1">
        <f t="shared" ca="1" si="118"/>
        <v>23.375137500000001</v>
      </c>
      <c r="L409" s="1">
        <f t="shared" ca="1" si="118"/>
        <v>110.314285714286</v>
      </c>
      <c r="M409" s="1">
        <f t="shared" ca="1" si="118"/>
        <v>15.583425</v>
      </c>
      <c r="N409" s="1">
        <f t="shared" ca="1" si="118"/>
        <v>0.2</v>
      </c>
      <c r="O409" s="1">
        <f t="shared" ca="1" si="118"/>
        <v>0.2</v>
      </c>
      <c r="P409" s="1">
        <f t="shared" ca="1" si="118"/>
        <v>0.36</v>
      </c>
      <c r="Q409" s="1">
        <f t="shared" ca="1" si="118"/>
        <v>0.1</v>
      </c>
      <c r="R409" s="1">
        <f t="shared" ca="1" si="118"/>
        <v>2.4</v>
      </c>
      <c r="S409" s="1">
        <f t="shared" ca="1" si="119"/>
        <v>0.1</v>
      </c>
      <c r="T409" s="1">
        <f t="shared" ca="1" si="119"/>
        <v>0.9</v>
      </c>
      <c r="U409" s="1">
        <f t="shared" ca="1" si="119"/>
        <v>21.266666666666701</v>
      </c>
      <c r="V409" s="1">
        <f t="shared" ca="1" si="119"/>
        <v>6.4204081632653098</v>
      </c>
      <c r="W409" s="1">
        <f t="shared" ca="1" si="119"/>
        <v>0</v>
      </c>
      <c r="X409" s="1">
        <f t="shared" ca="1" si="119"/>
        <v>0</v>
      </c>
      <c r="Y409" s="1">
        <f t="shared" ca="1" si="119"/>
        <v>0</v>
      </c>
      <c r="Z409" s="1">
        <f t="shared" ca="1" si="119"/>
        <v>0</v>
      </c>
      <c r="AA409" s="1">
        <f t="shared" ca="1" si="119"/>
        <v>0</v>
      </c>
      <c r="AB409" s="1">
        <f t="shared" ca="1" si="119"/>
        <v>0</v>
      </c>
      <c r="AC409" s="1">
        <f t="shared" ca="1" si="119"/>
        <v>23.375137500000001</v>
      </c>
      <c r="AD409" s="1">
        <f t="shared" ca="1" si="119"/>
        <v>23.375137500000001</v>
      </c>
      <c r="AE409" s="1">
        <f t="shared" ca="1" si="119"/>
        <v>23.375137500000001</v>
      </c>
      <c r="AF409" s="1">
        <f t="shared" ca="1" si="119"/>
        <v>23.375137500000001</v>
      </c>
      <c r="AG409" s="1">
        <f t="shared" ca="1" si="119"/>
        <v>23.375137500000001</v>
      </c>
      <c r="AH409" s="1">
        <f t="shared" ca="1" si="119"/>
        <v>23.375137500000001</v>
      </c>
      <c r="AI409" s="1">
        <f t="shared" ca="1" si="120"/>
        <v>23.375137500000001</v>
      </c>
    </row>
    <row r="410" spans="2:35" x14ac:dyDescent="0.15">
      <c r="B410" s="1" t="str">
        <f t="shared" si="115"/>
        <v>金属系12</v>
      </c>
      <c r="C410" s="1">
        <f t="shared" si="105"/>
        <v>12</v>
      </c>
      <c r="D410" s="14" t="s">
        <v>94</v>
      </c>
      <c r="E410" s="14">
        <f t="shared" si="106"/>
        <v>5</v>
      </c>
      <c r="F410" s="1" t="str">
        <f t="shared" si="113"/>
        <v>物理</v>
      </c>
      <c r="H410" s="1">
        <f t="shared" ca="1" si="114"/>
        <v>476.51308734063895</v>
      </c>
      <c r="I410" s="1">
        <f t="shared" ca="1" si="118"/>
        <v>100</v>
      </c>
      <c r="J410" s="1">
        <f t="shared" ca="1" si="118"/>
        <v>121.320863309353</v>
      </c>
      <c r="K410" s="1">
        <f t="shared" ca="1" si="118"/>
        <v>25.500149999999998</v>
      </c>
      <c r="L410" s="1">
        <f t="shared" ca="1" si="118"/>
        <v>121.320863309353</v>
      </c>
      <c r="M410" s="1">
        <f t="shared" ca="1" si="118"/>
        <v>17.0001</v>
      </c>
      <c r="N410" s="1">
        <f t="shared" ca="1" si="118"/>
        <v>0.2</v>
      </c>
      <c r="O410" s="1">
        <f t="shared" ca="1" si="118"/>
        <v>0.2</v>
      </c>
      <c r="P410" s="1">
        <f t="shared" ca="1" si="118"/>
        <v>0.36</v>
      </c>
      <c r="Q410" s="1">
        <f t="shared" ca="1" si="118"/>
        <v>0.1</v>
      </c>
      <c r="R410" s="1">
        <f t="shared" ca="1" si="118"/>
        <v>2.4</v>
      </c>
      <c r="S410" s="1">
        <f t="shared" ca="1" si="119"/>
        <v>0.1</v>
      </c>
      <c r="T410" s="1">
        <f t="shared" ca="1" si="119"/>
        <v>0.9</v>
      </c>
      <c r="U410" s="1">
        <f t="shared" ca="1" si="119"/>
        <v>23.2</v>
      </c>
      <c r="V410" s="1">
        <f t="shared" ca="1" si="119"/>
        <v>7.7438848920863297</v>
      </c>
      <c r="W410" s="1">
        <f t="shared" ca="1" si="119"/>
        <v>0</v>
      </c>
      <c r="X410" s="1">
        <f t="shared" ca="1" si="119"/>
        <v>0</v>
      </c>
      <c r="Y410" s="1">
        <f t="shared" ca="1" si="119"/>
        <v>0</v>
      </c>
      <c r="Z410" s="1">
        <f t="shared" ca="1" si="119"/>
        <v>0</v>
      </c>
      <c r="AA410" s="1">
        <f t="shared" ca="1" si="119"/>
        <v>0</v>
      </c>
      <c r="AB410" s="1">
        <f t="shared" ca="1" si="119"/>
        <v>0</v>
      </c>
      <c r="AC410" s="1">
        <f t="shared" ca="1" si="119"/>
        <v>25.500149999999998</v>
      </c>
      <c r="AD410" s="1">
        <f t="shared" ca="1" si="119"/>
        <v>25.500149999999998</v>
      </c>
      <c r="AE410" s="1">
        <f t="shared" ca="1" si="119"/>
        <v>25.500149999999998</v>
      </c>
      <c r="AF410" s="1">
        <f t="shared" ca="1" si="119"/>
        <v>25.500149999999998</v>
      </c>
      <c r="AG410" s="1">
        <f t="shared" ca="1" si="119"/>
        <v>25.500149999999998</v>
      </c>
      <c r="AH410" s="1">
        <f t="shared" ca="1" si="119"/>
        <v>25.500149999999998</v>
      </c>
      <c r="AI410" s="1">
        <f t="shared" ca="1" si="120"/>
        <v>25.500149999999998</v>
      </c>
    </row>
    <row r="411" spans="2:35" x14ac:dyDescent="0.15">
      <c r="B411" s="1" t="str">
        <f t="shared" si="115"/>
        <v>金属系13</v>
      </c>
      <c r="C411" s="1">
        <f t="shared" si="105"/>
        <v>13</v>
      </c>
      <c r="D411" s="14" t="s">
        <v>94</v>
      </c>
      <c r="E411" s="14">
        <f t="shared" si="106"/>
        <v>5</v>
      </c>
      <c r="F411" s="1" t="str">
        <f t="shared" si="113"/>
        <v>物理</v>
      </c>
      <c r="H411" s="1">
        <f t="shared" ca="1" si="114"/>
        <v>519.42886228746579</v>
      </c>
      <c r="I411" s="1">
        <f t="shared" ca="1" si="118"/>
        <v>100</v>
      </c>
      <c r="J411" s="1">
        <f t="shared" ca="1" si="118"/>
        <v>132.49704968944101</v>
      </c>
      <c r="K411" s="1">
        <f t="shared" ca="1" si="118"/>
        <v>27.625162500000002</v>
      </c>
      <c r="L411" s="1">
        <f t="shared" ca="1" si="118"/>
        <v>132.49704968944101</v>
      </c>
      <c r="M411" s="1">
        <f t="shared" ca="1" si="118"/>
        <v>18.416775000000001</v>
      </c>
      <c r="N411" s="1">
        <f t="shared" ca="1" si="118"/>
        <v>0.2</v>
      </c>
      <c r="O411" s="1">
        <f t="shared" ca="1" si="118"/>
        <v>0.2</v>
      </c>
      <c r="P411" s="1">
        <f t="shared" ca="1" si="118"/>
        <v>0.36</v>
      </c>
      <c r="Q411" s="1">
        <f t="shared" ca="1" si="118"/>
        <v>0.1</v>
      </c>
      <c r="R411" s="1">
        <f t="shared" ca="1" si="118"/>
        <v>2.4</v>
      </c>
      <c r="S411" s="1">
        <f t="shared" ca="1" si="119"/>
        <v>0.1</v>
      </c>
      <c r="T411" s="1">
        <f t="shared" ca="1" si="119"/>
        <v>0.9</v>
      </c>
      <c r="U411" s="1">
        <f t="shared" ca="1" si="119"/>
        <v>25.133333333333301</v>
      </c>
      <c r="V411" s="1">
        <f t="shared" ca="1" si="119"/>
        <v>9.2110248447204999</v>
      </c>
      <c r="W411" s="1">
        <f t="shared" ca="1" si="119"/>
        <v>0</v>
      </c>
      <c r="X411" s="1">
        <f t="shared" ca="1" si="119"/>
        <v>0</v>
      </c>
      <c r="Y411" s="1">
        <f t="shared" ca="1" si="119"/>
        <v>0</v>
      </c>
      <c r="Z411" s="1">
        <f t="shared" ca="1" si="119"/>
        <v>0</v>
      </c>
      <c r="AA411" s="1">
        <f t="shared" ca="1" si="119"/>
        <v>0</v>
      </c>
      <c r="AB411" s="1">
        <f t="shared" ca="1" si="119"/>
        <v>0</v>
      </c>
      <c r="AC411" s="1">
        <f t="shared" ca="1" si="119"/>
        <v>27.625162500000002</v>
      </c>
      <c r="AD411" s="1">
        <f t="shared" ca="1" si="119"/>
        <v>27.625162500000002</v>
      </c>
      <c r="AE411" s="1">
        <f t="shared" ca="1" si="119"/>
        <v>27.625162500000002</v>
      </c>
      <c r="AF411" s="1">
        <f t="shared" ca="1" si="119"/>
        <v>27.625162500000002</v>
      </c>
      <c r="AG411" s="1">
        <f t="shared" ca="1" si="119"/>
        <v>27.625162500000002</v>
      </c>
      <c r="AH411" s="1">
        <f t="shared" ca="1" si="119"/>
        <v>27.625162500000002</v>
      </c>
      <c r="AI411" s="1">
        <f t="shared" ca="1" si="120"/>
        <v>27.625162500000002</v>
      </c>
    </row>
    <row r="412" spans="2:35" x14ac:dyDescent="0.15">
      <c r="B412" s="1" t="str">
        <f t="shared" si="115"/>
        <v>金属系14</v>
      </c>
      <c r="C412" s="1">
        <f t="shared" si="105"/>
        <v>14</v>
      </c>
      <c r="D412" s="14" t="s">
        <v>94</v>
      </c>
      <c r="E412" s="14">
        <f t="shared" si="106"/>
        <v>5</v>
      </c>
      <c r="F412" s="1" t="str">
        <f t="shared" si="113"/>
        <v>物理</v>
      </c>
      <c r="H412" s="1">
        <f t="shared" ca="1" si="114"/>
        <v>562.83792200379742</v>
      </c>
      <c r="I412" s="1">
        <f t="shared" ca="1" si="118"/>
        <v>100</v>
      </c>
      <c r="J412" s="1">
        <f t="shared" ca="1" si="118"/>
        <v>143.84452554744499</v>
      </c>
      <c r="K412" s="1">
        <f t="shared" ca="1" si="118"/>
        <v>29.750174999999999</v>
      </c>
      <c r="L412" s="1">
        <f t="shared" ca="1" si="118"/>
        <v>143.84452554744499</v>
      </c>
      <c r="M412" s="1">
        <f t="shared" ca="1" si="118"/>
        <v>19.833449999999999</v>
      </c>
      <c r="N412" s="1">
        <f t="shared" ca="1" si="118"/>
        <v>0.2</v>
      </c>
      <c r="O412" s="1">
        <f t="shared" ca="1" si="118"/>
        <v>0.2</v>
      </c>
      <c r="P412" s="1">
        <f t="shared" ca="1" si="118"/>
        <v>0.36</v>
      </c>
      <c r="Q412" s="1">
        <f t="shared" ca="1" si="118"/>
        <v>0.1</v>
      </c>
      <c r="R412" s="1">
        <f t="shared" ca="1" si="118"/>
        <v>2.4</v>
      </c>
      <c r="S412" s="1">
        <f t="shared" ca="1" si="119"/>
        <v>0.1</v>
      </c>
      <c r="T412" s="1">
        <f t="shared" ca="1" si="119"/>
        <v>0.9</v>
      </c>
      <c r="U412" s="1">
        <f t="shared" ca="1" si="119"/>
        <v>27.066666666666698</v>
      </c>
      <c r="V412" s="1">
        <f t="shared" ca="1" si="119"/>
        <v>10.8270072992701</v>
      </c>
      <c r="W412" s="1">
        <f t="shared" ca="1" si="119"/>
        <v>0</v>
      </c>
      <c r="X412" s="1">
        <f t="shared" ca="1" si="119"/>
        <v>0</v>
      </c>
      <c r="Y412" s="1">
        <f t="shared" ca="1" si="119"/>
        <v>0</v>
      </c>
      <c r="Z412" s="1">
        <f t="shared" ca="1" si="119"/>
        <v>0</v>
      </c>
      <c r="AA412" s="1">
        <f t="shared" ca="1" si="119"/>
        <v>0</v>
      </c>
      <c r="AB412" s="1">
        <f t="shared" ca="1" si="119"/>
        <v>0</v>
      </c>
      <c r="AC412" s="1">
        <f t="shared" ca="1" si="119"/>
        <v>29.750174999999999</v>
      </c>
      <c r="AD412" s="1">
        <f t="shared" ca="1" si="119"/>
        <v>29.750174999999999</v>
      </c>
      <c r="AE412" s="1">
        <f t="shared" ca="1" si="119"/>
        <v>29.750174999999999</v>
      </c>
      <c r="AF412" s="1">
        <f t="shared" ca="1" si="119"/>
        <v>29.750174999999999</v>
      </c>
      <c r="AG412" s="1">
        <f t="shared" ca="1" si="119"/>
        <v>29.750174999999999</v>
      </c>
      <c r="AH412" s="1">
        <f t="shared" ca="1" si="119"/>
        <v>29.750174999999999</v>
      </c>
      <c r="AI412" s="1">
        <f t="shared" ca="1" si="120"/>
        <v>29.750174999999999</v>
      </c>
    </row>
    <row r="413" spans="2:35" x14ac:dyDescent="0.15">
      <c r="B413" s="1" t="str">
        <f t="shared" si="115"/>
        <v>金属系15</v>
      </c>
      <c r="C413" s="1">
        <f t="shared" si="105"/>
        <v>15</v>
      </c>
      <c r="D413" s="14" t="s">
        <v>94</v>
      </c>
      <c r="E413" s="14">
        <f t="shared" si="106"/>
        <v>5</v>
      </c>
      <c r="F413" s="1" t="str">
        <f t="shared" si="113"/>
        <v>物理</v>
      </c>
      <c r="H413" s="1">
        <f t="shared" ca="1" si="114"/>
        <v>606.74026648963229</v>
      </c>
      <c r="I413" s="1">
        <f t="shared" ref="I413:R422" ca="1" si="121">mVlookup($C413,monsterBaseDate,I$2,FALSE)*(1+mVlookup($E413,monsterType,I$2,FALSE))</f>
        <v>100</v>
      </c>
      <c r="J413" s="1">
        <f t="shared" ca="1" si="121"/>
        <v>155.365021008403</v>
      </c>
      <c r="K413" s="1">
        <f t="shared" ca="1" si="121"/>
        <v>31.875187500000003</v>
      </c>
      <c r="L413" s="1">
        <f t="shared" ca="1" si="121"/>
        <v>155.365021008403</v>
      </c>
      <c r="M413" s="1">
        <f t="shared" ca="1" si="121"/>
        <v>21.250125000000001</v>
      </c>
      <c r="N413" s="1">
        <f t="shared" ca="1" si="121"/>
        <v>0.2</v>
      </c>
      <c r="O413" s="1">
        <f t="shared" ca="1" si="121"/>
        <v>0.2</v>
      </c>
      <c r="P413" s="1">
        <f t="shared" ca="1" si="121"/>
        <v>0.36</v>
      </c>
      <c r="Q413" s="1">
        <f t="shared" ca="1" si="121"/>
        <v>0.1</v>
      </c>
      <c r="R413" s="1">
        <f t="shared" ca="1" si="121"/>
        <v>2.4</v>
      </c>
      <c r="S413" s="1">
        <f t="shared" ref="S413:AH428" ca="1" si="122">mVlookup($C413,monsterBaseDate,S$2,FALSE)*(1+mVlookup($E413,monsterType,S$2,FALSE))</f>
        <v>0.1</v>
      </c>
      <c r="T413" s="1">
        <f t="shared" ca="1" si="122"/>
        <v>0.9</v>
      </c>
      <c r="U413" s="1">
        <f t="shared" ca="1" si="122"/>
        <v>29</v>
      </c>
      <c r="V413" s="1">
        <f t="shared" ca="1" si="122"/>
        <v>12.5971638655462</v>
      </c>
      <c r="W413" s="1">
        <f t="shared" ca="1" si="122"/>
        <v>0</v>
      </c>
      <c r="X413" s="1">
        <f t="shared" ca="1" si="122"/>
        <v>0</v>
      </c>
      <c r="Y413" s="1">
        <f t="shared" ca="1" si="122"/>
        <v>0</v>
      </c>
      <c r="Z413" s="1">
        <f t="shared" ca="1" si="122"/>
        <v>0</v>
      </c>
      <c r="AA413" s="1">
        <f t="shared" ca="1" si="122"/>
        <v>0</v>
      </c>
      <c r="AB413" s="1">
        <f t="shared" ca="1" si="119"/>
        <v>0</v>
      </c>
      <c r="AC413" s="1">
        <f t="shared" ca="1" si="122"/>
        <v>31.875187500000003</v>
      </c>
      <c r="AD413" s="1">
        <f t="shared" ca="1" si="122"/>
        <v>31.875187500000003</v>
      </c>
      <c r="AE413" s="1">
        <f t="shared" ca="1" si="122"/>
        <v>31.875187500000003</v>
      </c>
      <c r="AF413" s="1">
        <f t="shared" ca="1" si="122"/>
        <v>31.875187500000003</v>
      </c>
      <c r="AG413" s="1">
        <f t="shared" ca="1" si="122"/>
        <v>31.875187500000003</v>
      </c>
      <c r="AH413" s="1">
        <f t="shared" ca="1" si="122"/>
        <v>31.875187500000003</v>
      </c>
      <c r="AI413" s="1">
        <f t="shared" ca="1" si="120"/>
        <v>31.875187500000003</v>
      </c>
    </row>
    <row r="414" spans="2:35" x14ac:dyDescent="0.15">
      <c r="B414" s="1" t="str">
        <f t="shared" si="115"/>
        <v>金属系16</v>
      </c>
      <c r="C414" s="1">
        <f t="shared" si="105"/>
        <v>16</v>
      </c>
      <c r="D414" s="14" t="s">
        <v>94</v>
      </c>
      <c r="E414" s="14">
        <f t="shared" si="106"/>
        <v>5</v>
      </c>
      <c r="F414" s="1" t="str">
        <f t="shared" si="113"/>
        <v>物理</v>
      </c>
      <c r="H414" s="1">
        <f t="shared" ca="1" si="114"/>
        <v>651.13589574497189</v>
      </c>
      <c r="I414" s="1">
        <f t="shared" ca="1" si="121"/>
        <v>100</v>
      </c>
      <c r="J414" s="1">
        <f t="shared" ca="1" si="121"/>
        <v>167.06031746031701</v>
      </c>
      <c r="K414" s="1">
        <f t="shared" ca="1" si="121"/>
        <v>34.0002</v>
      </c>
      <c r="L414" s="1">
        <f t="shared" ca="1" si="121"/>
        <v>167.06031746031701</v>
      </c>
      <c r="M414" s="1">
        <f t="shared" ca="1" si="121"/>
        <v>22.666799999999999</v>
      </c>
      <c r="N414" s="1">
        <f t="shared" ca="1" si="121"/>
        <v>0.2</v>
      </c>
      <c r="O414" s="1">
        <f t="shared" ca="1" si="121"/>
        <v>0.2</v>
      </c>
      <c r="P414" s="1">
        <f t="shared" ca="1" si="121"/>
        <v>0.36</v>
      </c>
      <c r="Q414" s="1">
        <f t="shared" ca="1" si="121"/>
        <v>0.1</v>
      </c>
      <c r="R414" s="1">
        <f t="shared" ca="1" si="121"/>
        <v>2.4</v>
      </c>
      <c r="S414" s="1">
        <f t="shared" ca="1" si="122"/>
        <v>0.1</v>
      </c>
      <c r="T414" s="1">
        <f t="shared" ca="1" si="122"/>
        <v>0.9</v>
      </c>
      <c r="U414" s="1">
        <f t="shared" ca="1" si="122"/>
        <v>30.933333333333302</v>
      </c>
      <c r="V414" s="1">
        <f t="shared" ca="1" si="122"/>
        <v>14.5269841269841</v>
      </c>
      <c r="W414" s="1">
        <f t="shared" ca="1" si="122"/>
        <v>0</v>
      </c>
      <c r="X414" s="1">
        <f t="shared" ca="1" si="122"/>
        <v>0</v>
      </c>
      <c r="Y414" s="1">
        <f t="shared" ca="1" si="122"/>
        <v>0</v>
      </c>
      <c r="Z414" s="1">
        <f t="shared" ca="1" si="122"/>
        <v>0</v>
      </c>
      <c r="AA414" s="1">
        <f t="shared" ca="1" si="122"/>
        <v>0</v>
      </c>
      <c r="AB414" s="1">
        <f t="shared" ca="1" si="119"/>
        <v>0</v>
      </c>
      <c r="AC414" s="1">
        <f t="shared" ca="1" si="122"/>
        <v>34.0002</v>
      </c>
      <c r="AD414" s="1">
        <f t="shared" ca="1" si="122"/>
        <v>34.0002</v>
      </c>
      <c r="AE414" s="1">
        <f t="shared" ca="1" si="122"/>
        <v>34.0002</v>
      </c>
      <c r="AF414" s="1">
        <f t="shared" ca="1" si="122"/>
        <v>34.0002</v>
      </c>
      <c r="AG414" s="1">
        <f t="shared" ca="1" si="122"/>
        <v>34.0002</v>
      </c>
      <c r="AH414" s="1">
        <f t="shared" ca="1" si="122"/>
        <v>34.0002</v>
      </c>
      <c r="AI414" s="1">
        <f t="shared" ca="1" si="120"/>
        <v>34.0002</v>
      </c>
    </row>
    <row r="415" spans="2:35" x14ac:dyDescent="0.15">
      <c r="B415" s="1" t="str">
        <f t="shared" si="115"/>
        <v>金属系17</v>
      </c>
      <c r="C415" s="1">
        <f t="shared" si="105"/>
        <v>17</v>
      </c>
      <c r="D415" s="14" t="s">
        <v>94</v>
      </c>
      <c r="E415" s="14">
        <f t="shared" si="106"/>
        <v>5</v>
      </c>
      <c r="F415" s="1" t="str">
        <f t="shared" si="113"/>
        <v>物理</v>
      </c>
      <c r="H415" s="1">
        <f t="shared" ca="1" si="114"/>
        <v>696.02480976981462</v>
      </c>
      <c r="I415" s="1">
        <f t="shared" ca="1" si="121"/>
        <v>100</v>
      </c>
      <c r="J415" s="1">
        <f t="shared" ca="1" si="121"/>
        <v>178.93224946695099</v>
      </c>
      <c r="K415" s="1">
        <f t="shared" ca="1" si="121"/>
        <v>36.125212500000004</v>
      </c>
      <c r="L415" s="1">
        <f t="shared" ca="1" si="121"/>
        <v>178.93224946695099</v>
      </c>
      <c r="M415" s="1">
        <f t="shared" ca="1" si="121"/>
        <v>24.083475</v>
      </c>
      <c r="N415" s="1">
        <f t="shared" ca="1" si="121"/>
        <v>0.2</v>
      </c>
      <c r="O415" s="1">
        <f t="shared" ca="1" si="121"/>
        <v>0.2</v>
      </c>
      <c r="P415" s="1">
        <f t="shared" ca="1" si="121"/>
        <v>0.36</v>
      </c>
      <c r="Q415" s="1">
        <f t="shared" ca="1" si="121"/>
        <v>0.1</v>
      </c>
      <c r="R415" s="1">
        <f t="shared" ca="1" si="121"/>
        <v>2.4</v>
      </c>
      <c r="S415" s="1">
        <f t="shared" ca="1" si="122"/>
        <v>0.1</v>
      </c>
      <c r="T415" s="1">
        <f t="shared" ca="1" si="122"/>
        <v>0.9</v>
      </c>
      <c r="U415" s="1">
        <f t="shared" ca="1" si="122"/>
        <v>32.866666666666703</v>
      </c>
      <c r="V415" s="1">
        <f t="shared" ca="1" si="122"/>
        <v>16.622121535181201</v>
      </c>
      <c r="W415" s="1">
        <f t="shared" ca="1" si="122"/>
        <v>0</v>
      </c>
      <c r="X415" s="1">
        <f t="shared" ca="1" si="122"/>
        <v>0</v>
      </c>
      <c r="Y415" s="1">
        <f t="shared" ca="1" si="122"/>
        <v>0</v>
      </c>
      <c r="Z415" s="1">
        <f t="shared" ca="1" si="122"/>
        <v>0</v>
      </c>
      <c r="AA415" s="1">
        <f t="shared" ca="1" si="122"/>
        <v>0</v>
      </c>
      <c r="AB415" s="1">
        <f t="shared" ca="1" si="119"/>
        <v>0</v>
      </c>
      <c r="AC415" s="1">
        <f t="shared" ca="1" si="122"/>
        <v>36.125212500000004</v>
      </c>
      <c r="AD415" s="1">
        <f t="shared" ca="1" si="122"/>
        <v>36.125212500000004</v>
      </c>
      <c r="AE415" s="1">
        <f t="shared" ca="1" si="122"/>
        <v>36.125212500000004</v>
      </c>
      <c r="AF415" s="1">
        <f t="shared" ca="1" si="122"/>
        <v>36.125212500000004</v>
      </c>
      <c r="AG415" s="1">
        <f t="shared" ca="1" si="122"/>
        <v>36.125212500000004</v>
      </c>
      <c r="AH415" s="1">
        <f t="shared" ca="1" si="122"/>
        <v>36.125212500000004</v>
      </c>
      <c r="AI415" s="1">
        <f t="shared" ca="1" si="120"/>
        <v>36.125212500000004</v>
      </c>
    </row>
    <row r="416" spans="2:35" x14ac:dyDescent="0.15">
      <c r="B416" s="1" t="str">
        <f t="shared" si="115"/>
        <v>金属系18</v>
      </c>
      <c r="C416" s="1">
        <f t="shared" si="105"/>
        <v>18</v>
      </c>
      <c r="D416" s="14" t="s">
        <v>94</v>
      </c>
      <c r="E416" s="14">
        <f t="shared" si="106"/>
        <v>5</v>
      </c>
      <c r="F416" s="1" t="str">
        <f t="shared" si="113"/>
        <v>物理</v>
      </c>
      <c r="H416" s="1">
        <f t="shared" ca="1" si="114"/>
        <v>741.40700856416208</v>
      </c>
      <c r="I416" s="1">
        <f t="shared" ca="1" si="121"/>
        <v>100</v>
      </c>
      <c r="J416" s="1">
        <f t="shared" ca="1" si="121"/>
        <v>190.982706766917</v>
      </c>
      <c r="K416" s="1">
        <f t="shared" ca="1" si="121"/>
        <v>38.250225</v>
      </c>
      <c r="L416" s="1">
        <f t="shared" ca="1" si="121"/>
        <v>190.982706766917</v>
      </c>
      <c r="M416" s="1">
        <f t="shared" ca="1" si="121"/>
        <v>25.500150000000001</v>
      </c>
      <c r="N416" s="1">
        <f t="shared" ca="1" si="121"/>
        <v>0.2</v>
      </c>
      <c r="O416" s="1">
        <f t="shared" ca="1" si="121"/>
        <v>0.2</v>
      </c>
      <c r="P416" s="1">
        <f t="shared" ca="1" si="121"/>
        <v>0.36</v>
      </c>
      <c r="Q416" s="1">
        <f t="shared" ca="1" si="121"/>
        <v>0.1</v>
      </c>
      <c r="R416" s="1">
        <f t="shared" ca="1" si="121"/>
        <v>2.4</v>
      </c>
      <c r="S416" s="1">
        <f t="shared" ca="1" si="122"/>
        <v>0.1</v>
      </c>
      <c r="T416" s="1">
        <f t="shared" ca="1" si="122"/>
        <v>0.9</v>
      </c>
      <c r="U416" s="1">
        <f t="shared" ca="1" si="122"/>
        <v>34.799999999999997</v>
      </c>
      <c r="V416" s="1">
        <f t="shared" ca="1" si="122"/>
        <v>18.888399570354501</v>
      </c>
      <c r="W416" s="1">
        <f t="shared" ca="1" si="122"/>
        <v>0</v>
      </c>
      <c r="X416" s="1">
        <f t="shared" ca="1" si="122"/>
        <v>0</v>
      </c>
      <c r="Y416" s="1">
        <f t="shared" ca="1" si="122"/>
        <v>0</v>
      </c>
      <c r="Z416" s="1">
        <f t="shared" ca="1" si="122"/>
        <v>0</v>
      </c>
      <c r="AA416" s="1">
        <f t="shared" ca="1" si="122"/>
        <v>0</v>
      </c>
      <c r="AB416" s="1">
        <f t="shared" ca="1" si="119"/>
        <v>0</v>
      </c>
      <c r="AC416" s="1">
        <f t="shared" ca="1" si="122"/>
        <v>38.250225</v>
      </c>
      <c r="AD416" s="1">
        <f t="shared" ca="1" si="122"/>
        <v>38.250225</v>
      </c>
      <c r="AE416" s="1">
        <f t="shared" ca="1" si="122"/>
        <v>38.250225</v>
      </c>
      <c r="AF416" s="1">
        <f t="shared" ca="1" si="122"/>
        <v>38.250225</v>
      </c>
      <c r="AG416" s="1">
        <f t="shared" ca="1" si="122"/>
        <v>38.250225</v>
      </c>
      <c r="AH416" s="1">
        <f t="shared" ca="1" si="122"/>
        <v>38.250225</v>
      </c>
      <c r="AI416" s="1">
        <f t="shared" ca="1" si="120"/>
        <v>38.250225</v>
      </c>
    </row>
    <row r="417" spans="2:35" x14ac:dyDescent="0.15">
      <c r="B417" s="1" t="str">
        <f t="shared" si="115"/>
        <v>金属系19</v>
      </c>
      <c r="C417" s="1">
        <f t="shared" si="105"/>
        <v>19</v>
      </c>
      <c r="D417" s="14" t="s">
        <v>94</v>
      </c>
      <c r="E417" s="14">
        <f t="shared" si="106"/>
        <v>5</v>
      </c>
      <c r="F417" s="1" t="str">
        <f t="shared" si="113"/>
        <v>物理</v>
      </c>
      <c r="H417" s="1">
        <f t="shared" ca="1" si="114"/>
        <v>787.2824921280112</v>
      </c>
      <c r="I417" s="1">
        <f t="shared" ca="1" si="121"/>
        <v>100</v>
      </c>
      <c r="J417" s="1">
        <f t="shared" ca="1" si="121"/>
        <v>203.213636363636</v>
      </c>
      <c r="K417" s="1">
        <f t="shared" ca="1" si="121"/>
        <v>40.375237499999997</v>
      </c>
      <c r="L417" s="1">
        <f t="shared" ca="1" si="121"/>
        <v>203.213636363636</v>
      </c>
      <c r="M417" s="1">
        <f t="shared" ca="1" si="121"/>
        <v>26.916824999999999</v>
      </c>
      <c r="N417" s="1">
        <f t="shared" ca="1" si="121"/>
        <v>0.2</v>
      </c>
      <c r="O417" s="1">
        <f t="shared" ca="1" si="121"/>
        <v>0.2</v>
      </c>
      <c r="P417" s="1">
        <f t="shared" ca="1" si="121"/>
        <v>0.36</v>
      </c>
      <c r="Q417" s="1">
        <f t="shared" ca="1" si="121"/>
        <v>0.1</v>
      </c>
      <c r="R417" s="1">
        <f t="shared" ca="1" si="121"/>
        <v>2.4</v>
      </c>
      <c r="S417" s="1">
        <f t="shared" ca="1" si="122"/>
        <v>0.1</v>
      </c>
      <c r="T417" s="1">
        <f t="shared" ca="1" si="122"/>
        <v>0.9</v>
      </c>
      <c r="U417" s="1">
        <f t="shared" ca="1" si="122"/>
        <v>36.733333333333299</v>
      </c>
      <c r="V417" s="1">
        <f t="shared" ca="1" si="122"/>
        <v>21.3318181818182</v>
      </c>
      <c r="W417" s="1">
        <f t="shared" ca="1" si="122"/>
        <v>0</v>
      </c>
      <c r="X417" s="1">
        <f t="shared" ca="1" si="122"/>
        <v>0</v>
      </c>
      <c r="Y417" s="1">
        <f t="shared" ca="1" si="122"/>
        <v>0</v>
      </c>
      <c r="Z417" s="1">
        <f t="shared" ca="1" si="122"/>
        <v>0</v>
      </c>
      <c r="AA417" s="1">
        <f t="shared" ca="1" si="122"/>
        <v>0</v>
      </c>
      <c r="AB417" s="1">
        <f t="shared" ca="1" si="119"/>
        <v>0</v>
      </c>
      <c r="AC417" s="1">
        <f t="shared" ca="1" si="122"/>
        <v>40.375237499999997</v>
      </c>
      <c r="AD417" s="1">
        <f t="shared" ca="1" si="122"/>
        <v>40.375237499999997</v>
      </c>
      <c r="AE417" s="1">
        <f t="shared" ca="1" si="122"/>
        <v>40.375237499999997</v>
      </c>
      <c r="AF417" s="1">
        <f t="shared" ca="1" si="122"/>
        <v>40.375237499999997</v>
      </c>
      <c r="AG417" s="1">
        <f t="shared" ca="1" si="122"/>
        <v>40.375237499999997</v>
      </c>
      <c r="AH417" s="1">
        <f t="shared" ca="1" si="122"/>
        <v>40.375237499999997</v>
      </c>
      <c r="AI417" s="1">
        <f t="shared" ca="1" si="120"/>
        <v>40.375237499999997</v>
      </c>
    </row>
    <row r="418" spans="2:35" x14ac:dyDescent="0.15">
      <c r="B418" s="1" t="str">
        <f t="shared" si="115"/>
        <v>金属系20</v>
      </c>
      <c r="C418" s="1">
        <f t="shared" si="105"/>
        <v>20</v>
      </c>
      <c r="D418" s="14" t="s">
        <v>94</v>
      </c>
      <c r="E418" s="14">
        <f t="shared" si="106"/>
        <v>5</v>
      </c>
      <c r="F418" s="1" t="str">
        <f t="shared" si="113"/>
        <v>物理</v>
      </c>
      <c r="H418" s="1">
        <f t="shared" ca="1" si="114"/>
        <v>833.65126046136493</v>
      </c>
      <c r="I418" s="1">
        <f t="shared" ca="1" si="121"/>
        <v>100</v>
      </c>
      <c r="J418" s="1">
        <f t="shared" ca="1" si="121"/>
        <v>215.62704471101401</v>
      </c>
      <c r="K418" s="1">
        <f t="shared" ca="1" si="121"/>
        <v>42.500250000000001</v>
      </c>
      <c r="L418" s="1">
        <f t="shared" ca="1" si="121"/>
        <v>215.62704471101401</v>
      </c>
      <c r="M418" s="1">
        <f t="shared" ca="1" si="121"/>
        <v>28.333500000000001</v>
      </c>
      <c r="N418" s="1">
        <f t="shared" ca="1" si="121"/>
        <v>0.2</v>
      </c>
      <c r="O418" s="1">
        <f t="shared" ca="1" si="121"/>
        <v>0.2</v>
      </c>
      <c r="P418" s="1">
        <f t="shared" ca="1" si="121"/>
        <v>0.36</v>
      </c>
      <c r="Q418" s="1">
        <f t="shared" ca="1" si="121"/>
        <v>0.1</v>
      </c>
      <c r="R418" s="1">
        <f t="shared" ca="1" si="121"/>
        <v>2.4</v>
      </c>
      <c r="S418" s="1">
        <f t="shared" ca="1" si="122"/>
        <v>0.1</v>
      </c>
      <c r="T418" s="1">
        <f t="shared" ca="1" si="122"/>
        <v>0.9</v>
      </c>
      <c r="U418" s="1">
        <f t="shared" ca="1" si="122"/>
        <v>38.6666666666667</v>
      </c>
      <c r="V418" s="1">
        <f t="shared" ca="1" si="122"/>
        <v>23.958560523446</v>
      </c>
      <c r="W418" s="1">
        <f t="shared" ca="1" si="122"/>
        <v>0</v>
      </c>
      <c r="X418" s="1">
        <f t="shared" ca="1" si="122"/>
        <v>0</v>
      </c>
      <c r="Y418" s="1">
        <f t="shared" ca="1" si="122"/>
        <v>0</v>
      </c>
      <c r="Z418" s="1">
        <f t="shared" ca="1" si="122"/>
        <v>0</v>
      </c>
      <c r="AA418" s="1">
        <f t="shared" ca="1" si="122"/>
        <v>0</v>
      </c>
      <c r="AB418" s="1">
        <f t="shared" ca="1" si="119"/>
        <v>0</v>
      </c>
      <c r="AC418" s="1">
        <f t="shared" ca="1" si="122"/>
        <v>42.500250000000001</v>
      </c>
      <c r="AD418" s="1">
        <f t="shared" ca="1" si="122"/>
        <v>42.500250000000001</v>
      </c>
      <c r="AE418" s="1">
        <f t="shared" ca="1" si="122"/>
        <v>42.500250000000001</v>
      </c>
      <c r="AF418" s="1">
        <f t="shared" ca="1" si="122"/>
        <v>42.500250000000001</v>
      </c>
      <c r="AG418" s="1">
        <f t="shared" ca="1" si="122"/>
        <v>42.500250000000001</v>
      </c>
      <c r="AH418" s="1">
        <f t="shared" ca="1" si="122"/>
        <v>42.500250000000001</v>
      </c>
      <c r="AI418" s="1">
        <f t="shared" ca="1" si="120"/>
        <v>42.500250000000001</v>
      </c>
    </row>
    <row r="419" spans="2:35" x14ac:dyDescent="0.15">
      <c r="B419" s="1" t="str">
        <f t="shared" si="115"/>
        <v>金属系21</v>
      </c>
      <c r="C419" s="1">
        <f t="shared" si="105"/>
        <v>21</v>
      </c>
      <c r="D419" s="14" t="s">
        <v>94</v>
      </c>
      <c r="E419" s="14">
        <f t="shared" si="106"/>
        <v>5</v>
      </c>
      <c r="F419" s="1" t="str">
        <f t="shared" si="113"/>
        <v>物理</v>
      </c>
      <c r="H419" s="1">
        <f t="shared" ca="1" si="114"/>
        <v>880.51331356422361</v>
      </c>
      <c r="I419" s="1">
        <f t="shared" ca="1" si="121"/>
        <v>100</v>
      </c>
      <c r="J419" s="1">
        <f t="shared" ca="1" si="121"/>
        <v>228.22499999999999</v>
      </c>
      <c r="K419" s="1">
        <f t="shared" ca="1" si="121"/>
        <v>44.625262499999998</v>
      </c>
      <c r="L419" s="1">
        <f t="shared" ca="1" si="121"/>
        <v>228.22499999999999</v>
      </c>
      <c r="M419" s="1">
        <f t="shared" ca="1" si="121"/>
        <v>29.750174999999999</v>
      </c>
      <c r="N419" s="1">
        <f t="shared" ca="1" si="121"/>
        <v>0.2</v>
      </c>
      <c r="O419" s="1">
        <f t="shared" ca="1" si="121"/>
        <v>0.2</v>
      </c>
      <c r="P419" s="1">
        <f t="shared" ca="1" si="121"/>
        <v>0.36</v>
      </c>
      <c r="Q419" s="1">
        <f t="shared" ca="1" si="121"/>
        <v>0.1</v>
      </c>
      <c r="R419" s="1">
        <f t="shared" ca="1" si="121"/>
        <v>2.4</v>
      </c>
      <c r="S419" s="1">
        <f t="shared" ca="1" si="122"/>
        <v>0.1</v>
      </c>
      <c r="T419" s="1">
        <f t="shared" ca="1" si="122"/>
        <v>0.9</v>
      </c>
      <c r="U419" s="1">
        <f t="shared" ca="1" si="122"/>
        <v>40.6</v>
      </c>
      <c r="V419" s="1">
        <f t="shared" ca="1" si="122"/>
        <v>26.774999999999999</v>
      </c>
      <c r="W419" s="1">
        <f t="shared" ca="1" si="122"/>
        <v>0</v>
      </c>
      <c r="X419" s="1">
        <f t="shared" ca="1" si="122"/>
        <v>0</v>
      </c>
      <c r="Y419" s="1">
        <f t="shared" ca="1" si="122"/>
        <v>0</v>
      </c>
      <c r="Z419" s="1">
        <f t="shared" ca="1" si="122"/>
        <v>0</v>
      </c>
      <c r="AA419" s="1">
        <f t="shared" ca="1" si="122"/>
        <v>0</v>
      </c>
      <c r="AB419" s="1">
        <f t="shared" ca="1" si="122"/>
        <v>0</v>
      </c>
      <c r="AC419" s="1">
        <f t="shared" ca="1" si="122"/>
        <v>44.625262499999998</v>
      </c>
      <c r="AD419" s="1">
        <f t="shared" ca="1" si="122"/>
        <v>44.625262499999998</v>
      </c>
      <c r="AE419" s="1">
        <f t="shared" ca="1" si="122"/>
        <v>44.625262499999998</v>
      </c>
      <c r="AF419" s="1">
        <f t="shared" ca="1" si="122"/>
        <v>44.625262499999998</v>
      </c>
      <c r="AG419" s="1">
        <f t="shared" ca="1" si="122"/>
        <v>44.625262499999998</v>
      </c>
      <c r="AH419" s="1">
        <f t="shared" ca="1" si="122"/>
        <v>44.625262499999998</v>
      </c>
      <c r="AI419" s="1">
        <f t="shared" ca="1" si="120"/>
        <v>44.625262499999998</v>
      </c>
    </row>
    <row r="420" spans="2:35" x14ac:dyDescent="0.15">
      <c r="B420" s="1" t="str">
        <f t="shared" si="115"/>
        <v>金属系22</v>
      </c>
      <c r="C420" s="1">
        <f t="shared" si="105"/>
        <v>22</v>
      </c>
      <c r="D420" s="14" t="s">
        <v>94</v>
      </c>
      <c r="E420" s="14">
        <f t="shared" si="106"/>
        <v>5</v>
      </c>
      <c r="F420" s="1" t="str">
        <f t="shared" si="113"/>
        <v>物理</v>
      </c>
      <c r="H420" s="1">
        <f t="shared" ca="1" si="114"/>
        <v>927.8686514365852</v>
      </c>
      <c r="I420" s="1">
        <f t="shared" ca="1" si="121"/>
        <v>100</v>
      </c>
      <c r="J420" s="1">
        <f t="shared" ca="1" si="121"/>
        <v>241.009634551495</v>
      </c>
      <c r="K420" s="1">
        <f t="shared" ca="1" si="121"/>
        <v>46.750275000000002</v>
      </c>
      <c r="L420" s="1">
        <f t="shared" ca="1" si="121"/>
        <v>241.009634551495</v>
      </c>
      <c r="M420" s="1">
        <f t="shared" ca="1" si="121"/>
        <v>31.16685</v>
      </c>
      <c r="N420" s="1">
        <f t="shared" ca="1" si="121"/>
        <v>0.2</v>
      </c>
      <c r="O420" s="1">
        <f t="shared" ca="1" si="121"/>
        <v>0.2</v>
      </c>
      <c r="P420" s="1">
        <f t="shared" ca="1" si="121"/>
        <v>0.36</v>
      </c>
      <c r="Q420" s="1">
        <f t="shared" ca="1" si="121"/>
        <v>0.1</v>
      </c>
      <c r="R420" s="1">
        <f t="shared" ca="1" si="121"/>
        <v>2.4</v>
      </c>
      <c r="S420" s="1">
        <f t="shared" ca="1" si="122"/>
        <v>0.1</v>
      </c>
      <c r="T420" s="1">
        <f t="shared" ca="1" si="122"/>
        <v>0.9</v>
      </c>
      <c r="U420" s="1">
        <f t="shared" ca="1" si="122"/>
        <v>42.533333333333303</v>
      </c>
      <c r="V420" s="1">
        <f t="shared" ca="1" si="122"/>
        <v>29.787707641196</v>
      </c>
      <c r="W420" s="1">
        <f t="shared" ca="1" si="122"/>
        <v>0</v>
      </c>
      <c r="X420" s="1">
        <f t="shared" ca="1" si="122"/>
        <v>0</v>
      </c>
      <c r="Y420" s="1">
        <f t="shared" ca="1" si="122"/>
        <v>0</v>
      </c>
      <c r="Z420" s="1">
        <f t="shared" ca="1" si="122"/>
        <v>0</v>
      </c>
      <c r="AA420" s="1">
        <f t="shared" ca="1" si="122"/>
        <v>0</v>
      </c>
      <c r="AB420" s="1">
        <f t="shared" ca="1" si="122"/>
        <v>0</v>
      </c>
      <c r="AC420" s="1">
        <f t="shared" ca="1" si="122"/>
        <v>46.750275000000002</v>
      </c>
      <c r="AD420" s="1">
        <f t="shared" ca="1" si="122"/>
        <v>46.750275000000002</v>
      </c>
      <c r="AE420" s="1">
        <f t="shared" ca="1" si="122"/>
        <v>46.750275000000002</v>
      </c>
      <c r="AF420" s="1">
        <f t="shared" ca="1" si="122"/>
        <v>46.750275000000002</v>
      </c>
      <c r="AG420" s="1">
        <f t="shared" ca="1" si="122"/>
        <v>46.750275000000002</v>
      </c>
      <c r="AH420" s="1">
        <f t="shared" ca="1" si="122"/>
        <v>46.750275000000002</v>
      </c>
      <c r="AI420" s="1">
        <f t="shared" ca="1" si="120"/>
        <v>46.750275000000002</v>
      </c>
    </row>
    <row r="421" spans="2:35" x14ac:dyDescent="0.15">
      <c r="B421" s="1" t="str">
        <f t="shared" si="115"/>
        <v>金属系23</v>
      </c>
      <c r="C421" s="1">
        <f t="shared" si="105"/>
        <v>23</v>
      </c>
      <c r="D421" s="14" t="s">
        <v>94</v>
      </c>
      <c r="E421" s="14">
        <f t="shared" si="106"/>
        <v>5</v>
      </c>
      <c r="F421" s="1" t="str">
        <f t="shared" si="113"/>
        <v>物理</v>
      </c>
      <c r="H421" s="1">
        <f t="shared" ca="1" si="114"/>
        <v>1025.7648555604869</v>
      </c>
      <c r="I421" s="1">
        <f t="shared" ca="1" si="121"/>
        <v>100</v>
      </c>
      <c r="J421" s="1">
        <f t="shared" ca="1" si="121"/>
        <v>253.98314732142899</v>
      </c>
      <c r="K421" s="1">
        <f t="shared" ca="1" si="121"/>
        <v>48.875287499999999</v>
      </c>
      <c r="L421" s="1">
        <f t="shared" ca="1" si="121"/>
        <v>253.98314732142899</v>
      </c>
      <c r="M421" s="1">
        <f t="shared" ca="1" si="121"/>
        <v>32.583525000000002</v>
      </c>
      <c r="N421" s="1">
        <f t="shared" ca="1" si="121"/>
        <v>0.2</v>
      </c>
      <c r="O421" s="1">
        <f t="shared" ca="1" si="121"/>
        <v>0.2</v>
      </c>
      <c r="P421" s="1">
        <f t="shared" ca="1" si="121"/>
        <v>0.36</v>
      </c>
      <c r="Q421" s="1">
        <f t="shared" ca="1" si="121"/>
        <v>0.1</v>
      </c>
      <c r="R421" s="1">
        <f t="shared" ca="1" si="121"/>
        <v>2.4</v>
      </c>
      <c r="S421" s="1">
        <f t="shared" ca="1" si="122"/>
        <v>0.1</v>
      </c>
      <c r="T421" s="1">
        <f t="shared" ca="1" si="122"/>
        <v>0.9</v>
      </c>
      <c r="U421" s="1">
        <f t="shared" ca="1" si="122"/>
        <v>44.466666666666697</v>
      </c>
      <c r="V421" s="1">
        <f t="shared" ca="1" si="122"/>
        <v>33.003459821428599</v>
      </c>
      <c r="W421" s="1">
        <f t="shared" ca="1" si="122"/>
        <v>0</v>
      </c>
      <c r="X421" s="1">
        <f t="shared" ca="1" si="122"/>
        <v>0</v>
      </c>
      <c r="Y421" s="1">
        <f t="shared" ca="1" si="122"/>
        <v>0</v>
      </c>
      <c r="Z421" s="1">
        <f t="shared" ca="1" si="122"/>
        <v>0</v>
      </c>
      <c r="AA421" s="1">
        <f t="shared" ca="1" si="122"/>
        <v>0</v>
      </c>
      <c r="AB421" s="1">
        <f t="shared" ca="1" si="122"/>
        <v>0</v>
      </c>
      <c r="AC421" s="1">
        <f t="shared" ca="1" si="122"/>
        <v>48.875287499999999</v>
      </c>
      <c r="AD421" s="1">
        <f t="shared" ca="1" si="122"/>
        <v>48.875287499999999</v>
      </c>
      <c r="AE421" s="1">
        <f t="shared" ca="1" si="122"/>
        <v>48.875287499999999</v>
      </c>
      <c r="AF421" s="1">
        <f t="shared" ca="1" si="122"/>
        <v>48.875287499999999</v>
      </c>
      <c r="AG421" s="1">
        <f t="shared" ca="1" si="122"/>
        <v>48.875287499999999</v>
      </c>
      <c r="AH421" s="1">
        <f t="shared" ca="1" si="122"/>
        <v>48.875287499999999</v>
      </c>
      <c r="AI421" s="1">
        <f t="shared" ca="1" si="120"/>
        <v>48.875287499999999</v>
      </c>
    </row>
    <row r="422" spans="2:35" x14ac:dyDescent="0.15">
      <c r="B422" s="1" t="str">
        <f t="shared" si="115"/>
        <v>金属系24</v>
      </c>
      <c r="C422" s="1">
        <f t="shared" si="105"/>
        <v>24</v>
      </c>
      <c r="D422" s="14" t="s">
        <v>94</v>
      </c>
      <c r="E422" s="14">
        <f t="shared" si="106"/>
        <v>5</v>
      </c>
      <c r="F422" s="1" t="str">
        <f t="shared" si="113"/>
        <v>物理</v>
      </c>
      <c r="H422" s="1">
        <f t="shared" ca="1" si="114"/>
        <v>1076.5863701433616</v>
      </c>
      <c r="I422" s="1">
        <f t="shared" ca="1" si="121"/>
        <v>100</v>
      </c>
      <c r="J422" s="1">
        <f t="shared" ca="1" si="121"/>
        <v>267.14780652418398</v>
      </c>
      <c r="K422" s="1">
        <f t="shared" ca="1" si="121"/>
        <v>51.000299999999996</v>
      </c>
      <c r="L422" s="1">
        <f t="shared" ca="1" si="121"/>
        <v>267.14780652418398</v>
      </c>
      <c r="M422" s="1">
        <f t="shared" ca="1" si="121"/>
        <v>34.0002</v>
      </c>
      <c r="N422" s="1">
        <f t="shared" ca="1" si="121"/>
        <v>0.2</v>
      </c>
      <c r="O422" s="1">
        <f t="shared" ca="1" si="121"/>
        <v>0.2</v>
      </c>
      <c r="P422" s="1">
        <f t="shared" ca="1" si="121"/>
        <v>0.36</v>
      </c>
      <c r="Q422" s="1">
        <f t="shared" ca="1" si="121"/>
        <v>0.1</v>
      </c>
      <c r="R422" s="1">
        <f t="shared" ca="1" si="121"/>
        <v>2.4</v>
      </c>
      <c r="S422" s="1">
        <f t="shared" ca="1" si="122"/>
        <v>0.1</v>
      </c>
      <c r="T422" s="1">
        <f t="shared" ca="1" si="122"/>
        <v>0.9</v>
      </c>
      <c r="U422" s="1">
        <f t="shared" ca="1" si="122"/>
        <v>46.4</v>
      </c>
      <c r="V422" s="1">
        <f t="shared" ca="1" si="122"/>
        <v>36.429246344207002</v>
      </c>
      <c r="W422" s="1">
        <f t="shared" ca="1" si="122"/>
        <v>0</v>
      </c>
      <c r="X422" s="1">
        <f t="shared" ca="1" si="122"/>
        <v>0</v>
      </c>
      <c r="Y422" s="1">
        <f t="shared" ca="1" si="122"/>
        <v>0</v>
      </c>
      <c r="Z422" s="1">
        <f t="shared" ca="1" si="122"/>
        <v>0</v>
      </c>
      <c r="AA422" s="1">
        <f t="shared" ca="1" si="122"/>
        <v>0</v>
      </c>
      <c r="AB422" s="1">
        <f t="shared" ca="1" si="122"/>
        <v>0</v>
      </c>
      <c r="AC422" s="1">
        <f t="shared" ca="1" si="122"/>
        <v>51.000299999999996</v>
      </c>
      <c r="AD422" s="1">
        <f t="shared" ca="1" si="122"/>
        <v>51.000299999999996</v>
      </c>
      <c r="AE422" s="1">
        <f t="shared" ca="1" si="122"/>
        <v>51.000299999999996</v>
      </c>
      <c r="AF422" s="1">
        <f t="shared" ca="1" si="122"/>
        <v>51.000299999999996</v>
      </c>
      <c r="AG422" s="1">
        <f t="shared" ca="1" si="122"/>
        <v>51.000299999999996</v>
      </c>
      <c r="AH422" s="1">
        <f t="shared" ca="1" si="122"/>
        <v>51.000299999999996</v>
      </c>
      <c r="AI422" s="1">
        <f t="shared" ca="1" si="120"/>
        <v>51.000299999999996</v>
      </c>
    </row>
    <row r="423" spans="2:35" x14ac:dyDescent="0.15">
      <c r="B423" s="1" t="str">
        <f t="shared" si="115"/>
        <v>金属系25</v>
      </c>
      <c r="C423" s="1">
        <f t="shared" ref="C423:C486" si="123">C324</f>
        <v>25</v>
      </c>
      <c r="D423" s="14" t="s">
        <v>94</v>
      </c>
      <c r="E423" s="14">
        <f t="shared" ref="E423:E486" si="124">E324+1</f>
        <v>5</v>
      </c>
      <c r="F423" s="1" t="str">
        <f t="shared" si="113"/>
        <v>物理</v>
      </c>
      <c r="H423" s="1">
        <f t="shared" ca="1" si="114"/>
        <v>1127.9264716097368</v>
      </c>
      <c r="I423" s="1">
        <f t="shared" ref="I423:R432" ca="1" si="125">mVlookup($C423,monsterBaseDate,I$2,FALSE)*(1+mVlookup($E423,monsterType,I$2,FALSE))</f>
        <v>100</v>
      </c>
      <c r="J423" s="1">
        <f t="shared" ca="1" si="125"/>
        <v>280.50595238095201</v>
      </c>
      <c r="K423" s="1">
        <f t="shared" ca="1" si="125"/>
        <v>53.125312499999993</v>
      </c>
      <c r="L423" s="1">
        <f t="shared" ca="1" si="125"/>
        <v>280.50595238095201</v>
      </c>
      <c r="M423" s="1">
        <f t="shared" ca="1" si="125"/>
        <v>35.416874999999997</v>
      </c>
      <c r="N423" s="1">
        <f t="shared" ca="1" si="125"/>
        <v>0.2</v>
      </c>
      <c r="O423" s="1">
        <f t="shared" ca="1" si="125"/>
        <v>0.2</v>
      </c>
      <c r="P423" s="1">
        <f t="shared" ca="1" si="125"/>
        <v>0.36</v>
      </c>
      <c r="Q423" s="1">
        <f t="shared" ca="1" si="125"/>
        <v>0.1</v>
      </c>
      <c r="R423" s="1">
        <f t="shared" ca="1" si="125"/>
        <v>2.4</v>
      </c>
      <c r="S423" s="1">
        <f t="shared" ref="S423:AH438" ca="1" si="126">mVlookup($C423,monsterBaseDate,S$2,FALSE)*(1+mVlookup($E423,monsterType,S$2,FALSE))</f>
        <v>0.1</v>
      </c>
      <c r="T423" s="1">
        <f t="shared" ca="1" si="126"/>
        <v>0.9</v>
      </c>
      <c r="U423" s="1">
        <f t="shared" ca="1" si="126"/>
        <v>48.3333333333333</v>
      </c>
      <c r="V423" s="1">
        <f t="shared" ca="1" si="126"/>
        <v>40.072278911564602</v>
      </c>
      <c r="W423" s="1">
        <f t="shared" ca="1" si="126"/>
        <v>0</v>
      </c>
      <c r="X423" s="1">
        <f t="shared" ca="1" si="126"/>
        <v>0</v>
      </c>
      <c r="Y423" s="1">
        <f t="shared" ca="1" si="126"/>
        <v>0</v>
      </c>
      <c r="Z423" s="1">
        <f t="shared" ca="1" si="126"/>
        <v>0</v>
      </c>
      <c r="AA423" s="1">
        <f t="shared" ca="1" si="126"/>
        <v>0</v>
      </c>
      <c r="AB423" s="1">
        <f t="shared" ca="1" si="122"/>
        <v>0</v>
      </c>
      <c r="AC423" s="1">
        <f t="shared" ca="1" si="126"/>
        <v>53.125312499999993</v>
      </c>
      <c r="AD423" s="1">
        <f t="shared" ca="1" si="126"/>
        <v>53.125312499999993</v>
      </c>
      <c r="AE423" s="1">
        <f t="shared" ca="1" si="126"/>
        <v>53.125312499999993</v>
      </c>
      <c r="AF423" s="1">
        <f t="shared" ca="1" si="126"/>
        <v>53.125312499999993</v>
      </c>
      <c r="AG423" s="1">
        <f t="shared" ca="1" si="126"/>
        <v>53.125312499999993</v>
      </c>
      <c r="AH423" s="1">
        <f t="shared" ca="1" si="126"/>
        <v>53.125312499999993</v>
      </c>
      <c r="AI423" s="1">
        <f t="shared" ca="1" si="120"/>
        <v>53.125312499999993</v>
      </c>
    </row>
    <row r="424" spans="2:35" x14ac:dyDescent="0.15">
      <c r="B424" s="1" t="str">
        <f t="shared" si="115"/>
        <v>金属系26</v>
      </c>
      <c r="C424" s="1">
        <f t="shared" si="123"/>
        <v>26</v>
      </c>
      <c r="D424" s="14" t="s">
        <v>94</v>
      </c>
      <c r="E424" s="14">
        <f t="shared" si="124"/>
        <v>5</v>
      </c>
      <c r="F424" s="1" t="str">
        <f t="shared" si="113"/>
        <v>物理</v>
      </c>
      <c r="H424" s="1">
        <f t="shared" ca="1" si="114"/>
        <v>1179.7851599596097</v>
      </c>
      <c r="I424" s="1">
        <f t="shared" ca="1" si="125"/>
        <v>100</v>
      </c>
      <c r="J424" s="1">
        <f t="shared" ca="1" si="125"/>
        <v>294.06</v>
      </c>
      <c r="K424" s="1">
        <f t="shared" ca="1" si="125"/>
        <v>55.250325000000004</v>
      </c>
      <c r="L424" s="1">
        <f t="shared" ca="1" si="125"/>
        <v>294.06</v>
      </c>
      <c r="M424" s="1">
        <f t="shared" ca="1" si="125"/>
        <v>36.833550000000002</v>
      </c>
      <c r="N424" s="1">
        <f t="shared" ca="1" si="125"/>
        <v>0.2</v>
      </c>
      <c r="O424" s="1">
        <f t="shared" ca="1" si="125"/>
        <v>0.2</v>
      </c>
      <c r="P424" s="1">
        <f t="shared" ca="1" si="125"/>
        <v>0.36</v>
      </c>
      <c r="Q424" s="1">
        <f t="shared" ca="1" si="125"/>
        <v>0.1</v>
      </c>
      <c r="R424" s="1">
        <f t="shared" ca="1" si="125"/>
        <v>2.4</v>
      </c>
      <c r="S424" s="1">
        <f t="shared" ca="1" si="126"/>
        <v>0.1</v>
      </c>
      <c r="T424" s="1">
        <f t="shared" ca="1" si="126"/>
        <v>0.9</v>
      </c>
      <c r="U424" s="1">
        <f t="shared" ca="1" si="126"/>
        <v>50.266666666666701</v>
      </c>
      <c r="V424" s="1">
        <f t="shared" ca="1" si="126"/>
        <v>43.94</v>
      </c>
      <c r="W424" s="1">
        <f t="shared" ca="1" si="126"/>
        <v>0</v>
      </c>
      <c r="X424" s="1">
        <f t="shared" ca="1" si="126"/>
        <v>0</v>
      </c>
      <c r="Y424" s="1">
        <f t="shared" ca="1" si="126"/>
        <v>0</v>
      </c>
      <c r="Z424" s="1">
        <f t="shared" ca="1" si="126"/>
        <v>0</v>
      </c>
      <c r="AA424" s="1">
        <f t="shared" ca="1" si="126"/>
        <v>0</v>
      </c>
      <c r="AB424" s="1">
        <f t="shared" ca="1" si="122"/>
        <v>0</v>
      </c>
      <c r="AC424" s="1">
        <f t="shared" ca="1" si="126"/>
        <v>55.250325000000004</v>
      </c>
      <c r="AD424" s="1">
        <f t="shared" ca="1" si="126"/>
        <v>55.250325000000004</v>
      </c>
      <c r="AE424" s="1">
        <f t="shared" ca="1" si="126"/>
        <v>55.250325000000004</v>
      </c>
      <c r="AF424" s="1">
        <f t="shared" ca="1" si="126"/>
        <v>55.250325000000004</v>
      </c>
      <c r="AG424" s="1">
        <f t="shared" ca="1" si="126"/>
        <v>55.250325000000004</v>
      </c>
      <c r="AH424" s="1">
        <f t="shared" ca="1" si="126"/>
        <v>55.250325000000004</v>
      </c>
      <c r="AI424" s="1">
        <f t="shared" ca="1" si="120"/>
        <v>55.250325000000004</v>
      </c>
    </row>
    <row r="425" spans="2:35" x14ac:dyDescent="0.15">
      <c r="B425" s="1" t="str">
        <f t="shared" si="115"/>
        <v>金属系27</v>
      </c>
      <c r="C425" s="1">
        <f t="shared" si="123"/>
        <v>27</v>
      </c>
      <c r="D425" s="14" t="s">
        <v>94</v>
      </c>
      <c r="E425" s="14">
        <f t="shared" si="124"/>
        <v>5</v>
      </c>
      <c r="F425" s="1" t="str">
        <f t="shared" si="113"/>
        <v>物理</v>
      </c>
      <c r="H425" s="1">
        <f t="shared" ca="1" si="114"/>
        <v>1232.1624351929815</v>
      </c>
      <c r="I425" s="1">
        <f t="shared" ca="1" si="125"/>
        <v>100</v>
      </c>
      <c r="J425" s="1">
        <f t="shared" ca="1" si="125"/>
        <v>307.81244239631297</v>
      </c>
      <c r="K425" s="1">
        <f t="shared" ca="1" si="125"/>
        <v>57.375337500000001</v>
      </c>
      <c r="L425" s="1">
        <f t="shared" ca="1" si="125"/>
        <v>307.81244239631297</v>
      </c>
      <c r="M425" s="1">
        <f t="shared" ca="1" si="125"/>
        <v>38.250225</v>
      </c>
      <c r="N425" s="1">
        <f t="shared" ca="1" si="125"/>
        <v>0.2</v>
      </c>
      <c r="O425" s="1">
        <f t="shared" ca="1" si="125"/>
        <v>0.2</v>
      </c>
      <c r="P425" s="1">
        <f t="shared" ca="1" si="125"/>
        <v>0.36</v>
      </c>
      <c r="Q425" s="1">
        <f t="shared" ca="1" si="125"/>
        <v>0.1</v>
      </c>
      <c r="R425" s="1">
        <f t="shared" ca="1" si="125"/>
        <v>2.4</v>
      </c>
      <c r="S425" s="1">
        <f t="shared" ca="1" si="126"/>
        <v>0.1</v>
      </c>
      <c r="T425" s="1">
        <f t="shared" ca="1" si="126"/>
        <v>0.9</v>
      </c>
      <c r="U425" s="1">
        <f t="shared" ca="1" si="126"/>
        <v>52.2</v>
      </c>
      <c r="V425" s="1">
        <f t="shared" ca="1" si="126"/>
        <v>48.040092165898599</v>
      </c>
      <c r="W425" s="1">
        <f t="shared" ca="1" si="126"/>
        <v>0</v>
      </c>
      <c r="X425" s="1">
        <f t="shared" ca="1" si="126"/>
        <v>0</v>
      </c>
      <c r="Y425" s="1">
        <f t="shared" ca="1" si="126"/>
        <v>0</v>
      </c>
      <c r="Z425" s="1">
        <f t="shared" ca="1" si="126"/>
        <v>0</v>
      </c>
      <c r="AA425" s="1">
        <f t="shared" ca="1" si="126"/>
        <v>0</v>
      </c>
      <c r="AB425" s="1">
        <f t="shared" ca="1" si="122"/>
        <v>0</v>
      </c>
      <c r="AC425" s="1">
        <f t="shared" ca="1" si="126"/>
        <v>57.375337500000001</v>
      </c>
      <c r="AD425" s="1">
        <f t="shared" ca="1" si="126"/>
        <v>57.375337500000001</v>
      </c>
      <c r="AE425" s="1">
        <f t="shared" ca="1" si="126"/>
        <v>57.375337500000001</v>
      </c>
      <c r="AF425" s="1">
        <f t="shared" ca="1" si="126"/>
        <v>57.375337500000001</v>
      </c>
      <c r="AG425" s="1">
        <f t="shared" ca="1" si="126"/>
        <v>57.375337500000001</v>
      </c>
      <c r="AH425" s="1">
        <f t="shared" ca="1" si="126"/>
        <v>57.375337500000001</v>
      </c>
      <c r="AI425" s="1">
        <f t="shared" ca="1" si="120"/>
        <v>57.375337500000001</v>
      </c>
    </row>
    <row r="426" spans="2:35" x14ac:dyDescent="0.15">
      <c r="B426" s="1" t="str">
        <f t="shared" si="115"/>
        <v>金属系28</v>
      </c>
      <c r="C426" s="1">
        <f t="shared" si="123"/>
        <v>28</v>
      </c>
      <c r="D426" s="14" t="s">
        <v>94</v>
      </c>
      <c r="E426" s="14">
        <f t="shared" si="124"/>
        <v>5</v>
      </c>
      <c r="F426" s="1" t="str">
        <f t="shared" si="113"/>
        <v>物理</v>
      </c>
      <c r="H426" s="1">
        <f t="shared" ca="1" si="114"/>
        <v>1285.0582973098508</v>
      </c>
      <c r="I426" s="1">
        <f t="shared" ca="1" si="125"/>
        <v>100</v>
      </c>
      <c r="J426" s="1">
        <f t="shared" ca="1" si="125"/>
        <v>321.76585365853703</v>
      </c>
      <c r="K426" s="1">
        <f t="shared" ca="1" si="125"/>
        <v>59.500349999999997</v>
      </c>
      <c r="L426" s="1">
        <f t="shared" ca="1" si="125"/>
        <v>321.76585365853703</v>
      </c>
      <c r="M426" s="1">
        <f t="shared" ca="1" si="125"/>
        <v>39.666899999999998</v>
      </c>
      <c r="N426" s="1">
        <f t="shared" ca="1" si="125"/>
        <v>0.2</v>
      </c>
      <c r="O426" s="1">
        <f t="shared" ca="1" si="125"/>
        <v>0.2</v>
      </c>
      <c r="P426" s="1">
        <f t="shared" ca="1" si="125"/>
        <v>0.36</v>
      </c>
      <c r="Q426" s="1">
        <f t="shared" ca="1" si="125"/>
        <v>0.1</v>
      </c>
      <c r="R426" s="1">
        <f t="shared" ca="1" si="125"/>
        <v>2.4</v>
      </c>
      <c r="S426" s="1">
        <f t="shared" ca="1" si="126"/>
        <v>0.1</v>
      </c>
      <c r="T426" s="1">
        <f t="shared" ca="1" si="126"/>
        <v>0.9</v>
      </c>
      <c r="U426" s="1">
        <f t="shared" ca="1" si="126"/>
        <v>54.133333333333297</v>
      </c>
      <c r="V426" s="1">
        <f t="shared" ca="1" si="126"/>
        <v>52.380487804878101</v>
      </c>
      <c r="W426" s="1">
        <f t="shared" ca="1" si="126"/>
        <v>0</v>
      </c>
      <c r="X426" s="1">
        <f t="shared" ca="1" si="126"/>
        <v>0</v>
      </c>
      <c r="Y426" s="1">
        <f t="shared" ca="1" si="126"/>
        <v>0</v>
      </c>
      <c r="Z426" s="1">
        <f t="shared" ca="1" si="126"/>
        <v>0</v>
      </c>
      <c r="AA426" s="1">
        <f t="shared" ca="1" si="126"/>
        <v>0</v>
      </c>
      <c r="AB426" s="1">
        <f t="shared" ca="1" si="122"/>
        <v>0</v>
      </c>
      <c r="AC426" s="1">
        <f t="shared" ca="1" si="126"/>
        <v>59.500349999999997</v>
      </c>
      <c r="AD426" s="1">
        <f t="shared" ca="1" si="126"/>
        <v>59.500349999999997</v>
      </c>
      <c r="AE426" s="1">
        <f t="shared" ca="1" si="126"/>
        <v>59.500349999999997</v>
      </c>
      <c r="AF426" s="1">
        <f t="shared" ca="1" si="126"/>
        <v>59.500349999999997</v>
      </c>
      <c r="AG426" s="1">
        <f t="shared" ca="1" si="126"/>
        <v>59.500349999999997</v>
      </c>
      <c r="AH426" s="1">
        <f t="shared" ca="1" si="126"/>
        <v>59.500349999999997</v>
      </c>
      <c r="AI426" s="1">
        <f t="shared" ca="1" si="120"/>
        <v>59.500349999999997</v>
      </c>
    </row>
    <row r="427" spans="2:35" x14ac:dyDescent="0.15">
      <c r="B427" s="1" t="str">
        <f t="shared" si="115"/>
        <v>金属系29</v>
      </c>
      <c r="C427" s="1">
        <f t="shared" si="123"/>
        <v>29</v>
      </c>
      <c r="D427" s="14" t="s">
        <v>94</v>
      </c>
      <c r="E427" s="14">
        <f t="shared" si="124"/>
        <v>5</v>
      </c>
      <c r="F427" s="1" t="str">
        <f t="shared" si="113"/>
        <v>物理</v>
      </c>
      <c r="H427" s="1">
        <f t="shared" ca="1" si="114"/>
        <v>1338.4727463102206</v>
      </c>
      <c r="I427" s="1">
        <f t="shared" ca="1" si="125"/>
        <v>100</v>
      </c>
      <c r="J427" s="1">
        <f t="shared" ca="1" si="125"/>
        <v>335.92289227166299</v>
      </c>
      <c r="K427" s="1">
        <f t="shared" ca="1" si="125"/>
        <v>61.625362500000008</v>
      </c>
      <c r="L427" s="1">
        <f t="shared" ca="1" si="125"/>
        <v>335.92289227166299</v>
      </c>
      <c r="M427" s="1">
        <f t="shared" ca="1" si="125"/>
        <v>41.083575000000003</v>
      </c>
      <c r="N427" s="1">
        <f t="shared" ca="1" si="125"/>
        <v>0.2</v>
      </c>
      <c r="O427" s="1">
        <f t="shared" ca="1" si="125"/>
        <v>0.2</v>
      </c>
      <c r="P427" s="1">
        <f t="shared" ca="1" si="125"/>
        <v>0.36</v>
      </c>
      <c r="Q427" s="1">
        <f t="shared" ca="1" si="125"/>
        <v>0.1</v>
      </c>
      <c r="R427" s="1">
        <f t="shared" ca="1" si="125"/>
        <v>2.4</v>
      </c>
      <c r="S427" s="1">
        <f t="shared" ca="1" si="126"/>
        <v>0.1</v>
      </c>
      <c r="T427" s="1">
        <f t="shared" ca="1" si="126"/>
        <v>0.9</v>
      </c>
      <c r="U427" s="1">
        <f t="shared" ca="1" si="126"/>
        <v>56.066666666666698</v>
      </c>
      <c r="V427" s="1">
        <f t="shared" ca="1" si="126"/>
        <v>56.969379391100702</v>
      </c>
      <c r="W427" s="1">
        <f t="shared" ca="1" si="126"/>
        <v>0</v>
      </c>
      <c r="X427" s="1">
        <f t="shared" ca="1" si="126"/>
        <v>0</v>
      </c>
      <c r="Y427" s="1">
        <f t="shared" ca="1" si="126"/>
        <v>0</v>
      </c>
      <c r="Z427" s="1">
        <f t="shared" ca="1" si="126"/>
        <v>0</v>
      </c>
      <c r="AA427" s="1">
        <f t="shared" ca="1" si="126"/>
        <v>0</v>
      </c>
      <c r="AB427" s="1">
        <f t="shared" ca="1" si="122"/>
        <v>0</v>
      </c>
      <c r="AC427" s="1">
        <f t="shared" ca="1" si="126"/>
        <v>61.625362500000008</v>
      </c>
      <c r="AD427" s="1">
        <f t="shared" ca="1" si="126"/>
        <v>61.625362500000008</v>
      </c>
      <c r="AE427" s="1">
        <f t="shared" ca="1" si="126"/>
        <v>61.625362500000008</v>
      </c>
      <c r="AF427" s="1">
        <f t="shared" ca="1" si="126"/>
        <v>61.625362500000008</v>
      </c>
      <c r="AG427" s="1">
        <f t="shared" ca="1" si="126"/>
        <v>61.625362500000008</v>
      </c>
      <c r="AH427" s="1">
        <f t="shared" ca="1" si="126"/>
        <v>61.625362500000008</v>
      </c>
      <c r="AI427" s="1">
        <f t="shared" ca="1" si="120"/>
        <v>61.625362500000008</v>
      </c>
    </row>
    <row r="428" spans="2:35" x14ac:dyDescent="0.15">
      <c r="B428" s="1" t="str">
        <f t="shared" si="115"/>
        <v>金属系30</v>
      </c>
      <c r="C428" s="1">
        <f t="shared" si="123"/>
        <v>30</v>
      </c>
      <c r="D428" s="14" t="s">
        <v>94</v>
      </c>
      <c r="E428" s="14">
        <f t="shared" si="124"/>
        <v>5</v>
      </c>
      <c r="F428" s="1" t="str">
        <f t="shared" si="113"/>
        <v>物理</v>
      </c>
      <c r="H428" s="1">
        <f t="shared" ca="1" si="114"/>
        <v>1392.405782194088</v>
      </c>
      <c r="I428" s="1">
        <f t="shared" ca="1" si="125"/>
        <v>100</v>
      </c>
      <c r="J428" s="1">
        <f t="shared" ca="1" si="125"/>
        <v>350.28630460448602</v>
      </c>
      <c r="K428" s="1">
        <f t="shared" ca="1" si="125"/>
        <v>63.750375000000005</v>
      </c>
      <c r="L428" s="1">
        <f t="shared" ca="1" si="125"/>
        <v>350.28630460448602</v>
      </c>
      <c r="M428" s="1">
        <f t="shared" ca="1" si="125"/>
        <v>42.500250000000001</v>
      </c>
      <c r="N428" s="1">
        <f t="shared" ca="1" si="125"/>
        <v>0.2</v>
      </c>
      <c r="O428" s="1">
        <f t="shared" ca="1" si="125"/>
        <v>0.2</v>
      </c>
      <c r="P428" s="1">
        <f t="shared" ca="1" si="125"/>
        <v>0.36</v>
      </c>
      <c r="Q428" s="1">
        <f t="shared" ca="1" si="125"/>
        <v>0.1</v>
      </c>
      <c r="R428" s="1">
        <f t="shared" ca="1" si="125"/>
        <v>2.4</v>
      </c>
      <c r="S428" s="1">
        <f t="shared" ca="1" si="126"/>
        <v>0.1</v>
      </c>
      <c r="T428" s="1">
        <f t="shared" ca="1" si="126"/>
        <v>0.9</v>
      </c>
      <c r="U428" s="1">
        <f t="shared" ca="1" si="126"/>
        <v>58</v>
      </c>
      <c r="V428" s="1">
        <f t="shared" ca="1" si="126"/>
        <v>61.815230224321098</v>
      </c>
      <c r="W428" s="1">
        <f t="shared" ca="1" si="126"/>
        <v>0</v>
      </c>
      <c r="X428" s="1">
        <f t="shared" ca="1" si="126"/>
        <v>0</v>
      </c>
      <c r="Y428" s="1">
        <f t="shared" ca="1" si="126"/>
        <v>0</v>
      </c>
      <c r="Z428" s="1">
        <f t="shared" ca="1" si="126"/>
        <v>0</v>
      </c>
      <c r="AA428" s="1">
        <f t="shared" ca="1" si="126"/>
        <v>0</v>
      </c>
      <c r="AB428" s="1">
        <f t="shared" ca="1" si="122"/>
        <v>0</v>
      </c>
      <c r="AC428" s="1">
        <f t="shared" ca="1" si="126"/>
        <v>63.750375000000005</v>
      </c>
      <c r="AD428" s="1">
        <f t="shared" ca="1" si="126"/>
        <v>63.750375000000005</v>
      </c>
      <c r="AE428" s="1">
        <f t="shared" ca="1" si="126"/>
        <v>63.750375000000005</v>
      </c>
      <c r="AF428" s="1">
        <f t="shared" ca="1" si="126"/>
        <v>63.750375000000005</v>
      </c>
      <c r="AG428" s="1">
        <f t="shared" ca="1" si="126"/>
        <v>63.750375000000005</v>
      </c>
      <c r="AH428" s="1">
        <f t="shared" ca="1" si="126"/>
        <v>63.750375000000005</v>
      </c>
      <c r="AI428" s="1">
        <f t="shared" ca="1" si="120"/>
        <v>63.750375000000005</v>
      </c>
    </row>
    <row r="429" spans="2:35" x14ac:dyDescent="0.15">
      <c r="B429" s="1" t="str">
        <f t="shared" si="115"/>
        <v>金属系31</v>
      </c>
      <c r="C429" s="1">
        <f t="shared" si="123"/>
        <v>31</v>
      </c>
      <c r="D429" s="14" t="s">
        <v>94</v>
      </c>
      <c r="E429" s="14">
        <f t="shared" si="124"/>
        <v>5</v>
      </c>
      <c r="F429" s="1" t="str">
        <f t="shared" si="113"/>
        <v>物理</v>
      </c>
      <c r="H429" s="1">
        <f t="shared" ca="1" si="114"/>
        <v>1446.8574049614547</v>
      </c>
      <c r="I429" s="1">
        <f t="shared" ca="1" si="125"/>
        <v>100</v>
      </c>
      <c r="J429" s="1">
        <f t="shared" ca="1" si="125"/>
        <v>364.85892857142898</v>
      </c>
      <c r="K429" s="1">
        <f t="shared" ca="1" si="125"/>
        <v>65.875387500000002</v>
      </c>
      <c r="L429" s="1">
        <f t="shared" ca="1" si="125"/>
        <v>364.85892857142898</v>
      </c>
      <c r="M429" s="1">
        <f t="shared" ca="1" si="125"/>
        <v>43.916924999999999</v>
      </c>
      <c r="N429" s="1">
        <f t="shared" ca="1" si="125"/>
        <v>0.2</v>
      </c>
      <c r="O429" s="1">
        <f t="shared" ca="1" si="125"/>
        <v>0.2</v>
      </c>
      <c r="P429" s="1">
        <f t="shared" ca="1" si="125"/>
        <v>0.36</v>
      </c>
      <c r="Q429" s="1">
        <f t="shared" ca="1" si="125"/>
        <v>0.1</v>
      </c>
      <c r="R429" s="1">
        <f t="shared" ca="1" si="125"/>
        <v>2.4</v>
      </c>
      <c r="S429" s="1">
        <f t="shared" ca="1" si="126"/>
        <v>0.1</v>
      </c>
      <c r="T429" s="1">
        <f t="shared" ca="1" si="126"/>
        <v>0.9</v>
      </c>
      <c r="U429" s="1">
        <f t="shared" ca="1" si="126"/>
        <v>59.933333333333302</v>
      </c>
      <c r="V429" s="1">
        <f t="shared" ca="1" si="126"/>
        <v>66.9267857142857</v>
      </c>
      <c r="W429" s="1">
        <f t="shared" ca="1" si="126"/>
        <v>0</v>
      </c>
      <c r="X429" s="1">
        <f t="shared" ca="1" si="126"/>
        <v>0</v>
      </c>
      <c r="Y429" s="1">
        <f t="shared" ca="1" si="126"/>
        <v>0</v>
      </c>
      <c r="Z429" s="1">
        <f t="shared" ca="1" si="126"/>
        <v>0</v>
      </c>
      <c r="AA429" s="1">
        <f t="shared" ca="1" si="126"/>
        <v>0</v>
      </c>
      <c r="AB429" s="1">
        <f t="shared" ca="1" si="126"/>
        <v>0</v>
      </c>
      <c r="AC429" s="1">
        <f t="shared" ca="1" si="126"/>
        <v>65.875387500000002</v>
      </c>
      <c r="AD429" s="1">
        <f t="shared" ca="1" si="126"/>
        <v>65.875387500000002</v>
      </c>
      <c r="AE429" s="1">
        <f t="shared" ca="1" si="126"/>
        <v>65.875387500000002</v>
      </c>
      <c r="AF429" s="1">
        <f t="shared" ca="1" si="126"/>
        <v>65.875387500000002</v>
      </c>
      <c r="AG429" s="1">
        <f t="shared" ca="1" si="126"/>
        <v>65.875387500000002</v>
      </c>
      <c r="AH429" s="1">
        <f t="shared" ca="1" si="126"/>
        <v>65.875387500000002</v>
      </c>
      <c r="AI429" s="1">
        <f t="shared" ca="1" si="120"/>
        <v>65.875387500000002</v>
      </c>
    </row>
    <row r="430" spans="2:35" x14ac:dyDescent="0.15">
      <c r="B430" s="1" t="str">
        <f t="shared" si="115"/>
        <v>金属系32</v>
      </c>
      <c r="C430" s="1">
        <f t="shared" si="123"/>
        <v>32</v>
      </c>
      <c r="D430" s="14" t="s">
        <v>94</v>
      </c>
      <c r="E430" s="14">
        <f t="shared" si="124"/>
        <v>5</v>
      </c>
      <c r="F430" s="1" t="str">
        <f t="shared" si="113"/>
        <v>物理</v>
      </c>
      <c r="H430" s="1">
        <f t="shared" ca="1" si="114"/>
        <v>1501.8276146123201</v>
      </c>
      <c r="I430" s="1">
        <f t="shared" ca="1" si="125"/>
        <v>100</v>
      </c>
      <c r="J430" s="1">
        <f t="shared" ca="1" si="125"/>
        <v>379.64369747899201</v>
      </c>
      <c r="K430" s="1">
        <f t="shared" ca="1" si="125"/>
        <v>68.000399999999999</v>
      </c>
      <c r="L430" s="1">
        <f t="shared" ca="1" si="125"/>
        <v>379.64369747899201</v>
      </c>
      <c r="M430" s="1">
        <f t="shared" ca="1" si="125"/>
        <v>45.333599999999997</v>
      </c>
      <c r="N430" s="1">
        <f t="shared" ca="1" si="125"/>
        <v>0.2</v>
      </c>
      <c r="O430" s="1">
        <f t="shared" ca="1" si="125"/>
        <v>0.2</v>
      </c>
      <c r="P430" s="1">
        <f t="shared" ca="1" si="125"/>
        <v>0.36</v>
      </c>
      <c r="Q430" s="1">
        <f t="shared" ca="1" si="125"/>
        <v>0.1</v>
      </c>
      <c r="R430" s="1">
        <f t="shared" ca="1" si="125"/>
        <v>2.4</v>
      </c>
      <c r="S430" s="1">
        <f t="shared" ca="1" si="126"/>
        <v>0.1</v>
      </c>
      <c r="T430" s="1">
        <f t="shared" ca="1" si="126"/>
        <v>0.9</v>
      </c>
      <c r="U430" s="1">
        <f t="shared" ca="1" si="126"/>
        <v>61.866666666666703</v>
      </c>
      <c r="V430" s="1">
        <f t="shared" ca="1" si="126"/>
        <v>72.313085234093606</v>
      </c>
      <c r="W430" s="1">
        <f t="shared" ca="1" si="126"/>
        <v>0</v>
      </c>
      <c r="X430" s="1">
        <f t="shared" ca="1" si="126"/>
        <v>0</v>
      </c>
      <c r="Y430" s="1">
        <f t="shared" ca="1" si="126"/>
        <v>0</v>
      </c>
      <c r="Z430" s="1">
        <f t="shared" ca="1" si="126"/>
        <v>0</v>
      </c>
      <c r="AA430" s="1">
        <f t="shared" ca="1" si="126"/>
        <v>0</v>
      </c>
      <c r="AB430" s="1">
        <f t="shared" ca="1" si="126"/>
        <v>0</v>
      </c>
      <c r="AC430" s="1">
        <f t="shared" ca="1" si="126"/>
        <v>68.000399999999999</v>
      </c>
      <c r="AD430" s="1">
        <f t="shared" ca="1" si="126"/>
        <v>68.000399999999999</v>
      </c>
      <c r="AE430" s="1">
        <f t="shared" ca="1" si="126"/>
        <v>68.000399999999999</v>
      </c>
      <c r="AF430" s="1">
        <f t="shared" ca="1" si="126"/>
        <v>68.000399999999999</v>
      </c>
      <c r="AG430" s="1">
        <f t="shared" ca="1" si="126"/>
        <v>68.000399999999999</v>
      </c>
      <c r="AH430" s="1">
        <f t="shared" ca="1" si="126"/>
        <v>68.000399999999999</v>
      </c>
      <c r="AI430" s="1">
        <f t="shared" ca="1" si="120"/>
        <v>68.000399999999999</v>
      </c>
    </row>
    <row r="431" spans="2:35" x14ac:dyDescent="0.15">
      <c r="B431" s="1" t="str">
        <f t="shared" si="115"/>
        <v>金属系33</v>
      </c>
      <c r="C431" s="1">
        <f t="shared" si="123"/>
        <v>33</v>
      </c>
      <c r="D431" s="14" t="s">
        <v>94</v>
      </c>
      <c r="E431" s="14">
        <f t="shared" si="124"/>
        <v>5</v>
      </c>
      <c r="F431" s="1" t="str">
        <f t="shared" si="113"/>
        <v>物理</v>
      </c>
      <c r="H431" s="1">
        <f t="shared" ca="1" si="114"/>
        <v>1557.3164111466847</v>
      </c>
      <c r="I431" s="1">
        <f t="shared" ca="1" si="125"/>
        <v>100</v>
      </c>
      <c r="J431" s="1">
        <f t="shared" ca="1" si="125"/>
        <v>394.64364406779703</v>
      </c>
      <c r="K431" s="1">
        <f t="shared" ca="1" si="125"/>
        <v>70.12541250000001</v>
      </c>
      <c r="L431" s="1">
        <f t="shared" ca="1" si="125"/>
        <v>394.64364406779703</v>
      </c>
      <c r="M431" s="1">
        <f t="shared" ca="1" si="125"/>
        <v>46.750275000000002</v>
      </c>
      <c r="N431" s="1">
        <f t="shared" ca="1" si="125"/>
        <v>0.2</v>
      </c>
      <c r="O431" s="1">
        <f t="shared" ca="1" si="125"/>
        <v>0.2</v>
      </c>
      <c r="P431" s="1">
        <f t="shared" ca="1" si="125"/>
        <v>0.36</v>
      </c>
      <c r="Q431" s="1">
        <f t="shared" ca="1" si="125"/>
        <v>0.1</v>
      </c>
      <c r="R431" s="1">
        <f t="shared" ca="1" si="125"/>
        <v>2.4</v>
      </c>
      <c r="S431" s="1">
        <f t="shared" ca="1" si="126"/>
        <v>0.1</v>
      </c>
      <c r="T431" s="1">
        <f t="shared" ca="1" si="126"/>
        <v>0.9</v>
      </c>
      <c r="U431" s="1">
        <f t="shared" ca="1" si="126"/>
        <v>63.8</v>
      </c>
      <c r="V431" s="1">
        <f t="shared" ca="1" si="126"/>
        <v>77.983474576271206</v>
      </c>
      <c r="W431" s="1">
        <f t="shared" ca="1" si="126"/>
        <v>0</v>
      </c>
      <c r="X431" s="1">
        <f t="shared" ca="1" si="126"/>
        <v>0</v>
      </c>
      <c r="Y431" s="1">
        <f t="shared" ca="1" si="126"/>
        <v>0</v>
      </c>
      <c r="Z431" s="1">
        <f t="shared" ca="1" si="126"/>
        <v>0</v>
      </c>
      <c r="AA431" s="1">
        <f t="shared" ca="1" si="126"/>
        <v>0</v>
      </c>
      <c r="AB431" s="1">
        <f t="shared" ca="1" si="126"/>
        <v>0</v>
      </c>
      <c r="AC431" s="1">
        <f t="shared" ca="1" si="126"/>
        <v>70.12541250000001</v>
      </c>
      <c r="AD431" s="1">
        <f t="shared" ca="1" si="126"/>
        <v>70.12541250000001</v>
      </c>
      <c r="AE431" s="1">
        <f t="shared" ca="1" si="126"/>
        <v>70.12541250000001</v>
      </c>
      <c r="AF431" s="1">
        <f t="shared" ca="1" si="126"/>
        <v>70.12541250000001</v>
      </c>
      <c r="AG431" s="1">
        <f t="shared" ca="1" si="126"/>
        <v>70.12541250000001</v>
      </c>
      <c r="AH431" s="1">
        <f t="shared" ca="1" si="126"/>
        <v>70.12541250000001</v>
      </c>
      <c r="AI431" s="1">
        <f t="shared" ca="1" si="120"/>
        <v>70.12541250000001</v>
      </c>
    </row>
    <row r="432" spans="2:35" x14ac:dyDescent="0.15">
      <c r="B432" s="1" t="str">
        <f t="shared" si="115"/>
        <v>金属系34</v>
      </c>
      <c r="C432" s="1">
        <f t="shared" si="123"/>
        <v>34</v>
      </c>
      <c r="D432" s="14" t="s">
        <v>94</v>
      </c>
      <c r="E432" s="14">
        <f t="shared" si="124"/>
        <v>5</v>
      </c>
      <c r="F432" s="1" t="str">
        <f t="shared" si="113"/>
        <v>物理</v>
      </c>
      <c r="H432" s="1">
        <f t="shared" ca="1" si="114"/>
        <v>1696.8145407800557</v>
      </c>
      <c r="I432" s="1">
        <f t="shared" ca="1" si="125"/>
        <v>100</v>
      </c>
      <c r="J432" s="1">
        <f t="shared" ca="1" si="125"/>
        <v>409.86190476190501</v>
      </c>
      <c r="K432" s="1">
        <f t="shared" ca="1" si="125"/>
        <v>72.250425000000007</v>
      </c>
      <c r="L432" s="1">
        <f t="shared" ca="1" si="125"/>
        <v>409.86190476190501</v>
      </c>
      <c r="M432" s="1">
        <f t="shared" ca="1" si="125"/>
        <v>48.16695</v>
      </c>
      <c r="N432" s="1">
        <f t="shared" ca="1" si="125"/>
        <v>0.2</v>
      </c>
      <c r="O432" s="1">
        <f t="shared" ca="1" si="125"/>
        <v>0.2</v>
      </c>
      <c r="P432" s="1">
        <f t="shared" ca="1" si="125"/>
        <v>0.36</v>
      </c>
      <c r="Q432" s="1">
        <f t="shared" ca="1" si="125"/>
        <v>0.1</v>
      </c>
      <c r="R432" s="1">
        <f t="shared" ca="1" si="125"/>
        <v>2.4</v>
      </c>
      <c r="S432" s="1">
        <f t="shared" ca="1" si="126"/>
        <v>0.1</v>
      </c>
      <c r="T432" s="1">
        <f t="shared" ca="1" si="126"/>
        <v>0.9</v>
      </c>
      <c r="U432" s="1">
        <f t="shared" ca="1" si="126"/>
        <v>65.733333333333306</v>
      </c>
      <c r="V432" s="1">
        <f t="shared" ca="1" si="126"/>
        <v>83.947619047619099</v>
      </c>
      <c r="W432" s="1">
        <f t="shared" ca="1" si="126"/>
        <v>0</v>
      </c>
      <c r="X432" s="1">
        <f t="shared" ca="1" si="126"/>
        <v>0</v>
      </c>
      <c r="Y432" s="1">
        <f t="shared" ca="1" si="126"/>
        <v>0</v>
      </c>
      <c r="Z432" s="1">
        <f t="shared" ca="1" si="126"/>
        <v>0</v>
      </c>
      <c r="AA432" s="1">
        <f t="shared" ca="1" si="126"/>
        <v>0</v>
      </c>
      <c r="AB432" s="1">
        <f t="shared" ca="1" si="126"/>
        <v>0</v>
      </c>
      <c r="AC432" s="1">
        <f t="shared" ca="1" si="126"/>
        <v>72.250425000000007</v>
      </c>
      <c r="AD432" s="1">
        <f t="shared" ca="1" si="126"/>
        <v>72.250425000000007</v>
      </c>
      <c r="AE432" s="1">
        <f t="shared" ca="1" si="126"/>
        <v>72.250425000000007</v>
      </c>
      <c r="AF432" s="1">
        <f t="shared" ca="1" si="126"/>
        <v>72.250425000000007</v>
      </c>
      <c r="AG432" s="1">
        <f t="shared" ca="1" si="126"/>
        <v>72.250425000000007</v>
      </c>
      <c r="AH432" s="1">
        <f t="shared" ca="1" si="126"/>
        <v>72.250425000000007</v>
      </c>
      <c r="AI432" s="1">
        <f t="shared" ca="1" si="120"/>
        <v>72.250425000000007</v>
      </c>
    </row>
    <row r="433" spans="2:35" x14ac:dyDescent="0.15">
      <c r="B433" s="1" t="str">
        <f t="shared" si="115"/>
        <v>金属系35</v>
      </c>
      <c r="C433" s="1">
        <f t="shared" si="123"/>
        <v>35</v>
      </c>
      <c r="D433" s="14" t="s">
        <v>94</v>
      </c>
      <c r="E433" s="14">
        <f t="shared" si="124"/>
        <v>5</v>
      </c>
      <c r="F433" s="1" t="str">
        <f t="shared" si="113"/>
        <v>物理</v>
      </c>
      <c r="H433" s="1">
        <f t="shared" ca="1" si="114"/>
        <v>1756.2657734849809</v>
      </c>
      <c r="I433" s="1">
        <f t="shared" ref="I433:R442" ca="1" si="127">mVlookup($C433,monsterBaseDate,I$2,FALSE)*(1+mVlookup($E433,monsterType,I$2,FALSE))</f>
        <v>100</v>
      </c>
      <c r="J433" s="1">
        <f t="shared" ca="1" si="127"/>
        <v>425.30172413793099</v>
      </c>
      <c r="K433" s="1">
        <f t="shared" ca="1" si="127"/>
        <v>74.375437500000004</v>
      </c>
      <c r="L433" s="1">
        <f t="shared" ca="1" si="127"/>
        <v>425.30172413793099</v>
      </c>
      <c r="M433" s="1">
        <f t="shared" ca="1" si="127"/>
        <v>49.583624999999998</v>
      </c>
      <c r="N433" s="1">
        <f t="shared" ca="1" si="127"/>
        <v>0.2</v>
      </c>
      <c r="O433" s="1">
        <f t="shared" ca="1" si="127"/>
        <v>0.2</v>
      </c>
      <c r="P433" s="1">
        <f t="shared" ca="1" si="127"/>
        <v>0.36</v>
      </c>
      <c r="Q433" s="1">
        <f t="shared" ca="1" si="127"/>
        <v>0.1</v>
      </c>
      <c r="R433" s="1">
        <f t="shared" ca="1" si="127"/>
        <v>2.4</v>
      </c>
      <c r="S433" s="1">
        <f t="shared" ref="S433:AH448" ca="1" si="128">mVlookup($C433,monsterBaseDate,S$2,FALSE)*(1+mVlookup($E433,monsterType,S$2,FALSE))</f>
        <v>0.1</v>
      </c>
      <c r="T433" s="1">
        <f t="shared" ca="1" si="128"/>
        <v>0.9</v>
      </c>
      <c r="U433" s="1">
        <f t="shared" ca="1" si="128"/>
        <v>67.6666666666667</v>
      </c>
      <c r="V433" s="1">
        <f t="shared" ca="1" si="128"/>
        <v>90.215517241379303</v>
      </c>
      <c r="W433" s="1">
        <f t="shared" ca="1" si="128"/>
        <v>0</v>
      </c>
      <c r="X433" s="1">
        <f t="shared" ca="1" si="128"/>
        <v>0</v>
      </c>
      <c r="Y433" s="1">
        <f t="shared" ca="1" si="128"/>
        <v>0</v>
      </c>
      <c r="Z433" s="1">
        <f t="shared" ca="1" si="128"/>
        <v>0</v>
      </c>
      <c r="AA433" s="1">
        <f t="shared" ca="1" si="128"/>
        <v>0</v>
      </c>
      <c r="AB433" s="1">
        <f t="shared" ca="1" si="126"/>
        <v>0</v>
      </c>
      <c r="AC433" s="1">
        <f t="shared" ca="1" si="128"/>
        <v>74.375437500000004</v>
      </c>
      <c r="AD433" s="1">
        <f t="shared" ca="1" si="128"/>
        <v>74.375437500000004</v>
      </c>
      <c r="AE433" s="1">
        <f t="shared" ca="1" si="128"/>
        <v>74.375437500000004</v>
      </c>
      <c r="AF433" s="1">
        <f t="shared" ca="1" si="128"/>
        <v>74.375437500000004</v>
      </c>
      <c r="AG433" s="1">
        <f t="shared" ca="1" si="128"/>
        <v>74.375437500000004</v>
      </c>
      <c r="AH433" s="1">
        <f t="shared" ca="1" si="128"/>
        <v>74.375437500000004</v>
      </c>
      <c r="AI433" s="1">
        <f t="shared" ca="1" si="120"/>
        <v>74.375437500000004</v>
      </c>
    </row>
    <row r="434" spans="2:35" x14ac:dyDescent="0.15">
      <c r="B434" s="1" t="str">
        <f t="shared" si="115"/>
        <v>金属系36</v>
      </c>
      <c r="C434" s="1">
        <f t="shared" si="123"/>
        <v>36</v>
      </c>
      <c r="D434" s="14" t="s">
        <v>94</v>
      </c>
      <c r="E434" s="14">
        <f t="shared" si="124"/>
        <v>5</v>
      </c>
      <c r="F434" s="1" t="str">
        <f t="shared" si="113"/>
        <v>物理</v>
      </c>
      <c r="H434" s="1">
        <f t="shared" ca="1" si="114"/>
        <v>1816.262430343173</v>
      </c>
      <c r="I434" s="1">
        <f t="shared" ca="1" si="127"/>
        <v>100</v>
      </c>
      <c r="J434" s="1">
        <f t="shared" ca="1" si="127"/>
        <v>440.96645962732902</v>
      </c>
      <c r="K434" s="1">
        <f t="shared" ca="1" si="127"/>
        <v>76.500450000000001</v>
      </c>
      <c r="L434" s="1">
        <f t="shared" ca="1" si="127"/>
        <v>440.96645962732902</v>
      </c>
      <c r="M434" s="1">
        <f t="shared" ca="1" si="127"/>
        <v>51.000300000000003</v>
      </c>
      <c r="N434" s="1">
        <f t="shared" ca="1" si="127"/>
        <v>0.2</v>
      </c>
      <c r="O434" s="1">
        <f t="shared" ca="1" si="127"/>
        <v>0.2</v>
      </c>
      <c r="P434" s="1">
        <f t="shared" ca="1" si="127"/>
        <v>0.36</v>
      </c>
      <c r="Q434" s="1">
        <f t="shared" ca="1" si="127"/>
        <v>0.1</v>
      </c>
      <c r="R434" s="1">
        <f t="shared" ca="1" si="127"/>
        <v>2.4</v>
      </c>
      <c r="S434" s="1">
        <f t="shared" ca="1" si="128"/>
        <v>0.1</v>
      </c>
      <c r="T434" s="1">
        <f t="shared" ca="1" si="128"/>
        <v>0.9</v>
      </c>
      <c r="U434" s="1">
        <f t="shared" ca="1" si="128"/>
        <v>69.599999999999994</v>
      </c>
      <c r="V434" s="1">
        <f t="shared" ca="1" si="128"/>
        <v>96.797515527950296</v>
      </c>
      <c r="W434" s="1">
        <f t="shared" ca="1" si="128"/>
        <v>0</v>
      </c>
      <c r="X434" s="1">
        <f t="shared" ca="1" si="128"/>
        <v>0</v>
      </c>
      <c r="Y434" s="1">
        <f t="shared" ca="1" si="128"/>
        <v>0</v>
      </c>
      <c r="Z434" s="1">
        <f t="shared" ca="1" si="128"/>
        <v>0</v>
      </c>
      <c r="AA434" s="1">
        <f t="shared" ca="1" si="128"/>
        <v>0</v>
      </c>
      <c r="AB434" s="1">
        <f t="shared" ca="1" si="126"/>
        <v>0</v>
      </c>
      <c r="AC434" s="1">
        <f t="shared" ca="1" si="128"/>
        <v>76.500450000000001</v>
      </c>
      <c r="AD434" s="1">
        <f t="shared" ca="1" si="128"/>
        <v>76.500450000000001</v>
      </c>
      <c r="AE434" s="1">
        <f t="shared" ca="1" si="128"/>
        <v>76.500450000000001</v>
      </c>
      <c r="AF434" s="1">
        <f t="shared" ca="1" si="128"/>
        <v>76.500450000000001</v>
      </c>
      <c r="AG434" s="1">
        <f t="shared" ca="1" si="128"/>
        <v>76.500450000000001</v>
      </c>
      <c r="AH434" s="1">
        <f t="shared" ca="1" si="128"/>
        <v>76.500450000000001</v>
      </c>
      <c r="AI434" s="1">
        <f t="shared" ca="1" si="120"/>
        <v>76.500450000000001</v>
      </c>
    </row>
    <row r="435" spans="2:35" x14ac:dyDescent="0.15">
      <c r="B435" s="1" t="str">
        <f t="shared" si="115"/>
        <v>金属系37</v>
      </c>
      <c r="C435" s="1">
        <f t="shared" si="123"/>
        <v>37</v>
      </c>
      <c r="D435" s="14" t="s">
        <v>94</v>
      </c>
      <c r="E435" s="14">
        <f t="shared" si="124"/>
        <v>5</v>
      </c>
      <c r="F435" s="1" t="str">
        <f t="shared" si="113"/>
        <v>物理</v>
      </c>
      <c r="H435" s="1">
        <f t="shared" ca="1" si="114"/>
        <v>1876.8045113546013</v>
      </c>
      <c r="I435" s="1">
        <f t="shared" ca="1" si="127"/>
        <v>100</v>
      </c>
      <c r="J435" s="1">
        <f t="shared" ca="1" si="127"/>
        <v>456.85958646616501</v>
      </c>
      <c r="K435" s="1">
        <f t="shared" ca="1" si="127"/>
        <v>78.625462499999998</v>
      </c>
      <c r="L435" s="1">
        <f t="shared" ca="1" si="127"/>
        <v>456.85958646616501</v>
      </c>
      <c r="M435" s="1">
        <f t="shared" ca="1" si="127"/>
        <v>52.416975000000001</v>
      </c>
      <c r="N435" s="1">
        <f t="shared" ca="1" si="127"/>
        <v>0.2</v>
      </c>
      <c r="O435" s="1">
        <f t="shared" ca="1" si="127"/>
        <v>0.2</v>
      </c>
      <c r="P435" s="1">
        <f t="shared" ca="1" si="127"/>
        <v>0.36</v>
      </c>
      <c r="Q435" s="1">
        <f t="shared" ca="1" si="127"/>
        <v>0.1</v>
      </c>
      <c r="R435" s="1">
        <f t="shared" ca="1" si="127"/>
        <v>2.4</v>
      </c>
      <c r="S435" s="1">
        <f t="shared" ca="1" si="128"/>
        <v>0.1</v>
      </c>
      <c r="T435" s="1">
        <f t="shared" ca="1" si="128"/>
        <v>0.9</v>
      </c>
      <c r="U435" s="1">
        <f t="shared" ca="1" si="128"/>
        <v>71.533333333333303</v>
      </c>
      <c r="V435" s="1">
        <f t="shared" ca="1" si="128"/>
        <v>103.704323308271</v>
      </c>
      <c r="W435" s="1">
        <f t="shared" ca="1" si="128"/>
        <v>0</v>
      </c>
      <c r="X435" s="1">
        <f t="shared" ca="1" si="128"/>
        <v>0</v>
      </c>
      <c r="Y435" s="1">
        <f t="shared" ca="1" si="128"/>
        <v>0</v>
      </c>
      <c r="Z435" s="1">
        <f t="shared" ca="1" si="128"/>
        <v>0</v>
      </c>
      <c r="AA435" s="1">
        <f t="shared" ca="1" si="128"/>
        <v>0</v>
      </c>
      <c r="AB435" s="1">
        <f t="shared" ca="1" si="126"/>
        <v>0</v>
      </c>
      <c r="AC435" s="1">
        <f t="shared" ca="1" si="128"/>
        <v>78.625462499999998</v>
      </c>
      <c r="AD435" s="1">
        <f t="shared" ca="1" si="128"/>
        <v>78.625462499999998</v>
      </c>
      <c r="AE435" s="1">
        <f t="shared" ca="1" si="128"/>
        <v>78.625462499999998</v>
      </c>
      <c r="AF435" s="1">
        <f t="shared" ca="1" si="128"/>
        <v>78.625462499999998</v>
      </c>
      <c r="AG435" s="1">
        <f t="shared" ca="1" si="128"/>
        <v>78.625462499999998</v>
      </c>
      <c r="AH435" s="1">
        <f t="shared" ca="1" si="128"/>
        <v>78.625462499999998</v>
      </c>
      <c r="AI435" s="1">
        <f t="shared" ca="1" si="120"/>
        <v>78.625462499999998</v>
      </c>
    </row>
    <row r="436" spans="2:35" x14ac:dyDescent="0.15">
      <c r="B436" s="1" t="str">
        <f t="shared" si="115"/>
        <v>金属系38</v>
      </c>
      <c r="C436" s="1">
        <f t="shared" si="123"/>
        <v>38</v>
      </c>
      <c r="D436" s="14" t="s">
        <v>94</v>
      </c>
      <c r="E436" s="14">
        <f t="shared" si="124"/>
        <v>5</v>
      </c>
      <c r="F436" s="1" t="str">
        <f t="shared" si="113"/>
        <v>物理</v>
      </c>
      <c r="H436" s="1">
        <f t="shared" ca="1" si="114"/>
        <v>1937.8920165193017</v>
      </c>
      <c r="I436" s="1">
        <f t="shared" ca="1" si="127"/>
        <v>100</v>
      </c>
      <c r="J436" s="1">
        <f t="shared" ca="1" si="127"/>
        <v>472.98470290771201</v>
      </c>
      <c r="K436" s="1">
        <f t="shared" ca="1" si="127"/>
        <v>80.750474999999994</v>
      </c>
      <c r="L436" s="1">
        <f t="shared" ca="1" si="127"/>
        <v>472.98470290771201</v>
      </c>
      <c r="M436" s="1">
        <f t="shared" ca="1" si="127"/>
        <v>53.833649999999999</v>
      </c>
      <c r="N436" s="1">
        <f t="shared" ca="1" si="127"/>
        <v>0.2</v>
      </c>
      <c r="O436" s="1">
        <f t="shared" ca="1" si="127"/>
        <v>0.2</v>
      </c>
      <c r="P436" s="1">
        <f t="shared" ca="1" si="127"/>
        <v>0.36</v>
      </c>
      <c r="Q436" s="1">
        <f t="shared" ca="1" si="127"/>
        <v>0.1</v>
      </c>
      <c r="R436" s="1">
        <f t="shared" ca="1" si="127"/>
        <v>2.4</v>
      </c>
      <c r="S436" s="1">
        <f t="shared" ca="1" si="128"/>
        <v>0.1</v>
      </c>
      <c r="T436" s="1">
        <f t="shared" ca="1" si="128"/>
        <v>0.9</v>
      </c>
      <c r="U436" s="1">
        <f t="shared" ca="1" si="128"/>
        <v>73.466666666666697</v>
      </c>
      <c r="V436" s="1">
        <f t="shared" ca="1" si="128"/>
        <v>110.947029077118</v>
      </c>
      <c r="W436" s="1">
        <f t="shared" ca="1" si="128"/>
        <v>0</v>
      </c>
      <c r="X436" s="1">
        <f t="shared" ca="1" si="128"/>
        <v>0</v>
      </c>
      <c r="Y436" s="1">
        <f t="shared" ca="1" si="128"/>
        <v>0</v>
      </c>
      <c r="Z436" s="1">
        <f t="shared" ca="1" si="128"/>
        <v>0</v>
      </c>
      <c r="AA436" s="1">
        <f t="shared" ca="1" si="128"/>
        <v>0</v>
      </c>
      <c r="AB436" s="1">
        <f t="shared" ca="1" si="126"/>
        <v>0</v>
      </c>
      <c r="AC436" s="1">
        <f t="shared" ca="1" si="128"/>
        <v>80.750474999999994</v>
      </c>
      <c r="AD436" s="1">
        <f t="shared" ca="1" si="128"/>
        <v>80.750474999999994</v>
      </c>
      <c r="AE436" s="1">
        <f t="shared" ca="1" si="128"/>
        <v>80.750474999999994</v>
      </c>
      <c r="AF436" s="1">
        <f t="shared" ca="1" si="128"/>
        <v>80.750474999999994</v>
      </c>
      <c r="AG436" s="1">
        <f t="shared" ca="1" si="128"/>
        <v>80.750474999999994</v>
      </c>
      <c r="AH436" s="1">
        <f t="shared" ca="1" si="128"/>
        <v>80.750474999999994</v>
      </c>
      <c r="AI436" s="1">
        <f t="shared" ca="1" si="120"/>
        <v>80.750474999999994</v>
      </c>
    </row>
    <row r="437" spans="2:35" x14ac:dyDescent="0.15">
      <c r="B437" s="1" t="str">
        <f t="shared" si="115"/>
        <v>金属系39</v>
      </c>
      <c r="C437" s="1">
        <f t="shared" si="123"/>
        <v>39</v>
      </c>
      <c r="D437" s="14" t="s">
        <v>94</v>
      </c>
      <c r="E437" s="14">
        <f t="shared" si="124"/>
        <v>5</v>
      </c>
      <c r="F437" s="1" t="str">
        <f t="shared" si="113"/>
        <v>物理</v>
      </c>
      <c r="H437" s="1">
        <f t="shared" ca="1" si="114"/>
        <v>1999.5249458372562</v>
      </c>
      <c r="I437" s="1">
        <f t="shared" ca="1" si="127"/>
        <v>100</v>
      </c>
      <c r="J437" s="1">
        <f t="shared" ca="1" si="127"/>
        <v>489.34553571428597</v>
      </c>
      <c r="K437" s="1">
        <f t="shared" ca="1" si="127"/>
        <v>82.875487499999991</v>
      </c>
      <c r="L437" s="1">
        <f t="shared" ca="1" si="127"/>
        <v>489.34553571428597</v>
      </c>
      <c r="M437" s="1">
        <f t="shared" ca="1" si="127"/>
        <v>55.250324999999997</v>
      </c>
      <c r="N437" s="1">
        <f t="shared" ca="1" si="127"/>
        <v>0.2</v>
      </c>
      <c r="O437" s="1">
        <f t="shared" ca="1" si="127"/>
        <v>0.2</v>
      </c>
      <c r="P437" s="1">
        <f t="shared" ca="1" si="127"/>
        <v>0.36</v>
      </c>
      <c r="Q437" s="1">
        <f t="shared" ca="1" si="127"/>
        <v>0.1</v>
      </c>
      <c r="R437" s="1">
        <f t="shared" ca="1" si="127"/>
        <v>2.4</v>
      </c>
      <c r="S437" s="1">
        <f t="shared" ca="1" si="128"/>
        <v>0.1</v>
      </c>
      <c r="T437" s="1">
        <f t="shared" ca="1" si="128"/>
        <v>0.9</v>
      </c>
      <c r="U437" s="1">
        <f t="shared" ca="1" si="128"/>
        <v>75.400000000000006</v>
      </c>
      <c r="V437" s="1">
        <f t="shared" ca="1" si="128"/>
        <v>118.537117346939</v>
      </c>
      <c r="W437" s="1">
        <f t="shared" ca="1" si="128"/>
        <v>0</v>
      </c>
      <c r="X437" s="1">
        <f t="shared" ca="1" si="128"/>
        <v>0</v>
      </c>
      <c r="Y437" s="1">
        <f t="shared" ca="1" si="128"/>
        <v>0</v>
      </c>
      <c r="Z437" s="1">
        <f t="shared" ca="1" si="128"/>
        <v>0</v>
      </c>
      <c r="AA437" s="1">
        <f t="shared" ca="1" si="128"/>
        <v>0</v>
      </c>
      <c r="AB437" s="1">
        <f t="shared" ca="1" si="126"/>
        <v>0</v>
      </c>
      <c r="AC437" s="1">
        <f t="shared" ca="1" si="128"/>
        <v>82.875487499999991</v>
      </c>
      <c r="AD437" s="1">
        <f t="shared" ca="1" si="128"/>
        <v>82.875487499999991</v>
      </c>
      <c r="AE437" s="1">
        <f t="shared" ca="1" si="128"/>
        <v>82.875487499999991</v>
      </c>
      <c r="AF437" s="1">
        <f t="shared" ca="1" si="128"/>
        <v>82.875487499999991</v>
      </c>
      <c r="AG437" s="1">
        <f t="shared" ca="1" si="128"/>
        <v>82.875487499999991</v>
      </c>
      <c r="AH437" s="1">
        <f t="shared" ca="1" si="128"/>
        <v>82.875487499999991</v>
      </c>
      <c r="AI437" s="1">
        <f t="shared" ca="1" si="120"/>
        <v>82.875487499999991</v>
      </c>
    </row>
    <row r="438" spans="2:35" x14ac:dyDescent="0.15">
      <c r="B438" s="1" t="str">
        <f t="shared" si="115"/>
        <v>金属系40</v>
      </c>
      <c r="C438" s="1">
        <f t="shared" si="123"/>
        <v>40</v>
      </c>
      <c r="D438" s="14" t="s">
        <v>94</v>
      </c>
      <c r="E438" s="14">
        <f t="shared" si="124"/>
        <v>5</v>
      </c>
      <c r="F438" s="1" t="str">
        <f t="shared" si="113"/>
        <v>物理</v>
      </c>
      <c r="H438" s="1">
        <f t="shared" ca="1" si="114"/>
        <v>2061.7032993084649</v>
      </c>
      <c r="I438" s="1">
        <f t="shared" ca="1" si="127"/>
        <v>100</v>
      </c>
      <c r="J438" s="1">
        <f t="shared" ca="1" si="127"/>
        <v>505.94594594594599</v>
      </c>
      <c r="K438" s="1">
        <f t="shared" ca="1" si="127"/>
        <v>85.000500000000002</v>
      </c>
      <c r="L438" s="1">
        <f t="shared" ca="1" si="127"/>
        <v>505.94594594594599</v>
      </c>
      <c r="M438" s="1">
        <f t="shared" ca="1" si="127"/>
        <v>56.667000000000002</v>
      </c>
      <c r="N438" s="1">
        <f t="shared" ca="1" si="127"/>
        <v>0.2</v>
      </c>
      <c r="O438" s="1">
        <f t="shared" ca="1" si="127"/>
        <v>0.2</v>
      </c>
      <c r="P438" s="1">
        <f t="shared" ca="1" si="127"/>
        <v>0.36</v>
      </c>
      <c r="Q438" s="1">
        <f t="shared" ca="1" si="127"/>
        <v>0.1</v>
      </c>
      <c r="R438" s="1">
        <f t="shared" ca="1" si="127"/>
        <v>2.4</v>
      </c>
      <c r="S438" s="1">
        <f t="shared" ca="1" si="128"/>
        <v>0.1</v>
      </c>
      <c r="T438" s="1">
        <f t="shared" ca="1" si="128"/>
        <v>0.9</v>
      </c>
      <c r="U438" s="1">
        <f t="shared" ca="1" si="128"/>
        <v>77.3333333333333</v>
      </c>
      <c r="V438" s="1">
        <f t="shared" ca="1" si="128"/>
        <v>126.486486486487</v>
      </c>
      <c r="W438" s="1">
        <f t="shared" ca="1" si="128"/>
        <v>0</v>
      </c>
      <c r="X438" s="1">
        <f t="shared" ca="1" si="128"/>
        <v>0</v>
      </c>
      <c r="Y438" s="1">
        <f t="shared" ca="1" si="128"/>
        <v>0</v>
      </c>
      <c r="Z438" s="1">
        <f t="shared" ca="1" si="128"/>
        <v>0</v>
      </c>
      <c r="AA438" s="1">
        <f t="shared" ca="1" si="128"/>
        <v>0</v>
      </c>
      <c r="AB438" s="1">
        <f t="shared" ca="1" si="126"/>
        <v>0</v>
      </c>
      <c r="AC438" s="1">
        <f t="shared" ca="1" si="128"/>
        <v>85.000500000000002</v>
      </c>
      <c r="AD438" s="1">
        <f t="shared" ca="1" si="128"/>
        <v>85.000500000000002</v>
      </c>
      <c r="AE438" s="1">
        <f t="shared" ca="1" si="128"/>
        <v>85.000500000000002</v>
      </c>
      <c r="AF438" s="1">
        <f t="shared" ca="1" si="128"/>
        <v>85.000500000000002</v>
      </c>
      <c r="AG438" s="1">
        <f t="shared" ca="1" si="128"/>
        <v>85.000500000000002</v>
      </c>
      <c r="AH438" s="1">
        <f t="shared" ca="1" si="128"/>
        <v>85.000500000000002</v>
      </c>
      <c r="AI438" s="1">
        <f t="shared" ca="1" si="120"/>
        <v>85.000500000000002</v>
      </c>
    </row>
    <row r="439" spans="2:35" x14ac:dyDescent="0.15">
      <c r="B439" s="1" t="str">
        <f t="shared" si="115"/>
        <v>金属系41</v>
      </c>
      <c r="C439" s="1">
        <f t="shared" si="123"/>
        <v>41</v>
      </c>
      <c r="D439" s="14" t="s">
        <v>94</v>
      </c>
      <c r="E439" s="14">
        <f t="shared" si="124"/>
        <v>5</v>
      </c>
      <c r="F439" s="1" t="str">
        <f t="shared" si="113"/>
        <v>物理</v>
      </c>
      <c r="H439" s="1">
        <f t="shared" ca="1" si="114"/>
        <v>2124.4270769329282</v>
      </c>
      <c r="I439" s="1">
        <f t="shared" ca="1" si="127"/>
        <v>100</v>
      </c>
      <c r="J439" s="1">
        <f t="shared" ca="1" si="127"/>
        <v>522.78993506493498</v>
      </c>
      <c r="K439" s="1">
        <f t="shared" ca="1" si="127"/>
        <v>87.125512499999999</v>
      </c>
      <c r="L439" s="1">
        <f t="shared" ca="1" si="127"/>
        <v>522.78993506493498</v>
      </c>
      <c r="M439" s="1">
        <f t="shared" ca="1" si="127"/>
        <v>58.083674999999999</v>
      </c>
      <c r="N439" s="1">
        <f t="shared" ca="1" si="127"/>
        <v>0.2</v>
      </c>
      <c r="O439" s="1">
        <f t="shared" ca="1" si="127"/>
        <v>0.2</v>
      </c>
      <c r="P439" s="1">
        <f t="shared" ca="1" si="127"/>
        <v>0.36</v>
      </c>
      <c r="Q439" s="1">
        <f t="shared" ca="1" si="127"/>
        <v>0.1</v>
      </c>
      <c r="R439" s="1">
        <f t="shared" ca="1" si="127"/>
        <v>2.4</v>
      </c>
      <c r="S439" s="1">
        <f t="shared" ca="1" si="128"/>
        <v>0.1</v>
      </c>
      <c r="T439" s="1">
        <f t="shared" ca="1" si="128"/>
        <v>0.9</v>
      </c>
      <c r="U439" s="1">
        <f t="shared" ca="1" si="128"/>
        <v>79.266666666666694</v>
      </c>
      <c r="V439" s="1">
        <f t="shared" ca="1" si="128"/>
        <v>134.807467532468</v>
      </c>
      <c r="W439" s="1">
        <f t="shared" ca="1" si="128"/>
        <v>0</v>
      </c>
      <c r="X439" s="1">
        <f t="shared" ca="1" si="128"/>
        <v>0</v>
      </c>
      <c r="Y439" s="1">
        <f t="shared" ca="1" si="128"/>
        <v>0</v>
      </c>
      <c r="Z439" s="1">
        <f t="shared" ca="1" si="128"/>
        <v>0</v>
      </c>
      <c r="AA439" s="1">
        <f t="shared" ca="1" si="128"/>
        <v>0</v>
      </c>
      <c r="AB439" s="1">
        <f t="shared" ca="1" si="128"/>
        <v>0</v>
      </c>
      <c r="AC439" s="1">
        <f t="shared" ca="1" si="128"/>
        <v>87.125512499999999</v>
      </c>
      <c r="AD439" s="1">
        <f t="shared" ca="1" si="128"/>
        <v>87.125512499999999</v>
      </c>
      <c r="AE439" s="1">
        <f t="shared" ca="1" si="128"/>
        <v>87.125512499999999</v>
      </c>
      <c r="AF439" s="1">
        <f t="shared" ca="1" si="128"/>
        <v>87.125512499999999</v>
      </c>
      <c r="AG439" s="1">
        <f t="shared" ca="1" si="128"/>
        <v>87.125512499999999</v>
      </c>
      <c r="AH439" s="1">
        <f t="shared" ca="1" si="128"/>
        <v>87.125512499999999</v>
      </c>
      <c r="AI439" s="1">
        <f t="shared" ca="1" si="120"/>
        <v>87.125512499999999</v>
      </c>
    </row>
    <row r="440" spans="2:35" x14ac:dyDescent="0.15">
      <c r="B440" s="1" t="str">
        <f t="shared" si="115"/>
        <v>金属系42</v>
      </c>
      <c r="C440" s="1">
        <f t="shared" si="123"/>
        <v>42</v>
      </c>
      <c r="D440" s="14" t="s">
        <v>94</v>
      </c>
      <c r="E440" s="14">
        <f t="shared" si="124"/>
        <v>5</v>
      </c>
      <c r="F440" s="1" t="str">
        <f t="shared" si="113"/>
        <v>物理</v>
      </c>
      <c r="H440" s="1">
        <f t="shared" ca="1" si="114"/>
        <v>2187.6962787106454</v>
      </c>
      <c r="I440" s="1">
        <f t="shared" ca="1" si="127"/>
        <v>100</v>
      </c>
      <c r="J440" s="1">
        <f t="shared" ca="1" si="127"/>
        <v>539.88165137614703</v>
      </c>
      <c r="K440" s="1">
        <f t="shared" ca="1" si="127"/>
        <v>89.250524999999996</v>
      </c>
      <c r="L440" s="1">
        <f t="shared" ca="1" si="127"/>
        <v>539.88165137614703</v>
      </c>
      <c r="M440" s="1">
        <f t="shared" ca="1" si="127"/>
        <v>59.500349999999997</v>
      </c>
      <c r="N440" s="1">
        <f t="shared" ca="1" si="127"/>
        <v>0.2</v>
      </c>
      <c r="O440" s="1">
        <f t="shared" ca="1" si="127"/>
        <v>0.2</v>
      </c>
      <c r="P440" s="1">
        <f t="shared" ca="1" si="127"/>
        <v>0.36</v>
      </c>
      <c r="Q440" s="1">
        <f t="shared" ca="1" si="127"/>
        <v>0.1</v>
      </c>
      <c r="R440" s="1">
        <f t="shared" ca="1" si="127"/>
        <v>2.4</v>
      </c>
      <c r="S440" s="1">
        <f t="shared" ca="1" si="128"/>
        <v>0.1</v>
      </c>
      <c r="T440" s="1">
        <f t="shared" ca="1" si="128"/>
        <v>0.9</v>
      </c>
      <c r="U440" s="1">
        <f t="shared" ca="1" si="128"/>
        <v>81.2</v>
      </c>
      <c r="V440" s="1">
        <f t="shared" ca="1" si="128"/>
        <v>143.512844036697</v>
      </c>
      <c r="W440" s="1">
        <f t="shared" ca="1" si="128"/>
        <v>0</v>
      </c>
      <c r="X440" s="1">
        <f t="shared" ca="1" si="128"/>
        <v>0</v>
      </c>
      <c r="Y440" s="1">
        <f t="shared" ca="1" si="128"/>
        <v>0</v>
      </c>
      <c r="Z440" s="1">
        <f t="shared" ca="1" si="128"/>
        <v>0</v>
      </c>
      <c r="AA440" s="1">
        <f t="shared" ca="1" si="128"/>
        <v>0</v>
      </c>
      <c r="AB440" s="1">
        <f t="shared" ca="1" si="128"/>
        <v>0</v>
      </c>
      <c r="AC440" s="1">
        <f t="shared" ca="1" si="128"/>
        <v>89.250524999999996</v>
      </c>
      <c r="AD440" s="1">
        <f t="shared" ca="1" si="128"/>
        <v>89.250524999999996</v>
      </c>
      <c r="AE440" s="1">
        <f t="shared" ca="1" si="128"/>
        <v>89.250524999999996</v>
      </c>
      <c r="AF440" s="1">
        <f t="shared" ca="1" si="128"/>
        <v>89.250524999999996</v>
      </c>
      <c r="AG440" s="1">
        <f t="shared" ca="1" si="128"/>
        <v>89.250524999999996</v>
      </c>
      <c r="AH440" s="1">
        <f t="shared" ca="1" si="128"/>
        <v>89.250524999999996</v>
      </c>
      <c r="AI440" s="1">
        <f t="shared" ca="1" si="120"/>
        <v>89.250524999999996</v>
      </c>
    </row>
    <row r="441" spans="2:35" x14ac:dyDescent="0.15">
      <c r="B441" s="1" t="str">
        <f t="shared" si="115"/>
        <v>金属系43</v>
      </c>
      <c r="C441" s="1">
        <f t="shared" si="123"/>
        <v>43</v>
      </c>
      <c r="D441" s="14" t="s">
        <v>94</v>
      </c>
      <c r="E441" s="14">
        <f t="shared" si="124"/>
        <v>5</v>
      </c>
      <c r="F441" s="1" t="str">
        <f t="shared" si="113"/>
        <v>物理</v>
      </c>
      <c r="H441" s="1">
        <f t="shared" ca="1" si="114"/>
        <v>2251.5109046416169</v>
      </c>
      <c r="I441" s="1">
        <f t="shared" ca="1" si="127"/>
        <v>100</v>
      </c>
      <c r="J441" s="1">
        <f t="shared" ca="1" si="127"/>
        <v>557.22539682539696</v>
      </c>
      <c r="K441" s="1">
        <f t="shared" ca="1" si="127"/>
        <v>91.375537500000007</v>
      </c>
      <c r="L441" s="1">
        <f t="shared" ca="1" si="127"/>
        <v>557.22539682539696</v>
      </c>
      <c r="M441" s="1">
        <f t="shared" ca="1" si="127"/>
        <v>60.917025000000002</v>
      </c>
      <c r="N441" s="1">
        <f t="shared" ca="1" si="127"/>
        <v>0.2</v>
      </c>
      <c r="O441" s="1">
        <f t="shared" ca="1" si="127"/>
        <v>0.2</v>
      </c>
      <c r="P441" s="1">
        <f t="shared" ca="1" si="127"/>
        <v>0.36</v>
      </c>
      <c r="Q441" s="1">
        <f t="shared" ca="1" si="127"/>
        <v>0.1</v>
      </c>
      <c r="R441" s="1">
        <f t="shared" ca="1" si="127"/>
        <v>2.4</v>
      </c>
      <c r="S441" s="1">
        <f t="shared" ca="1" si="128"/>
        <v>0.1</v>
      </c>
      <c r="T441" s="1">
        <f t="shared" ca="1" si="128"/>
        <v>0.9</v>
      </c>
      <c r="U441" s="1">
        <f t="shared" ca="1" si="128"/>
        <v>83.133333333333297</v>
      </c>
      <c r="V441" s="1">
        <f t="shared" ca="1" si="128"/>
        <v>152.61587301587301</v>
      </c>
      <c r="W441" s="1">
        <f t="shared" ca="1" si="128"/>
        <v>0</v>
      </c>
      <c r="X441" s="1">
        <f t="shared" ca="1" si="128"/>
        <v>0</v>
      </c>
      <c r="Y441" s="1">
        <f t="shared" ca="1" si="128"/>
        <v>0</v>
      </c>
      <c r="Z441" s="1">
        <f t="shared" ca="1" si="128"/>
        <v>0</v>
      </c>
      <c r="AA441" s="1">
        <f t="shared" ca="1" si="128"/>
        <v>0</v>
      </c>
      <c r="AB441" s="1">
        <f t="shared" ca="1" si="128"/>
        <v>0</v>
      </c>
      <c r="AC441" s="1">
        <f t="shared" ca="1" si="128"/>
        <v>91.375537500000007</v>
      </c>
      <c r="AD441" s="1">
        <f t="shared" ca="1" si="128"/>
        <v>91.375537500000007</v>
      </c>
      <c r="AE441" s="1">
        <f t="shared" ca="1" si="128"/>
        <v>91.375537500000007</v>
      </c>
      <c r="AF441" s="1">
        <f t="shared" ca="1" si="128"/>
        <v>91.375537500000007</v>
      </c>
      <c r="AG441" s="1">
        <f t="shared" ca="1" si="128"/>
        <v>91.375537500000007</v>
      </c>
      <c r="AH441" s="1">
        <f t="shared" ca="1" si="128"/>
        <v>91.375537500000007</v>
      </c>
      <c r="AI441" s="1">
        <f t="shared" ca="1" si="120"/>
        <v>91.375537500000007</v>
      </c>
    </row>
    <row r="442" spans="2:35" x14ac:dyDescent="0.15">
      <c r="B442" s="1" t="str">
        <f t="shared" si="115"/>
        <v>金属系44</v>
      </c>
      <c r="C442" s="1">
        <f t="shared" si="123"/>
        <v>44</v>
      </c>
      <c r="D442" s="14" t="s">
        <v>94</v>
      </c>
      <c r="E442" s="14">
        <f t="shared" si="124"/>
        <v>5</v>
      </c>
      <c r="F442" s="1" t="str">
        <f t="shared" si="113"/>
        <v>物理</v>
      </c>
      <c r="H442" s="1">
        <f t="shared" ca="1" si="114"/>
        <v>2315.8709547258427</v>
      </c>
      <c r="I442" s="1">
        <f t="shared" ca="1" si="127"/>
        <v>100</v>
      </c>
      <c r="J442" s="1">
        <f t="shared" ca="1" si="127"/>
        <v>574.82563417890503</v>
      </c>
      <c r="K442" s="1">
        <f t="shared" ca="1" si="127"/>
        <v>93.500550000000004</v>
      </c>
      <c r="L442" s="1">
        <f t="shared" ca="1" si="127"/>
        <v>574.82563417890503</v>
      </c>
      <c r="M442" s="1">
        <f t="shared" ca="1" si="127"/>
        <v>62.3337</v>
      </c>
      <c r="N442" s="1">
        <f t="shared" ca="1" si="127"/>
        <v>0.2</v>
      </c>
      <c r="O442" s="1">
        <f t="shared" ca="1" si="127"/>
        <v>0.2</v>
      </c>
      <c r="P442" s="1">
        <f t="shared" ca="1" si="127"/>
        <v>0.36</v>
      </c>
      <c r="Q442" s="1">
        <f t="shared" ca="1" si="127"/>
        <v>0.1</v>
      </c>
      <c r="R442" s="1">
        <f t="shared" ca="1" si="127"/>
        <v>2.4</v>
      </c>
      <c r="S442" s="1">
        <f t="shared" ca="1" si="128"/>
        <v>0.1</v>
      </c>
      <c r="T442" s="1">
        <f t="shared" ca="1" si="128"/>
        <v>0.9</v>
      </c>
      <c r="U442" s="1">
        <f t="shared" ca="1" si="128"/>
        <v>85.066666666666706</v>
      </c>
      <c r="V442" s="1">
        <f t="shared" ca="1" si="128"/>
        <v>162.13030707610201</v>
      </c>
      <c r="W442" s="1">
        <f t="shared" ca="1" si="128"/>
        <v>0</v>
      </c>
      <c r="X442" s="1">
        <f t="shared" ca="1" si="128"/>
        <v>0</v>
      </c>
      <c r="Y442" s="1">
        <f t="shared" ca="1" si="128"/>
        <v>0</v>
      </c>
      <c r="Z442" s="1">
        <f t="shared" ca="1" si="128"/>
        <v>0</v>
      </c>
      <c r="AA442" s="1">
        <f t="shared" ca="1" si="128"/>
        <v>0</v>
      </c>
      <c r="AB442" s="1">
        <f t="shared" ca="1" si="128"/>
        <v>0</v>
      </c>
      <c r="AC442" s="1">
        <f t="shared" ca="1" si="128"/>
        <v>93.500550000000004</v>
      </c>
      <c r="AD442" s="1">
        <f t="shared" ca="1" si="128"/>
        <v>93.500550000000004</v>
      </c>
      <c r="AE442" s="1">
        <f t="shared" ca="1" si="128"/>
        <v>93.500550000000004</v>
      </c>
      <c r="AF442" s="1">
        <f t="shared" ca="1" si="128"/>
        <v>93.500550000000004</v>
      </c>
      <c r="AG442" s="1">
        <f t="shared" ca="1" si="128"/>
        <v>93.500550000000004</v>
      </c>
      <c r="AH442" s="1">
        <f t="shared" ca="1" si="128"/>
        <v>93.500550000000004</v>
      </c>
      <c r="AI442" s="1">
        <f t="shared" ca="1" si="120"/>
        <v>93.500550000000004</v>
      </c>
    </row>
    <row r="443" spans="2:35" x14ac:dyDescent="0.15">
      <c r="B443" s="1" t="str">
        <f t="shared" si="115"/>
        <v>金属系45</v>
      </c>
      <c r="C443" s="1">
        <f t="shared" si="123"/>
        <v>45</v>
      </c>
      <c r="D443" s="14" t="s">
        <v>94</v>
      </c>
      <c r="E443" s="14">
        <f t="shared" si="124"/>
        <v>5</v>
      </c>
      <c r="F443" s="1" t="str">
        <f t="shared" si="113"/>
        <v>物理</v>
      </c>
      <c r="H443" s="1">
        <f t="shared" ca="1" si="114"/>
        <v>2504.8919379424515</v>
      </c>
      <c r="I443" s="1">
        <f t="shared" ref="I443:R452" ca="1" si="129">mVlookup($C443,monsterBaseDate,I$2,FALSE)*(1+mVlookup($E443,monsterType,I$2,FALSE))</f>
        <v>100</v>
      </c>
      <c r="J443" s="1">
        <f t="shared" ca="1" si="129"/>
        <v>592.68699460916503</v>
      </c>
      <c r="K443" s="1">
        <f t="shared" ca="1" si="129"/>
        <v>95.625562500000001</v>
      </c>
      <c r="L443" s="1">
        <f t="shared" ca="1" si="129"/>
        <v>592.68699460916503</v>
      </c>
      <c r="M443" s="1">
        <f t="shared" ca="1" si="129"/>
        <v>63.750374999999998</v>
      </c>
      <c r="N443" s="1">
        <f t="shared" ca="1" si="129"/>
        <v>0.2</v>
      </c>
      <c r="O443" s="1">
        <f t="shared" ca="1" si="129"/>
        <v>0.2</v>
      </c>
      <c r="P443" s="1">
        <f t="shared" ca="1" si="129"/>
        <v>0.36</v>
      </c>
      <c r="Q443" s="1">
        <f t="shared" ca="1" si="129"/>
        <v>0.1</v>
      </c>
      <c r="R443" s="1">
        <f t="shared" ca="1" si="129"/>
        <v>2.4</v>
      </c>
      <c r="S443" s="1">
        <f t="shared" ref="S443:AH458" ca="1" si="130">mVlookup($C443,monsterBaseDate,S$2,FALSE)*(1+mVlookup($E443,monsterType,S$2,FALSE))</f>
        <v>0.1</v>
      </c>
      <c r="T443" s="1">
        <f t="shared" ca="1" si="130"/>
        <v>0.9</v>
      </c>
      <c r="U443" s="1">
        <f t="shared" ca="1" si="130"/>
        <v>87</v>
      </c>
      <c r="V443" s="1">
        <f t="shared" ca="1" si="130"/>
        <v>172.07041778975801</v>
      </c>
      <c r="W443" s="1">
        <f t="shared" ca="1" si="130"/>
        <v>0</v>
      </c>
      <c r="X443" s="1">
        <f t="shared" ca="1" si="130"/>
        <v>0</v>
      </c>
      <c r="Y443" s="1">
        <f t="shared" ca="1" si="130"/>
        <v>0</v>
      </c>
      <c r="Z443" s="1">
        <f t="shared" ca="1" si="130"/>
        <v>0</v>
      </c>
      <c r="AA443" s="1">
        <f t="shared" ca="1" si="130"/>
        <v>0</v>
      </c>
      <c r="AB443" s="1">
        <f t="shared" ca="1" si="128"/>
        <v>0</v>
      </c>
      <c r="AC443" s="1">
        <f t="shared" ca="1" si="130"/>
        <v>95.625562500000001</v>
      </c>
      <c r="AD443" s="1">
        <f t="shared" ca="1" si="130"/>
        <v>95.625562500000001</v>
      </c>
      <c r="AE443" s="1">
        <f t="shared" ca="1" si="130"/>
        <v>95.625562500000001</v>
      </c>
      <c r="AF443" s="1">
        <f t="shared" ca="1" si="130"/>
        <v>95.625562500000001</v>
      </c>
      <c r="AG443" s="1">
        <f t="shared" ca="1" si="130"/>
        <v>95.625562500000001</v>
      </c>
      <c r="AH443" s="1">
        <f t="shared" ca="1" si="130"/>
        <v>95.625562500000001</v>
      </c>
      <c r="AI443" s="1">
        <f t="shared" ca="1" si="120"/>
        <v>95.625562500000001</v>
      </c>
    </row>
    <row r="444" spans="2:35" x14ac:dyDescent="0.15">
      <c r="B444" s="1" t="str">
        <f t="shared" si="115"/>
        <v>金属系46</v>
      </c>
      <c r="C444" s="1">
        <f t="shared" si="123"/>
        <v>46</v>
      </c>
      <c r="D444" s="14" t="s">
        <v>94</v>
      </c>
      <c r="E444" s="14">
        <f t="shared" si="124"/>
        <v>5</v>
      </c>
      <c r="F444" s="1" t="str">
        <f t="shared" si="113"/>
        <v>物理</v>
      </c>
      <c r="H444" s="1">
        <f t="shared" ca="1" si="114"/>
        <v>2573.7549465456791</v>
      </c>
      <c r="I444" s="1">
        <f t="shared" ca="1" si="129"/>
        <v>100</v>
      </c>
      <c r="J444" s="1">
        <f t="shared" ca="1" si="129"/>
        <v>610.81428571428603</v>
      </c>
      <c r="K444" s="1">
        <f t="shared" ca="1" si="129"/>
        <v>97.750574999999998</v>
      </c>
      <c r="L444" s="1">
        <f t="shared" ca="1" si="129"/>
        <v>610.81428571428603</v>
      </c>
      <c r="M444" s="1">
        <f t="shared" ca="1" si="129"/>
        <v>65.167050000000003</v>
      </c>
      <c r="N444" s="1">
        <f t="shared" ca="1" si="129"/>
        <v>0.2</v>
      </c>
      <c r="O444" s="1">
        <f t="shared" ca="1" si="129"/>
        <v>0.2</v>
      </c>
      <c r="P444" s="1">
        <f t="shared" ca="1" si="129"/>
        <v>0.36</v>
      </c>
      <c r="Q444" s="1">
        <f t="shared" ca="1" si="129"/>
        <v>0.1</v>
      </c>
      <c r="R444" s="1">
        <f t="shared" ca="1" si="129"/>
        <v>2.4</v>
      </c>
      <c r="S444" s="1">
        <f t="shared" ca="1" si="130"/>
        <v>0.1</v>
      </c>
      <c r="T444" s="1">
        <f t="shared" ca="1" si="130"/>
        <v>0.9</v>
      </c>
      <c r="U444" s="1">
        <f t="shared" ca="1" si="130"/>
        <v>88.933333333333294</v>
      </c>
      <c r="V444" s="1">
        <f t="shared" ca="1" si="130"/>
        <v>182.451020408163</v>
      </c>
      <c r="W444" s="1">
        <f t="shared" ca="1" si="130"/>
        <v>0</v>
      </c>
      <c r="X444" s="1">
        <f t="shared" ca="1" si="130"/>
        <v>0</v>
      </c>
      <c r="Y444" s="1">
        <f t="shared" ca="1" si="130"/>
        <v>0</v>
      </c>
      <c r="Z444" s="1">
        <f t="shared" ca="1" si="130"/>
        <v>0</v>
      </c>
      <c r="AA444" s="1">
        <f t="shared" ca="1" si="130"/>
        <v>0</v>
      </c>
      <c r="AB444" s="1">
        <f t="shared" ca="1" si="128"/>
        <v>0</v>
      </c>
      <c r="AC444" s="1">
        <f t="shared" ca="1" si="130"/>
        <v>97.750574999999998</v>
      </c>
      <c r="AD444" s="1">
        <f t="shared" ca="1" si="130"/>
        <v>97.750574999999998</v>
      </c>
      <c r="AE444" s="1">
        <f t="shared" ca="1" si="130"/>
        <v>97.750574999999998</v>
      </c>
      <c r="AF444" s="1">
        <f t="shared" ca="1" si="130"/>
        <v>97.750574999999998</v>
      </c>
      <c r="AG444" s="1">
        <f t="shared" ca="1" si="130"/>
        <v>97.750574999999998</v>
      </c>
      <c r="AH444" s="1">
        <f t="shared" ca="1" si="130"/>
        <v>97.750574999999998</v>
      </c>
      <c r="AI444" s="1">
        <f t="shared" ca="1" si="120"/>
        <v>97.750574999999998</v>
      </c>
    </row>
    <row r="445" spans="2:35" x14ac:dyDescent="0.15">
      <c r="B445" s="1" t="str">
        <f t="shared" si="115"/>
        <v>金属系47</v>
      </c>
      <c r="C445" s="1">
        <f t="shared" si="123"/>
        <v>47</v>
      </c>
      <c r="D445" s="14" t="s">
        <v>94</v>
      </c>
      <c r="E445" s="14">
        <f t="shared" si="124"/>
        <v>5</v>
      </c>
      <c r="F445" s="1" t="str">
        <f t="shared" si="113"/>
        <v>物理</v>
      </c>
      <c r="H445" s="1">
        <f t="shared" ca="1" si="114"/>
        <v>2643.1918135539381</v>
      </c>
      <c r="I445" s="1">
        <f t="shared" ca="1" si="129"/>
        <v>100</v>
      </c>
      <c r="J445" s="1">
        <f t="shared" ca="1" si="129"/>
        <v>629.21249999999998</v>
      </c>
      <c r="K445" s="1">
        <f t="shared" ca="1" si="129"/>
        <v>99.875587499999995</v>
      </c>
      <c r="L445" s="1">
        <f t="shared" ca="1" si="129"/>
        <v>629.21249999999998</v>
      </c>
      <c r="M445" s="1">
        <f t="shared" ca="1" si="129"/>
        <v>66.583725000000001</v>
      </c>
      <c r="N445" s="1">
        <f t="shared" ca="1" si="129"/>
        <v>0.2</v>
      </c>
      <c r="O445" s="1">
        <f t="shared" ca="1" si="129"/>
        <v>0.2</v>
      </c>
      <c r="P445" s="1">
        <f t="shared" ca="1" si="129"/>
        <v>0.36</v>
      </c>
      <c r="Q445" s="1">
        <f t="shared" ca="1" si="129"/>
        <v>0.1</v>
      </c>
      <c r="R445" s="1">
        <f t="shared" ca="1" si="129"/>
        <v>2.4</v>
      </c>
      <c r="S445" s="1">
        <f t="shared" ca="1" si="130"/>
        <v>0.1</v>
      </c>
      <c r="T445" s="1">
        <f t="shared" ca="1" si="130"/>
        <v>0.9</v>
      </c>
      <c r="U445" s="1">
        <f t="shared" ca="1" si="130"/>
        <v>90.866666666666703</v>
      </c>
      <c r="V445" s="1">
        <f t="shared" ca="1" si="130"/>
        <v>193.28749999999999</v>
      </c>
      <c r="W445" s="1">
        <f t="shared" ca="1" si="130"/>
        <v>0</v>
      </c>
      <c r="X445" s="1">
        <f t="shared" ca="1" si="130"/>
        <v>0</v>
      </c>
      <c r="Y445" s="1">
        <f t="shared" ca="1" si="130"/>
        <v>0</v>
      </c>
      <c r="Z445" s="1">
        <f t="shared" ca="1" si="130"/>
        <v>0</v>
      </c>
      <c r="AA445" s="1">
        <f t="shared" ca="1" si="130"/>
        <v>0</v>
      </c>
      <c r="AB445" s="1">
        <f t="shared" ca="1" si="128"/>
        <v>0</v>
      </c>
      <c r="AC445" s="1">
        <f t="shared" ca="1" si="130"/>
        <v>99.875587499999995</v>
      </c>
      <c r="AD445" s="1">
        <f t="shared" ca="1" si="130"/>
        <v>99.875587499999995</v>
      </c>
      <c r="AE445" s="1">
        <f t="shared" ca="1" si="130"/>
        <v>99.875587499999995</v>
      </c>
      <c r="AF445" s="1">
        <f t="shared" ca="1" si="130"/>
        <v>99.875587499999995</v>
      </c>
      <c r="AG445" s="1">
        <f t="shared" ca="1" si="130"/>
        <v>99.875587499999995</v>
      </c>
      <c r="AH445" s="1">
        <f t="shared" ca="1" si="130"/>
        <v>99.875587499999995</v>
      </c>
      <c r="AI445" s="1">
        <f t="shared" ca="1" si="120"/>
        <v>99.875587499999995</v>
      </c>
    </row>
    <row r="446" spans="2:35" x14ac:dyDescent="0.15">
      <c r="B446" s="1" t="str">
        <f t="shared" si="115"/>
        <v>金属系48</v>
      </c>
      <c r="C446" s="1">
        <f t="shared" si="123"/>
        <v>48</v>
      </c>
      <c r="D446" s="14" t="s">
        <v>94</v>
      </c>
      <c r="E446" s="14">
        <f t="shared" si="124"/>
        <v>5</v>
      </c>
      <c r="F446" s="1" t="str">
        <f t="shared" si="113"/>
        <v>物理</v>
      </c>
      <c r="H446" s="1">
        <f t="shared" ca="1" si="114"/>
        <v>2713.2025389672094</v>
      </c>
      <c r="I446" s="1">
        <f t="shared" ca="1" si="129"/>
        <v>100</v>
      </c>
      <c r="J446" s="1">
        <f t="shared" ca="1" si="129"/>
        <v>647.88682385575601</v>
      </c>
      <c r="K446" s="1">
        <f t="shared" ca="1" si="129"/>
        <v>102.00059999999999</v>
      </c>
      <c r="L446" s="1">
        <f t="shared" ca="1" si="129"/>
        <v>647.88682385575601</v>
      </c>
      <c r="M446" s="1">
        <f t="shared" ca="1" si="129"/>
        <v>68.000399999999999</v>
      </c>
      <c r="N446" s="1">
        <f t="shared" ca="1" si="129"/>
        <v>0.2</v>
      </c>
      <c r="O446" s="1">
        <f t="shared" ca="1" si="129"/>
        <v>0.2</v>
      </c>
      <c r="P446" s="1">
        <f t="shared" ca="1" si="129"/>
        <v>0.36</v>
      </c>
      <c r="Q446" s="1">
        <f t="shared" ca="1" si="129"/>
        <v>0.1</v>
      </c>
      <c r="R446" s="1">
        <f t="shared" ca="1" si="129"/>
        <v>2.4</v>
      </c>
      <c r="S446" s="1">
        <f t="shared" ca="1" si="130"/>
        <v>0.1</v>
      </c>
      <c r="T446" s="1">
        <f t="shared" ca="1" si="130"/>
        <v>0.9</v>
      </c>
      <c r="U446" s="1">
        <f t="shared" ca="1" si="130"/>
        <v>92.8</v>
      </c>
      <c r="V446" s="1">
        <f t="shared" ca="1" si="130"/>
        <v>204.59583911234401</v>
      </c>
      <c r="W446" s="1">
        <f t="shared" ca="1" si="130"/>
        <v>0</v>
      </c>
      <c r="X446" s="1">
        <f t="shared" ca="1" si="130"/>
        <v>0</v>
      </c>
      <c r="Y446" s="1">
        <f t="shared" ca="1" si="130"/>
        <v>0</v>
      </c>
      <c r="Z446" s="1">
        <f t="shared" ca="1" si="130"/>
        <v>0</v>
      </c>
      <c r="AA446" s="1">
        <f t="shared" ca="1" si="130"/>
        <v>0</v>
      </c>
      <c r="AB446" s="1">
        <f t="shared" ca="1" si="128"/>
        <v>0</v>
      </c>
      <c r="AC446" s="1">
        <f t="shared" ca="1" si="130"/>
        <v>102.00059999999999</v>
      </c>
      <c r="AD446" s="1">
        <f t="shared" ca="1" si="130"/>
        <v>102.00059999999999</v>
      </c>
      <c r="AE446" s="1">
        <f t="shared" ca="1" si="130"/>
        <v>102.00059999999999</v>
      </c>
      <c r="AF446" s="1">
        <f t="shared" ca="1" si="130"/>
        <v>102.00059999999999</v>
      </c>
      <c r="AG446" s="1">
        <f t="shared" ca="1" si="130"/>
        <v>102.00059999999999</v>
      </c>
      <c r="AH446" s="1">
        <f t="shared" ca="1" si="130"/>
        <v>102.00059999999999</v>
      </c>
      <c r="AI446" s="1">
        <f t="shared" ca="1" si="120"/>
        <v>102.00059999999999</v>
      </c>
    </row>
    <row r="447" spans="2:35" x14ac:dyDescent="0.15">
      <c r="B447" s="1" t="str">
        <f t="shared" si="115"/>
        <v>金属系49</v>
      </c>
      <c r="C447" s="1">
        <f t="shared" si="123"/>
        <v>49</v>
      </c>
      <c r="D447" s="14" t="s">
        <v>94</v>
      </c>
      <c r="E447" s="14">
        <f t="shared" si="124"/>
        <v>5</v>
      </c>
      <c r="F447" s="1" t="str">
        <f t="shared" si="113"/>
        <v>物理</v>
      </c>
      <c r="H447" s="1">
        <f t="shared" ca="1" si="114"/>
        <v>2783.7871227855303</v>
      </c>
      <c r="I447" s="1">
        <f t="shared" ca="1" si="129"/>
        <v>100</v>
      </c>
      <c r="J447" s="1">
        <f t="shared" ca="1" si="129"/>
        <v>666.84264705882401</v>
      </c>
      <c r="K447" s="1">
        <f t="shared" ca="1" si="129"/>
        <v>104.12561249999999</v>
      </c>
      <c r="L447" s="1">
        <f t="shared" ca="1" si="129"/>
        <v>666.84264705882401</v>
      </c>
      <c r="M447" s="1">
        <f t="shared" ca="1" si="129"/>
        <v>69.417074999999997</v>
      </c>
      <c r="N447" s="1">
        <f t="shared" ca="1" si="129"/>
        <v>0.2</v>
      </c>
      <c r="O447" s="1">
        <f t="shared" ca="1" si="129"/>
        <v>0.2</v>
      </c>
      <c r="P447" s="1">
        <f t="shared" ca="1" si="129"/>
        <v>0.36</v>
      </c>
      <c r="Q447" s="1">
        <f t="shared" ca="1" si="129"/>
        <v>0.1</v>
      </c>
      <c r="R447" s="1">
        <f t="shared" ca="1" si="129"/>
        <v>2.4</v>
      </c>
      <c r="S447" s="1">
        <f t="shared" ca="1" si="130"/>
        <v>0.1</v>
      </c>
      <c r="T447" s="1">
        <f t="shared" ca="1" si="130"/>
        <v>0.9</v>
      </c>
      <c r="U447" s="1">
        <f t="shared" ca="1" si="130"/>
        <v>94.733333333333306</v>
      </c>
      <c r="V447" s="1">
        <f t="shared" ca="1" si="130"/>
        <v>216.392647058824</v>
      </c>
      <c r="W447" s="1">
        <f t="shared" ca="1" si="130"/>
        <v>0</v>
      </c>
      <c r="X447" s="1">
        <f t="shared" ca="1" si="130"/>
        <v>0</v>
      </c>
      <c r="Y447" s="1">
        <f t="shared" ca="1" si="130"/>
        <v>0</v>
      </c>
      <c r="Z447" s="1">
        <f t="shared" ca="1" si="130"/>
        <v>0</v>
      </c>
      <c r="AA447" s="1">
        <f t="shared" ca="1" si="130"/>
        <v>0</v>
      </c>
      <c r="AB447" s="1">
        <f t="shared" ca="1" si="128"/>
        <v>0</v>
      </c>
      <c r="AC447" s="1">
        <f t="shared" ca="1" si="130"/>
        <v>104.12561249999999</v>
      </c>
      <c r="AD447" s="1">
        <f t="shared" ca="1" si="130"/>
        <v>104.12561249999999</v>
      </c>
      <c r="AE447" s="1">
        <f t="shared" ca="1" si="130"/>
        <v>104.12561249999999</v>
      </c>
      <c r="AF447" s="1">
        <f t="shared" ca="1" si="130"/>
        <v>104.12561249999999</v>
      </c>
      <c r="AG447" s="1">
        <f t="shared" ca="1" si="130"/>
        <v>104.12561249999999</v>
      </c>
      <c r="AH447" s="1">
        <f t="shared" ca="1" si="130"/>
        <v>104.12561249999999</v>
      </c>
      <c r="AI447" s="1">
        <f t="shared" ca="1" si="120"/>
        <v>104.12561249999999</v>
      </c>
    </row>
    <row r="448" spans="2:35" x14ac:dyDescent="0.15">
      <c r="B448" s="1" t="str">
        <f t="shared" si="115"/>
        <v>金属系50</v>
      </c>
      <c r="C448" s="1">
        <f t="shared" si="123"/>
        <v>50</v>
      </c>
      <c r="D448" s="14" t="s">
        <v>94</v>
      </c>
      <c r="E448" s="14">
        <f t="shared" si="124"/>
        <v>5</v>
      </c>
      <c r="F448" s="1" t="str">
        <f t="shared" si="113"/>
        <v>物理</v>
      </c>
      <c r="H448" s="1">
        <f t="shared" ca="1" si="114"/>
        <v>2854.9455650088648</v>
      </c>
      <c r="I448" s="1">
        <f t="shared" ca="1" si="129"/>
        <v>100</v>
      </c>
      <c r="J448" s="1">
        <f t="shared" ca="1" si="129"/>
        <v>686.085572842999</v>
      </c>
      <c r="K448" s="1">
        <f t="shared" ca="1" si="129"/>
        <v>106.25062499999999</v>
      </c>
      <c r="L448" s="1">
        <f t="shared" ca="1" si="129"/>
        <v>686.085572842999</v>
      </c>
      <c r="M448" s="1">
        <f t="shared" ca="1" si="129"/>
        <v>70.833749999999995</v>
      </c>
      <c r="N448" s="1">
        <f t="shared" ca="1" si="129"/>
        <v>0.2</v>
      </c>
      <c r="O448" s="1">
        <f t="shared" ca="1" si="129"/>
        <v>0.2</v>
      </c>
      <c r="P448" s="1">
        <f t="shared" ca="1" si="129"/>
        <v>0.36</v>
      </c>
      <c r="Q448" s="1">
        <f t="shared" ca="1" si="129"/>
        <v>0.1</v>
      </c>
      <c r="R448" s="1">
        <f t="shared" ca="1" si="129"/>
        <v>2.4</v>
      </c>
      <c r="S448" s="1">
        <f t="shared" ca="1" si="130"/>
        <v>0.1</v>
      </c>
      <c r="T448" s="1">
        <f t="shared" ca="1" si="130"/>
        <v>0.9</v>
      </c>
      <c r="U448" s="1">
        <f t="shared" ca="1" si="130"/>
        <v>96.6666666666667</v>
      </c>
      <c r="V448" s="1">
        <f t="shared" ca="1" si="130"/>
        <v>228.69519094766599</v>
      </c>
      <c r="W448" s="1">
        <f t="shared" ca="1" si="130"/>
        <v>0</v>
      </c>
      <c r="X448" s="1">
        <f t="shared" ca="1" si="130"/>
        <v>0</v>
      </c>
      <c r="Y448" s="1">
        <f t="shared" ca="1" si="130"/>
        <v>0</v>
      </c>
      <c r="Z448" s="1">
        <f t="shared" ca="1" si="130"/>
        <v>0</v>
      </c>
      <c r="AA448" s="1">
        <f t="shared" ca="1" si="130"/>
        <v>0</v>
      </c>
      <c r="AB448" s="1">
        <f t="shared" ca="1" si="128"/>
        <v>0</v>
      </c>
      <c r="AC448" s="1">
        <f t="shared" ca="1" si="130"/>
        <v>106.25062499999999</v>
      </c>
      <c r="AD448" s="1">
        <f t="shared" ca="1" si="130"/>
        <v>106.25062499999999</v>
      </c>
      <c r="AE448" s="1">
        <f t="shared" ca="1" si="130"/>
        <v>106.25062499999999</v>
      </c>
      <c r="AF448" s="1">
        <f t="shared" ca="1" si="130"/>
        <v>106.25062499999999</v>
      </c>
      <c r="AG448" s="1">
        <f t="shared" ca="1" si="130"/>
        <v>106.25062499999999</v>
      </c>
      <c r="AH448" s="1">
        <f t="shared" ca="1" si="130"/>
        <v>106.25062499999999</v>
      </c>
      <c r="AI448" s="1">
        <f t="shared" ca="1" si="120"/>
        <v>106.25062499999999</v>
      </c>
    </row>
    <row r="449" spans="2:35" x14ac:dyDescent="0.15">
      <c r="B449" s="1" t="str">
        <f t="shared" si="115"/>
        <v>金属系51</v>
      </c>
      <c r="C449" s="1">
        <f t="shared" si="123"/>
        <v>51</v>
      </c>
      <c r="D449" s="14" t="s">
        <v>94</v>
      </c>
      <c r="E449" s="14">
        <f t="shared" si="124"/>
        <v>5</v>
      </c>
      <c r="F449" s="1" t="str">
        <f t="shared" si="113"/>
        <v>物理</v>
      </c>
      <c r="H449" s="1">
        <f t="shared" ca="1" si="114"/>
        <v>2926.6778656372298</v>
      </c>
      <c r="I449" s="1">
        <f t="shared" ca="1" si="129"/>
        <v>100</v>
      </c>
      <c r="J449" s="1">
        <f t="shared" ca="1" si="129"/>
        <v>705.62142857142896</v>
      </c>
      <c r="K449" s="1">
        <f t="shared" ca="1" si="129"/>
        <v>108.37563750000001</v>
      </c>
      <c r="L449" s="1">
        <f t="shared" ca="1" si="129"/>
        <v>705.62142857142896</v>
      </c>
      <c r="M449" s="1">
        <f t="shared" ca="1" si="129"/>
        <v>72.250425000000007</v>
      </c>
      <c r="N449" s="1">
        <f t="shared" ca="1" si="129"/>
        <v>0.2</v>
      </c>
      <c r="O449" s="1">
        <f t="shared" ca="1" si="129"/>
        <v>0.2</v>
      </c>
      <c r="P449" s="1">
        <f t="shared" ca="1" si="129"/>
        <v>0.36</v>
      </c>
      <c r="Q449" s="1">
        <f t="shared" ca="1" si="129"/>
        <v>0.1</v>
      </c>
      <c r="R449" s="1">
        <f t="shared" ca="1" si="129"/>
        <v>2.4</v>
      </c>
      <c r="S449" s="1">
        <f t="shared" ca="1" si="130"/>
        <v>0.1</v>
      </c>
      <c r="T449" s="1">
        <f t="shared" ca="1" si="130"/>
        <v>0.9</v>
      </c>
      <c r="U449" s="1">
        <f t="shared" ca="1" si="130"/>
        <v>98.6</v>
      </c>
      <c r="V449" s="1">
        <f t="shared" ca="1" si="130"/>
        <v>241.521428571429</v>
      </c>
      <c r="W449" s="1">
        <f t="shared" ca="1" si="130"/>
        <v>0</v>
      </c>
      <c r="X449" s="1">
        <f t="shared" ca="1" si="130"/>
        <v>0</v>
      </c>
      <c r="Y449" s="1">
        <f t="shared" ca="1" si="130"/>
        <v>0</v>
      </c>
      <c r="Z449" s="1">
        <f t="shared" ca="1" si="130"/>
        <v>0</v>
      </c>
      <c r="AA449" s="1">
        <f t="shared" ca="1" si="130"/>
        <v>0</v>
      </c>
      <c r="AB449" s="1">
        <f t="shared" ca="1" si="130"/>
        <v>0</v>
      </c>
      <c r="AC449" s="1">
        <f t="shared" ca="1" si="130"/>
        <v>108.37563750000001</v>
      </c>
      <c r="AD449" s="1">
        <f t="shared" ca="1" si="130"/>
        <v>108.37563750000001</v>
      </c>
      <c r="AE449" s="1">
        <f t="shared" ca="1" si="130"/>
        <v>108.37563750000001</v>
      </c>
      <c r="AF449" s="1">
        <f t="shared" ca="1" si="130"/>
        <v>108.37563750000001</v>
      </c>
      <c r="AG449" s="1">
        <f t="shared" ca="1" si="130"/>
        <v>108.37563750000001</v>
      </c>
      <c r="AH449" s="1">
        <f t="shared" ca="1" si="130"/>
        <v>108.37563750000001</v>
      </c>
      <c r="AI449" s="1">
        <f t="shared" ca="1" si="120"/>
        <v>108.37563750000001</v>
      </c>
    </row>
    <row r="450" spans="2:35" x14ac:dyDescent="0.15">
      <c r="B450" s="1" t="str">
        <f t="shared" si="115"/>
        <v>金属系52</v>
      </c>
      <c r="C450" s="1">
        <f t="shared" si="123"/>
        <v>52</v>
      </c>
      <c r="D450" s="14" t="s">
        <v>94</v>
      </c>
      <c r="E450" s="14">
        <f t="shared" si="124"/>
        <v>5</v>
      </c>
      <c r="F450" s="1" t="str">
        <f t="shared" si="113"/>
        <v>物理</v>
      </c>
      <c r="H450" s="1">
        <f t="shared" ca="1" si="114"/>
        <v>2998.9840246706085</v>
      </c>
      <c r="I450" s="1">
        <f t="shared" ca="1" si="129"/>
        <v>100</v>
      </c>
      <c r="J450" s="1">
        <f t="shared" ca="1" si="129"/>
        <v>725.45627705627703</v>
      </c>
      <c r="K450" s="1">
        <f t="shared" ca="1" si="129"/>
        <v>110.50065000000001</v>
      </c>
      <c r="L450" s="1">
        <f t="shared" ca="1" si="129"/>
        <v>725.45627705627703</v>
      </c>
      <c r="M450" s="1">
        <f t="shared" ca="1" si="129"/>
        <v>73.667100000000005</v>
      </c>
      <c r="N450" s="1">
        <f t="shared" ca="1" si="129"/>
        <v>0.2</v>
      </c>
      <c r="O450" s="1">
        <f t="shared" ca="1" si="129"/>
        <v>0.2</v>
      </c>
      <c r="P450" s="1">
        <f t="shared" ca="1" si="129"/>
        <v>0.36</v>
      </c>
      <c r="Q450" s="1">
        <f t="shared" ca="1" si="129"/>
        <v>0.1</v>
      </c>
      <c r="R450" s="1">
        <f t="shared" ca="1" si="129"/>
        <v>2.4</v>
      </c>
      <c r="S450" s="1">
        <f t="shared" ca="1" si="130"/>
        <v>0.1</v>
      </c>
      <c r="T450" s="1">
        <f t="shared" ca="1" si="130"/>
        <v>0.9</v>
      </c>
      <c r="U450" s="1">
        <f t="shared" ca="1" si="130"/>
        <v>100.533333333333</v>
      </c>
      <c r="V450" s="1">
        <f t="shared" ca="1" si="130"/>
        <v>254.890043290043</v>
      </c>
      <c r="W450" s="1">
        <f t="shared" ca="1" si="130"/>
        <v>0</v>
      </c>
      <c r="X450" s="1">
        <f t="shared" ca="1" si="130"/>
        <v>0</v>
      </c>
      <c r="Y450" s="1">
        <f t="shared" ca="1" si="130"/>
        <v>0</v>
      </c>
      <c r="Z450" s="1">
        <f t="shared" ca="1" si="130"/>
        <v>0</v>
      </c>
      <c r="AA450" s="1">
        <f t="shared" ca="1" si="130"/>
        <v>0</v>
      </c>
      <c r="AB450" s="1">
        <f t="shared" ca="1" si="130"/>
        <v>0</v>
      </c>
      <c r="AC450" s="1">
        <f t="shared" ca="1" si="130"/>
        <v>110.50065000000001</v>
      </c>
      <c r="AD450" s="1">
        <f t="shared" ca="1" si="130"/>
        <v>110.50065000000001</v>
      </c>
      <c r="AE450" s="1">
        <f t="shared" ca="1" si="130"/>
        <v>110.50065000000001</v>
      </c>
      <c r="AF450" s="1">
        <f t="shared" ca="1" si="130"/>
        <v>110.50065000000001</v>
      </c>
      <c r="AG450" s="1">
        <f t="shared" ca="1" si="130"/>
        <v>110.50065000000001</v>
      </c>
      <c r="AH450" s="1">
        <f t="shared" ca="1" si="130"/>
        <v>110.50065000000001</v>
      </c>
      <c r="AI450" s="1">
        <f t="shared" ca="1" si="120"/>
        <v>110.50065000000001</v>
      </c>
    </row>
    <row r="451" spans="2:35" x14ac:dyDescent="0.15">
      <c r="B451" s="1" t="str">
        <f t="shared" si="115"/>
        <v>金属系53</v>
      </c>
      <c r="C451" s="1">
        <f t="shared" si="123"/>
        <v>53</v>
      </c>
      <c r="D451" s="14" t="s">
        <v>94</v>
      </c>
      <c r="E451" s="14">
        <f t="shared" si="124"/>
        <v>5</v>
      </c>
      <c r="F451" s="1" t="str">
        <f t="shared" ref="F451:F514" si="131">VLOOKUP(E451,monsterType,4,FALSE)</f>
        <v>物理</v>
      </c>
      <c r="H451" s="1">
        <f t="shared" ref="H451:H514" ca="1" si="132">mVlookup(C451,monsterBaseDate,H$2,FALSE)*(1+mVlookup(E451,monsterType,H$2,FALSE))*(1+mVlookup(C451,monsterHpRevise,D451,FALSE))</f>
        <v>3071.8640421090354</v>
      </c>
      <c r="I451" s="1">
        <f t="shared" ca="1" si="129"/>
        <v>100</v>
      </c>
      <c r="J451" s="1">
        <f t="shared" ca="1" si="129"/>
        <v>745.59642857142899</v>
      </c>
      <c r="K451" s="1">
        <f t="shared" ca="1" si="129"/>
        <v>112.6256625</v>
      </c>
      <c r="L451" s="1">
        <f t="shared" ca="1" si="129"/>
        <v>745.59642857142899</v>
      </c>
      <c r="M451" s="1">
        <f t="shared" ca="1" si="129"/>
        <v>75.083775000000003</v>
      </c>
      <c r="N451" s="1">
        <f t="shared" ca="1" si="129"/>
        <v>0.2</v>
      </c>
      <c r="O451" s="1">
        <f t="shared" ca="1" si="129"/>
        <v>0.2</v>
      </c>
      <c r="P451" s="1">
        <f t="shared" ca="1" si="129"/>
        <v>0.36</v>
      </c>
      <c r="Q451" s="1">
        <f t="shared" ca="1" si="129"/>
        <v>0.1</v>
      </c>
      <c r="R451" s="1">
        <f t="shared" ca="1" si="129"/>
        <v>2.4</v>
      </c>
      <c r="S451" s="1">
        <f t="shared" ca="1" si="130"/>
        <v>0.1</v>
      </c>
      <c r="T451" s="1">
        <f t="shared" ca="1" si="130"/>
        <v>0.9</v>
      </c>
      <c r="U451" s="1">
        <f t="shared" ca="1" si="130"/>
        <v>102.466666666667</v>
      </c>
      <c r="V451" s="1">
        <f t="shared" ca="1" si="130"/>
        <v>268.820481049563</v>
      </c>
      <c r="W451" s="1">
        <f t="shared" ca="1" si="130"/>
        <v>0</v>
      </c>
      <c r="X451" s="1">
        <f t="shared" ca="1" si="130"/>
        <v>0</v>
      </c>
      <c r="Y451" s="1">
        <f t="shared" ca="1" si="130"/>
        <v>0</v>
      </c>
      <c r="Z451" s="1">
        <f t="shared" ca="1" si="130"/>
        <v>0</v>
      </c>
      <c r="AA451" s="1">
        <f t="shared" ca="1" si="130"/>
        <v>0</v>
      </c>
      <c r="AB451" s="1">
        <f t="shared" ca="1" si="130"/>
        <v>0</v>
      </c>
      <c r="AC451" s="1">
        <f t="shared" ca="1" si="130"/>
        <v>112.6256625</v>
      </c>
      <c r="AD451" s="1">
        <f t="shared" ca="1" si="130"/>
        <v>112.6256625</v>
      </c>
      <c r="AE451" s="1">
        <f t="shared" ca="1" si="130"/>
        <v>112.6256625</v>
      </c>
      <c r="AF451" s="1">
        <f t="shared" ca="1" si="130"/>
        <v>112.6256625</v>
      </c>
      <c r="AG451" s="1">
        <f t="shared" ca="1" si="130"/>
        <v>112.6256625</v>
      </c>
      <c r="AH451" s="1">
        <f t="shared" ca="1" si="130"/>
        <v>112.6256625</v>
      </c>
      <c r="AI451" s="1">
        <f t="shared" ca="1" si="120"/>
        <v>112.6256625</v>
      </c>
    </row>
    <row r="452" spans="2:35" x14ac:dyDescent="0.15">
      <c r="B452" s="1" t="str">
        <f t="shared" ref="B452:B515" si="133">D452&amp;C452</f>
        <v>金属系54</v>
      </c>
      <c r="C452" s="1">
        <f t="shared" si="123"/>
        <v>54</v>
      </c>
      <c r="D452" s="14" t="s">
        <v>94</v>
      </c>
      <c r="E452" s="14">
        <f t="shared" si="124"/>
        <v>5</v>
      </c>
      <c r="F452" s="1" t="str">
        <f t="shared" si="131"/>
        <v>物理</v>
      </c>
      <c r="H452" s="1">
        <f t="shared" ca="1" si="132"/>
        <v>3145.3179179524759</v>
      </c>
      <c r="I452" s="1">
        <f t="shared" ca="1" si="129"/>
        <v>100</v>
      </c>
      <c r="J452" s="1">
        <f t="shared" ca="1" si="129"/>
        <v>766.048453608248</v>
      </c>
      <c r="K452" s="1">
        <f t="shared" ca="1" si="129"/>
        <v>114.750675</v>
      </c>
      <c r="L452" s="1">
        <f t="shared" ca="1" si="129"/>
        <v>766.048453608248</v>
      </c>
      <c r="M452" s="1">
        <f t="shared" ca="1" si="129"/>
        <v>76.500450000000001</v>
      </c>
      <c r="N452" s="1">
        <f t="shared" ca="1" si="129"/>
        <v>0.2</v>
      </c>
      <c r="O452" s="1">
        <f t="shared" ca="1" si="129"/>
        <v>0.2</v>
      </c>
      <c r="P452" s="1">
        <f t="shared" ca="1" si="129"/>
        <v>0.36</v>
      </c>
      <c r="Q452" s="1">
        <f t="shared" ca="1" si="129"/>
        <v>0.1</v>
      </c>
      <c r="R452" s="1">
        <f t="shared" ca="1" si="129"/>
        <v>2.4</v>
      </c>
      <c r="S452" s="1">
        <f t="shared" ca="1" si="130"/>
        <v>0.1</v>
      </c>
      <c r="T452" s="1">
        <f t="shared" ca="1" si="130"/>
        <v>0.9</v>
      </c>
      <c r="U452" s="1">
        <f t="shared" ca="1" si="130"/>
        <v>104.4</v>
      </c>
      <c r="V452" s="1">
        <f t="shared" ca="1" si="130"/>
        <v>283.332989690722</v>
      </c>
      <c r="W452" s="1">
        <f t="shared" ca="1" si="130"/>
        <v>0</v>
      </c>
      <c r="X452" s="1">
        <f t="shared" ca="1" si="130"/>
        <v>0</v>
      </c>
      <c r="Y452" s="1">
        <f t="shared" ca="1" si="130"/>
        <v>0</v>
      </c>
      <c r="Z452" s="1">
        <f t="shared" ca="1" si="130"/>
        <v>0</v>
      </c>
      <c r="AA452" s="1">
        <f t="shared" ca="1" si="130"/>
        <v>0</v>
      </c>
      <c r="AB452" s="1">
        <f t="shared" ca="1" si="130"/>
        <v>0</v>
      </c>
      <c r="AC452" s="1">
        <f t="shared" ca="1" si="130"/>
        <v>114.750675</v>
      </c>
      <c r="AD452" s="1">
        <f t="shared" ca="1" si="130"/>
        <v>114.750675</v>
      </c>
      <c r="AE452" s="1">
        <f t="shared" ca="1" si="130"/>
        <v>114.750675</v>
      </c>
      <c r="AF452" s="1">
        <f t="shared" ca="1" si="130"/>
        <v>114.750675</v>
      </c>
      <c r="AG452" s="1">
        <f t="shared" ca="1" si="130"/>
        <v>114.750675</v>
      </c>
      <c r="AH452" s="1">
        <f t="shared" ca="1" si="130"/>
        <v>114.750675</v>
      </c>
      <c r="AI452" s="1">
        <f t="shared" ca="1" si="120"/>
        <v>114.750675</v>
      </c>
    </row>
    <row r="453" spans="2:35" x14ac:dyDescent="0.15">
      <c r="B453" s="1" t="str">
        <f t="shared" si="133"/>
        <v>金属系55</v>
      </c>
      <c r="C453" s="1">
        <f t="shared" si="123"/>
        <v>55</v>
      </c>
      <c r="D453" s="14" t="s">
        <v>94</v>
      </c>
      <c r="E453" s="14">
        <f t="shared" si="124"/>
        <v>5</v>
      </c>
      <c r="F453" s="1" t="str">
        <f t="shared" si="131"/>
        <v>物理</v>
      </c>
      <c r="H453" s="1">
        <f t="shared" ca="1" si="132"/>
        <v>3219.3456522009474</v>
      </c>
      <c r="I453" s="1">
        <f t="shared" ref="I453:R462" ca="1" si="134">mVlookup($C453,monsterBaseDate,I$2,FALSE)*(1+mVlookup($E453,monsterType,I$2,FALSE))</f>
        <v>100</v>
      </c>
      <c r="J453" s="1">
        <f t="shared" ca="1" si="134"/>
        <v>786.81919642857201</v>
      </c>
      <c r="K453" s="1">
        <f t="shared" ca="1" si="134"/>
        <v>116.8756875</v>
      </c>
      <c r="L453" s="1">
        <f t="shared" ca="1" si="134"/>
        <v>786.81919642857201</v>
      </c>
      <c r="M453" s="1">
        <f t="shared" ca="1" si="134"/>
        <v>77.917124999999999</v>
      </c>
      <c r="N453" s="1">
        <f t="shared" ca="1" si="134"/>
        <v>0.2</v>
      </c>
      <c r="O453" s="1">
        <f t="shared" ca="1" si="134"/>
        <v>0.2</v>
      </c>
      <c r="P453" s="1">
        <f t="shared" ca="1" si="134"/>
        <v>0.36</v>
      </c>
      <c r="Q453" s="1">
        <f t="shared" ca="1" si="134"/>
        <v>0.1</v>
      </c>
      <c r="R453" s="1">
        <f t="shared" ca="1" si="134"/>
        <v>2.4</v>
      </c>
      <c r="S453" s="1">
        <f t="shared" ref="S453:AH468" ca="1" si="135">mVlookup($C453,monsterBaseDate,S$2,FALSE)*(1+mVlookup($E453,monsterType,S$2,FALSE))</f>
        <v>0.1</v>
      </c>
      <c r="T453" s="1">
        <f t="shared" ca="1" si="135"/>
        <v>0.9</v>
      </c>
      <c r="U453" s="1">
        <f t="shared" ca="1" si="135"/>
        <v>106.333333333333</v>
      </c>
      <c r="V453" s="1">
        <f t="shared" ca="1" si="135"/>
        <v>298.44866071428601</v>
      </c>
      <c r="W453" s="1">
        <f t="shared" ca="1" si="135"/>
        <v>0</v>
      </c>
      <c r="X453" s="1">
        <f t="shared" ca="1" si="135"/>
        <v>0</v>
      </c>
      <c r="Y453" s="1">
        <f t="shared" ca="1" si="135"/>
        <v>0</v>
      </c>
      <c r="Z453" s="1">
        <f t="shared" ca="1" si="135"/>
        <v>0</v>
      </c>
      <c r="AA453" s="1">
        <f t="shared" ca="1" si="135"/>
        <v>0</v>
      </c>
      <c r="AB453" s="1">
        <f t="shared" ca="1" si="130"/>
        <v>0</v>
      </c>
      <c r="AC453" s="1">
        <f t="shared" ca="1" si="135"/>
        <v>116.8756875</v>
      </c>
      <c r="AD453" s="1">
        <f t="shared" ca="1" si="135"/>
        <v>116.8756875</v>
      </c>
      <c r="AE453" s="1">
        <f t="shared" ca="1" si="135"/>
        <v>116.8756875</v>
      </c>
      <c r="AF453" s="1">
        <f t="shared" ca="1" si="135"/>
        <v>116.8756875</v>
      </c>
      <c r="AG453" s="1">
        <f t="shared" ca="1" si="135"/>
        <v>116.8756875</v>
      </c>
      <c r="AH453" s="1">
        <f t="shared" ca="1" si="135"/>
        <v>116.8756875</v>
      </c>
      <c r="AI453" s="1">
        <f t="shared" ca="1" si="120"/>
        <v>116.8756875</v>
      </c>
    </row>
    <row r="454" spans="2:35" x14ac:dyDescent="0.15">
      <c r="B454" s="1" t="str">
        <f t="shared" si="133"/>
        <v>金属系56</v>
      </c>
      <c r="C454" s="1">
        <f t="shared" si="123"/>
        <v>56</v>
      </c>
      <c r="D454" s="14" t="s">
        <v>94</v>
      </c>
      <c r="E454" s="14">
        <f t="shared" si="124"/>
        <v>5</v>
      </c>
      <c r="F454" s="1" t="str">
        <f t="shared" si="131"/>
        <v>物理</v>
      </c>
      <c r="H454" s="1">
        <f t="shared" ca="1" si="132"/>
        <v>3466.6876445808634</v>
      </c>
      <c r="I454" s="1">
        <f t="shared" ca="1" si="134"/>
        <v>100</v>
      </c>
      <c r="J454" s="1">
        <f t="shared" ca="1" si="134"/>
        <v>807.91578947368498</v>
      </c>
      <c r="K454" s="1">
        <f t="shared" ca="1" si="134"/>
        <v>119.00069999999999</v>
      </c>
      <c r="L454" s="1">
        <f t="shared" ca="1" si="134"/>
        <v>807.91578947368498</v>
      </c>
      <c r="M454" s="1">
        <f t="shared" ca="1" si="134"/>
        <v>79.333799999999997</v>
      </c>
      <c r="N454" s="1">
        <f t="shared" ca="1" si="134"/>
        <v>0.2</v>
      </c>
      <c r="O454" s="1">
        <f t="shared" ca="1" si="134"/>
        <v>0.2</v>
      </c>
      <c r="P454" s="1">
        <f t="shared" ca="1" si="134"/>
        <v>0.36</v>
      </c>
      <c r="Q454" s="1">
        <f t="shared" ca="1" si="134"/>
        <v>0.1</v>
      </c>
      <c r="R454" s="1">
        <f t="shared" ca="1" si="134"/>
        <v>2.4</v>
      </c>
      <c r="S454" s="1">
        <f t="shared" ca="1" si="135"/>
        <v>0.1</v>
      </c>
      <c r="T454" s="1">
        <f t="shared" ca="1" si="135"/>
        <v>0.9</v>
      </c>
      <c r="U454" s="1">
        <f t="shared" ca="1" si="135"/>
        <v>108.26666666666701</v>
      </c>
      <c r="V454" s="1">
        <f t="shared" ca="1" si="135"/>
        <v>314.18947368421101</v>
      </c>
      <c r="W454" s="1">
        <f t="shared" ca="1" si="135"/>
        <v>0</v>
      </c>
      <c r="X454" s="1">
        <f t="shared" ca="1" si="135"/>
        <v>0</v>
      </c>
      <c r="Y454" s="1">
        <f t="shared" ca="1" si="135"/>
        <v>0</v>
      </c>
      <c r="Z454" s="1">
        <f t="shared" ca="1" si="135"/>
        <v>0</v>
      </c>
      <c r="AA454" s="1">
        <f t="shared" ca="1" si="135"/>
        <v>0</v>
      </c>
      <c r="AB454" s="1">
        <f t="shared" ca="1" si="130"/>
        <v>0</v>
      </c>
      <c r="AC454" s="1">
        <f t="shared" ca="1" si="135"/>
        <v>119.00069999999999</v>
      </c>
      <c r="AD454" s="1">
        <f t="shared" ca="1" si="135"/>
        <v>119.00069999999999</v>
      </c>
      <c r="AE454" s="1">
        <f t="shared" ca="1" si="135"/>
        <v>119.00069999999999</v>
      </c>
      <c r="AF454" s="1">
        <f t="shared" ca="1" si="135"/>
        <v>119.00069999999999</v>
      </c>
      <c r="AG454" s="1">
        <f t="shared" ca="1" si="135"/>
        <v>119.00069999999999</v>
      </c>
      <c r="AH454" s="1">
        <f t="shared" ca="1" si="135"/>
        <v>119.00069999999999</v>
      </c>
      <c r="AI454" s="1">
        <f t="shared" ca="1" si="120"/>
        <v>119.00069999999999</v>
      </c>
    </row>
    <row r="455" spans="2:35" x14ac:dyDescent="0.15">
      <c r="B455" s="1" t="str">
        <f t="shared" si="133"/>
        <v>金属系57</v>
      </c>
      <c r="C455" s="1">
        <f t="shared" si="123"/>
        <v>57</v>
      </c>
      <c r="D455" s="14" t="s">
        <v>94</v>
      </c>
      <c r="E455" s="14">
        <f t="shared" si="124"/>
        <v>5</v>
      </c>
      <c r="F455" s="1" t="str">
        <f t="shared" si="131"/>
        <v>物理</v>
      </c>
      <c r="H455" s="1">
        <f t="shared" ca="1" si="132"/>
        <v>3545.8054288038652</v>
      </c>
      <c r="I455" s="1">
        <f t="shared" ca="1" si="134"/>
        <v>100</v>
      </c>
      <c r="J455" s="1">
        <f t="shared" ca="1" si="134"/>
        <v>829.34566869301</v>
      </c>
      <c r="K455" s="1">
        <f t="shared" ca="1" si="134"/>
        <v>121.12571249999999</v>
      </c>
      <c r="L455" s="1">
        <f t="shared" ca="1" si="134"/>
        <v>829.34566869301</v>
      </c>
      <c r="M455" s="1">
        <f t="shared" ca="1" si="134"/>
        <v>80.750474999999994</v>
      </c>
      <c r="N455" s="1">
        <f t="shared" ca="1" si="134"/>
        <v>0.2</v>
      </c>
      <c r="O455" s="1">
        <f t="shared" ca="1" si="134"/>
        <v>0.2</v>
      </c>
      <c r="P455" s="1">
        <f t="shared" ca="1" si="134"/>
        <v>0.36</v>
      </c>
      <c r="Q455" s="1">
        <f t="shared" ca="1" si="134"/>
        <v>0.1</v>
      </c>
      <c r="R455" s="1">
        <f t="shared" ca="1" si="134"/>
        <v>2.4</v>
      </c>
      <c r="S455" s="1">
        <f t="shared" ca="1" si="135"/>
        <v>0.1</v>
      </c>
      <c r="T455" s="1">
        <f t="shared" ca="1" si="135"/>
        <v>0.9</v>
      </c>
      <c r="U455" s="1">
        <f t="shared" ca="1" si="135"/>
        <v>110.2</v>
      </c>
      <c r="V455" s="1">
        <f t="shared" ca="1" si="135"/>
        <v>330.57834346504598</v>
      </c>
      <c r="W455" s="1">
        <f t="shared" ca="1" si="135"/>
        <v>0</v>
      </c>
      <c r="X455" s="1">
        <f t="shared" ca="1" si="135"/>
        <v>0</v>
      </c>
      <c r="Y455" s="1">
        <f t="shared" ca="1" si="135"/>
        <v>0</v>
      </c>
      <c r="Z455" s="1">
        <f t="shared" ca="1" si="135"/>
        <v>0</v>
      </c>
      <c r="AA455" s="1">
        <f t="shared" ca="1" si="135"/>
        <v>0</v>
      </c>
      <c r="AB455" s="1">
        <f t="shared" ca="1" si="130"/>
        <v>0</v>
      </c>
      <c r="AC455" s="1">
        <f t="shared" ca="1" si="135"/>
        <v>121.12571249999999</v>
      </c>
      <c r="AD455" s="1">
        <f t="shared" ca="1" si="135"/>
        <v>121.12571249999999</v>
      </c>
      <c r="AE455" s="1">
        <f t="shared" ca="1" si="135"/>
        <v>121.12571249999999</v>
      </c>
      <c r="AF455" s="1">
        <f t="shared" ca="1" si="135"/>
        <v>121.12571249999999</v>
      </c>
      <c r="AG455" s="1">
        <f t="shared" ca="1" si="135"/>
        <v>121.12571249999999</v>
      </c>
      <c r="AH455" s="1">
        <f t="shared" ca="1" si="135"/>
        <v>121.12571249999999</v>
      </c>
      <c r="AI455" s="1">
        <f t="shared" ca="1" si="120"/>
        <v>121.12571249999999</v>
      </c>
    </row>
    <row r="456" spans="2:35" x14ac:dyDescent="0.15">
      <c r="B456" s="1" t="str">
        <f t="shared" si="133"/>
        <v>金属系58</v>
      </c>
      <c r="C456" s="1">
        <f t="shared" si="123"/>
        <v>58</v>
      </c>
      <c r="D456" s="14" t="s">
        <v>94</v>
      </c>
      <c r="E456" s="14">
        <f t="shared" si="124"/>
        <v>5</v>
      </c>
      <c r="F456" s="1" t="str">
        <f t="shared" si="131"/>
        <v>物理</v>
      </c>
      <c r="H456" s="1">
        <f t="shared" ca="1" si="132"/>
        <v>3625.5271655782062</v>
      </c>
      <c r="I456" s="1">
        <f t="shared" ca="1" si="134"/>
        <v>100</v>
      </c>
      <c r="J456" s="1">
        <f t="shared" ca="1" si="134"/>
        <v>851.116589861752</v>
      </c>
      <c r="K456" s="1">
        <f t="shared" ca="1" si="134"/>
        <v>123.25072500000002</v>
      </c>
      <c r="L456" s="1">
        <f t="shared" ca="1" si="134"/>
        <v>851.116589861752</v>
      </c>
      <c r="M456" s="1">
        <f t="shared" ca="1" si="134"/>
        <v>82.167150000000007</v>
      </c>
      <c r="N456" s="1">
        <f t="shared" ca="1" si="134"/>
        <v>0.2</v>
      </c>
      <c r="O456" s="1">
        <f t="shared" ca="1" si="134"/>
        <v>0.2</v>
      </c>
      <c r="P456" s="1">
        <f t="shared" ca="1" si="134"/>
        <v>0.36</v>
      </c>
      <c r="Q456" s="1">
        <f t="shared" ca="1" si="134"/>
        <v>0.1</v>
      </c>
      <c r="R456" s="1">
        <f t="shared" ca="1" si="134"/>
        <v>2.4</v>
      </c>
      <c r="S456" s="1">
        <f t="shared" ca="1" si="135"/>
        <v>0.1</v>
      </c>
      <c r="T456" s="1">
        <f t="shared" ca="1" si="135"/>
        <v>0.9</v>
      </c>
      <c r="U456" s="1">
        <f t="shared" ca="1" si="135"/>
        <v>112.133333333333</v>
      </c>
      <c r="V456" s="1">
        <f t="shared" ca="1" si="135"/>
        <v>347.63917050691299</v>
      </c>
      <c r="W456" s="1">
        <f t="shared" ca="1" si="135"/>
        <v>0</v>
      </c>
      <c r="X456" s="1">
        <f t="shared" ca="1" si="135"/>
        <v>0</v>
      </c>
      <c r="Y456" s="1">
        <f t="shared" ca="1" si="135"/>
        <v>0</v>
      </c>
      <c r="Z456" s="1">
        <f t="shared" ca="1" si="135"/>
        <v>0</v>
      </c>
      <c r="AA456" s="1">
        <f t="shared" ca="1" si="135"/>
        <v>0</v>
      </c>
      <c r="AB456" s="1">
        <f t="shared" ca="1" si="130"/>
        <v>0</v>
      </c>
      <c r="AC456" s="1">
        <f t="shared" ca="1" si="135"/>
        <v>123.25072500000002</v>
      </c>
      <c r="AD456" s="1">
        <f t="shared" ca="1" si="135"/>
        <v>123.25072500000002</v>
      </c>
      <c r="AE456" s="1">
        <f t="shared" ca="1" si="135"/>
        <v>123.25072500000002</v>
      </c>
      <c r="AF456" s="1">
        <f t="shared" ca="1" si="135"/>
        <v>123.25072500000002</v>
      </c>
      <c r="AG456" s="1">
        <f t="shared" ca="1" si="135"/>
        <v>123.25072500000002</v>
      </c>
      <c r="AH456" s="1">
        <f t="shared" ca="1" si="135"/>
        <v>123.25072500000002</v>
      </c>
      <c r="AI456" s="1">
        <f t="shared" ca="1" si="120"/>
        <v>123.25072500000002</v>
      </c>
    </row>
    <row r="457" spans="2:35" x14ac:dyDescent="0.15">
      <c r="B457" s="1" t="str">
        <f t="shared" si="133"/>
        <v>金属系59</v>
      </c>
      <c r="C457" s="1">
        <f t="shared" si="123"/>
        <v>59</v>
      </c>
      <c r="D457" s="14" t="s">
        <v>94</v>
      </c>
      <c r="E457" s="14">
        <f t="shared" si="124"/>
        <v>5</v>
      </c>
      <c r="F457" s="1" t="str">
        <f t="shared" si="131"/>
        <v>物理</v>
      </c>
      <c r="H457" s="1">
        <f t="shared" ca="1" si="132"/>
        <v>3705.8528549038501</v>
      </c>
      <c r="I457" s="1">
        <f t="shared" ca="1" si="134"/>
        <v>100</v>
      </c>
      <c r="J457" s="1">
        <f t="shared" ca="1" si="134"/>
        <v>873.23664596273295</v>
      </c>
      <c r="K457" s="1">
        <f t="shared" ca="1" si="134"/>
        <v>125.37573750000001</v>
      </c>
      <c r="L457" s="1">
        <f t="shared" ca="1" si="134"/>
        <v>873.23664596273295</v>
      </c>
      <c r="M457" s="1">
        <f t="shared" ca="1" si="134"/>
        <v>83.583825000000004</v>
      </c>
      <c r="N457" s="1">
        <f t="shared" ca="1" si="134"/>
        <v>0.2</v>
      </c>
      <c r="O457" s="1">
        <f t="shared" ca="1" si="134"/>
        <v>0.2</v>
      </c>
      <c r="P457" s="1">
        <f t="shared" ca="1" si="134"/>
        <v>0.36</v>
      </c>
      <c r="Q457" s="1">
        <f t="shared" ca="1" si="134"/>
        <v>0.1</v>
      </c>
      <c r="R457" s="1">
        <f t="shared" ca="1" si="134"/>
        <v>2.4</v>
      </c>
      <c r="S457" s="1">
        <f t="shared" ca="1" si="135"/>
        <v>0.1</v>
      </c>
      <c r="T457" s="1">
        <f t="shared" ca="1" si="135"/>
        <v>0.9</v>
      </c>
      <c r="U457" s="1">
        <f t="shared" ca="1" si="135"/>
        <v>114.066666666667</v>
      </c>
      <c r="V457" s="1">
        <f t="shared" ca="1" si="135"/>
        <v>365.396894409938</v>
      </c>
      <c r="W457" s="1">
        <f t="shared" ca="1" si="135"/>
        <v>0</v>
      </c>
      <c r="X457" s="1">
        <f t="shared" ca="1" si="135"/>
        <v>0</v>
      </c>
      <c r="Y457" s="1">
        <f t="shared" ca="1" si="135"/>
        <v>0</v>
      </c>
      <c r="Z457" s="1">
        <f t="shared" ca="1" si="135"/>
        <v>0</v>
      </c>
      <c r="AA457" s="1">
        <f t="shared" ca="1" si="135"/>
        <v>0</v>
      </c>
      <c r="AB457" s="1">
        <f t="shared" ca="1" si="130"/>
        <v>0</v>
      </c>
      <c r="AC457" s="1">
        <f t="shared" ca="1" si="135"/>
        <v>125.37573750000001</v>
      </c>
      <c r="AD457" s="1">
        <f t="shared" ca="1" si="135"/>
        <v>125.37573750000001</v>
      </c>
      <c r="AE457" s="1">
        <f t="shared" ca="1" si="135"/>
        <v>125.37573750000001</v>
      </c>
      <c r="AF457" s="1">
        <f t="shared" ca="1" si="135"/>
        <v>125.37573750000001</v>
      </c>
      <c r="AG457" s="1">
        <f t="shared" ca="1" si="135"/>
        <v>125.37573750000001</v>
      </c>
      <c r="AH457" s="1">
        <f t="shared" ca="1" si="135"/>
        <v>125.37573750000001</v>
      </c>
      <c r="AI457" s="1">
        <f t="shared" ca="1" si="120"/>
        <v>125.37573750000001</v>
      </c>
    </row>
    <row r="458" spans="2:35" x14ac:dyDescent="0.15">
      <c r="B458" s="1" t="str">
        <f t="shared" si="133"/>
        <v>金属系60</v>
      </c>
      <c r="C458" s="1">
        <f t="shared" si="123"/>
        <v>60</v>
      </c>
      <c r="D458" s="14" t="s">
        <v>94</v>
      </c>
      <c r="E458" s="14">
        <f t="shared" si="124"/>
        <v>5</v>
      </c>
      <c r="F458" s="1" t="str">
        <f t="shared" si="131"/>
        <v>物理</v>
      </c>
      <c r="H458" s="1">
        <f t="shared" ca="1" si="132"/>
        <v>3786.7824967808338</v>
      </c>
      <c r="I458" s="1">
        <f t="shared" ca="1" si="134"/>
        <v>100</v>
      </c>
      <c r="J458" s="1">
        <f t="shared" ca="1" si="134"/>
        <v>895.71428571428601</v>
      </c>
      <c r="K458" s="1">
        <f t="shared" ca="1" si="134"/>
        <v>127.50075000000001</v>
      </c>
      <c r="L458" s="1">
        <f t="shared" ca="1" si="134"/>
        <v>895.71428571428601</v>
      </c>
      <c r="M458" s="1">
        <f t="shared" ca="1" si="134"/>
        <v>85.000500000000002</v>
      </c>
      <c r="N458" s="1">
        <f t="shared" ca="1" si="134"/>
        <v>0.2</v>
      </c>
      <c r="O458" s="1">
        <f t="shared" ca="1" si="134"/>
        <v>0.2</v>
      </c>
      <c r="P458" s="1">
        <f t="shared" ca="1" si="134"/>
        <v>0.36</v>
      </c>
      <c r="Q458" s="1">
        <f t="shared" ca="1" si="134"/>
        <v>0.1</v>
      </c>
      <c r="R458" s="1">
        <f t="shared" ca="1" si="134"/>
        <v>2.4</v>
      </c>
      <c r="S458" s="1">
        <f t="shared" ca="1" si="135"/>
        <v>0.1</v>
      </c>
      <c r="T458" s="1">
        <f t="shared" ca="1" si="135"/>
        <v>0.9</v>
      </c>
      <c r="U458" s="1">
        <f t="shared" ca="1" si="135"/>
        <v>116</v>
      </c>
      <c r="V458" s="1">
        <f t="shared" ca="1" si="135"/>
        <v>383.87755102040802</v>
      </c>
      <c r="W458" s="1">
        <f t="shared" ca="1" si="135"/>
        <v>0</v>
      </c>
      <c r="X458" s="1">
        <f t="shared" ca="1" si="135"/>
        <v>0</v>
      </c>
      <c r="Y458" s="1">
        <f t="shared" ca="1" si="135"/>
        <v>0</v>
      </c>
      <c r="Z458" s="1">
        <f t="shared" ca="1" si="135"/>
        <v>0</v>
      </c>
      <c r="AA458" s="1">
        <f t="shared" ca="1" si="135"/>
        <v>0</v>
      </c>
      <c r="AB458" s="1">
        <f t="shared" ca="1" si="130"/>
        <v>0</v>
      </c>
      <c r="AC458" s="1">
        <f t="shared" ca="1" si="135"/>
        <v>127.50075000000001</v>
      </c>
      <c r="AD458" s="1">
        <f t="shared" ca="1" si="135"/>
        <v>127.50075000000001</v>
      </c>
      <c r="AE458" s="1">
        <f t="shared" ca="1" si="135"/>
        <v>127.50075000000001</v>
      </c>
      <c r="AF458" s="1">
        <f t="shared" ca="1" si="135"/>
        <v>127.50075000000001</v>
      </c>
      <c r="AG458" s="1">
        <f t="shared" ca="1" si="135"/>
        <v>127.50075000000001</v>
      </c>
      <c r="AH458" s="1">
        <f t="shared" ca="1" si="135"/>
        <v>127.50075000000001</v>
      </c>
      <c r="AI458" s="1">
        <f t="shared" ca="1" si="120"/>
        <v>127.50075000000001</v>
      </c>
    </row>
    <row r="459" spans="2:35" x14ac:dyDescent="0.15">
      <c r="B459" s="1" t="str">
        <f t="shared" si="133"/>
        <v>金属系61</v>
      </c>
      <c r="C459" s="1">
        <f t="shared" si="123"/>
        <v>61</v>
      </c>
      <c r="D459" s="14" t="s">
        <v>94</v>
      </c>
      <c r="E459" s="14">
        <f t="shared" si="124"/>
        <v>5</v>
      </c>
      <c r="F459" s="1" t="str">
        <f t="shared" si="131"/>
        <v>物理</v>
      </c>
      <c r="H459" s="1">
        <f t="shared" ca="1" si="132"/>
        <v>3868.3160912091203</v>
      </c>
      <c r="I459" s="1">
        <f t="shared" ca="1" si="134"/>
        <v>100</v>
      </c>
      <c r="J459" s="1">
        <f t="shared" ca="1" si="134"/>
        <v>918.55833333333396</v>
      </c>
      <c r="K459" s="1">
        <f t="shared" ca="1" si="134"/>
        <v>129.62576250000001</v>
      </c>
      <c r="L459" s="1">
        <f t="shared" ca="1" si="134"/>
        <v>918.55833333333396</v>
      </c>
      <c r="M459" s="1">
        <f t="shared" ca="1" si="134"/>
        <v>86.417175</v>
      </c>
      <c r="N459" s="1">
        <f t="shared" ca="1" si="134"/>
        <v>0.2</v>
      </c>
      <c r="O459" s="1">
        <f t="shared" ca="1" si="134"/>
        <v>0.2</v>
      </c>
      <c r="P459" s="1">
        <f t="shared" ca="1" si="134"/>
        <v>0.36</v>
      </c>
      <c r="Q459" s="1">
        <f t="shared" ca="1" si="134"/>
        <v>0.1</v>
      </c>
      <c r="R459" s="1">
        <f t="shared" ca="1" si="134"/>
        <v>2.4</v>
      </c>
      <c r="S459" s="1">
        <f t="shared" ca="1" si="135"/>
        <v>0.1</v>
      </c>
      <c r="T459" s="1">
        <f t="shared" ca="1" si="135"/>
        <v>0.9</v>
      </c>
      <c r="U459" s="1">
        <f t="shared" ca="1" si="135"/>
        <v>117.933333333333</v>
      </c>
      <c r="V459" s="1">
        <f t="shared" ca="1" si="135"/>
        <v>403.10833333333397</v>
      </c>
      <c r="W459" s="1">
        <f t="shared" ca="1" si="135"/>
        <v>0</v>
      </c>
      <c r="X459" s="1">
        <f t="shared" ca="1" si="135"/>
        <v>0</v>
      </c>
      <c r="Y459" s="1">
        <f t="shared" ca="1" si="135"/>
        <v>0</v>
      </c>
      <c r="Z459" s="1">
        <f t="shared" ca="1" si="135"/>
        <v>0</v>
      </c>
      <c r="AA459" s="1">
        <f t="shared" ca="1" si="135"/>
        <v>0</v>
      </c>
      <c r="AB459" s="1">
        <f t="shared" ca="1" si="135"/>
        <v>0</v>
      </c>
      <c r="AC459" s="1">
        <f t="shared" ca="1" si="135"/>
        <v>129.62576250000001</v>
      </c>
      <c r="AD459" s="1">
        <f t="shared" ca="1" si="135"/>
        <v>129.62576250000001</v>
      </c>
      <c r="AE459" s="1">
        <f t="shared" ca="1" si="135"/>
        <v>129.62576250000001</v>
      </c>
      <c r="AF459" s="1">
        <f t="shared" ca="1" si="135"/>
        <v>129.62576250000001</v>
      </c>
      <c r="AG459" s="1">
        <f t="shared" ca="1" si="135"/>
        <v>129.62576250000001</v>
      </c>
      <c r="AH459" s="1">
        <f t="shared" ca="1" si="135"/>
        <v>129.62576250000001</v>
      </c>
      <c r="AI459" s="1">
        <f t="shared" ca="1" si="120"/>
        <v>129.62576250000001</v>
      </c>
    </row>
    <row r="460" spans="2:35" x14ac:dyDescent="0.15">
      <c r="B460" s="1" t="str">
        <f t="shared" si="133"/>
        <v>金属系62</v>
      </c>
      <c r="C460" s="1">
        <f t="shared" si="123"/>
        <v>62</v>
      </c>
      <c r="D460" s="14" t="s">
        <v>94</v>
      </c>
      <c r="E460" s="14">
        <f t="shared" si="124"/>
        <v>5</v>
      </c>
      <c r="F460" s="1" t="str">
        <f t="shared" si="131"/>
        <v>物理</v>
      </c>
      <c r="H460" s="1">
        <f t="shared" ca="1" si="132"/>
        <v>3950.4536381887469</v>
      </c>
      <c r="I460" s="1">
        <f t="shared" ca="1" si="134"/>
        <v>100</v>
      </c>
      <c r="J460" s="1">
        <f t="shared" ca="1" si="134"/>
        <v>941.77800963081904</v>
      </c>
      <c r="K460" s="1">
        <f t="shared" ca="1" si="134"/>
        <v>131.750775</v>
      </c>
      <c r="L460" s="1">
        <f t="shared" ca="1" si="134"/>
        <v>941.77800963081904</v>
      </c>
      <c r="M460" s="1">
        <f t="shared" ca="1" si="134"/>
        <v>87.833849999999998</v>
      </c>
      <c r="N460" s="1">
        <f t="shared" ca="1" si="134"/>
        <v>0.2</v>
      </c>
      <c r="O460" s="1">
        <f t="shared" ca="1" si="134"/>
        <v>0.2</v>
      </c>
      <c r="P460" s="1">
        <f t="shared" ca="1" si="134"/>
        <v>0.36</v>
      </c>
      <c r="Q460" s="1">
        <f t="shared" ca="1" si="134"/>
        <v>0.1</v>
      </c>
      <c r="R460" s="1">
        <f t="shared" ca="1" si="134"/>
        <v>2.4</v>
      </c>
      <c r="S460" s="1">
        <f t="shared" ca="1" si="135"/>
        <v>0.1</v>
      </c>
      <c r="T460" s="1">
        <f t="shared" ca="1" si="135"/>
        <v>0.9</v>
      </c>
      <c r="U460" s="1">
        <f t="shared" ca="1" si="135"/>
        <v>119.866666666667</v>
      </c>
      <c r="V460" s="1">
        <f t="shared" ca="1" si="135"/>
        <v>423.11765650080298</v>
      </c>
      <c r="W460" s="1">
        <f t="shared" ca="1" si="135"/>
        <v>0</v>
      </c>
      <c r="X460" s="1">
        <f t="shared" ca="1" si="135"/>
        <v>0</v>
      </c>
      <c r="Y460" s="1">
        <f t="shared" ca="1" si="135"/>
        <v>0</v>
      </c>
      <c r="Z460" s="1">
        <f t="shared" ca="1" si="135"/>
        <v>0</v>
      </c>
      <c r="AA460" s="1">
        <f t="shared" ca="1" si="135"/>
        <v>0</v>
      </c>
      <c r="AB460" s="1">
        <f t="shared" ca="1" si="135"/>
        <v>0</v>
      </c>
      <c r="AC460" s="1">
        <f t="shared" ca="1" si="135"/>
        <v>131.750775</v>
      </c>
      <c r="AD460" s="1">
        <f t="shared" ca="1" si="135"/>
        <v>131.750775</v>
      </c>
      <c r="AE460" s="1">
        <f t="shared" ca="1" si="135"/>
        <v>131.750775</v>
      </c>
      <c r="AF460" s="1">
        <f t="shared" ca="1" si="135"/>
        <v>131.750775</v>
      </c>
      <c r="AG460" s="1">
        <f t="shared" ca="1" si="135"/>
        <v>131.750775</v>
      </c>
      <c r="AH460" s="1">
        <f t="shared" ca="1" si="135"/>
        <v>131.750775</v>
      </c>
      <c r="AI460" s="1">
        <f t="shared" ca="1" si="120"/>
        <v>131.750775</v>
      </c>
    </row>
    <row r="461" spans="2:35" x14ac:dyDescent="0.15">
      <c r="B461" s="1" t="str">
        <f t="shared" si="133"/>
        <v>金属系63</v>
      </c>
      <c r="C461" s="1">
        <f t="shared" si="123"/>
        <v>63</v>
      </c>
      <c r="D461" s="14" t="s">
        <v>94</v>
      </c>
      <c r="E461" s="14">
        <f t="shared" si="124"/>
        <v>5</v>
      </c>
      <c r="F461" s="1" t="str">
        <f t="shared" si="131"/>
        <v>物理</v>
      </c>
      <c r="H461" s="1">
        <f t="shared" ca="1" si="132"/>
        <v>4033.195137719676</v>
      </c>
      <c r="I461" s="1">
        <f t="shared" ca="1" si="134"/>
        <v>100</v>
      </c>
      <c r="J461" s="1">
        <f t="shared" ca="1" si="134"/>
        <v>965.38295454545505</v>
      </c>
      <c r="K461" s="1">
        <f t="shared" ca="1" si="134"/>
        <v>133.8757875</v>
      </c>
      <c r="L461" s="1">
        <f t="shared" ca="1" si="134"/>
        <v>965.38295454545505</v>
      </c>
      <c r="M461" s="1">
        <f t="shared" ca="1" si="134"/>
        <v>89.250524999999996</v>
      </c>
      <c r="N461" s="1">
        <f t="shared" ca="1" si="134"/>
        <v>0.2</v>
      </c>
      <c r="O461" s="1">
        <f t="shared" ca="1" si="134"/>
        <v>0.2</v>
      </c>
      <c r="P461" s="1">
        <f t="shared" ca="1" si="134"/>
        <v>0.36</v>
      </c>
      <c r="Q461" s="1">
        <f t="shared" ca="1" si="134"/>
        <v>0.1</v>
      </c>
      <c r="R461" s="1">
        <f t="shared" ca="1" si="134"/>
        <v>2.4</v>
      </c>
      <c r="S461" s="1">
        <f t="shared" ca="1" si="135"/>
        <v>0.1</v>
      </c>
      <c r="T461" s="1">
        <f t="shared" ca="1" si="135"/>
        <v>0.9</v>
      </c>
      <c r="U461" s="1">
        <f t="shared" ca="1" si="135"/>
        <v>121.8</v>
      </c>
      <c r="V461" s="1">
        <f t="shared" ca="1" si="135"/>
        <v>443.93522727272801</v>
      </c>
      <c r="W461" s="1">
        <f t="shared" ca="1" si="135"/>
        <v>0</v>
      </c>
      <c r="X461" s="1">
        <f t="shared" ca="1" si="135"/>
        <v>0</v>
      </c>
      <c r="Y461" s="1">
        <f t="shared" ca="1" si="135"/>
        <v>0</v>
      </c>
      <c r="Z461" s="1">
        <f t="shared" ca="1" si="135"/>
        <v>0</v>
      </c>
      <c r="AA461" s="1">
        <f t="shared" ca="1" si="135"/>
        <v>0</v>
      </c>
      <c r="AB461" s="1">
        <f t="shared" ca="1" si="135"/>
        <v>0</v>
      </c>
      <c r="AC461" s="1">
        <f t="shared" ca="1" si="135"/>
        <v>133.8757875</v>
      </c>
      <c r="AD461" s="1">
        <f t="shared" ca="1" si="135"/>
        <v>133.8757875</v>
      </c>
      <c r="AE461" s="1">
        <f t="shared" ca="1" si="135"/>
        <v>133.8757875</v>
      </c>
      <c r="AF461" s="1">
        <f t="shared" ca="1" si="135"/>
        <v>133.8757875</v>
      </c>
      <c r="AG461" s="1">
        <f t="shared" ca="1" si="135"/>
        <v>133.8757875</v>
      </c>
      <c r="AH461" s="1">
        <f t="shared" ca="1" si="135"/>
        <v>133.8757875</v>
      </c>
      <c r="AI461" s="1">
        <f t="shared" ca="1" si="120"/>
        <v>133.8757875</v>
      </c>
    </row>
    <row r="462" spans="2:35" x14ac:dyDescent="0.15">
      <c r="B462" s="1" t="str">
        <f t="shared" si="133"/>
        <v>金属系64</v>
      </c>
      <c r="C462" s="1">
        <f t="shared" si="123"/>
        <v>64</v>
      </c>
      <c r="D462" s="14" t="s">
        <v>94</v>
      </c>
      <c r="E462" s="14">
        <f t="shared" si="124"/>
        <v>5</v>
      </c>
      <c r="F462" s="1" t="str">
        <f t="shared" si="131"/>
        <v>物理</v>
      </c>
      <c r="H462" s="1">
        <f t="shared" ca="1" si="132"/>
        <v>4116.5405898019271</v>
      </c>
      <c r="I462" s="1">
        <f t="shared" ca="1" si="134"/>
        <v>100</v>
      </c>
      <c r="J462" s="1">
        <f t="shared" ca="1" si="134"/>
        <v>989.38325123152799</v>
      </c>
      <c r="K462" s="1">
        <f t="shared" ca="1" si="134"/>
        <v>136.0008</v>
      </c>
      <c r="L462" s="1">
        <f t="shared" ca="1" si="134"/>
        <v>989.38325123152799</v>
      </c>
      <c r="M462" s="1">
        <f t="shared" ca="1" si="134"/>
        <v>90.667199999999994</v>
      </c>
      <c r="N462" s="1">
        <f t="shared" ca="1" si="134"/>
        <v>0.2</v>
      </c>
      <c r="O462" s="1">
        <f t="shared" ca="1" si="134"/>
        <v>0.2</v>
      </c>
      <c r="P462" s="1">
        <f t="shared" ca="1" si="134"/>
        <v>0.36</v>
      </c>
      <c r="Q462" s="1">
        <f t="shared" ca="1" si="134"/>
        <v>0.1</v>
      </c>
      <c r="R462" s="1">
        <f t="shared" ca="1" si="134"/>
        <v>2.4</v>
      </c>
      <c r="S462" s="1">
        <f t="shared" ca="1" si="135"/>
        <v>0.1</v>
      </c>
      <c r="T462" s="1">
        <f t="shared" ca="1" si="135"/>
        <v>0.9</v>
      </c>
      <c r="U462" s="1">
        <f t="shared" ca="1" si="135"/>
        <v>123.73333333333299</v>
      </c>
      <c r="V462" s="1">
        <f t="shared" ca="1" si="135"/>
        <v>465.59211822660097</v>
      </c>
      <c r="W462" s="1">
        <f t="shared" ca="1" si="135"/>
        <v>0</v>
      </c>
      <c r="X462" s="1">
        <f t="shared" ca="1" si="135"/>
        <v>0</v>
      </c>
      <c r="Y462" s="1">
        <f t="shared" ca="1" si="135"/>
        <v>0</v>
      </c>
      <c r="Z462" s="1">
        <f t="shared" ca="1" si="135"/>
        <v>0</v>
      </c>
      <c r="AA462" s="1">
        <f t="shared" ca="1" si="135"/>
        <v>0</v>
      </c>
      <c r="AB462" s="1">
        <f t="shared" ca="1" si="135"/>
        <v>0</v>
      </c>
      <c r="AC462" s="1">
        <f t="shared" ca="1" si="135"/>
        <v>136.0008</v>
      </c>
      <c r="AD462" s="1">
        <f t="shared" ca="1" si="135"/>
        <v>136.0008</v>
      </c>
      <c r="AE462" s="1">
        <f t="shared" ca="1" si="135"/>
        <v>136.0008</v>
      </c>
      <c r="AF462" s="1">
        <f t="shared" ca="1" si="135"/>
        <v>136.0008</v>
      </c>
      <c r="AG462" s="1">
        <f t="shared" ca="1" si="135"/>
        <v>136.0008</v>
      </c>
      <c r="AH462" s="1">
        <f t="shared" ca="1" si="135"/>
        <v>136.0008</v>
      </c>
      <c r="AI462" s="1">
        <f t="shared" ca="1" si="120"/>
        <v>136.0008</v>
      </c>
    </row>
    <row r="463" spans="2:35" x14ac:dyDescent="0.15">
      <c r="B463" s="1" t="str">
        <f t="shared" si="133"/>
        <v>金属系65</v>
      </c>
      <c r="C463" s="1">
        <f t="shared" si="123"/>
        <v>65</v>
      </c>
      <c r="D463" s="14" t="s">
        <v>94</v>
      </c>
      <c r="E463" s="14">
        <f t="shared" si="124"/>
        <v>5</v>
      </c>
      <c r="F463" s="1" t="str">
        <f t="shared" si="131"/>
        <v>物理</v>
      </c>
      <c r="H463" s="1">
        <f t="shared" ca="1" si="132"/>
        <v>4200.4899944355175</v>
      </c>
      <c r="I463" s="1">
        <f t="shared" ref="I463:R472" ca="1" si="136">mVlookup($C463,monsterBaseDate,I$2,FALSE)*(1+mVlookup($E463,monsterType,I$2,FALSE))</f>
        <v>100</v>
      </c>
      <c r="J463" s="1">
        <f t="shared" ca="1" si="136"/>
        <v>1013.78945182724</v>
      </c>
      <c r="K463" s="1">
        <f t="shared" ca="1" si="136"/>
        <v>138.12581249999999</v>
      </c>
      <c r="L463" s="1">
        <f t="shared" ca="1" si="136"/>
        <v>1013.78945182724</v>
      </c>
      <c r="M463" s="1">
        <f t="shared" ca="1" si="136"/>
        <v>92.083875000000006</v>
      </c>
      <c r="N463" s="1">
        <f t="shared" ca="1" si="136"/>
        <v>0.2</v>
      </c>
      <c r="O463" s="1">
        <f t="shared" ca="1" si="136"/>
        <v>0.2</v>
      </c>
      <c r="P463" s="1">
        <f t="shared" ca="1" si="136"/>
        <v>0.36</v>
      </c>
      <c r="Q463" s="1">
        <f t="shared" ca="1" si="136"/>
        <v>0.1</v>
      </c>
      <c r="R463" s="1">
        <f t="shared" ca="1" si="136"/>
        <v>2.4</v>
      </c>
      <c r="S463" s="1">
        <f t="shared" ref="S463:AH478" ca="1" si="137">mVlookup($C463,monsterBaseDate,S$2,FALSE)*(1+mVlookup($E463,monsterType,S$2,FALSE))</f>
        <v>0.1</v>
      </c>
      <c r="T463" s="1">
        <f t="shared" ca="1" si="137"/>
        <v>0.9</v>
      </c>
      <c r="U463" s="1">
        <f t="shared" ca="1" si="137"/>
        <v>125.666666666667</v>
      </c>
      <c r="V463" s="1">
        <f t="shared" ca="1" si="137"/>
        <v>488.12084717608002</v>
      </c>
      <c r="W463" s="1">
        <f t="shared" ca="1" si="137"/>
        <v>0</v>
      </c>
      <c r="X463" s="1">
        <f t="shared" ca="1" si="137"/>
        <v>0</v>
      </c>
      <c r="Y463" s="1">
        <f t="shared" ca="1" si="137"/>
        <v>0</v>
      </c>
      <c r="Z463" s="1">
        <f t="shared" ca="1" si="137"/>
        <v>0</v>
      </c>
      <c r="AA463" s="1">
        <f t="shared" ca="1" si="137"/>
        <v>0</v>
      </c>
      <c r="AB463" s="1">
        <f t="shared" ca="1" si="135"/>
        <v>0</v>
      </c>
      <c r="AC463" s="1">
        <f t="shared" ca="1" si="137"/>
        <v>138.12581249999999</v>
      </c>
      <c r="AD463" s="1">
        <f t="shared" ca="1" si="137"/>
        <v>138.12581249999999</v>
      </c>
      <c r="AE463" s="1">
        <f t="shared" ca="1" si="137"/>
        <v>138.12581249999999</v>
      </c>
      <c r="AF463" s="1">
        <f t="shared" ca="1" si="137"/>
        <v>138.12581249999999</v>
      </c>
      <c r="AG463" s="1">
        <f t="shared" ca="1" si="137"/>
        <v>138.12581249999999</v>
      </c>
      <c r="AH463" s="1">
        <f t="shared" ca="1" si="137"/>
        <v>138.12581249999999</v>
      </c>
      <c r="AI463" s="1">
        <f t="shared" ca="1" si="120"/>
        <v>138.12581249999999</v>
      </c>
    </row>
    <row r="464" spans="2:35" x14ac:dyDescent="0.15">
      <c r="B464" s="1" t="str">
        <f t="shared" si="133"/>
        <v>金属系66</v>
      </c>
      <c r="C464" s="1">
        <f t="shared" si="123"/>
        <v>66</v>
      </c>
      <c r="D464" s="14" t="s">
        <v>94</v>
      </c>
      <c r="E464" s="14">
        <f t="shared" si="124"/>
        <v>5</v>
      </c>
      <c r="F464" s="1" t="str">
        <f t="shared" si="131"/>
        <v>物理</v>
      </c>
      <c r="H464" s="1">
        <f t="shared" ca="1" si="132"/>
        <v>4285.0433516204102</v>
      </c>
      <c r="I464" s="1">
        <f t="shared" ca="1" si="136"/>
        <v>100</v>
      </c>
      <c r="J464" s="1">
        <f t="shared" ca="1" si="136"/>
        <v>1038.61260504202</v>
      </c>
      <c r="K464" s="1">
        <f t="shared" ca="1" si="136"/>
        <v>140.25082500000002</v>
      </c>
      <c r="L464" s="1">
        <f t="shared" ca="1" si="136"/>
        <v>1038.61260504202</v>
      </c>
      <c r="M464" s="1">
        <f t="shared" ca="1" si="136"/>
        <v>93.500550000000004</v>
      </c>
      <c r="N464" s="1">
        <f t="shared" ca="1" si="136"/>
        <v>0.2</v>
      </c>
      <c r="O464" s="1">
        <f t="shared" ca="1" si="136"/>
        <v>0.2</v>
      </c>
      <c r="P464" s="1">
        <f t="shared" ca="1" si="136"/>
        <v>0.36</v>
      </c>
      <c r="Q464" s="1">
        <f t="shared" ca="1" si="136"/>
        <v>0.1</v>
      </c>
      <c r="R464" s="1">
        <f t="shared" ca="1" si="136"/>
        <v>2.4</v>
      </c>
      <c r="S464" s="1">
        <f t="shared" ca="1" si="137"/>
        <v>0.1</v>
      </c>
      <c r="T464" s="1">
        <f t="shared" ca="1" si="137"/>
        <v>0.9</v>
      </c>
      <c r="U464" s="1">
        <f t="shared" ca="1" si="137"/>
        <v>127.6</v>
      </c>
      <c r="V464" s="1">
        <f t="shared" ca="1" si="137"/>
        <v>511.55546218487399</v>
      </c>
      <c r="W464" s="1">
        <f t="shared" ca="1" si="137"/>
        <v>0</v>
      </c>
      <c r="X464" s="1">
        <f t="shared" ca="1" si="137"/>
        <v>0</v>
      </c>
      <c r="Y464" s="1">
        <f t="shared" ca="1" si="137"/>
        <v>0</v>
      </c>
      <c r="Z464" s="1">
        <f t="shared" ca="1" si="137"/>
        <v>0</v>
      </c>
      <c r="AA464" s="1">
        <f t="shared" ca="1" si="137"/>
        <v>0</v>
      </c>
      <c r="AB464" s="1">
        <f t="shared" ca="1" si="135"/>
        <v>0</v>
      </c>
      <c r="AC464" s="1">
        <f t="shared" ca="1" si="137"/>
        <v>140.25082500000002</v>
      </c>
      <c r="AD464" s="1">
        <f t="shared" ca="1" si="137"/>
        <v>140.25082500000002</v>
      </c>
      <c r="AE464" s="1">
        <f t="shared" ca="1" si="137"/>
        <v>140.25082500000002</v>
      </c>
      <c r="AF464" s="1">
        <f t="shared" ca="1" si="137"/>
        <v>140.25082500000002</v>
      </c>
      <c r="AG464" s="1">
        <f t="shared" ca="1" si="137"/>
        <v>140.25082500000002</v>
      </c>
      <c r="AH464" s="1">
        <f t="shared" ca="1" si="137"/>
        <v>140.25082500000002</v>
      </c>
      <c r="AI464" s="1">
        <f t="shared" ca="1" si="120"/>
        <v>140.25082500000002</v>
      </c>
    </row>
    <row r="465" spans="2:35" x14ac:dyDescent="0.15">
      <c r="B465" s="1" t="str">
        <f t="shared" si="133"/>
        <v>金属系67</v>
      </c>
      <c r="C465" s="1">
        <f t="shared" si="123"/>
        <v>67</v>
      </c>
      <c r="D465" s="14" t="s">
        <v>94</v>
      </c>
      <c r="E465" s="14">
        <f t="shared" si="124"/>
        <v>5</v>
      </c>
      <c r="F465" s="1" t="str">
        <f t="shared" si="131"/>
        <v>物理</v>
      </c>
      <c r="H465" s="1">
        <f t="shared" ca="1" si="132"/>
        <v>4600.4359958004607</v>
      </c>
      <c r="I465" s="1">
        <f t="shared" ca="1" si="136"/>
        <v>100</v>
      </c>
      <c r="J465" s="1">
        <f t="shared" ca="1" si="136"/>
        <v>1063.86428571429</v>
      </c>
      <c r="K465" s="1">
        <f t="shared" ca="1" si="136"/>
        <v>142.37583749999999</v>
      </c>
      <c r="L465" s="1">
        <f t="shared" ca="1" si="136"/>
        <v>1063.86428571429</v>
      </c>
      <c r="M465" s="1">
        <f t="shared" ca="1" si="136"/>
        <v>94.917225000000002</v>
      </c>
      <c r="N465" s="1">
        <f t="shared" ca="1" si="136"/>
        <v>0.2</v>
      </c>
      <c r="O465" s="1">
        <f t="shared" ca="1" si="136"/>
        <v>0.2</v>
      </c>
      <c r="P465" s="1">
        <f t="shared" ca="1" si="136"/>
        <v>0.36</v>
      </c>
      <c r="Q465" s="1">
        <f t="shared" ca="1" si="136"/>
        <v>0.1</v>
      </c>
      <c r="R465" s="1">
        <f t="shared" ca="1" si="136"/>
        <v>2.4</v>
      </c>
      <c r="S465" s="1">
        <f t="shared" ca="1" si="137"/>
        <v>0.1</v>
      </c>
      <c r="T465" s="1">
        <f t="shared" ca="1" si="137"/>
        <v>0.9</v>
      </c>
      <c r="U465" s="1">
        <f t="shared" ca="1" si="137"/>
        <v>129.53333333333299</v>
      </c>
      <c r="V465" s="1">
        <f t="shared" ca="1" si="137"/>
        <v>535.93163265306202</v>
      </c>
      <c r="W465" s="1">
        <f t="shared" ca="1" si="137"/>
        <v>0</v>
      </c>
      <c r="X465" s="1">
        <f t="shared" ca="1" si="137"/>
        <v>0</v>
      </c>
      <c r="Y465" s="1">
        <f t="shared" ca="1" si="137"/>
        <v>0</v>
      </c>
      <c r="Z465" s="1">
        <f t="shared" ca="1" si="137"/>
        <v>0</v>
      </c>
      <c r="AA465" s="1">
        <f t="shared" ca="1" si="137"/>
        <v>0</v>
      </c>
      <c r="AB465" s="1">
        <f t="shared" ca="1" si="135"/>
        <v>0</v>
      </c>
      <c r="AC465" s="1">
        <f t="shared" ca="1" si="137"/>
        <v>142.37583749999999</v>
      </c>
      <c r="AD465" s="1">
        <f t="shared" ca="1" si="137"/>
        <v>142.37583749999999</v>
      </c>
      <c r="AE465" s="1">
        <f t="shared" ca="1" si="137"/>
        <v>142.37583749999999</v>
      </c>
      <c r="AF465" s="1">
        <f t="shared" ca="1" si="137"/>
        <v>142.37583749999999</v>
      </c>
      <c r="AG465" s="1">
        <f t="shared" ca="1" si="137"/>
        <v>142.37583749999999</v>
      </c>
      <c r="AH465" s="1">
        <f t="shared" ca="1" si="137"/>
        <v>142.37583749999999</v>
      </c>
      <c r="AI465" s="1">
        <f t="shared" ca="1" si="120"/>
        <v>142.37583749999999</v>
      </c>
    </row>
    <row r="466" spans="2:35" x14ac:dyDescent="0.15">
      <c r="B466" s="1" t="str">
        <f t="shared" si="133"/>
        <v>金属系68</v>
      </c>
      <c r="C466" s="1">
        <f t="shared" si="123"/>
        <v>68</v>
      </c>
      <c r="D466" s="14" t="s">
        <v>94</v>
      </c>
      <c r="E466" s="14">
        <f t="shared" si="124"/>
        <v>5</v>
      </c>
      <c r="F466" s="1" t="str">
        <f t="shared" si="131"/>
        <v>物理</v>
      </c>
      <c r="H466" s="1">
        <f t="shared" ca="1" si="132"/>
        <v>4690.7154197092059</v>
      </c>
      <c r="I466" s="1">
        <f t="shared" ca="1" si="136"/>
        <v>100</v>
      </c>
      <c r="J466" s="1">
        <f t="shared" ca="1" si="136"/>
        <v>1089.5566265060199</v>
      </c>
      <c r="K466" s="1">
        <f t="shared" ca="1" si="136"/>
        <v>144.50085000000001</v>
      </c>
      <c r="L466" s="1">
        <f t="shared" ca="1" si="136"/>
        <v>1089.5566265060199</v>
      </c>
      <c r="M466" s="1">
        <f t="shared" ca="1" si="136"/>
        <v>96.3339</v>
      </c>
      <c r="N466" s="1">
        <f t="shared" ca="1" si="136"/>
        <v>0.2</v>
      </c>
      <c r="O466" s="1">
        <f t="shared" ca="1" si="136"/>
        <v>0.2</v>
      </c>
      <c r="P466" s="1">
        <f t="shared" ca="1" si="136"/>
        <v>0.36</v>
      </c>
      <c r="Q466" s="1">
        <f t="shared" ca="1" si="136"/>
        <v>0.1</v>
      </c>
      <c r="R466" s="1">
        <f t="shared" ca="1" si="136"/>
        <v>2.4</v>
      </c>
      <c r="S466" s="1">
        <f t="shared" ca="1" si="137"/>
        <v>0.1</v>
      </c>
      <c r="T466" s="1">
        <f t="shared" ca="1" si="137"/>
        <v>0.9</v>
      </c>
      <c r="U466" s="1">
        <f t="shared" ca="1" si="137"/>
        <v>131.46666666666701</v>
      </c>
      <c r="V466" s="1">
        <f t="shared" ca="1" si="137"/>
        <v>561.28674698795203</v>
      </c>
      <c r="W466" s="1">
        <f t="shared" ca="1" si="137"/>
        <v>0</v>
      </c>
      <c r="X466" s="1">
        <f t="shared" ca="1" si="137"/>
        <v>0</v>
      </c>
      <c r="Y466" s="1">
        <f t="shared" ca="1" si="137"/>
        <v>0</v>
      </c>
      <c r="Z466" s="1">
        <f t="shared" ca="1" si="137"/>
        <v>0</v>
      </c>
      <c r="AA466" s="1">
        <f t="shared" ca="1" si="137"/>
        <v>0</v>
      </c>
      <c r="AB466" s="1">
        <f t="shared" ca="1" si="135"/>
        <v>0</v>
      </c>
      <c r="AC466" s="1">
        <f t="shared" ca="1" si="137"/>
        <v>144.50085000000001</v>
      </c>
      <c r="AD466" s="1">
        <f t="shared" ca="1" si="137"/>
        <v>144.50085000000001</v>
      </c>
      <c r="AE466" s="1">
        <f t="shared" ca="1" si="137"/>
        <v>144.50085000000001</v>
      </c>
      <c r="AF466" s="1">
        <f t="shared" ca="1" si="137"/>
        <v>144.50085000000001</v>
      </c>
      <c r="AG466" s="1">
        <f t="shared" ca="1" si="137"/>
        <v>144.50085000000001</v>
      </c>
      <c r="AH466" s="1">
        <f t="shared" ca="1" si="137"/>
        <v>144.50085000000001</v>
      </c>
      <c r="AI466" s="1">
        <f t="shared" ca="1" si="120"/>
        <v>144.50085000000001</v>
      </c>
    </row>
    <row r="467" spans="2:35" x14ac:dyDescent="0.15">
      <c r="B467" s="1" t="str">
        <f t="shared" si="133"/>
        <v>金属系69</v>
      </c>
      <c r="C467" s="1">
        <f t="shared" si="123"/>
        <v>69</v>
      </c>
      <c r="D467" s="14" t="s">
        <v>94</v>
      </c>
      <c r="E467" s="14">
        <f t="shared" si="124"/>
        <v>5</v>
      </c>
      <c r="F467" s="1" t="str">
        <f t="shared" si="131"/>
        <v>物理</v>
      </c>
      <c r="H467" s="1">
        <f t="shared" ca="1" si="132"/>
        <v>4781.6306142088533</v>
      </c>
      <c r="I467" s="1">
        <f t="shared" ca="1" si="136"/>
        <v>100</v>
      </c>
      <c r="J467" s="1">
        <f t="shared" ca="1" si="136"/>
        <v>1115.7023519163799</v>
      </c>
      <c r="K467" s="1">
        <f t="shared" ca="1" si="136"/>
        <v>146.62586249999998</v>
      </c>
      <c r="L467" s="1">
        <f t="shared" ca="1" si="136"/>
        <v>1115.7023519163799</v>
      </c>
      <c r="M467" s="1">
        <f t="shared" ca="1" si="136"/>
        <v>97.750574999999998</v>
      </c>
      <c r="N467" s="1">
        <f t="shared" ca="1" si="136"/>
        <v>0.2</v>
      </c>
      <c r="O467" s="1">
        <f t="shared" ca="1" si="136"/>
        <v>0.2</v>
      </c>
      <c r="P467" s="1">
        <f t="shared" ca="1" si="136"/>
        <v>0.36</v>
      </c>
      <c r="Q467" s="1">
        <f t="shared" ca="1" si="136"/>
        <v>0.1</v>
      </c>
      <c r="R467" s="1">
        <f t="shared" ca="1" si="136"/>
        <v>2.4</v>
      </c>
      <c r="S467" s="1">
        <f t="shared" ca="1" si="137"/>
        <v>0.1</v>
      </c>
      <c r="T467" s="1">
        <f t="shared" ca="1" si="137"/>
        <v>0.9</v>
      </c>
      <c r="U467" s="1">
        <f t="shared" ca="1" si="137"/>
        <v>133.4</v>
      </c>
      <c r="V467" s="1">
        <f t="shared" ca="1" si="137"/>
        <v>587.66001742160302</v>
      </c>
      <c r="W467" s="1">
        <f t="shared" ca="1" si="137"/>
        <v>0</v>
      </c>
      <c r="X467" s="1">
        <f t="shared" ca="1" si="137"/>
        <v>0</v>
      </c>
      <c r="Y467" s="1">
        <f t="shared" ca="1" si="137"/>
        <v>0</v>
      </c>
      <c r="Z467" s="1">
        <f t="shared" ca="1" si="137"/>
        <v>0</v>
      </c>
      <c r="AA467" s="1">
        <f t="shared" ca="1" si="137"/>
        <v>0</v>
      </c>
      <c r="AB467" s="1">
        <f t="shared" ca="1" si="135"/>
        <v>0</v>
      </c>
      <c r="AC467" s="1">
        <f t="shared" ca="1" si="137"/>
        <v>146.62586249999998</v>
      </c>
      <c r="AD467" s="1">
        <f t="shared" ca="1" si="137"/>
        <v>146.62586249999998</v>
      </c>
      <c r="AE467" s="1">
        <f t="shared" ca="1" si="137"/>
        <v>146.62586249999998</v>
      </c>
      <c r="AF467" s="1">
        <f t="shared" ca="1" si="137"/>
        <v>146.62586249999998</v>
      </c>
      <c r="AG467" s="1">
        <f t="shared" ca="1" si="137"/>
        <v>146.62586249999998</v>
      </c>
      <c r="AH467" s="1">
        <f t="shared" ca="1" si="137"/>
        <v>146.62586249999998</v>
      </c>
      <c r="AI467" s="1">
        <f t="shared" ref="AI467:AI530" ca="1" si="138">mVlookup($C467,monsterBaseDate,AI$2,FALSE)*(1+mVlookup($E467,monsterType,AI$2,FALSE))</f>
        <v>146.62586249999998</v>
      </c>
    </row>
    <row r="468" spans="2:35" x14ac:dyDescent="0.15">
      <c r="B468" s="1" t="str">
        <f t="shared" si="133"/>
        <v>金属系70</v>
      </c>
      <c r="C468" s="1">
        <f t="shared" si="123"/>
        <v>70</v>
      </c>
      <c r="D468" s="14" t="s">
        <v>94</v>
      </c>
      <c r="E468" s="14">
        <f t="shared" si="124"/>
        <v>5</v>
      </c>
      <c r="F468" s="1" t="str">
        <f t="shared" si="131"/>
        <v>物理</v>
      </c>
      <c r="H468" s="1">
        <f t="shared" ca="1" si="132"/>
        <v>4873.1815792993993</v>
      </c>
      <c r="I468" s="1">
        <f t="shared" ca="1" si="136"/>
        <v>100</v>
      </c>
      <c r="J468" s="1">
        <f t="shared" ca="1" si="136"/>
        <v>1142.31481481482</v>
      </c>
      <c r="K468" s="1">
        <f t="shared" ca="1" si="136"/>
        <v>148.75087500000001</v>
      </c>
      <c r="L468" s="1">
        <f t="shared" ca="1" si="136"/>
        <v>1142.31481481482</v>
      </c>
      <c r="M468" s="1">
        <f t="shared" ca="1" si="136"/>
        <v>99.167249999999996</v>
      </c>
      <c r="N468" s="1">
        <f t="shared" ca="1" si="136"/>
        <v>0.2</v>
      </c>
      <c r="O468" s="1">
        <f t="shared" ca="1" si="136"/>
        <v>0.2</v>
      </c>
      <c r="P468" s="1">
        <f t="shared" ca="1" si="136"/>
        <v>0.36</v>
      </c>
      <c r="Q468" s="1">
        <f t="shared" ca="1" si="136"/>
        <v>0.1</v>
      </c>
      <c r="R468" s="1">
        <f t="shared" ca="1" si="136"/>
        <v>2.4</v>
      </c>
      <c r="S468" s="1">
        <f t="shared" ca="1" si="137"/>
        <v>0.1</v>
      </c>
      <c r="T468" s="1">
        <f t="shared" ca="1" si="137"/>
        <v>0.9</v>
      </c>
      <c r="U468" s="1">
        <f t="shared" ca="1" si="137"/>
        <v>135.333333333333</v>
      </c>
      <c r="V468" s="1">
        <f t="shared" ca="1" si="137"/>
        <v>615.09259259259295</v>
      </c>
      <c r="W468" s="1">
        <f t="shared" ca="1" si="137"/>
        <v>0</v>
      </c>
      <c r="X468" s="1">
        <f t="shared" ca="1" si="137"/>
        <v>0</v>
      </c>
      <c r="Y468" s="1">
        <f t="shared" ca="1" si="137"/>
        <v>0</v>
      </c>
      <c r="Z468" s="1">
        <f t="shared" ca="1" si="137"/>
        <v>0</v>
      </c>
      <c r="AA468" s="1">
        <f t="shared" ca="1" si="137"/>
        <v>0</v>
      </c>
      <c r="AB468" s="1">
        <f t="shared" ca="1" si="135"/>
        <v>0</v>
      </c>
      <c r="AC468" s="1">
        <f t="shared" ca="1" si="137"/>
        <v>148.75087500000001</v>
      </c>
      <c r="AD468" s="1">
        <f t="shared" ca="1" si="137"/>
        <v>148.75087500000001</v>
      </c>
      <c r="AE468" s="1">
        <f t="shared" ca="1" si="137"/>
        <v>148.75087500000001</v>
      </c>
      <c r="AF468" s="1">
        <f t="shared" ca="1" si="137"/>
        <v>148.75087500000001</v>
      </c>
      <c r="AG468" s="1">
        <f t="shared" ca="1" si="137"/>
        <v>148.75087500000001</v>
      </c>
      <c r="AH468" s="1">
        <f t="shared" ca="1" si="137"/>
        <v>148.75087500000001</v>
      </c>
      <c r="AI468" s="1">
        <f t="shared" ca="1" si="138"/>
        <v>148.75087500000001</v>
      </c>
    </row>
    <row r="469" spans="2:35" x14ac:dyDescent="0.15">
      <c r="B469" s="1" t="str">
        <f t="shared" si="133"/>
        <v>金属系71</v>
      </c>
      <c r="C469" s="1">
        <f t="shared" si="123"/>
        <v>71</v>
      </c>
      <c r="D469" s="14" t="s">
        <v>94</v>
      </c>
      <c r="E469" s="14">
        <f t="shared" si="124"/>
        <v>5</v>
      </c>
      <c r="F469" s="1" t="str">
        <f t="shared" si="131"/>
        <v>物理</v>
      </c>
      <c r="H469" s="1">
        <f t="shared" ca="1" si="132"/>
        <v>4965.3683149808649</v>
      </c>
      <c r="I469" s="1">
        <f t="shared" ca="1" si="136"/>
        <v>100</v>
      </c>
      <c r="J469" s="1">
        <f t="shared" ca="1" si="136"/>
        <v>1169.40803571429</v>
      </c>
      <c r="K469" s="1">
        <f t="shared" ca="1" si="136"/>
        <v>150.87588749999998</v>
      </c>
      <c r="L469" s="1">
        <f t="shared" ca="1" si="136"/>
        <v>1169.40803571429</v>
      </c>
      <c r="M469" s="1">
        <f t="shared" ca="1" si="136"/>
        <v>100.58392499999999</v>
      </c>
      <c r="N469" s="1">
        <f t="shared" ca="1" si="136"/>
        <v>0.2</v>
      </c>
      <c r="O469" s="1">
        <f t="shared" ca="1" si="136"/>
        <v>0.2</v>
      </c>
      <c r="P469" s="1">
        <f t="shared" ca="1" si="136"/>
        <v>0.36</v>
      </c>
      <c r="Q469" s="1">
        <f t="shared" ca="1" si="136"/>
        <v>0.1</v>
      </c>
      <c r="R469" s="1">
        <f t="shared" ca="1" si="136"/>
        <v>2.4</v>
      </c>
      <c r="S469" s="1">
        <f t="shared" ca="1" si="137"/>
        <v>0.1</v>
      </c>
      <c r="T469" s="1">
        <f t="shared" ca="1" si="137"/>
        <v>0.9</v>
      </c>
      <c r="U469" s="1">
        <f t="shared" ca="1" si="137"/>
        <v>137.26666666666699</v>
      </c>
      <c r="V469" s="1">
        <f t="shared" ca="1" si="137"/>
        <v>643.62767857142899</v>
      </c>
      <c r="W469" s="1">
        <f t="shared" ca="1" si="137"/>
        <v>0</v>
      </c>
      <c r="X469" s="1">
        <f t="shared" ca="1" si="137"/>
        <v>0</v>
      </c>
      <c r="Y469" s="1">
        <f t="shared" ca="1" si="137"/>
        <v>0</v>
      </c>
      <c r="Z469" s="1">
        <f t="shared" ca="1" si="137"/>
        <v>0</v>
      </c>
      <c r="AA469" s="1">
        <f t="shared" ca="1" si="137"/>
        <v>0</v>
      </c>
      <c r="AB469" s="1">
        <f t="shared" ca="1" si="137"/>
        <v>0</v>
      </c>
      <c r="AC469" s="1">
        <f t="shared" ca="1" si="137"/>
        <v>150.87588749999998</v>
      </c>
      <c r="AD469" s="1">
        <f t="shared" ca="1" si="137"/>
        <v>150.87588749999998</v>
      </c>
      <c r="AE469" s="1">
        <f t="shared" ca="1" si="137"/>
        <v>150.87588749999998</v>
      </c>
      <c r="AF469" s="1">
        <f t="shared" ca="1" si="137"/>
        <v>150.87588749999998</v>
      </c>
      <c r="AG469" s="1">
        <f t="shared" ca="1" si="137"/>
        <v>150.87588749999998</v>
      </c>
      <c r="AH469" s="1">
        <f t="shared" ca="1" si="137"/>
        <v>150.87588749999998</v>
      </c>
      <c r="AI469" s="1">
        <f t="shared" ca="1" si="138"/>
        <v>150.87588749999998</v>
      </c>
    </row>
    <row r="470" spans="2:35" x14ac:dyDescent="0.15">
      <c r="B470" s="1" t="str">
        <f t="shared" si="133"/>
        <v>金属系72</v>
      </c>
      <c r="C470" s="1">
        <f t="shared" si="123"/>
        <v>72</v>
      </c>
      <c r="D470" s="14" t="s">
        <v>94</v>
      </c>
      <c r="E470" s="14">
        <f t="shared" si="124"/>
        <v>5</v>
      </c>
      <c r="F470" s="1" t="str">
        <f t="shared" si="131"/>
        <v>物理</v>
      </c>
      <c r="H470" s="1">
        <f t="shared" ca="1" si="132"/>
        <v>5058.1908212532308</v>
      </c>
      <c r="I470" s="1">
        <f t="shared" ca="1" si="136"/>
        <v>100</v>
      </c>
      <c r="J470" s="1">
        <f t="shared" ca="1" si="136"/>
        <v>1196.9967450271299</v>
      </c>
      <c r="K470" s="1">
        <f t="shared" ca="1" si="136"/>
        <v>153.0009</v>
      </c>
      <c r="L470" s="1">
        <f t="shared" ca="1" si="136"/>
        <v>1196.9967450271299</v>
      </c>
      <c r="M470" s="1">
        <f t="shared" ca="1" si="136"/>
        <v>102.00060000000001</v>
      </c>
      <c r="N470" s="1">
        <f t="shared" ca="1" si="136"/>
        <v>0.2</v>
      </c>
      <c r="O470" s="1">
        <f t="shared" ca="1" si="136"/>
        <v>0.2</v>
      </c>
      <c r="P470" s="1">
        <f t="shared" ca="1" si="136"/>
        <v>0.36</v>
      </c>
      <c r="Q470" s="1">
        <f t="shared" ca="1" si="136"/>
        <v>0.1</v>
      </c>
      <c r="R470" s="1">
        <f t="shared" ca="1" si="136"/>
        <v>2.4</v>
      </c>
      <c r="S470" s="1">
        <f t="shared" ca="1" si="137"/>
        <v>0.1</v>
      </c>
      <c r="T470" s="1">
        <f t="shared" ca="1" si="137"/>
        <v>0.9</v>
      </c>
      <c r="U470" s="1">
        <f t="shared" ca="1" si="137"/>
        <v>139.19999999999999</v>
      </c>
      <c r="V470" s="1">
        <f t="shared" ca="1" si="137"/>
        <v>673.31066907775801</v>
      </c>
      <c r="W470" s="1">
        <f t="shared" ca="1" si="137"/>
        <v>0</v>
      </c>
      <c r="X470" s="1">
        <f t="shared" ca="1" si="137"/>
        <v>0</v>
      </c>
      <c r="Y470" s="1">
        <f t="shared" ca="1" si="137"/>
        <v>0</v>
      </c>
      <c r="Z470" s="1">
        <f t="shared" ca="1" si="137"/>
        <v>0</v>
      </c>
      <c r="AA470" s="1">
        <f t="shared" ca="1" si="137"/>
        <v>0</v>
      </c>
      <c r="AB470" s="1">
        <f t="shared" ca="1" si="137"/>
        <v>0</v>
      </c>
      <c r="AC470" s="1">
        <f t="shared" ca="1" si="137"/>
        <v>153.0009</v>
      </c>
      <c r="AD470" s="1">
        <f t="shared" ca="1" si="137"/>
        <v>153.0009</v>
      </c>
      <c r="AE470" s="1">
        <f t="shared" ca="1" si="137"/>
        <v>153.0009</v>
      </c>
      <c r="AF470" s="1">
        <f t="shared" ca="1" si="137"/>
        <v>153.0009</v>
      </c>
      <c r="AG470" s="1">
        <f t="shared" ca="1" si="137"/>
        <v>153.0009</v>
      </c>
      <c r="AH470" s="1">
        <f t="shared" ca="1" si="137"/>
        <v>153.0009</v>
      </c>
      <c r="AI470" s="1">
        <f t="shared" ca="1" si="138"/>
        <v>153.0009</v>
      </c>
    </row>
    <row r="471" spans="2:35" x14ac:dyDescent="0.15">
      <c r="B471" s="1" t="str">
        <f t="shared" si="133"/>
        <v>金属系73</v>
      </c>
      <c r="C471" s="1">
        <f t="shared" si="123"/>
        <v>73</v>
      </c>
      <c r="D471" s="14" t="s">
        <v>94</v>
      </c>
      <c r="E471" s="14">
        <f t="shared" si="124"/>
        <v>5</v>
      </c>
      <c r="F471" s="1" t="str">
        <f t="shared" si="131"/>
        <v>物理</v>
      </c>
      <c r="H471" s="1">
        <f t="shared" ca="1" si="132"/>
        <v>5151.6490981165161</v>
      </c>
      <c r="I471" s="1">
        <f t="shared" ca="1" si="136"/>
        <v>100</v>
      </c>
      <c r="J471" s="1">
        <f t="shared" ca="1" si="136"/>
        <v>1225.0964285714299</v>
      </c>
      <c r="K471" s="1">
        <f t="shared" ca="1" si="136"/>
        <v>155.1259125</v>
      </c>
      <c r="L471" s="1">
        <f t="shared" ca="1" si="136"/>
        <v>1225.0964285714299</v>
      </c>
      <c r="M471" s="1">
        <f t="shared" ca="1" si="136"/>
        <v>103.417275</v>
      </c>
      <c r="N471" s="1">
        <f t="shared" ca="1" si="136"/>
        <v>0.2</v>
      </c>
      <c r="O471" s="1">
        <f t="shared" ca="1" si="136"/>
        <v>0.2</v>
      </c>
      <c r="P471" s="1">
        <f t="shared" ca="1" si="136"/>
        <v>0.36</v>
      </c>
      <c r="Q471" s="1">
        <f t="shared" ca="1" si="136"/>
        <v>0.1</v>
      </c>
      <c r="R471" s="1">
        <f t="shared" ca="1" si="136"/>
        <v>2.4</v>
      </c>
      <c r="S471" s="1">
        <f t="shared" ca="1" si="137"/>
        <v>0.1</v>
      </c>
      <c r="T471" s="1">
        <f t="shared" ca="1" si="137"/>
        <v>0.9</v>
      </c>
      <c r="U471" s="1">
        <f t="shared" ca="1" si="137"/>
        <v>141.13333333333301</v>
      </c>
      <c r="V471" s="1">
        <f t="shared" ca="1" si="137"/>
        <v>704.18928571428603</v>
      </c>
      <c r="W471" s="1">
        <f t="shared" ca="1" si="137"/>
        <v>0</v>
      </c>
      <c r="X471" s="1">
        <f t="shared" ca="1" si="137"/>
        <v>0</v>
      </c>
      <c r="Y471" s="1">
        <f t="shared" ca="1" si="137"/>
        <v>0</v>
      </c>
      <c r="Z471" s="1">
        <f t="shared" ca="1" si="137"/>
        <v>0</v>
      </c>
      <c r="AA471" s="1">
        <f t="shared" ca="1" si="137"/>
        <v>0</v>
      </c>
      <c r="AB471" s="1">
        <f t="shared" ca="1" si="137"/>
        <v>0</v>
      </c>
      <c r="AC471" s="1">
        <f t="shared" ca="1" si="137"/>
        <v>155.1259125</v>
      </c>
      <c r="AD471" s="1">
        <f t="shared" ca="1" si="137"/>
        <v>155.1259125</v>
      </c>
      <c r="AE471" s="1">
        <f t="shared" ca="1" si="137"/>
        <v>155.1259125</v>
      </c>
      <c r="AF471" s="1">
        <f t="shared" ca="1" si="137"/>
        <v>155.1259125</v>
      </c>
      <c r="AG471" s="1">
        <f t="shared" ca="1" si="137"/>
        <v>155.1259125</v>
      </c>
      <c r="AH471" s="1">
        <f t="shared" ca="1" si="137"/>
        <v>155.1259125</v>
      </c>
      <c r="AI471" s="1">
        <f t="shared" ca="1" si="138"/>
        <v>155.1259125</v>
      </c>
    </row>
    <row r="472" spans="2:35" x14ac:dyDescent="0.15">
      <c r="B472" s="1" t="str">
        <f t="shared" si="133"/>
        <v>金属系74</v>
      </c>
      <c r="C472" s="1">
        <f t="shared" si="123"/>
        <v>74</v>
      </c>
      <c r="D472" s="14" t="s">
        <v>94</v>
      </c>
      <c r="E472" s="14">
        <f t="shared" si="124"/>
        <v>5</v>
      </c>
      <c r="F472" s="1" t="str">
        <f t="shared" si="131"/>
        <v>物理</v>
      </c>
      <c r="H472" s="1">
        <f t="shared" ca="1" si="132"/>
        <v>5245.7431455707001</v>
      </c>
      <c r="I472" s="1">
        <f t="shared" ca="1" si="136"/>
        <v>100</v>
      </c>
      <c r="J472" s="1">
        <f t="shared" ca="1" si="136"/>
        <v>1253.7233766233801</v>
      </c>
      <c r="K472" s="1">
        <f t="shared" ca="1" si="136"/>
        <v>157.250925</v>
      </c>
      <c r="L472" s="1">
        <f t="shared" ca="1" si="136"/>
        <v>1253.7233766233801</v>
      </c>
      <c r="M472" s="1">
        <f t="shared" ca="1" si="136"/>
        <v>104.83395</v>
      </c>
      <c r="N472" s="1">
        <f t="shared" ca="1" si="136"/>
        <v>0.2</v>
      </c>
      <c r="O472" s="1">
        <f t="shared" ca="1" si="136"/>
        <v>0.2</v>
      </c>
      <c r="P472" s="1">
        <f t="shared" ca="1" si="136"/>
        <v>0.36</v>
      </c>
      <c r="Q472" s="1">
        <f t="shared" ca="1" si="136"/>
        <v>0.1</v>
      </c>
      <c r="R472" s="1">
        <f t="shared" ca="1" si="136"/>
        <v>2.4</v>
      </c>
      <c r="S472" s="1">
        <f t="shared" ca="1" si="137"/>
        <v>0.1</v>
      </c>
      <c r="T472" s="1">
        <f t="shared" ca="1" si="137"/>
        <v>0.9</v>
      </c>
      <c r="U472" s="1">
        <f t="shared" ca="1" si="137"/>
        <v>143.066666666667</v>
      </c>
      <c r="V472" s="1">
        <f t="shared" ca="1" si="137"/>
        <v>736.31372912801601</v>
      </c>
      <c r="W472" s="1">
        <f t="shared" ca="1" si="137"/>
        <v>0</v>
      </c>
      <c r="X472" s="1">
        <f t="shared" ca="1" si="137"/>
        <v>0</v>
      </c>
      <c r="Y472" s="1">
        <f t="shared" ca="1" si="137"/>
        <v>0</v>
      </c>
      <c r="Z472" s="1">
        <f t="shared" ca="1" si="137"/>
        <v>0</v>
      </c>
      <c r="AA472" s="1">
        <f t="shared" ca="1" si="137"/>
        <v>0</v>
      </c>
      <c r="AB472" s="1">
        <f t="shared" ca="1" si="137"/>
        <v>0</v>
      </c>
      <c r="AC472" s="1">
        <f t="shared" ca="1" si="137"/>
        <v>157.250925</v>
      </c>
      <c r="AD472" s="1">
        <f t="shared" ca="1" si="137"/>
        <v>157.250925</v>
      </c>
      <c r="AE472" s="1">
        <f t="shared" ca="1" si="137"/>
        <v>157.250925</v>
      </c>
      <c r="AF472" s="1">
        <f t="shared" ca="1" si="137"/>
        <v>157.250925</v>
      </c>
      <c r="AG472" s="1">
        <f t="shared" ca="1" si="137"/>
        <v>157.250925</v>
      </c>
      <c r="AH472" s="1">
        <f t="shared" ca="1" si="137"/>
        <v>157.250925</v>
      </c>
      <c r="AI472" s="1">
        <f t="shared" ca="1" si="138"/>
        <v>157.250925</v>
      </c>
    </row>
    <row r="473" spans="2:35" x14ac:dyDescent="0.15">
      <c r="B473" s="1" t="str">
        <f t="shared" si="133"/>
        <v>金属系75</v>
      </c>
      <c r="C473" s="1">
        <f t="shared" si="123"/>
        <v>75</v>
      </c>
      <c r="D473" s="14" t="s">
        <v>94</v>
      </c>
      <c r="E473" s="14">
        <f t="shared" si="124"/>
        <v>5</v>
      </c>
      <c r="F473" s="1" t="str">
        <f t="shared" si="131"/>
        <v>物理</v>
      </c>
      <c r="H473" s="1">
        <f t="shared" ca="1" si="132"/>
        <v>5340.4729636157863</v>
      </c>
      <c r="I473" s="1">
        <f t="shared" ref="I473:R482" ca="1" si="139">mVlookup($C473,monsterBaseDate,I$2,FALSE)*(1+mVlookup($E473,monsterType,I$2,FALSE))</f>
        <v>100</v>
      </c>
      <c r="J473" s="1">
        <f t="shared" ca="1" si="139"/>
        <v>1282.89473684211</v>
      </c>
      <c r="K473" s="1">
        <f t="shared" ca="1" si="139"/>
        <v>159.37593749999999</v>
      </c>
      <c r="L473" s="1">
        <f t="shared" ca="1" si="139"/>
        <v>1282.89473684211</v>
      </c>
      <c r="M473" s="1">
        <f t="shared" ca="1" si="139"/>
        <v>106.250625</v>
      </c>
      <c r="N473" s="1">
        <f t="shared" ca="1" si="139"/>
        <v>0.2</v>
      </c>
      <c r="O473" s="1">
        <f t="shared" ca="1" si="139"/>
        <v>0.2</v>
      </c>
      <c r="P473" s="1">
        <f t="shared" ca="1" si="139"/>
        <v>0.36</v>
      </c>
      <c r="Q473" s="1">
        <f t="shared" ca="1" si="139"/>
        <v>0.1</v>
      </c>
      <c r="R473" s="1">
        <f t="shared" ca="1" si="139"/>
        <v>2.4</v>
      </c>
      <c r="S473" s="1">
        <f t="shared" ref="S473:AH488" ca="1" si="140">mVlookup($C473,monsterBaseDate,S$2,FALSE)*(1+mVlookup($E473,monsterType,S$2,FALSE))</f>
        <v>0.1</v>
      </c>
      <c r="T473" s="1">
        <f t="shared" ca="1" si="140"/>
        <v>0.9</v>
      </c>
      <c r="U473" s="1">
        <f t="shared" ca="1" si="140"/>
        <v>145</v>
      </c>
      <c r="V473" s="1">
        <f t="shared" ca="1" si="140"/>
        <v>769.73684210526403</v>
      </c>
      <c r="W473" s="1">
        <f t="shared" ca="1" si="140"/>
        <v>0</v>
      </c>
      <c r="X473" s="1">
        <f t="shared" ca="1" si="140"/>
        <v>0</v>
      </c>
      <c r="Y473" s="1">
        <f t="shared" ca="1" si="140"/>
        <v>0</v>
      </c>
      <c r="Z473" s="1">
        <f t="shared" ca="1" si="140"/>
        <v>0</v>
      </c>
      <c r="AA473" s="1">
        <f t="shared" ca="1" si="140"/>
        <v>0</v>
      </c>
      <c r="AB473" s="1">
        <f t="shared" ca="1" si="137"/>
        <v>0</v>
      </c>
      <c r="AC473" s="1">
        <f t="shared" ca="1" si="140"/>
        <v>159.37593749999999</v>
      </c>
      <c r="AD473" s="1">
        <f t="shared" ca="1" si="140"/>
        <v>159.37593749999999</v>
      </c>
      <c r="AE473" s="1">
        <f t="shared" ca="1" si="140"/>
        <v>159.37593749999999</v>
      </c>
      <c r="AF473" s="1">
        <f t="shared" ca="1" si="140"/>
        <v>159.37593749999999</v>
      </c>
      <c r="AG473" s="1">
        <f t="shared" ca="1" si="140"/>
        <v>159.37593749999999</v>
      </c>
      <c r="AH473" s="1">
        <f t="shared" ca="1" si="140"/>
        <v>159.37593749999999</v>
      </c>
      <c r="AI473" s="1">
        <f t="shared" ca="1" si="138"/>
        <v>159.37593749999999</v>
      </c>
    </row>
    <row r="474" spans="2:35" x14ac:dyDescent="0.15">
      <c r="B474" s="1" t="str">
        <f t="shared" si="133"/>
        <v>金属系76</v>
      </c>
      <c r="C474" s="1">
        <f t="shared" si="123"/>
        <v>76</v>
      </c>
      <c r="D474" s="14" t="s">
        <v>94</v>
      </c>
      <c r="E474" s="14">
        <f t="shared" si="124"/>
        <v>5</v>
      </c>
      <c r="F474" s="1" t="str">
        <f t="shared" si="131"/>
        <v>物理</v>
      </c>
      <c r="H474" s="1">
        <f t="shared" ca="1" si="132"/>
        <v>5435.8385522517901</v>
      </c>
      <c r="I474" s="1">
        <f t="shared" ca="1" si="139"/>
        <v>100</v>
      </c>
      <c r="J474" s="1">
        <f t="shared" ca="1" si="139"/>
        <v>1312.62857142857</v>
      </c>
      <c r="K474" s="1">
        <f t="shared" ca="1" si="139"/>
        <v>161.50094999999999</v>
      </c>
      <c r="L474" s="1">
        <f t="shared" ca="1" si="139"/>
        <v>1312.62857142857</v>
      </c>
      <c r="M474" s="1">
        <f t="shared" ca="1" si="139"/>
        <v>107.6673</v>
      </c>
      <c r="N474" s="1">
        <f t="shared" ca="1" si="139"/>
        <v>0.2</v>
      </c>
      <c r="O474" s="1">
        <f t="shared" ca="1" si="139"/>
        <v>0.2</v>
      </c>
      <c r="P474" s="1">
        <f t="shared" ca="1" si="139"/>
        <v>0.36</v>
      </c>
      <c r="Q474" s="1">
        <f t="shared" ca="1" si="139"/>
        <v>0.1</v>
      </c>
      <c r="R474" s="1">
        <f t="shared" ca="1" si="139"/>
        <v>2.4</v>
      </c>
      <c r="S474" s="1">
        <f t="shared" ca="1" si="140"/>
        <v>0.1</v>
      </c>
      <c r="T474" s="1">
        <f t="shared" ca="1" si="140"/>
        <v>0.9</v>
      </c>
      <c r="U474" s="1">
        <f t="shared" ca="1" si="140"/>
        <v>146.933333333333</v>
      </c>
      <c r="V474" s="1">
        <f t="shared" ca="1" si="140"/>
        <v>804.51428571428596</v>
      </c>
      <c r="W474" s="1">
        <f t="shared" ca="1" si="140"/>
        <v>0</v>
      </c>
      <c r="X474" s="1">
        <f t="shared" ca="1" si="140"/>
        <v>0</v>
      </c>
      <c r="Y474" s="1">
        <f t="shared" ca="1" si="140"/>
        <v>0</v>
      </c>
      <c r="Z474" s="1">
        <f t="shared" ca="1" si="140"/>
        <v>0</v>
      </c>
      <c r="AA474" s="1">
        <f t="shared" ca="1" si="140"/>
        <v>0</v>
      </c>
      <c r="AB474" s="1">
        <f t="shared" ca="1" si="137"/>
        <v>0</v>
      </c>
      <c r="AC474" s="1">
        <f t="shared" ca="1" si="140"/>
        <v>161.50094999999999</v>
      </c>
      <c r="AD474" s="1">
        <f t="shared" ca="1" si="140"/>
        <v>161.50094999999999</v>
      </c>
      <c r="AE474" s="1">
        <f t="shared" ca="1" si="140"/>
        <v>161.50094999999999</v>
      </c>
      <c r="AF474" s="1">
        <f t="shared" ca="1" si="140"/>
        <v>161.50094999999999</v>
      </c>
      <c r="AG474" s="1">
        <f t="shared" ca="1" si="140"/>
        <v>161.50094999999999</v>
      </c>
      <c r="AH474" s="1">
        <f t="shared" ca="1" si="140"/>
        <v>161.50094999999999</v>
      </c>
      <c r="AI474" s="1">
        <f t="shared" ca="1" si="138"/>
        <v>161.50094999999999</v>
      </c>
    </row>
    <row r="475" spans="2:35" x14ac:dyDescent="0.15">
      <c r="B475" s="1" t="str">
        <f t="shared" si="133"/>
        <v>金属系77</v>
      </c>
      <c r="C475" s="1">
        <f t="shared" si="123"/>
        <v>77</v>
      </c>
      <c r="D475" s="14" t="s">
        <v>94</v>
      </c>
      <c r="E475" s="14">
        <f t="shared" si="124"/>
        <v>5</v>
      </c>
      <c r="F475" s="1" t="str">
        <f t="shared" si="131"/>
        <v>物理</v>
      </c>
      <c r="H475" s="1">
        <f t="shared" ca="1" si="132"/>
        <v>5531.8399114786953</v>
      </c>
      <c r="I475" s="1">
        <f t="shared" ca="1" si="139"/>
        <v>100</v>
      </c>
      <c r="J475" s="1">
        <f t="shared" ca="1" si="139"/>
        <v>1342.94391891892</v>
      </c>
      <c r="K475" s="1">
        <f t="shared" ca="1" si="139"/>
        <v>163.62596249999999</v>
      </c>
      <c r="L475" s="1">
        <f t="shared" ca="1" si="139"/>
        <v>1342.94391891892</v>
      </c>
      <c r="M475" s="1">
        <f t="shared" ca="1" si="139"/>
        <v>109.083975</v>
      </c>
      <c r="N475" s="1">
        <f t="shared" ca="1" si="139"/>
        <v>0.2</v>
      </c>
      <c r="O475" s="1">
        <f t="shared" ca="1" si="139"/>
        <v>0.2</v>
      </c>
      <c r="P475" s="1">
        <f t="shared" ca="1" si="139"/>
        <v>0.36</v>
      </c>
      <c r="Q475" s="1">
        <f t="shared" ca="1" si="139"/>
        <v>0.1</v>
      </c>
      <c r="R475" s="1">
        <f t="shared" ca="1" si="139"/>
        <v>2.4</v>
      </c>
      <c r="S475" s="1">
        <f t="shared" ca="1" si="140"/>
        <v>0.1</v>
      </c>
      <c r="T475" s="1">
        <f t="shared" ca="1" si="140"/>
        <v>0.9</v>
      </c>
      <c r="U475" s="1">
        <f t="shared" ca="1" si="140"/>
        <v>148.86666666666699</v>
      </c>
      <c r="V475" s="1">
        <f t="shared" ca="1" si="140"/>
        <v>840.70472972973096</v>
      </c>
      <c r="W475" s="1">
        <f t="shared" ca="1" si="140"/>
        <v>0</v>
      </c>
      <c r="X475" s="1">
        <f t="shared" ca="1" si="140"/>
        <v>0</v>
      </c>
      <c r="Y475" s="1">
        <f t="shared" ca="1" si="140"/>
        <v>0</v>
      </c>
      <c r="Z475" s="1">
        <f t="shared" ca="1" si="140"/>
        <v>0</v>
      </c>
      <c r="AA475" s="1">
        <f t="shared" ca="1" si="140"/>
        <v>0</v>
      </c>
      <c r="AB475" s="1">
        <f t="shared" ca="1" si="137"/>
        <v>0</v>
      </c>
      <c r="AC475" s="1">
        <f t="shared" ca="1" si="140"/>
        <v>163.62596249999999</v>
      </c>
      <c r="AD475" s="1">
        <f t="shared" ca="1" si="140"/>
        <v>163.62596249999999</v>
      </c>
      <c r="AE475" s="1">
        <f t="shared" ca="1" si="140"/>
        <v>163.62596249999999</v>
      </c>
      <c r="AF475" s="1">
        <f t="shared" ca="1" si="140"/>
        <v>163.62596249999999</v>
      </c>
      <c r="AG475" s="1">
        <f t="shared" ca="1" si="140"/>
        <v>163.62596249999999</v>
      </c>
      <c r="AH475" s="1">
        <f t="shared" ca="1" si="140"/>
        <v>163.62596249999999</v>
      </c>
      <c r="AI475" s="1">
        <f t="shared" ca="1" si="138"/>
        <v>163.62596249999999</v>
      </c>
    </row>
    <row r="476" spans="2:35" x14ac:dyDescent="0.15">
      <c r="B476" s="1" t="str">
        <f t="shared" si="133"/>
        <v>金属系78</v>
      </c>
      <c r="C476" s="1">
        <f t="shared" si="123"/>
        <v>78</v>
      </c>
      <c r="D476" s="14" t="s">
        <v>94</v>
      </c>
      <c r="E476" s="14">
        <f t="shared" si="124"/>
        <v>5</v>
      </c>
      <c r="F476" s="1" t="str">
        <f t="shared" si="131"/>
        <v>物理</v>
      </c>
      <c r="H476" s="1">
        <f t="shared" ca="1" si="132"/>
        <v>5925.9999708207106</v>
      </c>
      <c r="I476" s="1">
        <f t="shared" ca="1" si="139"/>
        <v>100</v>
      </c>
      <c r="J476" s="1">
        <f t="shared" ca="1" si="139"/>
        <v>1373.8608610567501</v>
      </c>
      <c r="K476" s="1">
        <f t="shared" ca="1" si="139"/>
        <v>165.75097499999998</v>
      </c>
      <c r="L476" s="1">
        <f t="shared" ca="1" si="139"/>
        <v>1373.8608610567501</v>
      </c>
      <c r="M476" s="1">
        <f t="shared" ca="1" si="139"/>
        <v>110.50064999999999</v>
      </c>
      <c r="N476" s="1">
        <f t="shared" ca="1" si="139"/>
        <v>0.2</v>
      </c>
      <c r="O476" s="1">
        <f t="shared" ca="1" si="139"/>
        <v>0.2</v>
      </c>
      <c r="P476" s="1">
        <f t="shared" ca="1" si="139"/>
        <v>0.36</v>
      </c>
      <c r="Q476" s="1">
        <f t="shared" ca="1" si="139"/>
        <v>0.1</v>
      </c>
      <c r="R476" s="1">
        <f t="shared" ca="1" si="139"/>
        <v>2.4</v>
      </c>
      <c r="S476" s="1">
        <f t="shared" ca="1" si="140"/>
        <v>0.1</v>
      </c>
      <c r="T476" s="1">
        <f t="shared" ca="1" si="140"/>
        <v>0.9</v>
      </c>
      <c r="U476" s="1">
        <f t="shared" ca="1" si="140"/>
        <v>150.80000000000001</v>
      </c>
      <c r="V476" s="1">
        <f t="shared" ca="1" si="140"/>
        <v>878.37005870841597</v>
      </c>
      <c r="W476" s="1">
        <f t="shared" ca="1" si="140"/>
        <v>0</v>
      </c>
      <c r="X476" s="1">
        <f t="shared" ca="1" si="140"/>
        <v>0</v>
      </c>
      <c r="Y476" s="1">
        <f t="shared" ca="1" si="140"/>
        <v>0</v>
      </c>
      <c r="Z476" s="1">
        <f t="shared" ca="1" si="140"/>
        <v>0</v>
      </c>
      <c r="AA476" s="1">
        <f t="shared" ca="1" si="140"/>
        <v>0</v>
      </c>
      <c r="AB476" s="1">
        <f t="shared" ca="1" si="137"/>
        <v>0</v>
      </c>
      <c r="AC476" s="1">
        <f t="shared" ca="1" si="140"/>
        <v>165.75097499999998</v>
      </c>
      <c r="AD476" s="1">
        <f t="shared" ca="1" si="140"/>
        <v>165.75097499999998</v>
      </c>
      <c r="AE476" s="1">
        <f t="shared" ca="1" si="140"/>
        <v>165.75097499999998</v>
      </c>
      <c r="AF476" s="1">
        <f t="shared" ca="1" si="140"/>
        <v>165.75097499999998</v>
      </c>
      <c r="AG476" s="1">
        <f t="shared" ca="1" si="140"/>
        <v>165.75097499999998</v>
      </c>
      <c r="AH476" s="1">
        <f t="shared" ca="1" si="140"/>
        <v>165.75097499999998</v>
      </c>
      <c r="AI476" s="1">
        <f t="shared" ca="1" si="138"/>
        <v>165.75097499999998</v>
      </c>
    </row>
    <row r="477" spans="2:35" x14ac:dyDescent="0.15">
      <c r="B477" s="1" t="str">
        <f t="shared" si="133"/>
        <v>金属系79</v>
      </c>
      <c r="C477" s="1">
        <f t="shared" si="123"/>
        <v>79</v>
      </c>
      <c r="D477" s="14" t="s">
        <v>94</v>
      </c>
      <c r="E477" s="14">
        <f t="shared" si="124"/>
        <v>5</v>
      </c>
      <c r="F477" s="1" t="str">
        <f t="shared" si="131"/>
        <v>物理</v>
      </c>
      <c r="H477" s="1">
        <f t="shared" ca="1" si="132"/>
        <v>6028.4147449690818</v>
      </c>
      <c r="I477" s="1">
        <f t="shared" ca="1" si="139"/>
        <v>100</v>
      </c>
      <c r="J477" s="1">
        <f t="shared" ca="1" si="139"/>
        <v>1405.4005952381001</v>
      </c>
      <c r="K477" s="1">
        <f t="shared" ca="1" si="139"/>
        <v>167.87598750000001</v>
      </c>
      <c r="L477" s="1">
        <f t="shared" ca="1" si="139"/>
        <v>1405.4005952381001</v>
      </c>
      <c r="M477" s="1">
        <f t="shared" ca="1" si="139"/>
        <v>111.91732500000001</v>
      </c>
      <c r="N477" s="1">
        <f t="shared" ca="1" si="139"/>
        <v>0.2</v>
      </c>
      <c r="O477" s="1">
        <f t="shared" ca="1" si="139"/>
        <v>0.2</v>
      </c>
      <c r="P477" s="1">
        <f t="shared" ca="1" si="139"/>
        <v>0.36</v>
      </c>
      <c r="Q477" s="1">
        <f t="shared" ca="1" si="139"/>
        <v>0.1</v>
      </c>
      <c r="R477" s="1">
        <f t="shared" ca="1" si="139"/>
        <v>2.4</v>
      </c>
      <c r="S477" s="1">
        <f t="shared" ca="1" si="140"/>
        <v>0.1</v>
      </c>
      <c r="T477" s="1">
        <f t="shared" ca="1" si="140"/>
        <v>0.9</v>
      </c>
      <c r="U477" s="1">
        <f t="shared" ca="1" si="140"/>
        <v>152.73333333333301</v>
      </c>
      <c r="V477" s="1">
        <f t="shared" ca="1" si="140"/>
        <v>917.57559523809596</v>
      </c>
      <c r="W477" s="1">
        <f t="shared" ca="1" si="140"/>
        <v>0</v>
      </c>
      <c r="X477" s="1">
        <f t="shared" ca="1" si="140"/>
        <v>0</v>
      </c>
      <c r="Y477" s="1">
        <f t="shared" ca="1" si="140"/>
        <v>0</v>
      </c>
      <c r="Z477" s="1">
        <f t="shared" ca="1" si="140"/>
        <v>0</v>
      </c>
      <c r="AA477" s="1">
        <f t="shared" ca="1" si="140"/>
        <v>0</v>
      </c>
      <c r="AB477" s="1">
        <f t="shared" ca="1" si="137"/>
        <v>0</v>
      </c>
      <c r="AC477" s="1">
        <f t="shared" ca="1" si="140"/>
        <v>167.87598750000001</v>
      </c>
      <c r="AD477" s="1">
        <f t="shared" ca="1" si="140"/>
        <v>167.87598750000001</v>
      </c>
      <c r="AE477" s="1">
        <f t="shared" ca="1" si="140"/>
        <v>167.87598750000001</v>
      </c>
      <c r="AF477" s="1">
        <f t="shared" ca="1" si="140"/>
        <v>167.87598750000001</v>
      </c>
      <c r="AG477" s="1">
        <f t="shared" ca="1" si="140"/>
        <v>167.87598750000001</v>
      </c>
      <c r="AH477" s="1">
        <f t="shared" ca="1" si="140"/>
        <v>167.87598750000001</v>
      </c>
      <c r="AI477" s="1">
        <f t="shared" ca="1" si="138"/>
        <v>167.87598750000001</v>
      </c>
    </row>
    <row r="478" spans="2:35" x14ac:dyDescent="0.15">
      <c r="B478" s="1" t="str">
        <f t="shared" si="133"/>
        <v>金属系80</v>
      </c>
      <c r="C478" s="1">
        <f t="shared" si="123"/>
        <v>80</v>
      </c>
      <c r="D478" s="14" t="s">
        <v>94</v>
      </c>
      <c r="E478" s="14">
        <f t="shared" si="124"/>
        <v>5</v>
      </c>
      <c r="F478" s="1" t="str">
        <f t="shared" si="131"/>
        <v>物理</v>
      </c>
      <c r="H478" s="1">
        <f t="shared" ca="1" si="132"/>
        <v>6131.4988967262752</v>
      </c>
      <c r="I478" s="1">
        <f t="shared" ca="1" si="139"/>
        <v>100</v>
      </c>
      <c r="J478" s="1">
        <f t="shared" ca="1" si="139"/>
        <v>1437.5855130784701</v>
      </c>
      <c r="K478" s="1">
        <f t="shared" ca="1" si="139"/>
        <v>170.001</v>
      </c>
      <c r="L478" s="1">
        <f t="shared" ca="1" si="139"/>
        <v>1437.5855130784701</v>
      </c>
      <c r="M478" s="1">
        <f t="shared" ca="1" si="139"/>
        <v>113.334</v>
      </c>
      <c r="N478" s="1">
        <f t="shared" ca="1" si="139"/>
        <v>0.2</v>
      </c>
      <c r="O478" s="1">
        <f t="shared" ca="1" si="139"/>
        <v>0.2</v>
      </c>
      <c r="P478" s="1">
        <f t="shared" ca="1" si="139"/>
        <v>0.36</v>
      </c>
      <c r="Q478" s="1">
        <f t="shared" ca="1" si="139"/>
        <v>0.1</v>
      </c>
      <c r="R478" s="1">
        <f t="shared" ca="1" si="139"/>
        <v>2.4</v>
      </c>
      <c r="S478" s="1">
        <f t="shared" ca="1" si="140"/>
        <v>0.1</v>
      </c>
      <c r="T478" s="1">
        <f t="shared" ca="1" si="140"/>
        <v>0.9</v>
      </c>
      <c r="U478" s="1">
        <f t="shared" ca="1" si="140"/>
        <v>154.666666666667</v>
      </c>
      <c r="V478" s="1">
        <f t="shared" ca="1" si="140"/>
        <v>958.39034205231496</v>
      </c>
      <c r="W478" s="1">
        <f t="shared" ca="1" si="140"/>
        <v>0</v>
      </c>
      <c r="X478" s="1">
        <f t="shared" ca="1" si="140"/>
        <v>0</v>
      </c>
      <c r="Y478" s="1">
        <f t="shared" ca="1" si="140"/>
        <v>0</v>
      </c>
      <c r="Z478" s="1">
        <f t="shared" ca="1" si="140"/>
        <v>0</v>
      </c>
      <c r="AA478" s="1">
        <f t="shared" ca="1" si="140"/>
        <v>0</v>
      </c>
      <c r="AB478" s="1">
        <f t="shared" ca="1" si="137"/>
        <v>0</v>
      </c>
      <c r="AC478" s="1">
        <f t="shared" ca="1" si="140"/>
        <v>170.001</v>
      </c>
      <c r="AD478" s="1">
        <f t="shared" ca="1" si="140"/>
        <v>170.001</v>
      </c>
      <c r="AE478" s="1">
        <f t="shared" ca="1" si="140"/>
        <v>170.001</v>
      </c>
      <c r="AF478" s="1">
        <f t="shared" ca="1" si="140"/>
        <v>170.001</v>
      </c>
      <c r="AG478" s="1">
        <f t="shared" ca="1" si="140"/>
        <v>170.001</v>
      </c>
      <c r="AH478" s="1">
        <f t="shared" ca="1" si="140"/>
        <v>170.001</v>
      </c>
      <c r="AI478" s="1">
        <f t="shared" ca="1" si="138"/>
        <v>170.001</v>
      </c>
    </row>
    <row r="479" spans="2:35" x14ac:dyDescent="0.15">
      <c r="B479" s="1" t="str">
        <f t="shared" si="133"/>
        <v>金属系81</v>
      </c>
      <c r="C479" s="1">
        <f t="shared" si="123"/>
        <v>81</v>
      </c>
      <c r="D479" s="14" t="s">
        <v>94</v>
      </c>
      <c r="E479" s="14">
        <f t="shared" si="124"/>
        <v>5</v>
      </c>
      <c r="F479" s="1" t="str">
        <f t="shared" si="131"/>
        <v>物理</v>
      </c>
      <c r="H479" s="1">
        <f t="shared" ca="1" si="132"/>
        <v>6235.2524260922719</v>
      </c>
      <c r="I479" s="1">
        <f t="shared" ca="1" si="139"/>
        <v>100</v>
      </c>
      <c r="J479" s="1">
        <f t="shared" ca="1" si="139"/>
        <v>1470.43928571429</v>
      </c>
      <c r="K479" s="1">
        <f t="shared" ca="1" si="139"/>
        <v>172.1260125</v>
      </c>
      <c r="L479" s="1">
        <f t="shared" ca="1" si="139"/>
        <v>1470.43928571429</v>
      </c>
      <c r="M479" s="1">
        <f t="shared" ca="1" si="139"/>
        <v>114.750675</v>
      </c>
      <c r="N479" s="1">
        <f t="shared" ca="1" si="139"/>
        <v>0.2</v>
      </c>
      <c r="O479" s="1">
        <f t="shared" ca="1" si="139"/>
        <v>0.2</v>
      </c>
      <c r="P479" s="1">
        <f t="shared" ca="1" si="139"/>
        <v>0.36</v>
      </c>
      <c r="Q479" s="1">
        <f t="shared" ca="1" si="139"/>
        <v>0.1</v>
      </c>
      <c r="R479" s="1">
        <f t="shared" ca="1" si="139"/>
        <v>2.4</v>
      </c>
      <c r="S479" s="1">
        <f t="shared" ca="1" si="140"/>
        <v>0.1</v>
      </c>
      <c r="T479" s="1">
        <f t="shared" ca="1" si="140"/>
        <v>0.9</v>
      </c>
      <c r="U479" s="1">
        <f t="shared" ca="1" si="140"/>
        <v>156.6</v>
      </c>
      <c r="V479" s="1">
        <f t="shared" ca="1" si="140"/>
        <v>1000.88724489796</v>
      </c>
      <c r="W479" s="1">
        <f t="shared" ca="1" si="140"/>
        <v>0</v>
      </c>
      <c r="X479" s="1">
        <f t="shared" ca="1" si="140"/>
        <v>0</v>
      </c>
      <c r="Y479" s="1">
        <f t="shared" ca="1" si="140"/>
        <v>0</v>
      </c>
      <c r="Z479" s="1">
        <f t="shared" ca="1" si="140"/>
        <v>0</v>
      </c>
      <c r="AA479" s="1">
        <f t="shared" ca="1" si="140"/>
        <v>0</v>
      </c>
      <c r="AB479" s="1">
        <f t="shared" ca="1" si="140"/>
        <v>0</v>
      </c>
      <c r="AC479" s="1">
        <f t="shared" ca="1" si="140"/>
        <v>172.1260125</v>
      </c>
      <c r="AD479" s="1">
        <f t="shared" ca="1" si="140"/>
        <v>172.1260125</v>
      </c>
      <c r="AE479" s="1">
        <f t="shared" ca="1" si="140"/>
        <v>172.1260125</v>
      </c>
      <c r="AF479" s="1">
        <f t="shared" ca="1" si="140"/>
        <v>172.1260125</v>
      </c>
      <c r="AG479" s="1">
        <f t="shared" ca="1" si="140"/>
        <v>172.1260125</v>
      </c>
      <c r="AH479" s="1">
        <f t="shared" ca="1" si="140"/>
        <v>172.1260125</v>
      </c>
      <c r="AI479" s="1">
        <f t="shared" ca="1" si="138"/>
        <v>172.1260125</v>
      </c>
    </row>
    <row r="480" spans="2:35" x14ac:dyDescent="0.15">
      <c r="B480" s="1" t="str">
        <f t="shared" si="133"/>
        <v>金属系82</v>
      </c>
      <c r="C480" s="1">
        <f t="shared" si="123"/>
        <v>82</v>
      </c>
      <c r="D480" s="14" t="s">
        <v>94</v>
      </c>
      <c r="E480" s="14">
        <f t="shared" si="124"/>
        <v>5</v>
      </c>
      <c r="F480" s="1" t="str">
        <f t="shared" si="131"/>
        <v>物理</v>
      </c>
      <c r="H480" s="1">
        <f t="shared" ca="1" si="132"/>
        <v>6339.6753330670917</v>
      </c>
      <c r="I480" s="1">
        <f t="shared" ca="1" si="139"/>
        <v>100</v>
      </c>
      <c r="J480" s="1">
        <f t="shared" ca="1" si="139"/>
        <v>1503.98695652174</v>
      </c>
      <c r="K480" s="1">
        <f t="shared" ca="1" si="139"/>
        <v>174.251025</v>
      </c>
      <c r="L480" s="1">
        <f t="shared" ca="1" si="139"/>
        <v>1503.98695652174</v>
      </c>
      <c r="M480" s="1">
        <f t="shared" ca="1" si="139"/>
        <v>116.16735</v>
      </c>
      <c r="N480" s="1">
        <f t="shared" ca="1" si="139"/>
        <v>0.2</v>
      </c>
      <c r="O480" s="1">
        <f t="shared" ca="1" si="139"/>
        <v>0.2</v>
      </c>
      <c r="P480" s="1">
        <f t="shared" ca="1" si="139"/>
        <v>0.36</v>
      </c>
      <c r="Q480" s="1">
        <f t="shared" ca="1" si="139"/>
        <v>0.1</v>
      </c>
      <c r="R480" s="1">
        <f t="shared" ca="1" si="139"/>
        <v>2.4</v>
      </c>
      <c r="S480" s="1">
        <f t="shared" ca="1" si="140"/>
        <v>0.1</v>
      </c>
      <c r="T480" s="1">
        <f t="shared" ca="1" si="140"/>
        <v>0.9</v>
      </c>
      <c r="U480" s="1">
        <f t="shared" ca="1" si="140"/>
        <v>158.53333333333299</v>
      </c>
      <c r="V480" s="1">
        <f t="shared" ca="1" si="140"/>
        <v>1045.1434782608701</v>
      </c>
      <c r="W480" s="1">
        <f t="shared" ca="1" si="140"/>
        <v>0</v>
      </c>
      <c r="X480" s="1">
        <f t="shared" ca="1" si="140"/>
        <v>0</v>
      </c>
      <c r="Y480" s="1">
        <f t="shared" ca="1" si="140"/>
        <v>0</v>
      </c>
      <c r="Z480" s="1">
        <f t="shared" ca="1" si="140"/>
        <v>0</v>
      </c>
      <c r="AA480" s="1">
        <f t="shared" ca="1" si="140"/>
        <v>0</v>
      </c>
      <c r="AB480" s="1">
        <f t="shared" ca="1" si="140"/>
        <v>0</v>
      </c>
      <c r="AC480" s="1">
        <f t="shared" ca="1" si="140"/>
        <v>174.251025</v>
      </c>
      <c r="AD480" s="1">
        <f t="shared" ca="1" si="140"/>
        <v>174.251025</v>
      </c>
      <c r="AE480" s="1">
        <f t="shared" ca="1" si="140"/>
        <v>174.251025</v>
      </c>
      <c r="AF480" s="1">
        <f t="shared" ca="1" si="140"/>
        <v>174.251025</v>
      </c>
      <c r="AG480" s="1">
        <f t="shared" ca="1" si="140"/>
        <v>174.251025</v>
      </c>
      <c r="AH480" s="1">
        <f t="shared" ca="1" si="140"/>
        <v>174.251025</v>
      </c>
      <c r="AI480" s="1">
        <f t="shared" ca="1" si="138"/>
        <v>174.251025</v>
      </c>
    </row>
    <row r="481" spans="2:35" x14ac:dyDescent="0.15">
      <c r="B481" s="1" t="str">
        <f t="shared" si="133"/>
        <v>金属系83</v>
      </c>
      <c r="C481" s="1">
        <f t="shared" si="123"/>
        <v>83</v>
      </c>
      <c r="D481" s="14" t="s">
        <v>94</v>
      </c>
      <c r="E481" s="14">
        <f t="shared" si="124"/>
        <v>5</v>
      </c>
      <c r="F481" s="1" t="str">
        <f t="shared" si="131"/>
        <v>物理</v>
      </c>
      <c r="H481" s="1">
        <f t="shared" ca="1" si="132"/>
        <v>6444.767617650713</v>
      </c>
      <c r="I481" s="1">
        <f t="shared" ca="1" si="139"/>
        <v>100</v>
      </c>
      <c r="J481" s="1">
        <f t="shared" ca="1" si="139"/>
        <v>1538.25504201681</v>
      </c>
      <c r="K481" s="1">
        <f t="shared" ca="1" si="139"/>
        <v>176.3760375</v>
      </c>
      <c r="L481" s="1">
        <f t="shared" ca="1" si="139"/>
        <v>1538.25504201681</v>
      </c>
      <c r="M481" s="1">
        <f t="shared" ca="1" si="139"/>
        <v>117.584025</v>
      </c>
      <c r="N481" s="1">
        <f t="shared" ca="1" si="139"/>
        <v>0.2</v>
      </c>
      <c r="O481" s="1">
        <f t="shared" ca="1" si="139"/>
        <v>0.2</v>
      </c>
      <c r="P481" s="1">
        <f t="shared" ca="1" si="139"/>
        <v>0.36</v>
      </c>
      <c r="Q481" s="1">
        <f t="shared" ca="1" si="139"/>
        <v>0.1</v>
      </c>
      <c r="R481" s="1">
        <f t="shared" ca="1" si="139"/>
        <v>2.4</v>
      </c>
      <c r="S481" s="1">
        <f t="shared" ca="1" si="140"/>
        <v>0.1</v>
      </c>
      <c r="T481" s="1">
        <f t="shared" ca="1" si="140"/>
        <v>0.9</v>
      </c>
      <c r="U481" s="1">
        <f t="shared" ca="1" si="140"/>
        <v>160.46666666666701</v>
      </c>
      <c r="V481" s="1">
        <f t="shared" ca="1" si="140"/>
        <v>1091.2407563025199</v>
      </c>
      <c r="W481" s="1">
        <f t="shared" ca="1" si="140"/>
        <v>0</v>
      </c>
      <c r="X481" s="1">
        <f t="shared" ca="1" si="140"/>
        <v>0</v>
      </c>
      <c r="Y481" s="1">
        <f t="shared" ca="1" si="140"/>
        <v>0</v>
      </c>
      <c r="Z481" s="1">
        <f t="shared" ca="1" si="140"/>
        <v>0</v>
      </c>
      <c r="AA481" s="1">
        <f t="shared" ca="1" si="140"/>
        <v>0</v>
      </c>
      <c r="AB481" s="1">
        <f t="shared" ca="1" si="140"/>
        <v>0</v>
      </c>
      <c r="AC481" s="1">
        <f t="shared" ca="1" si="140"/>
        <v>176.3760375</v>
      </c>
      <c r="AD481" s="1">
        <f t="shared" ca="1" si="140"/>
        <v>176.3760375</v>
      </c>
      <c r="AE481" s="1">
        <f t="shared" ca="1" si="140"/>
        <v>176.3760375</v>
      </c>
      <c r="AF481" s="1">
        <f t="shared" ca="1" si="140"/>
        <v>176.3760375</v>
      </c>
      <c r="AG481" s="1">
        <f t="shared" ca="1" si="140"/>
        <v>176.3760375</v>
      </c>
      <c r="AH481" s="1">
        <f t="shared" ca="1" si="140"/>
        <v>176.3760375</v>
      </c>
      <c r="AI481" s="1">
        <f t="shared" ca="1" si="138"/>
        <v>176.3760375</v>
      </c>
    </row>
    <row r="482" spans="2:35" x14ac:dyDescent="0.15">
      <c r="B482" s="1" t="str">
        <f t="shared" si="133"/>
        <v>金属系84</v>
      </c>
      <c r="C482" s="1">
        <f t="shared" si="123"/>
        <v>84</v>
      </c>
      <c r="D482" s="14" t="s">
        <v>94</v>
      </c>
      <c r="E482" s="14">
        <f t="shared" si="124"/>
        <v>5</v>
      </c>
      <c r="F482" s="1" t="str">
        <f t="shared" si="131"/>
        <v>物理</v>
      </c>
      <c r="H482" s="1">
        <f t="shared" ca="1" si="132"/>
        <v>6550.5292798431583</v>
      </c>
      <c r="I482" s="1">
        <f t="shared" ca="1" si="139"/>
        <v>100</v>
      </c>
      <c r="J482" s="1">
        <f t="shared" ca="1" si="139"/>
        <v>1573.2716417910499</v>
      </c>
      <c r="K482" s="1">
        <f t="shared" ca="1" si="139"/>
        <v>178.50104999999999</v>
      </c>
      <c r="L482" s="1">
        <f t="shared" ca="1" si="139"/>
        <v>1573.2716417910499</v>
      </c>
      <c r="M482" s="1">
        <f t="shared" ca="1" si="139"/>
        <v>119.00069999999999</v>
      </c>
      <c r="N482" s="1">
        <f t="shared" ca="1" si="139"/>
        <v>0.2</v>
      </c>
      <c r="O482" s="1">
        <f t="shared" ca="1" si="139"/>
        <v>0.2</v>
      </c>
      <c r="P482" s="1">
        <f t="shared" ca="1" si="139"/>
        <v>0.36</v>
      </c>
      <c r="Q482" s="1">
        <f t="shared" ca="1" si="139"/>
        <v>0.1</v>
      </c>
      <c r="R482" s="1">
        <f t="shared" ca="1" si="139"/>
        <v>2.4</v>
      </c>
      <c r="S482" s="1">
        <f t="shared" ca="1" si="140"/>
        <v>0.1</v>
      </c>
      <c r="T482" s="1">
        <f t="shared" ca="1" si="140"/>
        <v>0.9</v>
      </c>
      <c r="U482" s="1">
        <f t="shared" ca="1" si="140"/>
        <v>162.4</v>
      </c>
      <c r="V482" s="1">
        <f t="shared" ca="1" si="140"/>
        <v>1139.26567164179</v>
      </c>
      <c r="W482" s="1">
        <f t="shared" ca="1" si="140"/>
        <v>0</v>
      </c>
      <c r="X482" s="1">
        <f t="shared" ca="1" si="140"/>
        <v>0</v>
      </c>
      <c r="Y482" s="1">
        <f t="shared" ca="1" si="140"/>
        <v>0</v>
      </c>
      <c r="Z482" s="1">
        <f t="shared" ca="1" si="140"/>
        <v>0</v>
      </c>
      <c r="AA482" s="1">
        <f t="shared" ca="1" si="140"/>
        <v>0</v>
      </c>
      <c r="AB482" s="1">
        <f t="shared" ca="1" si="140"/>
        <v>0</v>
      </c>
      <c r="AC482" s="1">
        <f t="shared" ca="1" si="140"/>
        <v>178.50104999999999</v>
      </c>
      <c r="AD482" s="1">
        <f t="shared" ca="1" si="140"/>
        <v>178.50104999999999</v>
      </c>
      <c r="AE482" s="1">
        <f t="shared" ca="1" si="140"/>
        <v>178.50104999999999</v>
      </c>
      <c r="AF482" s="1">
        <f t="shared" ca="1" si="140"/>
        <v>178.50104999999999</v>
      </c>
      <c r="AG482" s="1">
        <f t="shared" ca="1" si="140"/>
        <v>178.50104999999999</v>
      </c>
      <c r="AH482" s="1">
        <f t="shared" ca="1" si="140"/>
        <v>178.50104999999999</v>
      </c>
      <c r="AI482" s="1">
        <f t="shared" ca="1" si="138"/>
        <v>178.50104999999999</v>
      </c>
    </row>
    <row r="483" spans="2:35" x14ac:dyDescent="0.15">
      <c r="B483" s="1" t="str">
        <f t="shared" si="133"/>
        <v>金属系85</v>
      </c>
      <c r="C483" s="1">
        <f t="shared" si="123"/>
        <v>85</v>
      </c>
      <c r="D483" s="14" t="s">
        <v>94</v>
      </c>
      <c r="E483" s="14">
        <f t="shared" si="124"/>
        <v>5</v>
      </c>
      <c r="F483" s="1" t="str">
        <f t="shared" si="131"/>
        <v>物理</v>
      </c>
      <c r="H483" s="1">
        <f t="shared" ca="1" si="132"/>
        <v>6656.9603196444068</v>
      </c>
      <c r="I483" s="1">
        <f t="shared" ref="I483:R492" ca="1" si="141">mVlookup($C483,monsterBaseDate,I$2,FALSE)*(1+mVlookup($E483,monsterType,I$2,FALSE))</f>
        <v>100</v>
      </c>
      <c r="J483" s="1">
        <f t="shared" ca="1" si="141"/>
        <v>1609.0665584415599</v>
      </c>
      <c r="K483" s="1">
        <f t="shared" ca="1" si="141"/>
        <v>180.62606250000002</v>
      </c>
      <c r="L483" s="1">
        <f t="shared" ca="1" si="141"/>
        <v>1609.0665584415599</v>
      </c>
      <c r="M483" s="1">
        <f t="shared" ca="1" si="141"/>
        <v>120.41737500000001</v>
      </c>
      <c r="N483" s="1">
        <f t="shared" ca="1" si="141"/>
        <v>0.2</v>
      </c>
      <c r="O483" s="1">
        <f t="shared" ca="1" si="141"/>
        <v>0.2</v>
      </c>
      <c r="P483" s="1">
        <f t="shared" ca="1" si="141"/>
        <v>0.36</v>
      </c>
      <c r="Q483" s="1">
        <f t="shared" ca="1" si="141"/>
        <v>0.1</v>
      </c>
      <c r="R483" s="1">
        <f t="shared" ca="1" si="141"/>
        <v>2.4</v>
      </c>
      <c r="S483" s="1">
        <f t="shared" ref="S483:AH498" ca="1" si="142">mVlookup($C483,monsterBaseDate,S$2,FALSE)*(1+mVlookup($E483,monsterType,S$2,FALSE))</f>
        <v>0.1</v>
      </c>
      <c r="T483" s="1">
        <f t="shared" ca="1" si="142"/>
        <v>0.9</v>
      </c>
      <c r="U483" s="1">
        <f t="shared" ca="1" si="142"/>
        <v>164.333333333333</v>
      </c>
      <c r="V483" s="1">
        <f t="shared" ca="1" si="142"/>
        <v>1189.3100649350699</v>
      </c>
      <c r="W483" s="1">
        <f t="shared" ca="1" si="142"/>
        <v>0</v>
      </c>
      <c r="X483" s="1">
        <f t="shared" ca="1" si="142"/>
        <v>0</v>
      </c>
      <c r="Y483" s="1">
        <f t="shared" ca="1" si="142"/>
        <v>0</v>
      </c>
      <c r="Z483" s="1">
        <f t="shared" ca="1" si="142"/>
        <v>0</v>
      </c>
      <c r="AA483" s="1">
        <f t="shared" ca="1" si="142"/>
        <v>0</v>
      </c>
      <c r="AB483" s="1">
        <f t="shared" ca="1" si="140"/>
        <v>0</v>
      </c>
      <c r="AC483" s="1">
        <f t="shared" ca="1" si="142"/>
        <v>180.62606250000002</v>
      </c>
      <c r="AD483" s="1">
        <f t="shared" ca="1" si="142"/>
        <v>180.62606250000002</v>
      </c>
      <c r="AE483" s="1">
        <f t="shared" ca="1" si="142"/>
        <v>180.62606250000002</v>
      </c>
      <c r="AF483" s="1">
        <f t="shared" ca="1" si="142"/>
        <v>180.62606250000002</v>
      </c>
      <c r="AG483" s="1">
        <f t="shared" ca="1" si="142"/>
        <v>180.62606250000002</v>
      </c>
      <c r="AH483" s="1">
        <f t="shared" ca="1" si="142"/>
        <v>180.62606250000002</v>
      </c>
      <c r="AI483" s="1">
        <f t="shared" ca="1" si="138"/>
        <v>180.62606250000002</v>
      </c>
    </row>
    <row r="484" spans="2:35" x14ac:dyDescent="0.15">
      <c r="B484" s="1" t="str">
        <f t="shared" si="133"/>
        <v>金属系86</v>
      </c>
      <c r="C484" s="1">
        <f t="shared" si="123"/>
        <v>86</v>
      </c>
      <c r="D484" s="14" t="s">
        <v>94</v>
      </c>
      <c r="E484" s="14">
        <f t="shared" si="124"/>
        <v>5</v>
      </c>
      <c r="F484" s="1" t="str">
        <f t="shared" si="131"/>
        <v>物理</v>
      </c>
      <c r="H484" s="1">
        <f t="shared" ca="1" si="132"/>
        <v>6764.0607370544758</v>
      </c>
      <c r="I484" s="1">
        <f t="shared" ca="1" si="141"/>
        <v>100</v>
      </c>
      <c r="J484" s="1">
        <f t="shared" ca="1" si="141"/>
        <v>1645.6714285714299</v>
      </c>
      <c r="K484" s="1">
        <f t="shared" ca="1" si="141"/>
        <v>182.75107500000001</v>
      </c>
      <c r="L484" s="1">
        <f t="shared" ca="1" si="141"/>
        <v>1645.6714285714299</v>
      </c>
      <c r="M484" s="1">
        <f t="shared" ca="1" si="141"/>
        <v>121.83405</v>
      </c>
      <c r="N484" s="1">
        <f t="shared" ca="1" si="141"/>
        <v>0.2</v>
      </c>
      <c r="O484" s="1">
        <f t="shared" ca="1" si="141"/>
        <v>0.2</v>
      </c>
      <c r="P484" s="1">
        <f t="shared" ca="1" si="141"/>
        <v>0.36</v>
      </c>
      <c r="Q484" s="1">
        <f t="shared" ca="1" si="141"/>
        <v>0.1</v>
      </c>
      <c r="R484" s="1">
        <f t="shared" ca="1" si="141"/>
        <v>2.4</v>
      </c>
      <c r="S484" s="1">
        <f t="shared" ca="1" si="142"/>
        <v>0.1</v>
      </c>
      <c r="T484" s="1">
        <f t="shared" ca="1" si="142"/>
        <v>0.9</v>
      </c>
      <c r="U484" s="1">
        <f t="shared" ca="1" si="142"/>
        <v>166.26666666666699</v>
      </c>
      <c r="V484" s="1">
        <f t="shared" ca="1" si="142"/>
        <v>1241.4714285714299</v>
      </c>
      <c r="W484" s="1">
        <f t="shared" ca="1" si="142"/>
        <v>0</v>
      </c>
      <c r="X484" s="1">
        <f t="shared" ca="1" si="142"/>
        <v>0</v>
      </c>
      <c r="Y484" s="1">
        <f t="shared" ca="1" si="142"/>
        <v>0</v>
      </c>
      <c r="Z484" s="1">
        <f t="shared" ca="1" si="142"/>
        <v>0</v>
      </c>
      <c r="AA484" s="1">
        <f t="shared" ca="1" si="142"/>
        <v>0</v>
      </c>
      <c r="AB484" s="1">
        <f t="shared" ca="1" si="140"/>
        <v>0</v>
      </c>
      <c r="AC484" s="1">
        <f t="shared" ca="1" si="142"/>
        <v>182.75107500000001</v>
      </c>
      <c r="AD484" s="1">
        <f t="shared" ca="1" si="142"/>
        <v>182.75107500000001</v>
      </c>
      <c r="AE484" s="1">
        <f t="shared" ca="1" si="142"/>
        <v>182.75107500000001</v>
      </c>
      <c r="AF484" s="1">
        <f t="shared" ca="1" si="142"/>
        <v>182.75107500000001</v>
      </c>
      <c r="AG484" s="1">
        <f t="shared" ca="1" si="142"/>
        <v>182.75107500000001</v>
      </c>
      <c r="AH484" s="1">
        <f t="shared" ca="1" si="142"/>
        <v>182.75107500000001</v>
      </c>
      <c r="AI484" s="1">
        <f t="shared" ca="1" si="138"/>
        <v>182.75107500000001</v>
      </c>
    </row>
    <row r="485" spans="2:35" x14ac:dyDescent="0.15">
      <c r="B485" s="1" t="str">
        <f t="shared" si="133"/>
        <v>金属系87</v>
      </c>
      <c r="C485" s="1">
        <f t="shared" si="123"/>
        <v>87</v>
      </c>
      <c r="D485" s="14" t="s">
        <v>94</v>
      </c>
      <c r="E485" s="14">
        <f t="shared" si="124"/>
        <v>5</v>
      </c>
      <c r="F485" s="1" t="str">
        <f t="shared" si="131"/>
        <v>物理</v>
      </c>
      <c r="H485" s="1">
        <f t="shared" ca="1" si="132"/>
        <v>6871.8305320733507</v>
      </c>
      <c r="I485" s="1">
        <f t="shared" ca="1" si="141"/>
        <v>100</v>
      </c>
      <c r="J485" s="1">
        <f t="shared" ca="1" si="141"/>
        <v>1683.1198660714299</v>
      </c>
      <c r="K485" s="1">
        <f t="shared" ca="1" si="141"/>
        <v>184.87608750000001</v>
      </c>
      <c r="L485" s="1">
        <f t="shared" ca="1" si="141"/>
        <v>1683.1198660714299</v>
      </c>
      <c r="M485" s="1">
        <f t="shared" ca="1" si="141"/>
        <v>123.250725</v>
      </c>
      <c r="N485" s="1">
        <f t="shared" ca="1" si="141"/>
        <v>0.2</v>
      </c>
      <c r="O485" s="1">
        <f t="shared" ca="1" si="141"/>
        <v>0.2</v>
      </c>
      <c r="P485" s="1">
        <f t="shared" ca="1" si="141"/>
        <v>0.36</v>
      </c>
      <c r="Q485" s="1">
        <f t="shared" ca="1" si="141"/>
        <v>0.1</v>
      </c>
      <c r="R485" s="1">
        <f t="shared" ca="1" si="141"/>
        <v>2.4</v>
      </c>
      <c r="S485" s="1">
        <f t="shared" ca="1" si="142"/>
        <v>0.1</v>
      </c>
      <c r="T485" s="1">
        <f t="shared" ca="1" si="142"/>
        <v>0.9</v>
      </c>
      <c r="U485" s="1">
        <f t="shared" ca="1" si="142"/>
        <v>168.2</v>
      </c>
      <c r="V485" s="1">
        <f t="shared" ca="1" si="142"/>
        <v>1295.85334821429</v>
      </c>
      <c r="W485" s="1">
        <f t="shared" ca="1" si="142"/>
        <v>0</v>
      </c>
      <c r="X485" s="1">
        <f t="shared" ca="1" si="142"/>
        <v>0</v>
      </c>
      <c r="Y485" s="1">
        <f t="shared" ca="1" si="142"/>
        <v>0</v>
      </c>
      <c r="Z485" s="1">
        <f t="shared" ca="1" si="142"/>
        <v>0</v>
      </c>
      <c r="AA485" s="1">
        <f t="shared" ca="1" si="142"/>
        <v>0</v>
      </c>
      <c r="AB485" s="1">
        <f t="shared" ca="1" si="140"/>
        <v>0</v>
      </c>
      <c r="AC485" s="1">
        <f t="shared" ca="1" si="142"/>
        <v>184.87608750000001</v>
      </c>
      <c r="AD485" s="1">
        <f t="shared" ca="1" si="142"/>
        <v>184.87608750000001</v>
      </c>
      <c r="AE485" s="1">
        <f t="shared" ca="1" si="142"/>
        <v>184.87608750000001</v>
      </c>
      <c r="AF485" s="1">
        <f t="shared" ca="1" si="142"/>
        <v>184.87608750000001</v>
      </c>
      <c r="AG485" s="1">
        <f t="shared" ca="1" si="142"/>
        <v>184.87608750000001</v>
      </c>
      <c r="AH485" s="1">
        <f t="shared" ca="1" si="142"/>
        <v>184.87608750000001</v>
      </c>
      <c r="AI485" s="1">
        <f t="shared" ca="1" si="138"/>
        <v>184.87608750000001</v>
      </c>
    </row>
    <row r="486" spans="2:35" x14ac:dyDescent="0.15">
      <c r="B486" s="1" t="str">
        <f t="shared" si="133"/>
        <v>金属系88</v>
      </c>
      <c r="C486" s="1">
        <f t="shared" si="123"/>
        <v>88</v>
      </c>
      <c r="D486" s="14" t="s">
        <v>94</v>
      </c>
      <c r="E486" s="14">
        <f t="shared" si="124"/>
        <v>5</v>
      </c>
      <c r="F486" s="1" t="str">
        <f t="shared" si="131"/>
        <v>物理</v>
      </c>
      <c r="H486" s="1">
        <f t="shared" ca="1" si="132"/>
        <v>6980.2697047010461</v>
      </c>
      <c r="I486" s="1">
        <f t="shared" ca="1" si="141"/>
        <v>100</v>
      </c>
      <c r="J486" s="1">
        <f t="shared" ca="1" si="141"/>
        <v>1721.44761904762</v>
      </c>
      <c r="K486" s="1">
        <f t="shared" ca="1" si="141"/>
        <v>187.00110000000001</v>
      </c>
      <c r="L486" s="1">
        <f t="shared" ca="1" si="141"/>
        <v>1721.44761904762</v>
      </c>
      <c r="M486" s="1">
        <f t="shared" ca="1" si="141"/>
        <v>124.6674</v>
      </c>
      <c r="N486" s="1">
        <f t="shared" ca="1" si="141"/>
        <v>0.2</v>
      </c>
      <c r="O486" s="1">
        <f t="shared" ca="1" si="141"/>
        <v>0.2</v>
      </c>
      <c r="P486" s="1">
        <f t="shared" ca="1" si="141"/>
        <v>0.36</v>
      </c>
      <c r="Q486" s="1">
        <f t="shared" ca="1" si="141"/>
        <v>0.1</v>
      </c>
      <c r="R486" s="1">
        <f t="shared" ca="1" si="141"/>
        <v>2.4</v>
      </c>
      <c r="S486" s="1">
        <f t="shared" ca="1" si="142"/>
        <v>0.1</v>
      </c>
      <c r="T486" s="1">
        <f t="shared" ca="1" si="142"/>
        <v>0.9</v>
      </c>
      <c r="U486" s="1">
        <f t="shared" ca="1" si="142"/>
        <v>170.13333333333301</v>
      </c>
      <c r="V486" s="1">
        <f t="shared" ca="1" si="142"/>
        <v>1352.56598639456</v>
      </c>
      <c r="W486" s="1">
        <f t="shared" ca="1" si="142"/>
        <v>0</v>
      </c>
      <c r="X486" s="1">
        <f t="shared" ca="1" si="142"/>
        <v>0</v>
      </c>
      <c r="Y486" s="1">
        <f t="shared" ca="1" si="142"/>
        <v>0</v>
      </c>
      <c r="Z486" s="1">
        <f t="shared" ca="1" si="142"/>
        <v>0</v>
      </c>
      <c r="AA486" s="1">
        <f t="shared" ca="1" si="142"/>
        <v>0</v>
      </c>
      <c r="AB486" s="1">
        <f t="shared" ca="1" si="140"/>
        <v>0</v>
      </c>
      <c r="AC486" s="1">
        <f t="shared" ca="1" si="142"/>
        <v>187.00110000000001</v>
      </c>
      <c r="AD486" s="1">
        <f t="shared" ca="1" si="142"/>
        <v>187.00110000000001</v>
      </c>
      <c r="AE486" s="1">
        <f t="shared" ca="1" si="142"/>
        <v>187.00110000000001</v>
      </c>
      <c r="AF486" s="1">
        <f t="shared" ca="1" si="142"/>
        <v>187.00110000000001</v>
      </c>
      <c r="AG486" s="1">
        <f t="shared" ca="1" si="142"/>
        <v>187.00110000000001</v>
      </c>
      <c r="AH486" s="1">
        <f t="shared" ca="1" si="142"/>
        <v>187.00110000000001</v>
      </c>
      <c r="AI486" s="1">
        <f t="shared" ca="1" si="138"/>
        <v>187.00110000000001</v>
      </c>
    </row>
    <row r="487" spans="2:35" x14ac:dyDescent="0.15">
      <c r="B487" s="1" t="str">
        <f t="shared" si="133"/>
        <v>金属系89</v>
      </c>
      <c r="C487" s="1">
        <f t="shared" ref="C487:C550" si="143">C388</f>
        <v>89</v>
      </c>
      <c r="D487" s="14" t="s">
        <v>94</v>
      </c>
      <c r="E487" s="14">
        <f t="shared" ref="E487:E550" si="144">E388+1</f>
        <v>5</v>
      </c>
      <c r="F487" s="1" t="str">
        <f t="shared" si="131"/>
        <v>物理</v>
      </c>
      <c r="H487" s="1">
        <f t="shared" ca="1" si="132"/>
        <v>7464.9580710779937</v>
      </c>
      <c r="I487" s="1">
        <f t="shared" ca="1" si="141"/>
        <v>100</v>
      </c>
      <c r="J487" s="1">
        <f t="shared" ca="1" si="141"/>
        <v>1760.6927419354899</v>
      </c>
      <c r="K487" s="1">
        <f t="shared" ca="1" si="141"/>
        <v>189.1261125</v>
      </c>
      <c r="L487" s="1">
        <f t="shared" ca="1" si="141"/>
        <v>1760.6927419354899</v>
      </c>
      <c r="M487" s="1">
        <f t="shared" ca="1" si="141"/>
        <v>126.084075</v>
      </c>
      <c r="N487" s="1">
        <f t="shared" ca="1" si="141"/>
        <v>0.2</v>
      </c>
      <c r="O487" s="1">
        <f t="shared" ca="1" si="141"/>
        <v>0.2</v>
      </c>
      <c r="P487" s="1">
        <f t="shared" ca="1" si="141"/>
        <v>0.36</v>
      </c>
      <c r="Q487" s="1">
        <f t="shared" ca="1" si="141"/>
        <v>0.1</v>
      </c>
      <c r="R487" s="1">
        <f t="shared" ca="1" si="141"/>
        <v>2.4</v>
      </c>
      <c r="S487" s="1">
        <f t="shared" ca="1" si="142"/>
        <v>0.1</v>
      </c>
      <c r="T487" s="1">
        <f t="shared" ca="1" si="142"/>
        <v>0.9</v>
      </c>
      <c r="U487" s="1">
        <f t="shared" ca="1" si="142"/>
        <v>172.066666666667</v>
      </c>
      <c r="V487" s="1">
        <f t="shared" ca="1" si="142"/>
        <v>1411.72661290323</v>
      </c>
      <c r="W487" s="1">
        <f t="shared" ca="1" si="142"/>
        <v>0</v>
      </c>
      <c r="X487" s="1">
        <f t="shared" ca="1" si="142"/>
        <v>0</v>
      </c>
      <c r="Y487" s="1">
        <f t="shared" ca="1" si="142"/>
        <v>0</v>
      </c>
      <c r="Z487" s="1">
        <f t="shared" ca="1" si="142"/>
        <v>0</v>
      </c>
      <c r="AA487" s="1">
        <f t="shared" ca="1" si="142"/>
        <v>0</v>
      </c>
      <c r="AB487" s="1">
        <f t="shared" ca="1" si="140"/>
        <v>0</v>
      </c>
      <c r="AC487" s="1">
        <f t="shared" ca="1" si="142"/>
        <v>189.1261125</v>
      </c>
      <c r="AD487" s="1">
        <f t="shared" ca="1" si="142"/>
        <v>189.1261125</v>
      </c>
      <c r="AE487" s="1">
        <f t="shared" ca="1" si="142"/>
        <v>189.1261125</v>
      </c>
      <c r="AF487" s="1">
        <f t="shared" ca="1" si="142"/>
        <v>189.1261125</v>
      </c>
      <c r="AG487" s="1">
        <f t="shared" ca="1" si="142"/>
        <v>189.1261125</v>
      </c>
      <c r="AH487" s="1">
        <f t="shared" ca="1" si="142"/>
        <v>189.1261125</v>
      </c>
      <c r="AI487" s="1">
        <f t="shared" ca="1" si="138"/>
        <v>189.1261125</v>
      </c>
    </row>
    <row r="488" spans="2:35" x14ac:dyDescent="0.15">
      <c r="B488" s="1" t="str">
        <f t="shared" si="133"/>
        <v>金属系90</v>
      </c>
      <c r="C488" s="1">
        <f t="shared" si="143"/>
        <v>90</v>
      </c>
      <c r="D488" s="14" t="s">
        <v>94</v>
      </c>
      <c r="E488" s="14">
        <f t="shared" si="144"/>
        <v>5</v>
      </c>
      <c r="F488" s="1" t="str">
        <f t="shared" si="131"/>
        <v>物理</v>
      </c>
      <c r="H488" s="1">
        <f t="shared" ca="1" si="132"/>
        <v>7580.5517943956092</v>
      </c>
      <c r="I488" s="1">
        <f t="shared" ca="1" si="141"/>
        <v>100</v>
      </c>
      <c r="J488" s="1">
        <f t="shared" ca="1" si="141"/>
        <v>1800.8957845433299</v>
      </c>
      <c r="K488" s="1">
        <f t="shared" ca="1" si="141"/>
        <v>191.251125</v>
      </c>
      <c r="L488" s="1">
        <f t="shared" ca="1" si="141"/>
        <v>1800.8957845433299</v>
      </c>
      <c r="M488" s="1">
        <f t="shared" ca="1" si="141"/>
        <v>127.50075</v>
      </c>
      <c r="N488" s="1">
        <f t="shared" ca="1" si="141"/>
        <v>0.2</v>
      </c>
      <c r="O488" s="1">
        <f t="shared" ca="1" si="141"/>
        <v>0.2</v>
      </c>
      <c r="P488" s="1">
        <f t="shared" ca="1" si="141"/>
        <v>0.36</v>
      </c>
      <c r="Q488" s="1">
        <f t="shared" ca="1" si="141"/>
        <v>0.1</v>
      </c>
      <c r="R488" s="1">
        <f t="shared" ca="1" si="141"/>
        <v>2.4</v>
      </c>
      <c r="S488" s="1">
        <f t="shared" ca="1" si="142"/>
        <v>0.1</v>
      </c>
      <c r="T488" s="1">
        <f t="shared" ca="1" si="142"/>
        <v>0.9</v>
      </c>
      <c r="U488" s="1">
        <f t="shared" ca="1" si="142"/>
        <v>174</v>
      </c>
      <c r="V488" s="1">
        <f t="shared" ca="1" si="142"/>
        <v>1473.4601873536301</v>
      </c>
      <c r="W488" s="1">
        <f t="shared" ca="1" si="142"/>
        <v>0</v>
      </c>
      <c r="X488" s="1">
        <f t="shared" ca="1" si="142"/>
        <v>0</v>
      </c>
      <c r="Y488" s="1">
        <f t="shared" ca="1" si="142"/>
        <v>0</v>
      </c>
      <c r="Z488" s="1">
        <f t="shared" ca="1" si="142"/>
        <v>0</v>
      </c>
      <c r="AA488" s="1">
        <f t="shared" ca="1" si="142"/>
        <v>0</v>
      </c>
      <c r="AB488" s="1">
        <f t="shared" ca="1" si="140"/>
        <v>0</v>
      </c>
      <c r="AC488" s="1">
        <f t="shared" ca="1" si="142"/>
        <v>191.251125</v>
      </c>
      <c r="AD488" s="1">
        <f t="shared" ca="1" si="142"/>
        <v>191.251125</v>
      </c>
      <c r="AE488" s="1">
        <f t="shared" ca="1" si="142"/>
        <v>191.251125</v>
      </c>
      <c r="AF488" s="1">
        <f t="shared" ca="1" si="142"/>
        <v>191.251125</v>
      </c>
      <c r="AG488" s="1">
        <f t="shared" ca="1" si="142"/>
        <v>191.251125</v>
      </c>
      <c r="AH488" s="1">
        <f t="shared" ca="1" si="142"/>
        <v>191.251125</v>
      </c>
      <c r="AI488" s="1">
        <f t="shared" ca="1" si="138"/>
        <v>191.251125</v>
      </c>
    </row>
    <row r="489" spans="2:35" x14ac:dyDescent="0.15">
      <c r="B489" s="1" t="str">
        <f t="shared" si="133"/>
        <v>金属系91</v>
      </c>
      <c r="C489" s="1">
        <f t="shared" si="143"/>
        <v>91</v>
      </c>
      <c r="D489" s="14" t="s">
        <v>94</v>
      </c>
      <c r="E489" s="14">
        <f t="shared" si="144"/>
        <v>5</v>
      </c>
      <c r="F489" s="1" t="str">
        <f t="shared" si="131"/>
        <v>物理</v>
      </c>
      <c r="H489" s="1">
        <f t="shared" ca="1" si="132"/>
        <v>7696.8503574895303</v>
      </c>
      <c r="I489" s="1">
        <f t="shared" ca="1" si="141"/>
        <v>100</v>
      </c>
      <c r="J489" s="1">
        <f t="shared" ca="1" si="141"/>
        <v>1842.1</v>
      </c>
      <c r="K489" s="1">
        <f t="shared" ca="1" si="141"/>
        <v>193.37613750000003</v>
      </c>
      <c r="L489" s="1">
        <f t="shared" ca="1" si="141"/>
        <v>1842.1</v>
      </c>
      <c r="M489" s="1">
        <f t="shared" ca="1" si="141"/>
        <v>128.91742500000001</v>
      </c>
      <c r="N489" s="1">
        <f t="shared" ca="1" si="141"/>
        <v>0.2</v>
      </c>
      <c r="O489" s="1">
        <f t="shared" ca="1" si="141"/>
        <v>0.2</v>
      </c>
      <c r="P489" s="1">
        <f t="shared" ca="1" si="141"/>
        <v>0.36</v>
      </c>
      <c r="Q489" s="1">
        <f t="shared" ca="1" si="141"/>
        <v>0.1</v>
      </c>
      <c r="R489" s="1">
        <f t="shared" ca="1" si="141"/>
        <v>2.4</v>
      </c>
      <c r="S489" s="1">
        <f t="shared" ca="1" si="142"/>
        <v>0.1</v>
      </c>
      <c r="T489" s="1">
        <f t="shared" ca="1" si="142"/>
        <v>0.9</v>
      </c>
      <c r="U489" s="1">
        <f t="shared" ca="1" si="142"/>
        <v>175.933333333333</v>
      </c>
      <c r="V489" s="1">
        <f t="shared" ca="1" si="142"/>
        <v>1537.9</v>
      </c>
      <c r="W489" s="1">
        <f t="shared" ca="1" si="142"/>
        <v>0</v>
      </c>
      <c r="X489" s="1">
        <f t="shared" ca="1" si="142"/>
        <v>0</v>
      </c>
      <c r="Y489" s="1">
        <f t="shared" ca="1" si="142"/>
        <v>0</v>
      </c>
      <c r="Z489" s="1">
        <f t="shared" ca="1" si="142"/>
        <v>0</v>
      </c>
      <c r="AA489" s="1">
        <f t="shared" ca="1" si="142"/>
        <v>0</v>
      </c>
      <c r="AB489" s="1">
        <f t="shared" ca="1" si="142"/>
        <v>0</v>
      </c>
      <c r="AC489" s="1">
        <f t="shared" ca="1" si="142"/>
        <v>193.37613750000003</v>
      </c>
      <c r="AD489" s="1">
        <f t="shared" ca="1" si="142"/>
        <v>193.37613750000003</v>
      </c>
      <c r="AE489" s="1">
        <f t="shared" ca="1" si="142"/>
        <v>193.37613750000003</v>
      </c>
      <c r="AF489" s="1">
        <f t="shared" ca="1" si="142"/>
        <v>193.37613750000003</v>
      </c>
      <c r="AG489" s="1">
        <f t="shared" ca="1" si="142"/>
        <v>193.37613750000003</v>
      </c>
      <c r="AH489" s="1">
        <f t="shared" ca="1" si="142"/>
        <v>193.37613750000003</v>
      </c>
      <c r="AI489" s="1">
        <f t="shared" ca="1" si="138"/>
        <v>193.37613750000003</v>
      </c>
    </row>
    <row r="490" spans="2:35" x14ac:dyDescent="0.15">
      <c r="B490" s="1" t="str">
        <f t="shared" si="133"/>
        <v>金属系92</v>
      </c>
      <c r="C490" s="1">
        <f t="shared" si="143"/>
        <v>92</v>
      </c>
      <c r="D490" s="14" t="s">
        <v>94</v>
      </c>
      <c r="E490" s="14">
        <f t="shared" si="144"/>
        <v>5</v>
      </c>
      <c r="F490" s="1" t="str">
        <f t="shared" si="131"/>
        <v>物理</v>
      </c>
      <c r="H490" s="1">
        <f t="shared" ca="1" si="132"/>
        <v>7813.8537603597961</v>
      </c>
      <c r="I490" s="1">
        <f t="shared" ca="1" si="141"/>
        <v>100</v>
      </c>
      <c r="J490" s="1">
        <f t="shared" ca="1" si="141"/>
        <v>1884.35157384988</v>
      </c>
      <c r="K490" s="1">
        <f t="shared" ca="1" si="141"/>
        <v>195.50115</v>
      </c>
      <c r="L490" s="1">
        <f t="shared" ca="1" si="141"/>
        <v>1884.35157384988</v>
      </c>
      <c r="M490" s="1">
        <f t="shared" ca="1" si="141"/>
        <v>130.33410000000001</v>
      </c>
      <c r="N490" s="1">
        <f t="shared" ca="1" si="141"/>
        <v>0.2</v>
      </c>
      <c r="O490" s="1">
        <f t="shared" ca="1" si="141"/>
        <v>0.2</v>
      </c>
      <c r="P490" s="1">
        <f t="shared" ca="1" si="141"/>
        <v>0.36</v>
      </c>
      <c r="Q490" s="1">
        <f t="shared" ca="1" si="141"/>
        <v>0.1</v>
      </c>
      <c r="R490" s="1">
        <f t="shared" ca="1" si="141"/>
        <v>2.4</v>
      </c>
      <c r="S490" s="1">
        <f t="shared" ca="1" si="142"/>
        <v>0.1</v>
      </c>
      <c r="T490" s="1">
        <f t="shared" ca="1" si="142"/>
        <v>0.9</v>
      </c>
      <c r="U490" s="1">
        <f t="shared" ca="1" si="142"/>
        <v>177.86666666666699</v>
      </c>
      <c r="V490" s="1">
        <f t="shared" ca="1" si="142"/>
        <v>1605.18837772397</v>
      </c>
      <c r="W490" s="1">
        <f t="shared" ca="1" si="142"/>
        <v>0</v>
      </c>
      <c r="X490" s="1">
        <f t="shared" ca="1" si="142"/>
        <v>0</v>
      </c>
      <c r="Y490" s="1">
        <f t="shared" ca="1" si="142"/>
        <v>0</v>
      </c>
      <c r="Z490" s="1">
        <f t="shared" ca="1" si="142"/>
        <v>0</v>
      </c>
      <c r="AA490" s="1">
        <f t="shared" ca="1" si="142"/>
        <v>0</v>
      </c>
      <c r="AB490" s="1">
        <f t="shared" ca="1" si="142"/>
        <v>0</v>
      </c>
      <c r="AC490" s="1">
        <f t="shared" ca="1" si="142"/>
        <v>195.50115</v>
      </c>
      <c r="AD490" s="1">
        <f t="shared" ca="1" si="142"/>
        <v>195.50115</v>
      </c>
      <c r="AE490" s="1">
        <f t="shared" ca="1" si="142"/>
        <v>195.50115</v>
      </c>
      <c r="AF490" s="1">
        <f t="shared" ca="1" si="142"/>
        <v>195.50115</v>
      </c>
      <c r="AG490" s="1">
        <f t="shared" ca="1" si="142"/>
        <v>195.50115</v>
      </c>
      <c r="AH490" s="1">
        <f t="shared" ca="1" si="142"/>
        <v>195.50115</v>
      </c>
      <c r="AI490" s="1">
        <f t="shared" ca="1" si="138"/>
        <v>195.50115</v>
      </c>
    </row>
    <row r="491" spans="2:35" x14ac:dyDescent="0.15">
      <c r="B491" s="1" t="str">
        <f t="shared" si="133"/>
        <v>金属系93</v>
      </c>
      <c r="C491" s="1">
        <f t="shared" si="143"/>
        <v>93</v>
      </c>
      <c r="D491" s="14" t="s">
        <v>94</v>
      </c>
      <c r="E491" s="14">
        <f t="shared" si="144"/>
        <v>5</v>
      </c>
      <c r="F491" s="1" t="str">
        <f t="shared" si="131"/>
        <v>物理</v>
      </c>
      <c r="H491" s="1">
        <f t="shared" ca="1" si="132"/>
        <v>7931.5620030063837</v>
      </c>
      <c r="I491" s="1">
        <f t="shared" ca="1" si="141"/>
        <v>100</v>
      </c>
      <c r="J491" s="1">
        <f t="shared" ca="1" si="141"/>
        <v>1927.6998768472899</v>
      </c>
      <c r="K491" s="1">
        <f t="shared" ca="1" si="141"/>
        <v>197.62616250000002</v>
      </c>
      <c r="L491" s="1">
        <f t="shared" ca="1" si="141"/>
        <v>1927.6998768472899</v>
      </c>
      <c r="M491" s="1">
        <f t="shared" ca="1" si="141"/>
        <v>131.750775</v>
      </c>
      <c r="N491" s="1">
        <f t="shared" ca="1" si="141"/>
        <v>0.2</v>
      </c>
      <c r="O491" s="1">
        <f t="shared" ca="1" si="141"/>
        <v>0.2</v>
      </c>
      <c r="P491" s="1">
        <f t="shared" ca="1" si="141"/>
        <v>0.36</v>
      </c>
      <c r="Q491" s="1">
        <f t="shared" ca="1" si="141"/>
        <v>0.1</v>
      </c>
      <c r="R491" s="1">
        <f t="shared" ca="1" si="141"/>
        <v>2.4</v>
      </c>
      <c r="S491" s="1">
        <f t="shared" ca="1" si="142"/>
        <v>0.1</v>
      </c>
      <c r="T491" s="1">
        <f t="shared" ca="1" si="142"/>
        <v>0.9</v>
      </c>
      <c r="U491" s="1">
        <f t="shared" ca="1" si="142"/>
        <v>179.8</v>
      </c>
      <c r="V491" s="1">
        <f t="shared" ca="1" si="142"/>
        <v>1675.4774630541899</v>
      </c>
      <c r="W491" s="1">
        <f t="shared" ca="1" si="142"/>
        <v>0</v>
      </c>
      <c r="X491" s="1">
        <f t="shared" ca="1" si="142"/>
        <v>0</v>
      </c>
      <c r="Y491" s="1">
        <f t="shared" ca="1" si="142"/>
        <v>0</v>
      </c>
      <c r="Z491" s="1">
        <f t="shared" ca="1" si="142"/>
        <v>0</v>
      </c>
      <c r="AA491" s="1">
        <f t="shared" ca="1" si="142"/>
        <v>0</v>
      </c>
      <c r="AB491" s="1">
        <f t="shared" ca="1" si="142"/>
        <v>0</v>
      </c>
      <c r="AC491" s="1">
        <f t="shared" ca="1" si="142"/>
        <v>197.62616250000002</v>
      </c>
      <c r="AD491" s="1">
        <f t="shared" ca="1" si="142"/>
        <v>197.62616250000002</v>
      </c>
      <c r="AE491" s="1">
        <f t="shared" ca="1" si="142"/>
        <v>197.62616250000002</v>
      </c>
      <c r="AF491" s="1">
        <f t="shared" ca="1" si="142"/>
        <v>197.62616250000002</v>
      </c>
      <c r="AG491" s="1">
        <f t="shared" ca="1" si="142"/>
        <v>197.62616250000002</v>
      </c>
      <c r="AH491" s="1">
        <f t="shared" ca="1" si="142"/>
        <v>197.62616250000002</v>
      </c>
      <c r="AI491" s="1">
        <f t="shared" ca="1" si="138"/>
        <v>197.62616250000002</v>
      </c>
    </row>
    <row r="492" spans="2:35" x14ac:dyDescent="0.15">
      <c r="B492" s="1" t="str">
        <f t="shared" si="133"/>
        <v>金属系94</v>
      </c>
      <c r="C492" s="1">
        <f t="shared" si="143"/>
        <v>94</v>
      </c>
      <c r="D492" s="14" t="s">
        <v>94</v>
      </c>
      <c r="E492" s="14">
        <f t="shared" si="144"/>
        <v>5</v>
      </c>
      <c r="F492" s="1" t="str">
        <f t="shared" si="131"/>
        <v>物理</v>
      </c>
      <c r="H492" s="1">
        <f t="shared" ca="1" si="132"/>
        <v>8049.9750854293015</v>
      </c>
      <c r="I492" s="1">
        <f t="shared" ca="1" si="141"/>
        <v>100</v>
      </c>
      <c r="J492" s="1">
        <f t="shared" ca="1" si="141"/>
        <v>1972.1977443609101</v>
      </c>
      <c r="K492" s="1">
        <f t="shared" ca="1" si="141"/>
        <v>199.75117499999999</v>
      </c>
      <c r="L492" s="1">
        <f t="shared" ca="1" si="141"/>
        <v>1972.1977443609101</v>
      </c>
      <c r="M492" s="1">
        <f t="shared" ca="1" si="141"/>
        <v>133.16745</v>
      </c>
      <c r="N492" s="1">
        <f t="shared" ca="1" si="141"/>
        <v>0.2</v>
      </c>
      <c r="O492" s="1">
        <f t="shared" ca="1" si="141"/>
        <v>0.2</v>
      </c>
      <c r="P492" s="1">
        <f t="shared" ca="1" si="141"/>
        <v>0.36</v>
      </c>
      <c r="Q492" s="1">
        <f t="shared" ca="1" si="141"/>
        <v>0.1</v>
      </c>
      <c r="R492" s="1">
        <f t="shared" ca="1" si="141"/>
        <v>2.4</v>
      </c>
      <c r="S492" s="1">
        <f t="shared" ca="1" si="142"/>
        <v>0.1</v>
      </c>
      <c r="T492" s="1">
        <f t="shared" ca="1" si="142"/>
        <v>0.9</v>
      </c>
      <c r="U492" s="1">
        <f t="shared" ca="1" si="142"/>
        <v>181.73333333333301</v>
      </c>
      <c r="V492" s="1">
        <f t="shared" ca="1" si="142"/>
        <v>1748.93007518797</v>
      </c>
      <c r="W492" s="1">
        <f t="shared" ca="1" si="142"/>
        <v>0</v>
      </c>
      <c r="X492" s="1">
        <f t="shared" ca="1" si="142"/>
        <v>0</v>
      </c>
      <c r="Y492" s="1">
        <f t="shared" ca="1" si="142"/>
        <v>0</v>
      </c>
      <c r="Z492" s="1">
        <f t="shared" ca="1" si="142"/>
        <v>0</v>
      </c>
      <c r="AA492" s="1">
        <f t="shared" ca="1" si="142"/>
        <v>0</v>
      </c>
      <c r="AB492" s="1">
        <f t="shared" ca="1" si="142"/>
        <v>0</v>
      </c>
      <c r="AC492" s="1">
        <f t="shared" ca="1" si="142"/>
        <v>199.75117499999999</v>
      </c>
      <c r="AD492" s="1">
        <f t="shared" ca="1" si="142"/>
        <v>199.75117499999999</v>
      </c>
      <c r="AE492" s="1">
        <f t="shared" ca="1" si="142"/>
        <v>199.75117499999999</v>
      </c>
      <c r="AF492" s="1">
        <f t="shared" ca="1" si="142"/>
        <v>199.75117499999999</v>
      </c>
      <c r="AG492" s="1">
        <f t="shared" ca="1" si="142"/>
        <v>199.75117499999999</v>
      </c>
      <c r="AH492" s="1">
        <f t="shared" ca="1" si="142"/>
        <v>199.75117499999999</v>
      </c>
      <c r="AI492" s="1">
        <f t="shared" ca="1" si="138"/>
        <v>199.75117499999999</v>
      </c>
    </row>
    <row r="493" spans="2:35" x14ac:dyDescent="0.15">
      <c r="B493" s="1" t="str">
        <f t="shared" si="133"/>
        <v>金属系95</v>
      </c>
      <c r="C493" s="1">
        <f t="shared" si="143"/>
        <v>95</v>
      </c>
      <c r="D493" s="14" t="s">
        <v>94</v>
      </c>
      <c r="E493" s="14">
        <f t="shared" si="144"/>
        <v>5</v>
      </c>
      <c r="F493" s="1" t="str">
        <f t="shared" si="131"/>
        <v>物理</v>
      </c>
      <c r="H493" s="1">
        <f t="shared" ca="1" si="132"/>
        <v>8169.0930076285404</v>
      </c>
      <c r="I493" s="1">
        <f t="shared" ref="I493:R502" ca="1" si="145">mVlookup($C493,monsterBaseDate,I$2,FALSE)*(1+mVlookup($E493,monsterType,I$2,FALSE))</f>
        <v>100</v>
      </c>
      <c r="J493" s="1">
        <f t="shared" ca="1" si="145"/>
        <v>2017.9017857142901</v>
      </c>
      <c r="K493" s="1">
        <f t="shared" ca="1" si="145"/>
        <v>201.87618750000001</v>
      </c>
      <c r="L493" s="1">
        <f t="shared" ca="1" si="145"/>
        <v>2017.9017857142901</v>
      </c>
      <c r="M493" s="1">
        <f t="shared" ca="1" si="145"/>
        <v>134.584125</v>
      </c>
      <c r="N493" s="1">
        <f t="shared" ca="1" si="145"/>
        <v>0.2</v>
      </c>
      <c r="O493" s="1">
        <f t="shared" ca="1" si="145"/>
        <v>0.2</v>
      </c>
      <c r="P493" s="1">
        <f t="shared" ca="1" si="145"/>
        <v>0.36</v>
      </c>
      <c r="Q493" s="1">
        <f t="shared" ca="1" si="145"/>
        <v>0.1</v>
      </c>
      <c r="R493" s="1">
        <f t="shared" ca="1" si="145"/>
        <v>2.4</v>
      </c>
      <c r="S493" s="1">
        <f t="shared" ref="S493:AH508" ca="1" si="146">mVlookup($C493,monsterBaseDate,S$2,FALSE)*(1+mVlookup($E493,monsterType,S$2,FALSE))</f>
        <v>0.1</v>
      </c>
      <c r="T493" s="1">
        <f t="shared" ca="1" si="146"/>
        <v>0.9</v>
      </c>
      <c r="U493" s="1">
        <f t="shared" ca="1" si="146"/>
        <v>183.666666666667</v>
      </c>
      <c r="V493" s="1">
        <f t="shared" ca="1" si="146"/>
        <v>1825.7206632653099</v>
      </c>
      <c r="W493" s="1">
        <f t="shared" ca="1" si="146"/>
        <v>0</v>
      </c>
      <c r="X493" s="1">
        <f t="shared" ca="1" si="146"/>
        <v>0</v>
      </c>
      <c r="Y493" s="1">
        <f t="shared" ca="1" si="146"/>
        <v>0</v>
      </c>
      <c r="Z493" s="1">
        <f t="shared" ca="1" si="146"/>
        <v>0</v>
      </c>
      <c r="AA493" s="1">
        <f t="shared" ca="1" si="146"/>
        <v>0</v>
      </c>
      <c r="AB493" s="1">
        <f t="shared" ca="1" si="142"/>
        <v>0</v>
      </c>
      <c r="AC493" s="1">
        <f t="shared" ca="1" si="146"/>
        <v>201.87618750000001</v>
      </c>
      <c r="AD493" s="1">
        <f t="shared" ca="1" si="146"/>
        <v>201.87618750000001</v>
      </c>
      <c r="AE493" s="1">
        <f t="shared" ca="1" si="146"/>
        <v>201.87618750000001</v>
      </c>
      <c r="AF493" s="1">
        <f t="shared" ca="1" si="146"/>
        <v>201.87618750000001</v>
      </c>
      <c r="AG493" s="1">
        <f t="shared" ca="1" si="146"/>
        <v>201.87618750000001</v>
      </c>
      <c r="AH493" s="1">
        <f t="shared" ca="1" si="146"/>
        <v>201.87618750000001</v>
      </c>
      <c r="AI493" s="1">
        <f t="shared" ca="1" si="138"/>
        <v>201.87618750000001</v>
      </c>
    </row>
    <row r="494" spans="2:35" x14ac:dyDescent="0.15">
      <c r="B494" s="1" t="str">
        <f t="shared" si="133"/>
        <v>金属系96</v>
      </c>
      <c r="C494" s="1">
        <f t="shared" si="143"/>
        <v>96</v>
      </c>
      <c r="D494" s="14" t="s">
        <v>94</v>
      </c>
      <c r="E494" s="14">
        <f t="shared" si="144"/>
        <v>5</v>
      </c>
      <c r="F494" s="1" t="str">
        <f t="shared" si="131"/>
        <v>物理</v>
      </c>
      <c r="H494" s="1">
        <f t="shared" ca="1" si="132"/>
        <v>8288.9157696041239</v>
      </c>
      <c r="I494" s="1">
        <f t="shared" ca="1" si="145"/>
        <v>100</v>
      </c>
      <c r="J494" s="1">
        <f t="shared" ca="1" si="145"/>
        <v>2064.8727272727301</v>
      </c>
      <c r="K494" s="1">
        <f t="shared" ca="1" si="145"/>
        <v>204.00119999999998</v>
      </c>
      <c r="L494" s="1">
        <f t="shared" ca="1" si="145"/>
        <v>2064.8727272727301</v>
      </c>
      <c r="M494" s="1">
        <f t="shared" ca="1" si="145"/>
        <v>136.0008</v>
      </c>
      <c r="N494" s="1">
        <f t="shared" ca="1" si="145"/>
        <v>0.2</v>
      </c>
      <c r="O494" s="1">
        <f t="shared" ca="1" si="145"/>
        <v>0.2</v>
      </c>
      <c r="P494" s="1">
        <f t="shared" ca="1" si="145"/>
        <v>0.36</v>
      </c>
      <c r="Q494" s="1">
        <f t="shared" ca="1" si="145"/>
        <v>0.1</v>
      </c>
      <c r="R494" s="1">
        <f t="shared" ca="1" si="145"/>
        <v>2.4</v>
      </c>
      <c r="S494" s="1">
        <f t="shared" ca="1" si="146"/>
        <v>0.1</v>
      </c>
      <c r="T494" s="1">
        <f t="shared" ca="1" si="146"/>
        <v>0.9</v>
      </c>
      <c r="U494" s="1">
        <f t="shared" ca="1" si="146"/>
        <v>185.6</v>
      </c>
      <c r="V494" s="1">
        <f t="shared" ca="1" si="146"/>
        <v>1906.03636363637</v>
      </c>
      <c r="W494" s="1">
        <f t="shared" ca="1" si="146"/>
        <v>0</v>
      </c>
      <c r="X494" s="1">
        <f t="shared" ca="1" si="146"/>
        <v>0</v>
      </c>
      <c r="Y494" s="1">
        <f t="shared" ca="1" si="146"/>
        <v>0</v>
      </c>
      <c r="Z494" s="1">
        <f t="shared" ca="1" si="146"/>
        <v>0</v>
      </c>
      <c r="AA494" s="1">
        <f t="shared" ca="1" si="146"/>
        <v>0</v>
      </c>
      <c r="AB494" s="1">
        <f t="shared" ca="1" si="142"/>
        <v>0</v>
      </c>
      <c r="AC494" s="1">
        <f t="shared" ca="1" si="146"/>
        <v>204.00119999999998</v>
      </c>
      <c r="AD494" s="1">
        <f t="shared" ca="1" si="146"/>
        <v>204.00119999999998</v>
      </c>
      <c r="AE494" s="1">
        <f t="shared" ca="1" si="146"/>
        <v>204.00119999999998</v>
      </c>
      <c r="AF494" s="1">
        <f t="shared" ca="1" si="146"/>
        <v>204.00119999999998</v>
      </c>
      <c r="AG494" s="1">
        <f t="shared" ca="1" si="146"/>
        <v>204.00119999999998</v>
      </c>
      <c r="AH494" s="1">
        <f t="shared" ca="1" si="146"/>
        <v>204.00119999999998</v>
      </c>
      <c r="AI494" s="1">
        <f t="shared" ca="1" si="138"/>
        <v>204.00119999999998</v>
      </c>
    </row>
    <row r="495" spans="2:35" x14ac:dyDescent="0.15">
      <c r="B495" s="1" t="str">
        <f t="shared" si="133"/>
        <v>金属系97</v>
      </c>
      <c r="C495" s="1">
        <f t="shared" si="143"/>
        <v>97</v>
      </c>
      <c r="D495" s="14" t="s">
        <v>94</v>
      </c>
      <c r="E495" s="14">
        <f t="shared" si="144"/>
        <v>5</v>
      </c>
      <c r="F495" s="1" t="str">
        <f t="shared" si="131"/>
        <v>物理</v>
      </c>
      <c r="H495" s="1">
        <f t="shared" ca="1" si="132"/>
        <v>8409.4433713560138</v>
      </c>
      <c r="I495" s="1">
        <f t="shared" ca="1" si="145"/>
        <v>100</v>
      </c>
      <c r="J495" s="1">
        <f t="shared" ca="1" si="145"/>
        <v>2113.1757936508002</v>
      </c>
      <c r="K495" s="1">
        <f t="shared" ca="1" si="145"/>
        <v>206.12621250000001</v>
      </c>
      <c r="L495" s="1">
        <f t="shared" ca="1" si="145"/>
        <v>2113.1757936508002</v>
      </c>
      <c r="M495" s="1">
        <f t="shared" ca="1" si="145"/>
        <v>137.417475</v>
      </c>
      <c r="N495" s="1">
        <f t="shared" ca="1" si="145"/>
        <v>0.2</v>
      </c>
      <c r="O495" s="1">
        <f t="shared" ca="1" si="145"/>
        <v>0.2</v>
      </c>
      <c r="P495" s="1">
        <f t="shared" ca="1" si="145"/>
        <v>0.36</v>
      </c>
      <c r="Q495" s="1">
        <f t="shared" ca="1" si="145"/>
        <v>0.1</v>
      </c>
      <c r="R495" s="1">
        <f t="shared" ca="1" si="145"/>
        <v>2.4</v>
      </c>
      <c r="S495" s="1">
        <f t="shared" ca="1" si="146"/>
        <v>0.1</v>
      </c>
      <c r="T495" s="1">
        <f t="shared" ca="1" si="146"/>
        <v>0.9</v>
      </c>
      <c r="U495" s="1">
        <f t="shared" ca="1" si="146"/>
        <v>187.53333333333299</v>
      </c>
      <c r="V495" s="1">
        <f t="shared" ca="1" si="146"/>
        <v>1990.0781746031801</v>
      </c>
      <c r="W495" s="1">
        <f t="shared" ca="1" si="146"/>
        <v>0</v>
      </c>
      <c r="X495" s="1">
        <f t="shared" ca="1" si="146"/>
        <v>0</v>
      </c>
      <c r="Y495" s="1">
        <f t="shared" ca="1" si="146"/>
        <v>0</v>
      </c>
      <c r="Z495" s="1">
        <f t="shared" ca="1" si="146"/>
        <v>0</v>
      </c>
      <c r="AA495" s="1">
        <f t="shared" ca="1" si="146"/>
        <v>0</v>
      </c>
      <c r="AB495" s="1">
        <f t="shared" ca="1" si="142"/>
        <v>0</v>
      </c>
      <c r="AC495" s="1">
        <f t="shared" ca="1" si="146"/>
        <v>206.12621250000001</v>
      </c>
      <c r="AD495" s="1">
        <f t="shared" ca="1" si="146"/>
        <v>206.12621250000001</v>
      </c>
      <c r="AE495" s="1">
        <f t="shared" ca="1" si="146"/>
        <v>206.12621250000001</v>
      </c>
      <c r="AF495" s="1">
        <f t="shared" ca="1" si="146"/>
        <v>206.12621250000001</v>
      </c>
      <c r="AG495" s="1">
        <f t="shared" ca="1" si="146"/>
        <v>206.12621250000001</v>
      </c>
      <c r="AH495" s="1">
        <f t="shared" ca="1" si="146"/>
        <v>206.12621250000001</v>
      </c>
      <c r="AI495" s="1">
        <f t="shared" ca="1" si="138"/>
        <v>206.12621250000001</v>
      </c>
    </row>
    <row r="496" spans="2:35" x14ac:dyDescent="0.15">
      <c r="B496" s="1" t="str">
        <f t="shared" si="133"/>
        <v>金属系98</v>
      </c>
      <c r="C496" s="1">
        <f t="shared" si="143"/>
        <v>98</v>
      </c>
      <c r="D496" s="14" t="s">
        <v>94</v>
      </c>
      <c r="E496" s="14">
        <f t="shared" si="144"/>
        <v>5</v>
      </c>
      <c r="F496" s="1" t="str">
        <f t="shared" si="131"/>
        <v>物理</v>
      </c>
      <c r="H496" s="1">
        <f t="shared" ca="1" si="132"/>
        <v>8530.6758128842303</v>
      </c>
      <c r="I496" s="1">
        <f t="shared" ca="1" si="145"/>
        <v>100</v>
      </c>
      <c r="J496" s="1">
        <f t="shared" ca="1" si="145"/>
        <v>2162.8811320754799</v>
      </c>
      <c r="K496" s="1">
        <f t="shared" ca="1" si="145"/>
        <v>208.25122499999998</v>
      </c>
      <c r="L496" s="1">
        <f t="shared" ca="1" si="145"/>
        <v>2162.8811320754799</v>
      </c>
      <c r="M496" s="1">
        <f t="shared" ca="1" si="145"/>
        <v>138.83414999999999</v>
      </c>
      <c r="N496" s="1">
        <f t="shared" ca="1" si="145"/>
        <v>0.2</v>
      </c>
      <c r="O496" s="1">
        <f t="shared" ca="1" si="145"/>
        <v>0.2</v>
      </c>
      <c r="P496" s="1">
        <f t="shared" ca="1" si="145"/>
        <v>0.36</v>
      </c>
      <c r="Q496" s="1">
        <f t="shared" ca="1" si="145"/>
        <v>0.1</v>
      </c>
      <c r="R496" s="1">
        <f t="shared" ca="1" si="145"/>
        <v>2.4</v>
      </c>
      <c r="S496" s="1">
        <f t="shared" ca="1" si="146"/>
        <v>0.1</v>
      </c>
      <c r="T496" s="1">
        <f t="shared" ca="1" si="146"/>
        <v>0.9</v>
      </c>
      <c r="U496" s="1">
        <f t="shared" ca="1" si="146"/>
        <v>189.46666666666701</v>
      </c>
      <c r="V496" s="1">
        <f t="shared" ca="1" si="146"/>
        <v>2078.0622641509499</v>
      </c>
      <c r="W496" s="1">
        <f t="shared" ca="1" si="146"/>
        <v>0</v>
      </c>
      <c r="X496" s="1">
        <f t="shared" ca="1" si="146"/>
        <v>0</v>
      </c>
      <c r="Y496" s="1">
        <f t="shared" ca="1" si="146"/>
        <v>0</v>
      </c>
      <c r="Z496" s="1">
        <f t="shared" ca="1" si="146"/>
        <v>0</v>
      </c>
      <c r="AA496" s="1">
        <f t="shared" ca="1" si="146"/>
        <v>0</v>
      </c>
      <c r="AB496" s="1">
        <f t="shared" ca="1" si="142"/>
        <v>0</v>
      </c>
      <c r="AC496" s="1">
        <f t="shared" ca="1" si="146"/>
        <v>208.25122499999998</v>
      </c>
      <c r="AD496" s="1">
        <f t="shared" ca="1" si="146"/>
        <v>208.25122499999998</v>
      </c>
      <c r="AE496" s="1">
        <f t="shared" ca="1" si="146"/>
        <v>208.25122499999998</v>
      </c>
      <c r="AF496" s="1">
        <f t="shared" ca="1" si="146"/>
        <v>208.25122499999998</v>
      </c>
      <c r="AG496" s="1">
        <f t="shared" ca="1" si="146"/>
        <v>208.25122499999998</v>
      </c>
      <c r="AH496" s="1">
        <f t="shared" ca="1" si="146"/>
        <v>208.25122499999998</v>
      </c>
      <c r="AI496" s="1">
        <f t="shared" ca="1" si="138"/>
        <v>208.25122499999998</v>
      </c>
    </row>
    <row r="497" spans="2:35" x14ac:dyDescent="0.15">
      <c r="B497" s="1" t="str">
        <f t="shared" si="133"/>
        <v>金属系99</v>
      </c>
      <c r="C497" s="1">
        <f t="shared" si="143"/>
        <v>99</v>
      </c>
      <c r="D497" s="14" t="s">
        <v>94</v>
      </c>
      <c r="E497" s="14">
        <f t="shared" si="144"/>
        <v>5</v>
      </c>
      <c r="F497" s="1" t="str">
        <f t="shared" si="131"/>
        <v>物理</v>
      </c>
      <c r="H497" s="1">
        <f t="shared" ca="1" si="132"/>
        <v>8652.6130941887877</v>
      </c>
      <c r="I497" s="1">
        <f t="shared" ca="1" si="145"/>
        <v>100</v>
      </c>
      <c r="J497" s="1">
        <f t="shared" ca="1" si="145"/>
        <v>2214.0642857142898</v>
      </c>
      <c r="K497" s="1">
        <f t="shared" ca="1" si="145"/>
        <v>210.3762375</v>
      </c>
      <c r="L497" s="1">
        <f t="shared" ca="1" si="145"/>
        <v>2214.0642857142898</v>
      </c>
      <c r="M497" s="1">
        <f t="shared" ca="1" si="145"/>
        <v>140.25082499999999</v>
      </c>
      <c r="N497" s="1">
        <f t="shared" ca="1" si="145"/>
        <v>0.2</v>
      </c>
      <c r="O497" s="1">
        <f t="shared" ca="1" si="145"/>
        <v>0.2</v>
      </c>
      <c r="P497" s="1">
        <f t="shared" ca="1" si="145"/>
        <v>0.36</v>
      </c>
      <c r="Q497" s="1">
        <f t="shared" ca="1" si="145"/>
        <v>0.1</v>
      </c>
      <c r="R497" s="1">
        <f t="shared" ca="1" si="145"/>
        <v>2.4</v>
      </c>
      <c r="S497" s="1">
        <f t="shared" ca="1" si="146"/>
        <v>0.1</v>
      </c>
      <c r="T497" s="1">
        <f t="shared" ca="1" si="146"/>
        <v>0.9</v>
      </c>
      <c r="U497" s="1">
        <f t="shared" ca="1" si="146"/>
        <v>191.4</v>
      </c>
      <c r="V497" s="1">
        <f t="shared" ca="1" si="146"/>
        <v>2170.2214285714299</v>
      </c>
      <c r="W497" s="1">
        <f t="shared" ca="1" si="146"/>
        <v>0</v>
      </c>
      <c r="X497" s="1">
        <f t="shared" ca="1" si="146"/>
        <v>0</v>
      </c>
      <c r="Y497" s="1">
        <f t="shared" ca="1" si="146"/>
        <v>0</v>
      </c>
      <c r="Z497" s="1">
        <f t="shared" ca="1" si="146"/>
        <v>0</v>
      </c>
      <c r="AA497" s="1">
        <f t="shared" ca="1" si="146"/>
        <v>0</v>
      </c>
      <c r="AB497" s="1">
        <f t="shared" ca="1" si="142"/>
        <v>0</v>
      </c>
      <c r="AC497" s="1">
        <f t="shared" ca="1" si="146"/>
        <v>210.3762375</v>
      </c>
      <c r="AD497" s="1">
        <f t="shared" ca="1" si="146"/>
        <v>210.3762375</v>
      </c>
      <c r="AE497" s="1">
        <f t="shared" ca="1" si="146"/>
        <v>210.3762375</v>
      </c>
      <c r="AF497" s="1">
        <f t="shared" ca="1" si="146"/>
        <v>210.3762375</v>
      </c>
      <c r="AG497" s="1">
        <f t="shared" ca="1" si="146"/>
        <v>210.3762375</v>
      </c>
      <c r="AH497" s="1">
        <f t="shared" ca="1" si="146"/>
        <v>210.3762375</v>
      </c>
      <c r="AI497" s="1">
        <f t="shared" ca="1" si="138"/>
        <v>210.3762375</v>
      </c>
    </row>
    <row r="498" spans="2:35" x14ac:dyDescent="0.15">
      <c r="B498" s="1" t="str">
        <f t="shared" si="133"/>
        <v>水系1</v>
      </c>
      <c r="C498" s="1">
        <f t="shared" si="143"/>
        <v>1</v>
      </c>
      <c r="D498" s="14" t="s">
        <v>95</v>
      </c>
      <c r="E498" s="14">
        <f t="shared" si="144"/>
        <v>6</v>
      </c>
      <c r="F498" s="1" t="str">
        <f t="shared" si="131"/>
        <v>冷却</v>
      </c>
      <c r="H498" s="1">
        <f t="shared" ca="1" si="132"/>
        <v>11.6833207784558</v>
      </c>
      <c r="I498" s="1">
        <f t="shared" ca="1" si="145"/>
        <v>150</v>
      </c>
      <c r="J498" s="1">
        <f t="shared" ca="1" si="145"/>
        <v>8.0843749999999996</v>
      </c>
      <c r="K498" s="1">
        <f t="shared" ca="1" si="145"/>
        <v>1.4166749999999999</v>
      </c>
      <c r="L498" s="1">
        <f t="shared" ca="1" si="145"/>
        <v>8.0843749999999996</v>
      </c>
      <c r="M498" s="1">
        <f t="shared" ca="1" si="145"/>
        <v>1.4166749999999999</v>
      </c>
      <c r="N498" s="1">
        <f t="shared" ca="1" si="145"/>
        <v>0.2</v>
      </c>
      <c r="O498" s="1">
        <f t="shared" ca="1" si="145"/>
        <v>0.2</v>
      </c>
      <c r="P498" s="1">
        <f t="shared" ca="1" si="145"/>
        <v>0.36</v>
      </c>
      <c r="Q498" s="1">
        <f t="shared" ca="1" si="145"/>
        <v>0.1</v>
      </c>
      <c r="R498" s="1">
        <f t="shared" ca="1" si="145"/>
        <v>2</v>
      </c>
      <c r="S498" s="1">
        <f t="shared" ca="1" si="146"/>
        <v>0.1</v>
      </c>
      <c r="T498" s="1">
        <f t="shared" ca="1" si="146"/>
        <v>0.9</v>
      </c>
      <c r="U498" s="1">
        <f t="shared" ca="1" si="146"/>
        <v>1.93333333333333</v>
      </c>
      <c r="V498" s="1">
        <f t="shared" ca="1" si="146"/>
        <v>0</v>
      </c>
      <c r="W498" s="1">
        <f t="shared" ca="1" si="146"/>
        <v>0</v>
      </c>
      <c r="X498" s="1">
        <f t="shared" ca="1" si="146"/>
        <v>6.0937500000000006E-2</v>
      </c>
      <c r="Y498" s="1">
        <f t="shared" ca="1" si="146"/>
        <v>0</v>
      </c>
      <c r="Z498" s="1">
        <f t="shared" ca="1" si="146"/>
        <v>0</v>
      </c>
      <c r="AA498" s="1">
        <f t="shared" ca="1" si="146"/>
        <v>0</v>
      </c>
      <c r="AB498" s="1">
        <f t="shared" ca="1" si="142"/>
        <v>0</v>
      </c>
      <c r="AC498" s="1">
        <f t="shared" ca="1" si="146"/>
        <v>1.4166749999999999</v>
      </c>
      <c r="AD498" s="1">
        <f t="shared" ca="1" si="146"/>
        <v>1.4166749999999999</v>
      </c>
      <c r="AE498" s="1">
        <f t="shared" ca="1" si="146"/>
        <v>2.1250125</v>
      </c>
      <c r="AF498" s="1">
        <f t="shared" ca="1" si="146"/>
        <v>1.4166749999999999</v>
      </c>
      <c r="AG498" s="1">
        <f t="shared" ca="1" si="146"/>
        <v>1.4166749999999999</v>
      </c>
      <c r="AH498" s="1">
        <f t="shared" ca="1" si="146"/>
        <v>1.4166749999999999</v>
      </c>
      <c r="AI498" s="1">
        <f t="shared" ca="1" si="138"/>
        <v>1.4166749999999999</v>
      </c>
    </row>
    <row r="499" spans="2:35" x14ac:dyDescent="0.15">
      <c r="B499" s="1" t="str">
        <f t="shared" si="133"/>
        <v>水系2</v>
      </c>
      <c r="C499" s="1">
        <f t="shared" si="143"/>
        <v>2</v>
      </c>
      <c r="D499" s="14" t="s">
        <v>95</v>
      </c>
      <c r="E499" s="14">
        <f t="shared" si="144"/>
        <v>6</v>
      </c>
      <c r="F499" s="1" t="str">
        <f t="shared" si="131"/>
        <v>冷却</v>
      </c>
      <c r="H499" s="1">
        <f t="shared" ca="1" si="132"/>
        <v>25.660820909772099</v>
      </c>
      <c r="I499" s="1">
        <f t="shared" ca="1" si="145"/>
        <v>150</v>
      </c>
      <c r="J499" s="1">
        <f t="shared" ca="1" si="145"/>
        <v>16.721476510067099</v>
      </c>
      <c r="K499" s="1">
        <f t="shared" ca="1" si="145"/>
        <v>2.8333499999999998</v>
      </c>
      <c r="L499" s="1">
        <f t="shared" ca="1" si="145"/>
        <v>16.721476510067099</v>
      </c>
      <c r="M499" s="1">
        <f t="shared" ca="1" si="145"/>
        <v>2.8333499999999998</v>
      </c>
      <c r="N499" s="1">
        <f t="shared" ca="1" si="145"/>
        <v>0.2</v>
      </c>
      <c r="O499" s="1">
        <f t="shared" ca="1" si="145"/>
        <v>0.2</v>
      </c>
      <c r="P499" s="1">
        <f t="shared" ca="1" si="145"/>
        <v>0.36</v>
      </c>
      <c r="Q499" s="1">
        <f t="shared" ca="1" si="145"/>
        <v>0.1</v>
      </c>
      <c r="R499" s="1">
        <f t="shared" ca="1" si="145"/>
        <v>2</v>
      </c>
      <c r="S499" s="1">
        <f t="shared" ca="1" si="146"/>
        <v>0.1</v>
      </c>
      <c r="T499" s="1">
        <f t="shared" ca="1" si="146"/>
        <v>0.9</v>
      </c>
      <c r="U499" s="1">
        <f t="shared" ca="1" si="146"/>
        <v>3.8666666666666698</v>
      </c>
      <c r="V499" s="1">
        <f t="shared" ca="1" si="146"/>
        <v>0</v>
      </c>
      <c r="W499" s="1">
        <f t="shared" ca="1" si="146"/>
        <v>0</v>
      </c>
      <c r="X499" s="1">
        <f t="shared" ca="1" si="146"/>
        <v>0.25335570469798652</v>
      </c>
      <c r="Y499" s="1">
        <f t="shared" ca="1" si="146"/>
        <v>0</v>
      </c>
      <c r="Z499" s="1">
        <f t="shared" ca="1" si="146"/>
        <v>0</v>
      </c>
      <c r="AA499" s="1">
        <f t="shared" ca="1" si="146"/>
        <v>0</v>
      </c>
      <c r="AB499" s="1">
        <f t="shared" ca="1" si="146"/>
        <v>0</v>
      </c>
      <c r="AC499" s="1">
        <f t="shared" ca="1" si="146"/>
        <v>2.8333499999999998</v>
      </c>
      <c r="AD499" s="1">
        <f t="shared" ca="1" si="146"/>
        <v>2.8333499999999998</v>
      </c>
      <c r="AE499" s="1">
        <f t="shared" ca="1" si="146"/>
        <v>4.2500249999999999</v>
      </c>
      <c r="AF499" s="1">
        <f t="shared" ca="1" si="146"/>
        <v>2.8333499999999998</v>
      </c>
      <c r="AG499" s="1">
        <f t="shared" ca="1" si="146"/>
        <v>2.8333499999999998</v>
      </c>
      <c r="AH499" s="1">
        <f t="shared" ca="1" si="146"/>
        <v>2.8333499999999998</v>
      </c>
      <c r="AI499" s="1">
        <f t="shared" ca="1" si="138"/>
        <v>2.8333499999999998</v>
      </c>
    </row>
    <row r="500" spans="2:35" x14ac:dyDescent="0.15">
      <c r="B500" s="1" t="str">
        <f t="shared" si="133"/>
        <v>水系3</v>
      </c>
      <c r="C500" s="1">
        <f t="shared" si="143"/>
        <v>3</v>
      </c>
      <c r="D500" s="14" t="s">
        <v>95</v>
      </c>
      <c r="E500" s="14">
        <f t="shared" si="144"/>
        <v>6</v>
      </c>
      <c r="F500" s="1" t="str">
        <f t="shared" si="131"/>
        <v>冷却</v>
      </c>
      <c r="H500" s="1">
        <f t="shared" ca="1" si="132"/>
        <v>41.974985196779599</v>
      </c>
      <c r="I500" s="1">
        <f t="shared" ca="1" si="145"/>
        <v>150</v>
      </c>
      <c r="J500" s="1">
        <f t="shared" ca="1" si="145"/>
        <v>25.956081081081098</v>
      </c>
      <c r="K500" s="1">
        <f t="shared" ca="1" si="145"/>
        <v>4.2500249999999999</v>
      </c>
      <c r="L500" s="1">
        <f t="shared" ca="1" si="145"/>
        <v>25.956081081081098</v>
      </c>
      <c r="M500" s="1">
        <f t="shared" ca="1" si="145"/>
        <v>4.2500249999999999</v>
      </c>
      <c r="N500" s="1">
        <f t="shared" ca="1" si="145"/>
        <v>0.2</v>
      </c>
      <c r="O500" s="1">
        <f t="shared" ca="1" si="145"/>
        <v>0.2</v>
      </c>
      <c r="P500" s="1">
        <f t="shared" ca="1" si="145"/>
        <v>0.36</v>
      </c>
      <c r="Q500" s="1">
        <f t="shared" ca="1" si="145"/>
        <v>0.1</v>
      </c>
      <c r="R500" s="1">
        <f t="shared" ca="1" si="145"/>
        <v>2</v>
      </c>
      <c r="S500" s="1">
        <f t="shared" ca="1" si="146"/>
        <v>0.1</v>
      </c>
      <c r="T500" s="1">
        <f t="shared" ca="1" si="146"/>
        <v>0.9</v>
      </c>
      <c r="U500" s="1">
        <f t="shared" ca="1" si="146"/>
        <v>5.8</v>
      </c>
      <c r="V500" s="1">
        <f t="shared" ca="1" si="146"/>
        <v>0</v>
      </c>
      <c r="W500" s="1">
        <f t="shared" ca="1" si="146"/>
        <v>0</v>
      </c>
      <c r="X500" s="1">
        <f t="shared" ca="1" si="146"/>
        <v>0.59290540540540504</v>
      </c>
      <c r="Y500" s="1">
        <f t="shared" ca="1" si="146"/>
        <v>0</v>
      </c>
      <c r="Z500" s="1">
        <f t="shared" ca="1" si="146"/>
        <v>0</v>
      </c>
      <c r="AA500" s="1">
        <f t="shared" ca="1" si="146"/>
        <v>0</v>
      </c>
      <c r="AB500" s="1">
        <f t="shared" ca="1" si="146"/>
        <v>0</v>
      </c>
      <c r="AC500" s="1">
        <f t="shared" ca="1" si="146"/>
        <v>4.2500249999999999</v>
      </c>
      <c r="AD500" s="1">
        <f t="shared" ca="1" si="146"/>
        <v>4.2500249999999999</v>
      </c>
      <c r="AE500" s="1">
        <f t="shared" ca="1" si="146"/>
        <v>6.3750374999999995</v>
      </c>
      <c r="AF500" s="1">
        <f t="shared" ca="1" si="146"/>
        <v>4.2500249999999999</v>
      </c>
      <c r="AG500" s="1">
        <f t="shared" ca="1" si="146"/>
        <v>4.2500249999999999</v>
      </c>
      <c r="AH500" s="1">
        <f t="shared" ca="1" si="146"/>
        <v>4.2500249999999999</v>
      </c>
      <c r="AI500" s="1">
        <f t="shared" ca="1" si="138"/>
        <v>4.2500249999999999</v>
      </c>
    </row>
    <row r="501" spans="2:35" x14ac:dyDescent="0.15">
      <c r="B501" s="1" t="str">
        <f t="shared" si="133"/>
        <v>水系4</v>
      </c>
      <c r="C501" s="1">
        <f t="shared" si="143"/>
        <v>4</v>
      </c>
      <c r="D501" s="14" t="s">
        <v>95</v>
      </c>
      <c r="E501" s="14">
        <f t="shared" si="144"/>
        <v>6</v>
      </c>
      <c r="F501" s="1" t="str">
        <f t="shared" si="131"/>
        <v>冷却</v>
      </c>
      <c r="H501" s="1">
        <f t="shared" ca="1" si="132"/>
        <v>60.668298442308902</v>
      </c>
      <c r="I501" s="1">
        <f t="shared" ca="1" si="145"/>
        <v>150</v>
      </c>
      <c r="J501" s="1">
        <f t="shared" ca="1" si="145"/>
        <v>35.837837837837803</v>
      </c>
      <c r="K501" s="1">
        <f t="shared" ca="1" si="145"/>
        <v>5.6666999999999996</v>
      </c>
      <c r="L501" s="1">
        <f t="shared" ca="1" si="145"/>
        <v>35.837837837837803</v>
      </c>
      <c r="M501" s="1">
        <f t="shared" ca="1" si="145"/>
        <v>5.6666999999999996</v>
      </c>
      <c r="N501" s="1">
        <f t="shared" ca="1" si="145"/>
        <v>0.2</v>
      </c>
      <c r="O501" s="1">
        <f t="shared" ca="1" si="145"/>
        <v>0.2</v>
      </c>
      <c r="P501" s="1">
        <f t="shared" ca="1" si="145"/>
        <v>0.36</v>
      </c>
      <c r="Q501" s="1">
        <f t="shared" ca="1" si="145"/>
        <v>0.1</v>
      </c>
      <c r="R501" s="1">
        <f t="shared" ca="1" si="145"/>
        <v>2</v>
      </c>
      <c r="S501" s="1">
        <f t="shared" ca="1" si="146"/>
        <v>0.1</v>
      </c>
      <c r="T501" s="1">
        <f t="shared" ca="1" si="146"/>
        <v>0.9</v>
      </c>
      <c r="U501" s="1">
        <f t="shared" ca="1" si="146"/>
        <v>7.7333333333333298</v>
      </c>
      <c r="V501" s="1">
        <f t="shared" ca="1" si="146"/>
        <v>0</v>
      </c>
      <c r="W501" s="1">
        <f t="shared" ca="1" si="146"/>
        <v>0</v>
      </c>
      <c r="X501" s="1">
        <f t="shared" ca="1" si="146"/>
        <v>1.09707666850524</v>
      </c>
      <c r="Y501" s="1">
        <f t="shared" ca="1" si="146"/>
        <v>0</v>
      </c>
      <c r="Z501" s="1">
        <f t="shared" ca="1" si="146"/>
        <v>0</v>
      </c>
      <c r="AA501" s="1">
        <f t="shared" ca="1" si="146"/>
        <v>0</v>
      </c>
      <c r="AB501" s="1">
        <f t="shared" ca="1" si="146"/>
        <v>0</v>
      </c>
      <c r="AC501" s="1">
        <f t="shared" ca="1" si="146"/>
        <v>5.6666999999999996</v>
      </c>
      <c r="AD501" s="1">
        <f t="shared" ca="1" si="146"/>
        <v>5.6666999999999996</v>
      </c>
      <c r="AE501" s="1">
        <f t="shared" ca="1" si="146"/>
        <v>8.5000499999999999</v>
      </c>
      <c r="AF501" s="1">
        <f t="shared" ca="1" si="146"/>
        <v>5.6666999999999996</v>
      </c>
      <c r="AG501" s="1">
        <f t="shared" ca="1" si="146"/>
        <v>5.6666999999999996</v>
      </c>
      <c r="AH501" s="1">
        <f t="shared" ca="1" si="146"/>
        <v>5.6666999999999996</v>
      </c>
      <c r="AI501" s="1">
        <f t="shared" ca="1" si="138"/>
        <v>5.6666999999999996</v>
      </c>
    </row>
    <row r="502" spans="2:35" x14ac:dyDescent="0.15">
      <c r="B502" s="1" t="str">
        <f t="shared" si="133"/>
        <v>水系5</v>
      </c>
      <c r="C502" s="1">
        <f t="shared" si="143"/>
        <v>5</v>
      </c>
      <c r="D502" s="14" t="s">
        <v>95</v>
      </c>
      <c r="E502" s="14">
        <f t="shared" si="144"/>
        <v>6</v>
      </c>
      <c r="F502" s="1" t="str">
        <f t="shared" si="131"/>
        <v>冷却</v>
      </c>
      <c r="H502" s="1">
        <f t="shared" ca="1" si="132"/>
        <v>81.783245449191</v>
      </c>
      <c r="I502" s="1">
        <f t="shared" ca="1" si="145"/>
        <v>150</v>
      </c>
      <c r="J502" s="1">
        <f t="shared" ca="1" si="145"/>
        <v>46.421946347031998</v>
      </c>
      <c r="K502" s="1">
        <f t="shared" ca="1" si="145"/>
        <v>7.0833750000000002</v>
      </c>
      <c r="L502" s="1">
        <f t="shared" ca="1" si="145"/>
        <v>46.421946347031998</v>
      </c>
      <c r="M502" s="1">
        <f t="shared" ca="1" si="145"/>
        <v>7.0833750000000002</v>
      </c>
      <c r="N502" s="1">
        <f t="shared" ca="1" si="145"/>
        <v>0.2</v>
      </c>
      <c r="O502" s="1">
        <f t="shared" ca="1" si="145"/>
        <v>0.2</v>
      </c>
      <c r="P502" s="1">
        <f t="shared" ca="1" si="145"/>
        <v>0.36</v>
      </c>
      <c r="Q502" s="1">
        <f t="shared" ca="1" si="145"/>
        <v>0.1</v>
      </c>
      <c r="R502" s="1">
        <f t="shared" ca="1" si="145"/>
        <v>2</v>
      </c>
      <c r="S502" s="1">
        <f t="shared" ca="1" si="146"/>
        <v>0.1</v>
      </c>
      <c r="T502" s="1">
        <f t="shared" ca="1" si="146"/>
        <v>0.9</v>
      </c>
      <c r="U502" s="1">
        <f t="shared" ca="1" si="146"/>
        <v>9.6666666666666696</v>
      </c>
      <c r="V502" s="1">
        <f t="shared" ca="1" si="146"/>
        <v>0</v>
      </c>
      <c r="W502" s="1">
        <f t="shared" ca="1" si="146"/>
        <v>0</v>
      </c>
      <c r="X502" s="1">
        <f t="shared" ca="1" si="146"/>
        <v>1.7854594748858401</v>
      </c>
      <c r="Y502" s="1">
        <f t="shared" ca="1" si="146"/>
        <v>0</v>
      </c>
      <c r="Z502" s="1">
        <f t="shared" ca="1" si="146"/>
        <v>0</v>
      </c>
      <c r="AA502" s="1">
        <f t="shared" ca="1" si="146"/>
        <v>0</v>
      </c>
      <c r="AB502" s="1">
        <f t="shared" ca="1" si="146"/>
        <v>0</v>
      </c>
      <c r="AC502" s="1">
        <f t="shared" ca="1" si="146"/>
        <v>7.0833750000000002</v>
      </c>
      <c r="AD502" s="1">
        <f t="shared" ca="1" si="146"/>
        <v>7.0833750000000002</v>
      </c>
      <c r="AE502" s="1">
        <f t="shared" ca="1" si="146"/>
        <v>10.6250625</v>
      </c>
      <c r="AF502" s="1">
        <f t="shared" ca="1" si="146"/>
        <v>7.0833750000000002</v>
      </c>
      <c r="AG502" s="1">
        <f t="shared" ca="1" si="146"/>
        <v>7.0833750000000002</v>
      </c>
      <c r="AH502" s="1">
        <f t="shared" ca="1" si="146"/>
        <v>7.0833750000000002</v>
      </c>
      <c r="AI502" s="1">
        <f t="shared" ca="1" si="138"/>
        <v>7.0833750000000002</v>
      </c>
    </row>
    <row r="503" spans="2:35" x14ac:dyDescent="0.15">
      <c r="B503" s="1" t="str">
        <f t="shared" si="133"/>
        <v>水系6</v>
      </c>
      <c r="C503" s="1">
        <f t="shared" si="143"/>
        <v>6</v>
      </c>
      <c r="D503" s="14" t="s">
        <v>95</v>
      </c>
      <c r="E503" s="14">
        <f t="shared" si="144"/>
        <v>6</v>
      </c>
      <c r="F503" s="1" t="str">
        <f t="shared" si="131"/>
        <v>冷却</v>
      </c>
      <c r="H503" s="1">
        <f t="shared" ca="1" si="132"/>
        <v>105.362311020256</v>
      </c>
      <c r="I503" s="1">
        <f t="shared" ref="I503:R512" ca="1" si="147">mVlookup($C503,monsterBaseDate,I$2,FALSE)*(1+mVlookup($E503,monsterType,I$2,FALSE))</f>
        <v>150</v>
      </c>
      <c r="J503" s="1">
        <f t="shared" ca="1" si="147"/>
        <v>57.7699507389163</v>
      </c>
      <c r="K503" s="1">
        <f t="shared" ca="1" si="147"/>
        <v>8.5000499999999999</v>
      </c>
      <c r="L503" s="1">
        <f t="shared" ca="1" si="147"/>
        <v>57.7699507389163</v>
      </c>
      <c r="M503" s="1">
        <f t="shared" ca="1" si="147"/>
        <v>8.5000499999999999</v>
      </c>
      <c r="N503" s="1">
        <f t="shared" ca="1" si="147"/>
        <v>0.2</v>
      </c>
      <c r="O503" s="1">
        <f t="shared" ca="1" si="147"/>
        <v>0.2</v>
      </c>
      <c r="P503" s="1">
        <f t="shared" ca="1" si="147"/>
        <v>0.36</v>
      </c>
      <c r="Q503" s="1">
        <f t="shared" ca="1" si="147"/>
        <v>0.1</v>
      </c>
      <c r="R503" s="1">
        <f t="shared" ca="1" si="147"/>
        <v>2</v>
      </c>
      <c r="S503" s="1">
        <f t="shared" ref="S503:AH518" ca="1" si="148">mVlookup($C503,monsterBaseDate,S$2,FALSE)*(1+mVlookup($E503,monsterType,S$2,FALSE))</f>
        <v>0.1</v>
      </c>
      <c r="T503" s="1">
        <f t="shared" ca="1" si="148"/>
        <v>0.9</v>
      </c>
      <c r="U503" s="1">
        <f t="shared" ca="1" si="148"/>
        <v>11.6</v>
      </c>
      <c r="V503" s="1">
        <f t="shared" ca="1" si="148"/>
        <v>0</v>
      </c>
      <c r="W503" s="1">
        <f t="shared" ca="1" si="148"/>
        <v>0</v>
      </c>
      <c r="X503" s="1">
        <f t="shared" ca="1" si="148"/>
        <v>2.6800492610837399</v>
      </c>
      <c r="Y503" s="1">
        <f t="shared" ca="1" si="148"/>
        <v>0</v>
      </c>
      <c r="Z503" s="1">
        <f t="shared" ca="1" si="148"/>
        <v>0</v>
      </c>
      <c r="AA503" s="1">
        <f t="shared" ca="1" si="148"/>
        <v>0</v>
      </c>
      <c r="AB503" s="1">
        <f t="shared" ca="1" si="146"/>
        <v>0</v>
      </c>
      <c r="AC503" s="1">
        <f t="shared" ca="1" si="148"/>
        <v>8.5000499999999999</v>
      </c>
      <c r="AD503" s="1">
        <f t="shared" ca="1" si="148"/>
        <v>8.5000499999999999</v>
      </c>
      <c r="AE503" s="1">
        <f t="shared" ca="1" si="148"/>
        <v>12.750074999999999</v>
      </c>
      <c r="AF503" s="1">
        <f t="shared" ca="1" si="148"/>
        <v>8.5000499999999999</v>
      </c>
      <c r="AG503" s="1">
        <f t="shared" ca="1" si="148"/>
        <v>8.5000499999999999</v>
      </c>
      <c r="AH503" s="1">
        <f t="shared" ca="1" si="148"/>
        <v>8.5000499999999999</v>
      </c>
      <c r="AI503" s="1">
        <f t="shared" ca="1" si="138"/>
        <v>8.5000499999999999</v>
      </c>
    </row>
    <row r="504" spans="2:35" x14ac:dyDescent="0.15">
      <c r="B504" s="1" t="str">
        <f t="shared" si="133"/>
        <v>水系7</v>
      </c>
      <c r="C504" s="1">
        <f t="shared" si="143"/>
        <v>7</v>
      </c>
      <c r="D504" s="14" t="s">
        <v>95</v>
      </c>
      <c r="E504" s="14">
        <f t="shared" si="144"/>
        <v>6</v>
      </c>
      <c r="F504" s="1" t="str">
        <f t="shared" si="131"/>
        <v>冷却</v>
      </c>
      <c r="H504" s="1">
        <f t="shared" ca="1" si="132"/>
        <v>131.44797995833599</v>
      </c>
      <c r="I504" s="1">
        <f t="shared" ca="1" si="147"/>
        <v>150</v>
      </c>
      <c r="J504" s="1">
        <f t="shared" ca="1" si="147"/>
        <v>67.952083333333306</v>
      </c>
      <c r="K504" s="1">
        <f t="shared" ca="1" si="147"/>
        <v>9.9167249999999996</v>
      </c>
      <c r="L504" s="1">
        <f t="shared" ca="1" si="147"/>
        <v>67.952083333333306</v>
      </c>
      <c r="M504" s="1">
        <f t="shared" ca="1" si="147"/>
        <v>9.9167249999999996</v>
      </c>
      <c r="N504" s="1">
        <f t="shared" ca="1" si="147"/>
        <v>0.2</v>
      </c>
      <c r="O504" s="1">
        <f t="shared" ca="1" si="147"/>
        <v>0.2</v>
      </c>
      <c r="P504" s="1">
        <f t="shared" ca="1" si="147"/>
        <v>0.36</v>
      </c>
      <c r="Q504" s="1">
        <f t="shared" ca="1" si="147"/>
        <v>0.1</v>
      </c>
      <c r="R504" s="1">
        <f t="shared" ca="1" si="147"/>
        <v>2</v>
      </c>
      <c r="S504" s="1">
        <f t="shared" ca="1" si="148"/>
        <v>0.1</v>
      </c>
      <c r="T504" s="1">
        <f t="shared" ca="1" si="148"/>
        <v>0.9</v>
      </c>
      <c r="U504" s="1">
        <f t="shared" ca="1" si="148"/>
        <v>13.533333333333299</v>
      </c>
      <c r="V504" s="1">
        <f t="shared" ca="1" si="148"/>
        <v>0</v>
      </c>
      <c r="W504" s="1">
        <f t="shared" ca="1" si="148"/>
        <v>0</v>
      </c>
      <c r="X504" s="1">
        <f t="shared" ca="1" si="148"/>
        <v>3.696874999999995</v>
      </c>
      <c r="Y504" s="1">
        <f t="shared" ca="1" si="148"/>
        <v>0</v>
      </c>
      <c r="Z504" s="1">
        <f t="shared" ca="1" si="148"/>
        <v>0</v>
      </c>
      <c r="AA504" s="1">
        <f t="shared" ca="1" si="148"/>
        <v>0</v>
      </c>
      <c r="AB504" s="1">
        <f t="shared" ca="1" si="146"/>
        <v>0</v>
      </c>
      <c r="AC504" s="1">
        <f t="shared" ca="1" si="148"/>
        <v>9.9167249999999996</v>
      </c>
      <c r="AD504" s="1">
        <f t="shared" ca="1" si="148"/>
        <v>9.9167249999999996</v>
      </c>
      <c r="AE504" s="1">
        <f t="shared" ca="1" si="148"/>
        <v>14.875087499999999</v>
      </c>
      <c r="AF504" s="1">
        <f t="shared" ca="1" si="148"/>
        <v>9.9167249999999996</v>
      </c>
      <c r="AG504" s="1">
        <f t="shared" ca="1" si="148"/>
        <v>9.9167249999999996</v>
      </c>
      <c r="AH504" s="1">
        <f t="shared" ca="1" si="148"/>
        <v>9.9167249999999996</v>
      </c>
      <c r="AI504" s="1">
        <f t="shared" ca="1" si="138"/>
        <v>9.9167249999999996</v>
      </c>
    </row>
    <row r="505" spans="2:35" x14ac:dyDescent="0.15">
      <c r="B505" s="1" t="str">
        <f t="shared" si="133"/>
        <v>水系8</v>
      </c>
      <c r="C505" s="1">
        <f t="shared" si="143"/>
        <v>8</v>
      </c>
      <c r="D505" s="14" t="s">
        <v>95</v>
      </c>
      <c r="E505" s="14">
        <f t="shared" si="144"/>
        <v>6</v>
      </c>
      <c r="F505" s="1" t="str">
        <f t="shared" si="131"/>
        <v>冷却</v>
      </c>
      <c r="H505" s="1">
        <f t="shared" ca="1" si="132"/>
        <v>160.08273706626099</v>
      </c>
      <c r="I505" s="1">
        <f t="shared" ca="1" si="147"/>
        <v>150</v>
      </c>
      <c r="J505" s="1">
        <f t="shared" ca="1" si="147"/>
        <v>78.296103896103901</v>
      </c>
      <c r="K505" s="1">
        <f t="shared" ca="1" si="147"/>
        <v>11.333399999999999</v>
      </c>
      <c r="L505" s="1">
        <f t="shared" ca="1" si="147"/>
        <v>78.296103896103901</v>
      </c>
      <c r="M505" s="1">
        <f t="shared" ca="1" si="147"/>
        <v>11.333399999999999</v>
      </c>
      <c r="N505" s="1">
        <f t="shared" ca="1" si="147"/>
        <v>0.2</v>
      </c>
      <c r="O505" s="1">
        <f t="shared" ca="1" si="147"/>
        <v>0.2</v>
      </c>
      <c r="P505" s="1">
        <f t="shared" ca="1" si="147"/>
        <v>0.36</v>
      </c>
      <c r="Q505" s="1">
        <f t="shared" ca="1" si="147"/>
        <v>0.1</v>
      </c>
      <c r="R505" s="1">
        <f t="shared" ca="1" si="147"/>
        <v>2</v>
      </c>
      <c r="S505" s="1">
        <f t="shared" ca="1" si="148"/>
        <v>0.1</v>
      </c>
      <c r="T505" s="1">
        <f t="shared" ca="1" si="148"/>
        <v>0.9</v>
      </c>
      <c r="U505" s="1">
        <f t="shared" ca="1" si="148"/>
        <v>15.466666666666701</v>
      </c>
      <c r="V505" s="1">
        <f t="shared" ca="1" si="148"/>
        <v>0</v>
      </c>
      <c r="W505" s="1">
        <f t="shared" ca="1" si="148"/>
        <v>0</v>
      </c>
      <c r="X505" s="1">
        <f t="shared" ca="1" si="148"/>
        <v>4.8935064935064894</v>
      </c>
      <c r="Y505" s="1">
        <f t="shared" ca="1" si="148"/>
        <v>0</v>
      </c>
      <c r="Z505" s="1">
        <f t="shared" ca="1" si="148"/>
        <v>0</v>
      </c>
      <c r="AA505" s="1">
        <f t="shared" ca="1" si="148"/>
        <v>0</v>
      </c>
      <c r="AB505" s="1">
        <f t="shared" ca="1" si="146"/>
        <v>0</v>
      </c>
      <c r="AC505" s="1">
        <f t="shared" ca="1" si="148"/>
        <v>11.333399999999999</v>
      </c>
      <c r="AD505" s="1">
        <f t="shared" ca="1" si="148"/>
        <v>11.333399999999999</v>
      </c>
      <c r="AE505" s="1">
        <f t="shared" ca="1" si="148"/>
        <v>17.0001</v>
      </c>
      <c r="AF505" s="1">
        <f t="shared" ca="1" si="148"/>
        <v>11.333399999999999</v>
      </c>
      <c r="AG505" s="1">
        <f t="shared" ca="1" si="148"/>
        <v>11.333399999999999</v>
      </c>
      <c r="AH505" s="1">
        <f t="shared" ca="1" si="148"/>
        <v>11.333399999999999</v>
      </c>
      <c r="AI505" s="1">
        <f t="shared" ca="1" si="138"/>
        <v>11.333399999999999</v>
      </c>
    </row>
    <row r="506" spans="2:35" x14ac:dyDescent="0.15">
      <c r="B506" s="1" t="str">
        <f t="shared" si="133"/>
        <v>水系9</v>
      </c>
      <c r="C506" s="1">
        <f t="shared" si="143"/>
        <v>9</v>
      </c>
      <c r="D506" s="14" t="s">
        <v>95</v>
      </c>
      <c r="E506" s="14">
        <f t="shared" si="144"/>
        <v>6</v>
      </c>
      <c r="F506" s="1" t="str">
        <f t="shared" si="131"/>
        <v>冷却</v>
      </c>
      <c r="H506" s="1">
        <f t="shared" ca="1" si="132"/>
        <v>191.309067146861</v>
      </c>
      <c r="I506" s="1">
        <f t="shared" ca="1" si="147"/>
        <v>150</v>
      </c>
      <c r="J506" s="1">
        <f t="shared" ca="1" si="147"/>
        <v>88.803470824949699</v>
      </c>
      <c r="K506" s="1">
        <f t="shared" ca="1" si="147"/>
        <v>12.750075000000001</v>
      </c>
      <c r="L506" s="1">
        <f t="shared" ca="1" si="147"/>
        <v>88.803470824949699</v>
      </c>
      <c r="M506" s="1">
        <f t="shared" ca="1" si="147"/>
        <v>12.750075000000001</v>
      </c>
      <c r="N506" s="1">
        <f t="shared" ca="1" si="147"/>
        <v>0.2</v>
      </c>
      <c r="O506" s="1">
        <f t="shared" ca="1" si="147"/>
        <v>0.2</v>
      </c>
      <c r="P506" s="1">
        <f t="shared" ca="1" si="147"/>
        <v>0.36</v>
      </c>
      <c r="Q506" s="1">
        <f t="shared" ca="1" si="147"/>
        <v>0.1</v>
      </c>
      <c r="R506" s="1">
        <f t="shared" ca="1" si="147"/>
        <v>2</v>
      </c>
      <c r="S506" s="1">
        <f t="shared" ca="1" si="148"/>
        <v>0.1</v>
      </c>
      <c r="T506" s="1">
        <f t="shared" ca="1" si="148"/>
        <v>0.9</v>
      </c>
      <c r="U506" s="1">
        <f t="shared" ca="1" si="148"/>
        <v>17.399999999999999</v>
      </c>
      <c r="V506" s="1">
        <f t="shared" ca="1" si="148"/>
        <v>0</v>
      </c>
      <c r="W506" s="1">
        <f t="shared" ca="1" si="148"/>
        <v>0</v>
      </c>
      <c r="X506" s="1">
        <f t="shared" ca="1" si="148"/>
        <v>6.2766851106639905</v>
      </c>
      <c r="Y506" s="1">
        <f t="shared" ca="1" si="148"/>
        <v>0</v>
      </c>
      <c r="Z506" s="1">
        <f t="shared" ca="1" si="148"/>
        <v>0</v>
      </c>
      <c r="AA506" s="1">
        <f t="shared" ca="1" si="148"/>
        <v>0</v>
      </c>
      <c r="AB506" s="1">
        <f t="shared" ca="1" si="146"/>
        <v>0</v>
      </c>
      <c r="AC506" s="1">
        <f t="shared" ca="1" si="148"/>
        <v>12.750075000000001</v>
      </c>
      <c r="AD506" s="1">
        <f t="shared" ca="1" si="148"/>
        <v>12.750075000000001</v>
      </c>
      <c r="AE506" s="1">
        <f t="shared" ca="1" si="148"/>
        <v>19.1251125</v>
      </c>
      <c r="AF506" s="1">
        <f t="shared" ca="1" si="148"/>
        <v>12.750075000000001</v>
      </c>
      <c r="AG506" s="1">
        <f t="shared" ca="1" si="148"/>
        <v>12.750075000000001</v>
      </c>
      <c r="AH506" s="1">
        <f t="shared" ca="1" si="148"/>
        <v>12.750075000000001</v>
      </c>
      <c r="AI506" s="1">
        <f t="shared" ca="1" si="138"/>
        <v>12.750075000000001</v>
      </c>
    </row>
    <row r="507" spans="2:35" x14ac:dyDescent="0.15">
      <c r="B507" s="1" t="str">
        <f t="shared" si="133"/>
        <v>水系10</v>
      </c>
      <c r="C507" s="1">
        <f t="shared" si="143"/>
        <v>10</v>
      </c>
      <c r="D507" s="14" t="s">
        <v>95</v>
      </c>
      <c r="E507" s="14">
        <f t="shared" si="144"/>
        <v>6</v>
      </c>
      <c r="F507" s="1" t="str">
        <f t="shared" si="131"/>
        <v>冷却</v>
      </c>
      <c r="H507" s="1">
        <f t="shared" ca="1" si="132"/>
        <v>225.169455002967</v>
      </c>
      <c r="I507" s="1">
        <f t="shared" ca="1" si="147"/>
        <v>150</v>
      </c>
      <c r="J507" s="1">
        <f t="shared" ca="1" si="147"/>
        <v>99.4756838905775</v>
      </c>
      <c r="K507" s="1">
        <f t="shared" ca="1" si="147"/>
        <v>14.16675</v>
      </c>
      <c r="L507" s="1">
        <f t="shared" ca="1" si="147"/>
        <v>99.4756838905775</v>
      </c>
      <c r="M507" s="1">
        <f t="shared" ca="1" si="147"/>
        <v>14.16675</v>
      </c>
      <c r="N507" s="1">
        <f t="shared" ca="1" si="147"/>
        <v>0.2</v>
      </c>
      <c r="O507" s="1">
        <f t="shared" ca="1" si="147"/>
        <v>0.2</v>
      </c>
      <c r="P507" s="1">
        <f t="shared" ca="1" si="147"/>
        <v>0.36</v>
      </c>
      <c r="Q507" s="1">
        <f t="shared" ca="1" si="147"/>
        <v>0.1</v>
      </c>
      <c r="R507" s="1">
        <f t="shared" ca="1" si="147"/>
        <v>2</v>
      </c>
      <c r="S507" s="1">
        <f t="shared" ca="1" si="148"/>
        <v>0.1</v>
      </c>
      <c r="T507" s="1">
        <f t="shared" ca="1" si="148"/>
        <v>0.9</v>
      </c>
      <c r="U507" s="1">
        <f t="shared" ca="1" si="148"/>
        <v>19.3333333333333</v>
      </c>
      <c r="V507" s="1">
        <f t="shared" ca="1" si="148"/>
        <v>0</v>
      </c>
      <c r="W507" s="1">
        <f t="shared" ca="1" si="148"/>
        <v>0</v>
      </c>
      <c r="X507" s="1">
        <f t="shared" ca="1" si="148"/>
        <v>7.8533434650456009</v>
      </c>
      <c r="Y507" s="1">
        <f t="shared" ca="1" si="148"/>
        <v>0</v>
      </c>
      <c r="Z507" s="1">
        <f t="shared" ca="1" si="148"/>
        <v>0</v>
      </c>
      <c r="AA507" s="1">
        <f t="shared" ca="1" si="148"/>
        <v>0</v>
      </c>
      <c r="AB507" s="1">
        <f t="shared" ca="1" si="146"/>
        <v>0</v>
      </c>
      <c r="AC507" s="1">
        <f t="shared" ca="1" si="148"/>
        <v>14.16675</v>
      </c>
      <c r="AD507" s="1">
        <f t="shared" ca="1" si="148"/>
        <v>14.16675</v>
      </c>
      <c r="AE507" s="1">
        <f t="shared" ca="1" si="148"/>
        <v>21.250125000000001</v>
      </c>
      <c r="AF507" s="1">
        <f t="shared" ca="1" si="148"/>
        <v>14.16675</v>
      </c>
      <c r="AG507" s="1">
        <f t="shared" ca="1" si="148"/>
        <v>14.16675</v>
      </c>
      <c r="AH507" s="1">
        <f t="shared" ca="1" si="148"/>
        <v>14.16675</v>
      </c>
      <c r="AI507" s="1">
        <f t="shared" ca="1" si="138"/>
        <v>14.16675</v>
      </c>
    </row>
    <row r="508" spans="2:35" x14ac:dyDescent="0.15">
      <c r="B508" s="1" t="str">
        <f t="shared" si="133"/>
        <v>水系11</v>
      </c>
      <c r="C508" s="1">
        <f t="shared" si="143"/>
        <v>11</v>
      </c>
      <c r="D508" s="14" t="s">
        <v>95</v>
      </c>
      <c r="E508" s="14">
        <f t="shared" si="144"/>
        <v>6</v>
      </c>
      <c r="F508" s="1" t="str">
        <f t="shared" si="131"/>
        <v>冷却</v>
      </c>
      <c r="H508" s="1">
        <f t="shared" ca="1" si="132"/>
        <v>249.24417660705799</v>
      </c>
      <c r="I508" s="1">
        <f t="shared" ca="1" si="147"/>
        <v>150</v>
      </c>
      <c r="J508" s="1">
        <f t="shared" ca="1" si="147"/>
        <v>110.314285714286</v>
      </c>
      <c r="K508" s="1">
        <f t="shared" ca="1" si="147"/>
        <v>15.583425</v>
      </c>
      <c r="L508" s="1">
        <f t="shared" ca="1" si="147"/>
        <v>110.314285714286</v>
      </c>
      <c r="M508" s="1">
        <f t="shared" ca="1" si="147"/>
        <v>15.583425</v>
      </c>
      <c r="N508" s="1">
        <f t="shared" ca="1" si="147"/>
        <v>0.2</v>
      </c>
      <c r="O508" s="1">
        <f t="shared" ca="1" si="147"/>
        <v>0.2</v>
      </c>
      <c r="P508" s="1">
        <f t="shared" ca="1" si="147"/>
        <v>0.36</v>
      </c>
      <c r="Q508" s="1">
        <f t="shared" ca="1" si="147"/>
        <v>0.1</v>
      </c>
      <c r="R508" s="1">
        <f t="shared" ca="1" si="147"/>
        <v>2</v>
      </c>
      <c r="S508" s="1">
        <f t="shared" ca="1" si="148"/>
        <v>0.1</v>
      </c>
      <c r="T508" s="1">
        <f t="shared" ca="1" si="148"/>
        <v>0.9</v>
      </c>
      <c r="U508" s="1">
        <f t="shared" ca="1" si="148"/>
        <v>21.266666666666701</v>
      </c>
      <c r="V508" s="1">
        <f t="shared" ca="1" si="148"/>
        <v>0</v>
      </c>
      <c r="W508" s="1">
        <f t="shared" ca="1" si="148"/>
        <v>0</v>
      </c>
      <c r="X508" s="1">
        <f t="shared" ca="1" si="148"/>
        <v>9.6306122448979643</v>
      </c>
      <c r="Y508" s="1">
        <f t="shared" ca="1" si="148"/>
        <v>0</v>
      </c>
      <c r="Z508" s="1">
        <f t="shared" ca="1" si="148"/>
        <v>0</v>
      </c>
      <c r="AA508" s="1">
        <f t="shared" ca="1" si="148"/>
        <v>0</v>
      </c>
      <c r="AB508" s="1">
        <f t="shared" ca="1" si="146"/>
        <v>0</v>
      </c>
      <c r="AC508" s="1">
        <f t="shared" ca="1" si="148"/>
        <v>15.583425</v>
      </c>
      <c r="AD508" s="1">
        <f t="shared" ca="1" si="148"/>
        <v>15.583425</v>
      </c>
      <c r="AE508" s="1">
        <f t="shared" ca="1" si="148"/>
        <v>23.375137500000001</v>
      </c>
      <c r="AF508" s="1">
        <f t="shared" ca="1" si="148"/>
        <v>15.583425</v>
      </c>
      <c r="AG508" s="1">
        <f t="shared" ca="1" si="148"/>
        <v>15.583425</v>
      </c>
      <c r="AH508" s="1">
        <f t="shared" ca="1" si="148"/>
        <v>15.583425</v>
      </c>
      <c r="AI508" s="1">
        <f t="shared" ca="1" si="138"/>
        <v>15.583425</v>
      </c>
    </row>
    <row r="509" spans="2:35" x14ac:dyDescent="0.15">
      <c r="B509" s="1" t="str">
        <f t="shared" si="133"/>
        <v>水系12</v>
      </c>
      <c r="C509" s="1">
        <f t="shared" si="143"/>
        <v>12</v>
      </c>
      <c r="D509" s="14" t="s">
        <v>95</v>
      </c>
      <c r="E509" s="14">
        <f t="shared" si="144"/>
        <v>6</v>
      </c>
      <c r="F509" s="1" t="str">
        <f t="shared" si="131"/>
        <v>冷却</v>
      </c>
      <c r="H509" s="1">
        <f t="shared" ca="1" si="132"/>
        <v>283.638742464666</v>
      </c>
      <c r="I509" s="1">
        <f t="shared" ca="1" si="147"/>
        <v>150</v>
      </c>
      <c r="J509" s="1">
        <f t="shared" ca="1" si="147"/>
        <v>121.320863309353</v>
      </c>
      <c r="K509" s="1">
        <f t="shared" ca="1" si="147"/>
        <v>17.0001</v>
      </c>
      <c r="L509" s="1">
        <f t="shared" ca="1" si="147"/>
        <v>121.320863309353</v>
      </c>
      <c r="M509" s="1">
        <f t="shared" ca="1" si="147"/>
        <v>17.0001</v>
      </c>
      <c r="N509" s="1">
        <f t="shared" ca="1" si="147"/>
        <v>0.2</v>
      </c>
      <c r="O509" s="1">
        <f t="shared" ca="1" si="147"/>
        <v>0.2</v>
      </c>
      <c r="P509" s="1">
        <f t="shared" ca="1" si="147"/>
        <v>0.36</v>
      </c>
      <c r="Q509" s="1">
        <f t="shared" ca="1" si="147"/>
        <v>0.1</v>
      </c>
      <c r="R509" s="1">
        <f t="shared" ca="1" si="147"/>
        <v>2</v>
      </c>
      <c r="S509" s="1">
        <f t="shared" ca="1" si="148"/>
        <v>0.1</v>
      </c>
      <c r="T509" s="1">
        <f t="shared" ca="1" si="148"/>
        <v>0.9</v>
      </c>
      <c r="U509" s="1">
        <f t="shared" ca="1" si="148"/>
        <v>23.2</v>
      </c>
      <c r="V509" s="1">
        <f t="shared" ca="1" si="148"/>
        <v>0</v>
      </c>
      <c r="W509" s="1">
        <f t="shared" ca="1" si="148"/>
        <v>0</v>
      </c>
      <c r="X509" s="1">
        <f t="shared" ca="1" si="148"/>
        <v>11.615827338129495</v>
      </c>
      <c r="Y509" s="1">
        <f t="shared" ca="1" si="148"/>
        <v>0</v>
      </c>
      <c r="Z509" s="1">
        <f t="shared" ca="1" si="148"/>
        <v>0</v>
      </c>
      <c r="AA509" s="1">
        <f t="shared" ca="1" si="148"/>
        <v>0</v>
      </c>
      <c r="AB509" s="1">
        <f t="shared" ca="1" si="148"/>
        <v>0</v>
      </c>
      <c r="AC509" s="1">
        <f t="shared" ca="1" si="148"/>
        <v>17.0001</v>
      </c>
      <c r="AD509" s="1">
        <f t="shared" ca="1" si="148"/>
        <v>17.0001</v>
      </c>
      <c r="AE509" s="1">
        <f t="shared" ca="1" si="148"/>
        <v>25.500149999999998</v>
      </c>
      <c r="AF509" s="1">
        <f t="shared" ca="1" si="148"/>
        <v>17.0001</v>
      </c>
      <c r="AG509" s="1">
        <f t="shared" ca="1" si="148"/>
        <v>17.0001</v>
      </c>
      <c r="AH509" s="1">
        <f t="shared" ca="1" si="148"/>
        <v>17.0001</v>
      </c>
      <c r="AI509" s="1">
        <f t="shared" ca="1" si="138"/>
        <v>17.0001</v>
      </c>
    </row>
    <row r="510" spans="2:35" x14ac:dyDescent="0.15">
      <c r="B510" s="1" t="str">
        <f t="shared" si="133"/>
        <v>水系13</v>
      </c>
      <c r="C510" s="1">
        <f t="shared" si="143"/>
        <v>13</v>
      </c>
      <c r="D510" s="14" t="s">
        <v>95</v>
      </c>
      <c r="E510" s="14">
        <f t="shared" si="144"/>
        <v>6</v>
      </c>
      <c r="F510" s="1" t="str">
        <f t="shared" si="131"/>
        <v>冷却</v>
      </c>
      <c r="H510" s="1">
        <f t="shared" ca="1" si="132"/>
        <v>309.183846599682</v>
      </c>
      <c r="I510" s="1">
        <f t="shared" ca="1" si="147"/>
        <v>150</v>
      </c>
      <c r="J510" s="1">
        <f t="shared" ca="1" si="147"/>
        <v>132.49704968944101</v>
      </c>
      <c r="K510" s="1">
        <f t="shared" ca="1" si="147"/>
        <v>18.416775000000001</v>
      </c>
      <c r="L510" s="1">
        <f t="shared" ca="1" si="147"/>
        <v>132.49704968944101</v>
      </c>
      <c r="M510" s="1">
        <f t="shared" ca="1" si="147"/>
        <v>18.416775000000001</v>
      </c>
      <c r="N510" s="1">
        <f t="shared" ca="1" si="147"/>
        <v>0.2</v>
      </c>
      <c r="O510" s="1">
        <f t="shared" ca="1" si="147"/>
        <v>0.2</v>
      </c>
      <c r="P510" s="1">
        <f t="shared" ca="1" si="147"/>
        <v>0.36</v>
      </c>
      <c r="Q510" s="1">
        <f t="shared" ca="1" si="147"/>
        <v>0.1</v>
      </c>
      <c r="R510" s="1">
        <f t="shared" ca="1" si="147"/>
        <v>2</v>
      </c>
      <c r="S510" s="1">
        <f t="shared" ca="1" si="148"/>
        <v>0.1</v>
      </c>
      <c r="T510" s="1">
        <f t="shared" ca="1" si="148"/>
        <v>0.9</v>
      </c>
      <c r="U510" s="1">
        <f t="shared" ca="1" si="148"/>
        <v>25.133333333333301</v>
      </c>
      <c r="V510" s="1">
        <f t="shared" ca="1" si="148"/>
        <v>0</v>
      </c>
      <c r="W510" s="1">
        <f t="shared" ca="1" si="148"/>
        <v>0</v>
      </c>
      <c r="X510" s="1">
        <f t="shared" ca="1" si="148"/>
        <v>13.816537267080751</v>
      </c>
      <c r="Y510" s="1">
        <f t="shared" ca="1" si="148"/>
        <v>0</v>
      </c>
      <c r="Z510" s="1">
        <f t="shared" ca="1" si="148"/>
        <v>0</v>
      </c>
      <c r="AA510" s="1">
        <f t="shared" ca="1" si="148"/>
        <v>0</v>
      </c>
      <c r="AB510" s="1">
        <f t="shared" ca="1" si="148"/>
        <v>0</v>
      </c>
      <c r="AC510" s="1">
        <f t="shared" ca="1" si="148"/>
        <v>18.416775000000001</v>
      </c>
      <c r="AD510" s="1">
        <f t="shared" ca="1" si="148"/>
        <v>18.416775000000001</v>
      </c>
      <c r="AE510" s="1">
        <f t="shared" ca="1" si="148"/>
        <v>27.625162500000002</v>
      </c>
      <c r="AF510" s="1">
        <f t="shared" ca="1" si="148"/>
        <v>18.416775000000001</v>
      </c>
      <c r="AG510" s="1">
        <f t="shared" ca="1" si="148"/>
        <v>18.416775000000001</v>
      </c>
      <c r="AH510" s="1">
        <f t="shared" ca="1" si="148"/>
        <v>18.416775000000001</v>
      </c>
      <c r="AI510" s="1">
        <f t="shared" ca="1" si="138"/>
        <v>18.416775000000001</v>
      </c>
    </row>
    <row r="511" spans="2:35" x14ac:dyDescent="0.15">
      <c r="B511" s="1" t="str">
        <f t="shared" si="133"/>
        <v>水系14</v>
      </c>
      <c r="C511" s="1">
        <f t="shared" si="143"/>
        <v>14</v>
      </c>
      <c r="D511" s="14" t="s">
        <v>95</v>
      </c>
      <c r="E511" s="14">
        <f t="shared" si="144"/>
        <v>6</v>
      </c>
      <c r="F511" s="1" t="str">
        <f t="shared" si="131"/>
        <v>冷却</v>
      </c>
      <c r="H511" s="1">
        <f t="shared" ca="1" si="132"/>
        <v>335.02257262130797</v>
      </c>
      <c r="I511" s="1">
        <f t="shared" ca="1" si="147"/>
        <v>150</v>
      </c>
      <c r="J511" s="1">
        <f t="shared" ca="1" si="147"/>
        <v>143.84452554744499</v>
      </c>
      <c r="K511" s="1">
        <f t="shared" ca="1" si="147"/>
        <v>19.833449999999999</v>
      </c>
      <c r="L511" s="1">
        <f t="shared" ca="1" si="147"/>
        <v>143.84452554744499</v>
      </c>
      <c r="M511" s="1">
        <f t="shared" ca="1" si="147"/>
        <v>19.833449999999999</v>
      </c>
      <c r="N511" s="1">
        <f t="shared" ca="1" si="147"/>
        <v>0.2</v>
      </c>
      <c r="O511" s="1">
        <f t="shared" ca="1" si="147"/>
        <v>0.2</v>
      </c>
      <c r="P511" s="1">
        <f t="shared" ca="1" si="147"/>
        <v>0.36</v>
      </c>
      <c r="Q511" s="1">
        <f t="shared" ca="1" si="147"/>
        <v>0.1</v>
      </c>
      <c r="R511" s="1">
        <f t="shared" ca="1" si="147"/>
        <v>2</v>
      </c>
      <c r="S511" s="1">
        <f t="shared" ca="1" si="148"/>
        <v>0.1</v>
      </c>
      <c r="T511" s="1">
        <f t="shared" ca="1" si="148"/>
        <v>0.9</v>
      </c>
      <c r="U511" s="1">
        <f t="shared" ca="1" si="148"/>
        <v>27.066666666666698</v>
      </c>
      <c r="V511" s="1">
        <f t="shared" ca="1" si="148"/>
        <v>0</v>
      </c>
      <c r="W511" s="1">
        <f t="shared" ca="1" si="148"/>
        <v>0</v>
      </c>
      <c r="X511" s="1">
        <f t="shared" ca="1" si="148"/>
        <v>16.24051094890515</v>
      </c>
      <c r="Y511" s="1">
        <f t="shared" ca="1" si="148"/>
        <v>0</v>
      </c>
      <c r="Z511" s="1">
        <f t="shared" ca="1" si="148"/>
        <v>0</v>
      </c>
      <c r="AA511" s="1">
        <f t="shared" ca="1" si="148"/>
        <v>0</v>
      </c>
      <c r="AB511" s="1">
        <f t="shared" ca="1" si="148"/>
        <v>0</v>
      </c>
      <c r="AC511" s="1">
        <f t="shared" ca="1" si="148"/>
        <v>19.833449999999999</v>
      </c>
      <c r="AD511" s="1">
        <f t="shared" ca="1" si="148"/>
        <v>19.833449999999999</v>
      </c>
      <c r="AE511" s="1">
        <f t="shared" ca="1" si="148"/>
        <v>29.750174999999999</v>
      </c>
      <c r="AF511" s="1">
        <f t="shared" ca="1" si="148"/>
        <v>19.833449999999999</v>
      </c>
      <c r="AG511" s="1">
        <f t="shared" ca="1" si="148"/>
        <v>19.833449999999999</v>
      </c>
      <c r="AH511" s="1">
        <f t="shared" ca="1" si="148"/>
        <v>19.833449999999999</v>
      </c>
      <c r="AI511" s="1">
        <f t="shared" ca="1" si="138"/>
        <v>19.833449999999999</v>
      </c>
    </row>
    <row r="512" spans="2:35" x14ac:dyDescent="0.15">
      <c r="B512" s="1" t="str">
        <f t="shared" si="133"/>
        <v>水系15</v>
      </c>
      <c r="C512" s="1">
        <f t="shared" si="143"/>
        <v>15</v>
      </c>
      <c r="D512" s="14" t="s">
        <v>95</v>
      </c>
      <c r="E512" s="14">
        <f t="shared" si="144"/>
        <v>6</v>
      </c>
      <c r="F512" s="1" t="str">
        <f t="shared" si="131"/>
        <v>冷却</v>
      </c>
      <c r="H512" s="1">
        <f t="shared" ca="1" si="132"/>
        <v>361.15492052954301</v>
      </c>
      <c r="I512" s="1">
        <f t="shared" ca="1" si="147"/>
        <v>150</v>
      </c>
      <c r="J512" s="1">
        <f t="shared" ca="1" si="147"/>
        <v>155.365021008403</v>
      </c>
      <c r="K512" s="1">
        <f t="shared" ca="1" si="147"/>
        <v>21.250125000000001</v>
      </c>
      <c r="L512" s="1">
        <f t="shared" ca="1" si="147"/>
        <v>155.365021008403</v>
      </c>
      <c r="M512" s="1">
        <f t="shared" ca="1" si="147"/>
        <v>21.250125000000001</v>
      </c>
      <c r="N512" s="1">
        <f t="shared" ca="1" si="147"/>
        <v>0.2</v>
      </c>
      <c r="O512" s="1">
        <f t="shared" ca="1" si="147"/>
        <v>0.2</v>
      </c>
      <c r="P512" s="1">
        <f t="shared" ca="1" si="147"/>
        <v>0.36</v>
      </c>
      <c r="Q512" s="1">
        <f t="shared" ca="1" si="147"/>
        <v>0.1</v>
      </c>
      <c r="R512" s="1">
        <f t="shared" ca="1" si="147"/>
        <v>2</v>
      </c>
      <c r="S512" s="1">
        <f t="shared" ca="1" si="148"/>
        <v>0.1</v>
      </c>
      <c r="T512" s="1">
        <f t="shared" ca="1" si="148"/>
        <v>0.9</v>
      </c>
      <c r="U512" s="1">
        <f t="shared" ca="1" si="148"/>
        <v>29</v>
      </c>
      <c r="V512" s="1">
        <f t="shared" ca="1" si="148"/>
        <v>0</v>
      </c>
      <c r="W512" s="1">
        <f t="shared" ca="1" si="148"/>
        <v>0</v>
      </c>
      <c r="X512" s="1">
        <f t="shared" ca="1" si="148"/>
        <v>18.8957457983193</v>
      </c>
      <c r="Y512" s="1">
        <f t="shared" ca="1" si="148"/>
        <v>0</v>
      </c>
      <c r="Z512" s="1">
        <f t="shared" ca="1" si="148"/>
        <v>0</v>
      </c>
      <c r="AA512" s="1">
        <f t="shared" ca="1" si="148"/>
        <v>0</v>
      </c>
      <c r="AB512" s="1">
        <f t="shared" ca="1" si="148"/>
        <v>0</v>
      </c>
      <c r="AC512" s="1">
        <f t="shared" ca="1" si="148"/>
        <v>21.250125000000001</v>
      </c>
      <c r="AD512" s="1">
        <f t="shared" ca="1" si="148"/>
        <v>21.250125000000001</v>
      </c>
      <c r="AE512" s="1">
        <f t="shared" ca="1" si="148"/>
        <v>31.875187500000003</v>
      </c>
      <c r="AF512" s="1">
        <f t="shared" ca="1" si="148"/>
        <v>21.250125000000001</v>
      </c>
      <c r="AG512" s="1">
        <f t="shared" ca="1" si="148"/>
        <v>21.250125000000001</v>
      </c>
      <c r="AH512" s="1">
        <f t="shared" ca="1" si="148"/>
        <v>21.250125000000001</v>
      </c>
      <c r="AI512" s="1">
        <f t="shared" ca="1" si="138"/>
        <v>21.250125000000001</v>
      </c>
    </row>
    <row r="513" spans="2:35" x14ac:dyDescent="0.15">
      <c r="B513" s="1" t="str">
        <f t="shared" si="133"/>
        <v>水系16</v>
      </c>
      <c r="C513" s="1">
        <f t="shared" si="143"/>
        <v>16</v>
      </c>
      <c r="D513" s="14" t="s">
        <v>95</v>
      </c>
      <c r="E513" s="14">
        <f t="shared" si="144"/>
        <v>6</v>
      </c>
      <c r="F513" s="1" t="str">
        <f t="shared" si="131"/>
        <v>冷却</v>
      </c>
      <c r="H513" s="1">
        <f t="shared" ca="1" si="132"/>
        <v>387.58089032438801</v>
      </c>
      <c r="I513" s="1">
        <f t="shared" ref="I513:R522" ca="1" si="149">mVlookup($C513,monsterBaseDate,I$2,FALSE)*(1+mVlookup($E513,monsterType,I$2,FALSE))</f>
        <v>150</v>
      </c>
      <c r="J513" s="1">
        <f t="shared" ca="1" si="149"/>
        <v>167.06031746031701</v>
      </c>
      <c r="K513" s="1">
        <f t="shared" ca="1" si="149"/>
        <v>22.666799999999999</v>
      </c>
      <c r="L513" s="1">
        <f t="shared" ca="1" si="149"/>
        <v>167.06031746031701</v>
      </c>
      <c r="M513" s="1">
        <f t="shared" ca="1" si="149"/>
        <v>22.666799999999999</v>
      </c>
      <c r="N513" s="1">
        <f t="shared" ca="1" si="149"/>
        <v>0.2</v>
      </c>
      <c r="O513" s="1">
        <f t="shared" ca="1" si="149"/>
        <v>0.2</v>
      </c>
      <c r="P513" s="1">
        <f t="shared" ca="1" si="149"/>
        <v>0.36</v>
      </c>
      <c r="Q513" s="1">
        <f t="shared" ca="1" si="149"/>
        <v>0.1</v>
      </c>
      <c r="R513" s="1">
        <f t="shared" ca="1" si="149"/>
        <v>2</v>
      </c>
      <c r="S513" s="1">
        <f t="shared" ref="S513:AH528" ca="1" si="150">mVlookup($C513,monsterBaseDate,S$2,FALSE)*(1+mVlookup($E513,monsterType,S$2,FALSE))</f>
        <v>0.1</v>
      </c>
      <c r="T513" s="1">
        <f t="shared" ca="1" si="150"/>
        <v>0.9</v>
      </c>
      <c r="U513" s="1">
        <f t="shared" ca="1" si="150"/>
        <v>30.933333333333302</v>
      </c>
      <c r="V513" s="1">
        <f t="shared" ca="1" si="150"/>
        <v>0</v>
      </c>
      <c r="W513" s="1">
        <f t="shared" ca="1" si="150"/>
        <v>0</v>
      </c>
      <c r="X513" s="1">
        <f t="shared" ca="1" si="150"/>
        <v>21.790476190476149</v>
      </c>
      <c r="Y513" s="1">
        <f t="shared" ca="1" si="150"/>
        <v>0</v>
      </c>
      <c r="Z513" s="1">
        <f t="shared" ca="1" si="150"/>
        <v>0</v>
      </c>
      <c r="AA513" s="1">
        <f t="shared" ca="1" si="150"/>
        <v>0</v>
      </c>
      <c r="AB513" s="1">
        <f t="shared" ca="1" si="148"/>
        <v>0</v>
      </c>
      <c r="AC513" s="1">
        <f t="shared" ca="1" si="150"/>
        <v>22.666799999999999</v>
      </c>
      <c r="AD513" s="1">
        <f t="shared" ca="1" si="150"/>
        <v>22.666799999999999</v>
      </c>
      <c r="AE513" s="1">
        <f t="shared" ca="1" si="150"/>
        <v>34.0002</v>
      </c>
      <c r="AF513" s="1">
        <f t="shared" ca="1" si="150"/>
        <v>22.666799999999999</v>
      </c>
      <c r="AG513" s="1">
        <f t="shared" ca="1" si="150"/>
        <v>22.666799999999999</v>
      </c>
      <c r="AH513" s="1">
        <f t="shared" ca="1" si="150"/>
        <v>22.666799999999999</v>
      </c>
      <c r="AI513" s="1">
        <f t="shared" ca="1" si="138"/>
        <v>22.666799999999999</v>
      </c>
    </row>
    <row r="514" spans="2:35" x14ac:dyDescent="0.15">
      <c r="B514" s="1" t="str">
        <f t="shared" si="133"/>
        <v>水系17</v>
      </c>
      <c r="C514" s="1">
        <f t="shared" si="143"/>
        <v>17</v>
      </c>
      <c r="D514" s="14" t="s">
        <v>95</v>
      </c>
      <c r="E514" s="14">
        <f t="shared" si="144"/>
        <v>6</v>
      </c>
      <c r="F514" s="1" t="str">
        <f t="shared" si="131"/>
        <v>冷却</v>
      </c>
      <c r="H514" s="1">
        <f t="shared" ca="1" si="132"/>
        <v>414.30048200584201</v>
      </c>
      <c r="I514" s="1">
        <f t="shared" ca="1" si="149"/>
        <v>150</v>
      </c>
      <c r="J514" s="1">
        <f t="shared" ca="1" si="149"/>
        <v>178.93224946695099</v>
      </c>
      <c r="K514" s="1">
        <f t="shared" ca="1" si="149"/>
        <v>24.083475</v>
      </c>
      <c r="L514" s="1">
        <f t="shared" ca="1" si="149"/>
        <v>178.93224946695099</v>
      </c>
      <c r="M514" s="1">
        <f t="shared" ca="1" si="149"/>
        <v>24.083475</v>
      </c>
      <c r="N514" s="1">
        <f t="shared" ca="1" si="149"/>
        <v>0.2</v>
      </c>
      <c r="O514" s="1">
        <f t="shared" ca="1" si="149"/>
        <v>0.2</v>
      </c>
      <c r="P514" s="1">
        <f t="shared" ca="1" si="149"/>
        <v>0.36</v>
      </c>
      <c r="Q514" s="1">
        <f t="shared" ca="1" si="149"/>
        <v>0.1</v>
      </c>
      <c r="R514" s="1">
        <f t="shared" ca="1" si="149"/>
        <v>2</v>
      </c>
      <c r="S514" s="1">
        <f t="shared" ca="1" si="150"/>
        <v>0.1</v>
      </c>
      <c r="T514" s="1">
        <f t="shared" ca="1" si="150"/>
        <v>0.9</v>
      </c>
      <c r="U514" s="1">
        <f t="shared" ca="1" si="150"/>
        <v>32.866666666666703</v>
      </c>
      <c r="V514" s="1">
        <f t="shared" ca="1" si="150"/>
        <v>0</v>
      </c>
      <c r="W514" s="1">
        <f t="shared" ca="1" si="150"/>
        <v>0</v>
      </c>
      <c r="X514" s="1">
        <f t="shared" ca="1" si="150"/>
        <v>24.933182302771801</v>
      </c>
      <c r="Y514" s="1">
        <f t="shared" ca="1" si="150"/>
        <v>0</v>
      </c>
      <c r="Z514" s="1">
        <f t="shared" ca="1" si="150"/>
        <v>0</v>
      </c>
      <c r="AA514" s="1">
        <f t="shared" ca="1" si="150"/>
        <v>0</v>
      </c>
      <c r="AB514" s="1">
        <f t="shared" ca="1" si="148"/>
        <v>0</v>
      </c>
      <c r="AC514" s="1">
        <f t="shared" ca="1" si="150"/>
        <v>24.083475</v>
      </c>
      <c r="AD514" s="1">
        <f t="shared" ca="1" si="150"/>
        <v>24.083475</v>
      </c>
      <c r="AE514" s="1">
        <f t="shared" ca="1" si="150"/>
        <v>36.125212500000004</v>
      </c>
      <c r="AF514" s="1">
        <f t="shared" ca="1" si="150"/>
        <v>24.083475</v>
      </c>
      <c r="AG514" s="1">
        <f t="shared" ca="1" si="150"/>
        <v>24.083475</v>
      </c>
      <c r="AH514" s="1">
        <f t="shared" ca="1" si="150"/>
        <v>24.083475</v>
      </c>
      <c r="AI514" s="1">
        <f t="shared" ca="1" si="138"/>
        <v>24.083475</v>
      </c>
    </row>
    <row r="515" spans="2:35" x14ac:dyDescent="0.15">
      <c r="B515" s="1" t="str">
        <f t="shared" si="133"/>
        <v>水系18</v>
      </c>
      <c r="C515" s="1">
        <f t="shared" si="143"/>
        <v>18</v>
      </c>
      <c r="D515" s="14" t="s">
        <v>95</v>
      </c>
      <c r="E515" s="14">
        <f t="shared" si="144"/>
        <v>6</v>
      </c>
      <c r="F515" s="1" t="str">
        <f t="shared" ref="F515:F578" si="151">VLOOKUP(E515,monsterType,4,FALSE)</f>
        <v>冷却</v>
      </c>
      <c r="H515" s="1">
        <f t="shared" ref="H515:H578" ca="1" si="152">mVlookup(C515,monsterBaseDate,H$2,FALSE)*(1+mVlookup(E515,monsterType,H$2,FALSE))*(1+mVlookup(C515,monsterHpRevise,D515,FALSE))</f>
        <v>441.31369557390599</v>
      </c>
      <c r="I515" s="1">
        <f t="shared" ca="1" si="149"/>
        <v>150</v>
      </c>
      <c r="J515" s="1">
        <f t="shared" ca="1" si="149"/>
        <v>190.982706766917</v>
      </c>
      <c r="K515" s="1">
        <f t="shared" ca="1" si="149"/>
        <v>25.500150000000001</v>
      </c>
      <c r="L515" s="1">
        <f t="shared" ca="1" si="149"/>
        <v>190.982706766917</v>
      </c>
      <c r="M515" s="1">
        <f t="shared" ca="1" si="149"/>
        <v>25.500150000000001</v>
      </c>
      <c r="N515" s="1">
        <f t="shared" ca="1" si="149"/>
        <v>0.2</v>
      </c>
      <c r="O515" s="1">
        <f t="shared" ca="1" si="149"/>
        <v>0.2</v>
      </c>
      <c r="P515" s="1">
        <f t="shared" ca="1" si="149"/>
        <v>0.36</v>
      </c>
      <c r="Q515" s="1">
        <f t="shared" ca="1" si="149"/>
        <v>0.1</v>
      </c>
      <c r="R515" s="1">
        <f t="shared" ca="1" si="149"/>
        <v>2</v>
      </c>
      <c r="S515" s="1">
        <f t="shared" ca="1" si="150"/>
        <v>0.1</v>
      </c>
      <c r="T515" s="1">
        <f t="shared" ca="1" si="150"/>
        <v>0.9</v>
      </c>
      <c r="U515" s="1">
        <f t="shared" ca="1" si="150"/>
        <v>34.799999999999997</v>
      </c>
      <c r="V515" s="1">
        <f t="shared" ca="1" si="150"/>
        <v>0</v>
      </c>
      <c r="W515" s="1">
        <f t="shared" ca="1" si="150"/>
        <v>0</v>
      </c>
      <c r="X515" s="1">
        <f t="shared" ca="1" si="150"/>
        <v>28.332599355531752</v>
      </c>
      <c r="Y515" s="1">
        <f t="shared" ca="1" si="150"/>
        <v>0</v>
      </c>
      <c r="Z515" s="1">
        <f t="shared" ca="1" si="150"/>
        <v>0</v>
      </c>
      <c r="AA515" s="1">
        <f t="shared" ca="1" si="150"/>
        <v>0</v>
      </c>
      <c r="AB515" s="1">
        <f t="shared" ca="1" si="148"/>
        <v>0</v>
      </c>
      <c r="AC515" s="1">
        <f t="shared" ca="1" si="150"/>
        <v>25.500150000000001</v>
      </c>
      <c r="AD515" s="1">
        <f t="shared" ca="1" si="150"/>
        <v>25.500150000000001</v>
      </c>
      <c r="AE515" s="1">
        <f t="shared" ca="1" si="150"/>
        <v>38.250225</v>
      </c>
      <c r="AF515" s="1">
        <f t="shared" ca="1" si="150"/>
        <v>25.500150000000001</v>
      </c>
      <c r="AG515" s="1">
        <f t="shared" ca="1" si="150"/>
        <v>25.500150000000001</v>
      </c>
      <c r="AH515" s="1">
        <f t="shared" ca="1" si="150"/>
        <v>25.500150000000001</v>
      </c>
      <c r="AI515" s="1">
        <f t="shared" ca="1" si="138"/>
        <v>25.500150000000001</v>
      </c>
    </row>
    <row r="516" spans="2:35" x14ac:dyDescent="0.15">
      <c r="B516" s="1" t="str">
        <f t="shared" ref="B516:B579" si="153">D516&amp;C516</f>
        <v>水系19</v>
      </c>
      <c r="C516" s="1">
        <f t="shared" si="143"/>
        <v>19</v>
      </c>
      <c r="D516" s="14" t="s">
        <v>95</v>
      </c>
      <c r="E516" s="14">
        <f t="shared" si="144"/>
        <v>6</v>
      </c>
      <c r="F516" s="1" t="str">
        <f t="shared" si="151"/>
        <v>冷却</v>
      </c>
      <c r="H516" s="1">
        <f t="shared" ca="1" si="152"/>
        <v>468.620531028578</v>
      </c>
      <c r="I516" s="1">
        <f t="shared" ca="1" si="149"/>
        <v>150</v>
      </c>
      <c r="J516" s="1">
        <f t="shared" ca="1" si="149"/>
        <v>203.213636363636</v>
      </c>
      <c r="K516" s="1">
        <f t="shared" ca="1" si="149"/>
        <v>26.916824999999999</v>
      </c>
      <c r="L516" s="1">
        <f t="shared" ca="1" si="149"/>
        <v>203.213636363636</v>
      </c>
      <c r="M516" s="1">
        <f t="shared" ca="1" si="149"/>
        <v>26.916824999999999</v>
      </c>
      <c r="N516" s="1">
        <f t="shared" ca="1" si="149"/>
        <v>0.2</v>
      </c>
      <c r="O516" s="1">
        <f t="shared" ca="1" si="149"/>
        <v>0.2</v>
      </c>
      <c r="P516" s="1">
        <f t="shared" ca="1" si="149"/>
        <v>0.36</v>
      </c>
      <c r="Q516" s="1">
        <f t="shared" ca="1" si="149"/>
        <v>0.1</v>
      </c>
      <c r="R516" s="1">
        <f t="shared" ca="1" si="149"/>
        <v>2</v>
      </c>
      <c r="S516" s="1">
        <f t="shared" ca="1" si="150"/>
        <v>0.1</v>
      </c>
      <c r="T516" s="1">
        <f t="shared" ca="1" si="150"/>
        <v>0.9</v>
      </c>
      <c r="U516" s="1">
        <f t="shared" ca="1" si="150"/>
        <v>36.733333333333299</v>
      </c>
      <c r="V516" s="1">
        <f t="shared" ca="1" si="150"/>
        <v>0</v>
      </c>
      <c r="W516" s="1">
        <f t="shared" ca="1" si="150"/>
        <v>0</v>
      </c>
      <c r="X516" s="1">
        <f t="shared" ca="1" si="150"/>
        <v>31.9977272727273</v>
      </c>
      <c r="Y516" s="1">
        <f t="shared" ca="1" si="150"/>
        <v>0</v>
      </c>
      <c r="Z516" s="1">
        <f t="shared" ca="1" si="150"/>
        <v>0</v>
      </c>
      <c r="AA516" s="1">
        <f t="shared" ca="1" si="150"/>
        <v>0</v>
      </c>
      <c r="AB516" s="1">
        <f t="shared" ca="1" si="148"/>
        <v>0</v>
      </c>
      <c r="AC516" s="1">
        <f t="shared" ca="1" si="150"/>
        <v>26.916824999999999</v>
      </c>
      <c r="AD516" s="1">
        <f t="shared" ca="1" si="150"/>
        <v>26.916824999999999</v>
      </c>
      <c r="AE516" s="1">
        <f t="shared" ca="1" si="150"/>
        <v>40.375237499999997</v>
      </c>
      <c r="AF516" s="1">
        <f t="shared" ca="1" si="150"/>
        <v>26.916824999999999</v>
      </c>
      <c r="AG516" s="1">
        <f t="shared" ca="1" si="150"/>
        <v>26.916824999999999</v>
      </c>
      <c r="AH516" s="1">
        <f t="shared" ca="1" si="150"/>
        <v>26.916824999999999</v>
      </c>
      <c r="AI516" s="1">
        <f t="shared" ca="1" si="138"/>
        <v>26.916824999999999</v>
      </c>
    </row>
    <row r="517" spans="2:35" x14ac:dyDescent="0.15">
      <c r="B517" s="1" t="str">
        <f t="shared" si="153"/>
        <v>水系20</v>
      </c>
      <c r="C517" s="1">
        <f t="shared" si="143"/>
        <v>20</v>
      </c>
      <c r="D517" s="14" t="s">
        <v>95</v>
      </c>
      <c r="E517" s="14">
        <f t="shared" si="144"/>
        <v>6</v>
      </c>
      <c r="F517" s="1" t="str">
        <f t="shared" si="151"/>
        <v>冷却</v>
      </c>
      <c r="H517" s="1">
        <f t="shared" ca="1" si="152"/>
        <v>496.22098836985998</v>
      </c>
      <c r="I517" s="1">
        <f t="shared" ca="1" si="149"/>
        <v>150</v>
      </c>
      <c r="J517" s="1">
        <f t="shared" ca="1" si="149"/>
        <v>215.62704471101401</v>
      </c>
      <c r="K517" s="1">
        <f t="shared" ca="1" si="149"/>
        <v>28.333500000000001</v>
      </c>
      <c r="L517" s="1">
        <f t="shared" ca="1" si="149"/>
        <v>215.62704471101401</v>
      </c>
      <c r="M517" s="1">
        <f t="shared" ca="1" si="149"/>
        <v>28.333500000000001</v>
      </c>
      <c r="N517" s="1">
        <f t="shared" ca="1" si="149"/>
        <v>0.2</v>
      </c>
      <c r="O517" s="1">
        <f t="shared" ca="1" si="149"/>
        <v>0.2</v>
      </c>
      <c r="P517" s="1">
        <f t="shared" ca="1" si="149"/>
        <v>0.36</v>
      </c>
      <c r="Q517" s="1">
        <f t="shared" ca="1" si="149"/>
        <v>0.1</v>
      </c>
      <c r="R517" s="1">
        <f t="shared" ca="1" si="149"/>
        <v>2</v>
      </c>
      <c r="S517" s="1">
        <f t="shared" ca="1" si="150"/>
        <v>0.1</v>
      </c>
      <c r="T517" s="1">
        <f t="shared" ca="1" si="150"/>
        <v>0.9</v>
      </c>
      <c r="U517" s="1">
        <f t="shared" ca="1" si="150"/>
        <v>38.6666666666667</v>
      </c>
      <c r="V517" s="1">
        <f t="shared" ca="1" si="150"/>
        <v>0</v>
      </c>
      <c r="W517" s="1">
        <f t="shared" ca="1" si="150"/>
        <v>0</v>
      </c>
      <c r="X517" s="1">
        <f t="shared" ca="1" si="150"/>
        <v>35.937840785169001</v>
      </c>
      <c r="Y517" s="1">
        <f t="shared" ca="1" si="150"/>
        <v>0</v>
      </c>
      <c r="Z517" s="1">
        <f t="shared" ca="1" si="150"/>
        <v>0</v>
      </c>
      <c r="AA517" s="1">
        <f t="shared" ca="1" si="150"/>
        <v>0</v>
      </c>
      <c r="AB517" s="1">
        <f t="shared" ca="1" si="148"/>
        <v>0</v>
      </c>
      <c r="AC517" s="1">
        <f t="shared" ca="1" si="150"/>
        <v>28.333500000000001</v>
      </c>
      <c r="AD517" s="1">
        <f t="shared" ca="1" si="150"/>
        <v>28.333500000000001</v>
      </c>
      <c r="AE517" s="1">
        <f t="shared" ca="1" si="150"/>
        <v>42.500250000000001</v>
      </c>
      <c r="AF517" s="1">
        <f t="shared" ca="1" si="150"/>
        <v>28.333500000000001</v>
      </c>
      <c r="AG517" s="1">
        <f t="shared" ca="1" si="150"/>
        <v>28.333500000000001</v>
      </c>
      <c r="AH517" s="1">
        <f t="shared" ca="1" si="150"/>
        <v>28.333500000000001</v>
      </c>
      <c r="AI517" s="1">
        <f t="shared" ca="1" si="138"/>
        <v>28.333500000000001</v>
      </c>
    </row>
    <row r="518" spans="2:35" x14ac:dyDescent="0.15">
      <c r="B518" s="1" t="str">
        <f t="shared" si="153"/>
        <v>水系21</v>
      </c>
      <c r="C518" s="1">
        <f t="shared" si="143"/>
        <v>21</v>
      </c>
      <c r="D518" s="14" t="s">
        <v>95</v>
      </c>
      <c r="E518" s="14">
        <f t="shared" si="144"/>
        <v>6</v>
      </c>
      <c r="F518" s="1" t="str">
        <f t="shared" si="151"/>
        <v>冷却</v>
      </c>
      <c r="H518" s="1">
        <f t="shared" ca="1" si="152"/>
        <v>524.11506759775205</v>
      </c>
      <c r="I518" s="1">
        <f t="shared" ca="1" si="149"/>
        <v>150</v>
      </c>
      <c r="J518" s="1">
        <f t="shared" ca="1" si="149"/>
        <v>228.22499999999999</v>
      </c>
      <c r="K518" s="1">
        <f t="shared" ca="1" si="149"/>
        <v>29.750174999999999</v>
      </c>
      <c r="L518" s="1">
        <f t="shared" ca="1" si="149"/>
        <v>228.22499999999999</v>
      </c>
      <c r="M518" s="1">
        <f t="shared" ca="1" si="149"/>
        <v>29.750174999999999</v>
      </c>
      <c r="N518" s="1">
        <f t="shared" ca="1" si="149"/>
        <v>0.2</v>
      </c>
      <c r="O518" s="1">
        <f t="shared" ca="1" si="149"/>
        <v>0.2</v>
      </c>
      <c r="P518" s="1">
        <f t="shared" ca="1" si="149"/>
        <v>0.36</v>
      </c>
      <c r="Q518" s="1">
        <f t="shared" ca="1" si="149"/>
        <v>0.1</v>
      </c>
      <c r="R518" s="1">
        <f t="shared" ca="1" si="149"/>
        <v>2</v>
      </c>
      <c r="S518" s="1">
        <f t="shared" ca="1" si="150"/>
        <v>0.1</v>
      </c>
      <c r="T518" s="1">
        <f t="shared" ca="1" si="150"/>
        <v>0.9</v>
      </c>
      <c r="U518" s="1">
        <f t="shared" ca="1" si="150"/>
        <v>40.6</v>
      </c>
      <c r="V518" s="1">
        <f t="shared" ca="1" si="150"/>
        <v>0</v>
      </c>
      <c r="W518" s="1">
        <f t="shared" ca="1" si="150"/>
        <v>0</v>
      </c>
      <c r="X518" s="1">
        <f t="shared" ca="1" si="150"/>
        <v>40.162499999999994</v>
      </c>
      <c r="Y518" s="1">
        <f t="shared" ca="1" si="150"/>
        <v>0</v>
      </c>
      <c r="Z518" s="1">
        <f t="shared" ca="1" si="150"/>
        <v>0</v>
      </c>
      <c r="AA518" s="1">
        <f t="shared" ca="1" si="150"/>
        <v>0</v>
      </c>
      <c r="AB518" s="1">
        <f t="shared" ca="1" si="148"/>
        <v>0</v>
      </c>
      <c r="AC518" s="1">
        <f t="shared" ca="1" si="150"/>
        <v>29.750174999999999</v>
      </c>
      <c r="AD518" s="1">
        <f t="shared" ca="1" si="150"/>
        <v>29.750174999999999</v>
      </c>
      <c r="AE518" s="1">
        <f t="shared" ca="1" si="150"/>
        <v>44.625262499999998</v>
      </c>
      <c r="AF518" s="1">
        <f t="shared" ca="1" si="150"/>
        <v>29.750174999999999</v>
      </c>
      <c r="AG518" s="1">
        <f t="shared" ca="1" si="150"/>
        <v>29.750174999999999</v>
      </c>
      <c r="AH518" s="1">
        <f t="shared" ca="1" si="150"/>
        <v>29.750174999999999</v>
      </c>
      <c r="AI518" s="1">
        <f t="shared" ca="1" si="138"/>
        <v>29.750174999999999</v>
      </c>
    </row>
    <row r="519" spans="2:35" x14ac:dyDescent="0.15">
      <c r="B519" s="1" t="str">
        <f t="shared" si="153"/>
        <v>水系22</v>
      </c>
      <c r="C519" s="1">
        <f t="shared" si="143"/>
        <v>22</v>
      </c>
      <c r="D519" s="14" t="s">
        <v>95</v>
      </c>
      <c r="E519" s="14">
        <f t="shared" si="144"/>
        <v>6</v>
      </c>
      <c r="F519" s="1" t="str">
        <f t="shared" si="151"/>
        <v>冷却</v>
      </c>
      <c r="H519" s="1">
        <f t="shared" ca="1" si="152"/>
        <v>552.30276871225306</v>
      </c>
      <c r="I519" s="1">
        <f t="shared" ca="1" si="149"/>
        <v>150</v>
      </c>
      <c r="J519" s="1">
        <f t="shared" ca="1" si="149"/>
        <v>241.009634551495</v>
      </c>
      <c r="K519" s="1">
        <f t="shared" ca="1" si="149"/>
        <v>31.16685</v>
      </c>
      <c r="L519" s="1">
        <f t="shared" ca="1" si="149"/>
        <v>241.009634551495</v>
      </c>
      <c r="M519" s="1">
        <f t="shared" ca="1" si="149"/>
        <v>31.16685</v>
      </c>
      <c r="N519" s="1">
        <f t="shared" ca="1" si="149"/>
        <v>0.2</v>
      </c>
      <c r="O519" s="1">
        <f t="shared" ca="1" si="149"/>
        <v>0.2</v>
      </c>
      <c r="P519" s="1">
        <f t="shared" ca="1" si="149"/>
        <v>0.36</v>
      </c>
      <c r="Q519" s="1">
        <f t="shared" ca="1" si="149"/>
        <v>0.1</v>
      </c>
      <c r="R519" s="1">
        <f t="shared" ca="1" si="149"/>
        <v>2</v>
      </c>
      <c r="S519" s="1">
        <f t="shared" ca="1" si="150"/>
        <v>0.1</v>
      </c>
      <c r="T519" s="1">
        <f t="shared" ca="1" si="150"/>
        <v>0.9</v>
      </c>
      <c r="U519" s="1">
        <f t="shared" ca="1" si="150"/>
        <v>42.533333333333303</v>
      </c>
      <c r="V519" s="1">
        <f t="shared" ca="1" si="150"/>
        <v>0</v>
      </c>
      <c r="W519" s="1">
        <f t="shared" ca="1" si="150"/>
        <v>0</v>
      </c>
      <c r="X519" s="1">
        <f t="shared" ca="1" si="150"/>
        <v>44.681561461794004</v>
      </c>
      <c r="Y519" s="1">
        <f t="shared" ca="1" si="150"/>
        <v>0</v>
      </c>
      <c r="Z519" s="1">
        <f t="shared" ca="1" si="150"/>
        <v>0</v>
      </c>
      <c r="AA519" s="1">
        <f t="shared" ca="1" si="150"/>
        <v>0</v>
      </c>
      <c r="AB519" s="1">
        <f t="shared" ca="1" si="150"/>
        <v>0</v>
      </c>
      <c r="AC519" s="1">
        <f t="shared" ca="1" si="150"/>
        <v>31.16685</v>
      </c>
      <c r="AD519" s="1">
        <f t="shared" ca="1" si="150"/>
        <v>31.16685</v>
      </c>
      <c r="AE519" s="1">
        <f t="shared" ca="1" si="150"/>
        <v>46.750275000000002</v>
      </c>
      <c r="AF519" s="1">
        <f t="shared" ca="1" si="150"/>
        <v>31.16685</v>
      </c>
      <c r="AG519" s="1">
        <f t="shared" ca="1" si="150"/>
        <v>31.16685</v>
      </c>
      <c r="AH519" s="1">
        <f t="shared" ca="1" si="150"/>
        <v>31.16685</v>
      </c>
      <c r="AI519" s="1">
        <f t="shared" ca="1" si="138"/>
        <v>31.16685</v>
      </c>
    </row>
    <row r="520" spans="2:35" x14ac:dyDescent="0.15">
      <c r="B520" s="1" t="str">
        <f t="shared" si="153"/>
        <v>水系23</v>
      </c>
      <c r="C520" s="1">
        <f t="shared" si="143"/>
        <v>23</v>
      </c>
      <c r="D520" s="14" t="s">
        <v>95</v>
      </c>
      <c r="E520" s="14">
        <f t="shared" si="144"/>
        <v>6</v>
      </c>
      <c r="F520" s="1" t="str">
        <f t="shared" si="151"/>
        <v>冷却</v>
      </c>
      <c r="H520" s="1">
        <f t="shared" ca="1" si="152"/>
        <v>602.50505466107904</v>
      </c>
      <c r="I520" s="1">
        <f t="shared" ca="1" si="149"/>
        <v>150</v>
      </c>
      <c r="J520" s="1">
        <f t="shared" ca="1" si="149"/>
        <v>253.98314732142899</v>
      </c>
      <c r="K520" s="1">
        <f t="shared" ca="1" si="149"/>
        <v>32.583525000000002</v>
      </c>
      <c r="L520" s="1">
        <f t="shared" ca="1" si="149"/>
        <v>253.98314732142899</v>
      </c>
      <c r="M520" s="1">
        <f t="shared" ca="1" si="149"/>
        <v>32.583525000000002</v>
      </c>
      <c r="N520" s="1">
        <f t="shared" ca="1" si="149"/>
        <v>0.2</v>
      </c>
      <c r="O520" s="1">
        <f t="shared" ca="1" si="149"/>
        <v>0.2</v>
      </c>
      <c r="P520" s="1">
        <f t="shared" ca="1" si="149"/>
        <v>0.36</v>
      </c>
      <c r="Q520" s="1">
        <f t="shared" ca="1" si="149"/>
        <v>0.1</v>
      </c>
      <c r="R520" s="1">
        <f t="shared" ca="1" si="149"/>
        <v>2</v>
      </c>
      <c r="S520" s="1">
        <f t="shared" ca="1" si="150"/>
        <v>0.1</v>
      </c>
      <c r="T520" s="1">
        <f t="shared" ca="1" si="150"/>
        <v>0.9</v>
      </c>
      <c r="U520" s="1">
        <f t="shared" ca="1" si="150"/>
        <v>44.466666666666697</v>
      </c>
      <c r="V520" s="1">
        <f t="shared" ca="1" si="150"/>
        <v>0</v>
      </c>
      <c r="W520" s="1">
        <f t="shared" ca="1" si="150"/>
        <v>0</v>
      </c>
      <c r="X520" s="1">
        <f t="shared" ca="1" si="150"/>
        <v>49.505189732142895</v>
      </c>
      <c r="Y520" s="1">
        <f t="shared" ca="1" si="150"/>
        <v>0</v>
      </c>
      <c r="Z520" s="1">
        <f t="shared" ca="1" si="150"/>
        <v>0</v>
      </c>
      <c r="AA520" s="1">
        <f t="shared" ca="1" si="150"/>
        <v>0</v>
      </c>
      <c r="AB520" s="1">
        <f t="shared" ca="1" si="150"/>
        <v>0</v>
      </c>
      <c r="AC520" s="1">
        <f t="shared" ca="1" si="150"/>
        <v>32.583525000000002</v>
      </c>
      <c r="AD520" s="1">
        <f t="shared" ca="1" si="150"/>
        <v>32.583525000000002</v>
      </c>
      <c r="AE520" s="1">
        <f t="shared" ca="1" si="150"/>
        <v>48.875287499999999</v>
      </c>
      <c r="AF520" s="1">
        <f t="shared" ca="1" si="150"/>
        <v>32.583525000000002</v>
      </c>
      <c r="AG520" s="1">
        <f t="shared" ca="1" si="150"/>
        <v>32.583525000000002</v>
      </c>
      <c r="AH520" s="1">
        <f t="shared" ca="1" si="150"/>
        <v>32.583525000000002</v>
      </c>
      <c r="AI520" s="1">
        <f t="shared" ca="1" si="138"/>
        <v>32.583525000000002</v>
      </c>
    </row>
    <row r="521" spans="2:35" x14ac:dyDescent="0.15">
      <c r="B521" s="1" t="str">
        <f t="shared" si="153"/>
        <v>水系24</v>
      </c>
      <c r="C521" s="1">
        <f t="shared" si="143"/>
        <v>24</v>
      </c>
      <c r="D521" s="14" t="s">
        <v>95</v>
      </c>
      <c r="E521" s="14">
        <f t="shared" si="144"/>
        <v>6</v>
      </c>
      <c r="F521" s="1" t="str">
        <f t="shared" si="151"/>
        <v>冷却</v>
      </c>
      <c r="H521" s="1">
        <f t="shared" ca="1" si="152"/>
        <v>632.35616454823003</v>
      </c>
      <c r="I521" s="1">
        <f t="shared" ca="1" si="149"/>
        <v>150</v>
      </c>
      <c r="J521" s="1">
        <f t="shared" ca="1" si="149"/>
        <v>267.14780652418398</v>
      </c>
      <c r="K521" s="1">
        <f t="shared" ca="1" si="149"/>
        <v>34.0002</v>
      </c>
      <c r="L521" s="1">
        <f t="shared" ca="1" si="149"/>
        <v>267.14780652418398</v>
      </c>
      <c r="M521" s="1">
        <f t="shared" ca="1" si="149"/>
        <v>34.0002</v>
      </c>
      <c r="N521" s="1">
        <f t="shared" ca="1" si="149"/>
        <v>0.2</v>
      </c>
      <c r="O521" s="1">
        <f t="shared" ca="1" si="149"/>
        <v>0.2</v>
      </c>
      <c r="P521" s="1">
        <f t="shared" ca="1" si="149"/>
        <v>0.36</v>
      </c>
      <c r="Q521" s="1">
        <f t="shared" ca="1" si="149"/>
        <v>0.1</v>
      </c>
      <c r="R521" s="1">
        <f t="shared" ca="1" si="149"/>
        <v>2</v>
      </c>
      <c r="S521" s="1">
        <f t="shared" ca="1" si="150"/>
        <v>0.1</v>
      </c>
      <c r="T521" s="1">
        <f t="shared" ca="1" si="150"/>
        <v>0.9</v>
      </c>
      <c r="U521" s="1">
        <f t="shared" ca="1" si="150"/>
        <v>46.4</v>
      </c>
      <c r="V521" s="1">
        <f t="shared" ca="1" si="150"/>
        <v>0</v>
      </c>
      <c r="W521" s="1">
        <f t="shared" ca="1" si="150"/>
        <v>0</v>
      </c>
      <c r="X521" s="1">
        <f t="shared" ca="1" si="150"/>
        <v>54.643869516310502</v>
      </c>
      <c r="Y521" s="1">
        <f t="shared" ca="1" si="150"/>
        <v>0</v>
      </c>
      <c r="Z521" s="1">
        <f t="shared" ca="1" si="150"/>
        <v>0</v>
      </c>
      <c r="AA521" s="1">
        <f t="shared" ca="1" si="150"/>
        <v>0</v>
      </c>
      <c r="AB521" s="1">
        <f t="shared" ca="1" si="150"/>
        <v>0</v>
      </c>
      <c r="AC521" s="1">
        <f t="shared" ca="1" si="150"/>
        <v>34.0002</v>
      </c>
      <c r="AD521" s="1">
        <f t="shared" ca="1" si="150"/>
        <v>34.0002</v>
      </c>
      <c r="AE521" s="1">
        <f t="shared" ca="1" si="150"/>
        <v>51.000299999999996</v>
      </c>
      <c r="AF521" s="1">
        <f t="shared" ca="1" si="150"/>
        <v>34.0002</v>
      </c>
      <c r="AG521" s="1">
        <f t="shared" ca="1" si="150"/>
        <v>34.0002</v>
      </c>
      <c r="AH521" s="1">
        <f t="shared" ca="1" si="150"/>
        <v>34.0002</v>
      </c>
      <c r="AI521" s="1">
        <f t="shared" ca="1" si="138"/>
        <v>34.0002</v>
      </c>
    </row>
    <row r="522" spans="2:35" x14ac:dyDescent="0.15">
      <c r="B522" s="1" t="str">
        <f t="shared" si="153"/>
        <v>水系25</v>
      </c>
      <c r="C522" s="1">
        <f t="shared" si="143"/>
        <v>25</v>
      </c>
      <c r="D522" s="14" t="s">
        <v>95</v>
      </c>
      <c r="E522" s="14">
        <f t="shared" si="144"/>
        <v>6</v>
      </c>
      <c r="F522" s="1" t="str">
        <f t="shared" si="151"/>
        <v>冷却</v>
      </c>
      <c r="H522" s="1">
        <f t="shared" ca="1" si="152"/>
        <v>662.51187759749598</v>
      </c>
      <c r="I522" s="1">
        <f t="shared" ca="1" si="149"/>
        <v>150</v>
      </c>
      <c r="J522" s="1">
        <f t="shared" ca="1" si="149"/>
        <v>280.50595238095201</v>
      </c>
      <c r="K522" s="1">
        <f t="shared" ca="1" si="149"/>
        <v>35.416874999999997</v>
      </c>
      <c r="L522" s="1">
        <f t="shared" ca="1" si="149"/>
        <v>280.50595238095201</v>
      </c>
      <c r="M522" s="1">
        <f t="shared" ca="1" si="149"/>
        <v>35.416874999999997</v>
      </c>
      <c r="N522" s="1">
        <f t="shared" ca="1" si="149"/>
        <v>0.2</v>
      </c>
      <c r="O522" s="1">
        <f t="shared" ca="1" si="149"/>
        <v>0.2</v>
      </c>
      <c r="P522" s="1">
        <f t="shared" ca="1" si="149"/>
        <v>0.36</v>
      </c>
      <c r="Q522" s="1">
        <f t="shared" ca="1" si="149"/>
        <v>0.1</v>
      </c>
      <c r="R522" s="1">
        <f t="shared" ca="1" si="149"/>
        <v>2</v>
      </c>
      <c r="S522" s="1">
        <f t="shared" ca="1" si="150"/>
        <v>0.1</v>
      </c>
      <c r="T522" s="1">
        <f t="shared" ca="1" si="150"/>
        <v>0.9</v>
      </c>
      <c r="U522" s="1">
        <f t="shared" ca="1" si="150"/>
        <v>48.3333333333333</v>
      </c>
      <c r="V522" s="1">
        <f t="shared" ca="1" si="150"/>
        <v>0</v>
      </c>
      <c r="W522" s="1">
        <f t="shared" ca="1" si="150"/>
        <v>0</v>
      </c>
      <c r="X522" s="1">
        <f t="shared" ca="1" si="150"/>
        <v>60.1084183673469</v>
      </c>
      <c r="Y522" s="1">
        <f t="shared" ca="1" si="150"/>
        <v>0</v>
      </c>
      <c r="Z522" s="1">
        <f t="shared" ca="1" si="150"/>
        <v>0</v>
      </c>
      <c r="AA522" s="1">
        <f t="shared" ca="1" si="150"/>
        <v>0</v>
      </c>
      <c r="AB522" s="1">
        <f t="shared" ca="1" si="150"/>
        <v>0</v>
      </c>
      <c r="AC522" s="1">
        <f t="shared" ca="1" si="150"/>
        <v>35.416874999999997</v>
      </c>
      <c r="AD522" s="1">
        <f t="shared" ca="1" si="150"/>
        <v>35.416874999999997</v>
      </c>
      <c r="AE522" s="1">
        <f t="shared" ca="1" si="150"/>
        <v>53.125312499999993</v>
      </c>
      <c r="AF522" s="1">
        <f t="shared" ca="1" si="150"/>
        <v>35.416874999999997</v>
      </c>
      <c r="AG522" s="1">
        <f t="shared" ca="1" si="150"/>
        <v>35.416874999999997</v>
      </c>
      <c r="AH522" s="1">
        <f t="shared" ca="1" si="150"/>
        <v>35.416874999999997</v>
      </c>
      <c r="AI522" s="1">
        <f t="shared" ca="1" si="138"/>
        <v>35.416874999999997</v>
      </c>
    </row>
    <row r="523" spans="2:35" x14ac:dyDescent="0.15">
      <c r="B523" s="1" t="str">
        <f t="shared" si="153"/>
        <v>水系26</v>
      </c>
      <c r="C523" s="1">
        <f t="shared" si="143"/>
        <v>26</v>
      </c>
      <c r="D523" s="14" t="s">
        <v>95</v>
      </c>
      <c r="E523" s="14">
        <f t="shared" si="144"/>
        <v>6</v>
      </c>
      <c r="F523" s="1" t="str">
        <f t="shared" si="151"/>
        <v>冷却</v>
      </c>
      <c r="H523" s="1">
        <f t="shared" ca="1" si="152"/>
        <v>692.97219380887498</v>
      </c>
      <c r="I523" s="1">
        <f t="shared" ref="I523:R532" ca="1" si="154">mVlookup($C523,monsterBaseDate,I$2,FALSE)*(1+mVlookup($E523,monsterType,I$2,FALSE))</f>
        <v>150</v>
      </c>
      <c r="J523" s="1">
        <f t="shared" ca="1" si="154"/>
        <v>294.06</v>
      </c>
      <c r="K523" s="1">
        <f t="shared" ca="1" si="154"/>
        <v>36.833550000000002</v>
      </c>
      <c r="L523" s="1">
        <f t="shared" ca="1" si="154"/>
        <v>294.06</v>
      </c>
      <c r="M523" s="1">
        <f t="shared" ca="1" si="154"/>
        <v>36.833550000000002</v>
      </c>
      <c r="N523" s="1">
        <f t="shared" ca="1" si="154"/>
        <v>0.2</v>
      </c>
      <c r="O523" s="1">
        <f t="shared" ca="1" si="154"/>
        <v>0.2</v>
      </c>
      <c r="P523" s="1">
        <f t="shared" ca="1" si="154"/>
        <v>0.36</v>
      </c>
      <c r="Q523" s="1">
        <f t="shared" ca="1" si="154"/>
        <v>0.1</v>
      </c>
      <c r="R523" s="1">
        <f t="shared" ca="1" si="154"/>
        <v>2</v>
      </c>
      <c r="S523" s="1">
        <f t="shared" ref="S523:AH538" ca="1" si="155">mVlookup($C523,monsterBaseDate,S$2,FALSE)*(1+mVlookup($E523,monsterType,S$2,FALSE))</f>
        <v>0.1</v>
      </c>
      <c r="T523" s="1">
        <f t="shared" ca="1" si="155"/>
        <v>0.9</v>
      </c>
      <c r="U523" s="1">
        <f t="shared" ca="1" si="155"/>
        <v>50.266666666666701</v>
      </c>
      <c r="V523" s="1">
        <f t="shared" ca="1" si="155"/>
        <v>0</v>
      </c>
      <c r="W523" s="1">
        <f t="shared" ca="1" si="155"/>
        <v>0</v>
      </c>
      <c r="X523" s="1">
        <f t="shared" ca="1" si="155"/>
        <v>65.91</v>
      </c>
      <c r="Y523" s="1">
        <f t="shared" ca="1" si="155"/>
        <v>0</v>
      </c>
      <c r="Z523" s="1">
        <f t="shared" ca="1" si="155"/>
        <v>0</v>
      </c>
      <c r="AA523" s="1">
        <f t="shared" ca="1" si="155"/>
        <v>0</v>
      </c>
      <c r="AB523" s="1">
        <f t="shared" ca="1" si="150"/>
        <v>0</v>
      </c>
      <c r="AC523" s="1">
        <f t="shared" ca="1" si="155"/>
        <v>36.833550000000002</v>
      </c>
      <c r="AD523" s="1">
        <f t="shared" ca="1" si="155"/>
        <v>36.833550000000002</v>
      </c>
      <c r="AE523" s="1">
        <f t="shared" ca="1" si="155"/>
        <v>55.250325000000004</v>
      </c>
      <c r="AF523" s="1">
        <f t="shared" ca="1" si="155"/>
        <v>36.833550000000002</v>
      </c>
      <c r="AG523" s="1">
        <f t="shared" ca="1" si="155"/>
        <v>36.833550000000002</v>
      </c>
      <c r="AH523" s="1">
        <f t="shared" ca="1" si="155"/>
        <v>36.833550000000002</v>
      </c>
      <c r="AI523" s="1">
        <f t="shared" ca="1" si="138"/>
        <v>36.833550000000002</v>
      </c>
    </row>
    <row r="524" spans="2:35" x14ac:dyDescent="0.15">
      <c r="B524" s="1" t="str">
        <f t="shared" si="153"/>
        <v>水系27</v>
      </c>
      <c r="C524" s="1">
        <f t="shared" si="143"/>
        <v>27</v>
      </c>
      <c r="D524" s="14" t="s">
        <v>95</v>
      </c>
      <c r="E524" s="14">
        <f t="shared" si="144"/>
        <v>6</v>
      </c>
      <c r="F524" s="1" t="str">
        <f t="shared" si="151"/>
        <v>冷却</v>
      </c>
      <c r="H524" s="1">
        <f t="shared" ca="1" si="152"/>
        <v>723.73711318236803</v>
      </c>
      <c r="I524" s="1">
        <f t="shared" ca="1" si="154"/>
        <v>150</v>
      </c>
      <c r="J524" s="1">
        <f t="shared" ca="1" si="154"/>
        <v>307.81244239631297</v>
      </c>
      <c r="K524" s="1">
        <f t="shared" ca="1" si="154"/>
        <v>38.250225</v>
      </c>
      <c r="L524" s="1">
        <f t="shared" ca="1" si="154"/>
        <v>307.81244239631297</v>
      </c>
      <c r="M524" s="1">
        <f t="shared" ca="1" si="154"/>
        <v>38.250225</v>
      </c>
      <c r="N524" s="1">
        <f t="shared" ca="1" si="154"/>
        <v>0.2</v>
      </c>
      <c r="O524" s="1">
        <f t="shared" ca="1" si="154"/>
        <v>0.2</v>
      </c>
      <c r="P524" s="1">
        <f t="shared" ca="1" si="154"/>
        <v>0.36</v>
      </c>
      <c r="Q524" s="1">
        <f t="shared" ca="1" si="154"/>
        <v>0.1</v>
      </c>
      <c r="R524" s="1">
        <f t="shared" ca="1" si="154"/>
        <v>2</v>
      </c>
      <c r="S524" s="1">
        <f t="shared" ca="1" si="155"/>
        <v>0.1</v>
      </c>
      <c r="T524" s="1">
        <f t="shared" ca="1" si="155"/>
        <v>0.9</v>
      </c>
      <c r="U524" s="1">
        <f t="shared" ca="1" si="155"/>
        <v>52.2</v>
      </c>
      <c r="V524" s="1">
        <f t="shared" ca="1" si="155"/>
        <v>0</v>
      </c>
      <c r="W524" s="1">
        <f t="shared" ca="1" si="155"/>
        <v>0</v>
      </c>
      <c r="X524" s="1">
        <f t="shared" ca="1" si="155"/>
        <v>72.060138248847892</v>
      </c>
      <c r="Y524" s="1">
        <f t="shared" ca="1" si="155"/>
        <v>0</v>
      </c>
      <c r="Z524" s="1">
        <f t="shared" ca="1" si="155"/>
        <v>0</v>
      </c>
      <c r="AA524" s="1">
        <f t="shared" ca="1" si="155"/>
        <v>0</v>
      </c>
      <c r="AB524" s="1">
        <f t="shared" ca="1" si="150"/>
        <v>0</v>
      </c>
      <c r="AC524" s="1">
        <f t="shared" ca="1" si="155"/>
        <v>38.250225</v>
      </c>
      <c r="AD524" s="1">
        <f t="shared" ca="1" si="155"/>
        <v>38.250225</v>
      </c>
      <c r="AE524" s="1">
        <f t="shared" ca="1" si="155"/>
        <v>57.375337500000001</v>
      </c>
      <c r="AF524" s="1">
        <f t="shared" ca="1" si="155"/>
        <v>38.250225</v>
      </c>
      <c r="AG524" s="1">
        <f t="shared" ca="1" si="155"/>
        <v>38.250225</v>
      </c>
      <c r="AH524" s="1">
        <f t="shared" ca="1" si="155"/>
        <v>38.250225</v>
      </c>
      <c r="AI524" s="1">
        <f t="shared" ca="1" si="138"/>
        <v>38.250225</v>
      </c>
    </row>
    <row r="525" spans="2:35" x14ac:dyDescent="0.15">
      <c r="B525" s="1" t="str">
        <f t="shared" si="153"/>
        <v>水系28</v>
      </c>
      <c r="C525" s="1">
        <f t="shared" si="143"/>
        <v>28</v>
      </c>
      <c r="D525" s="14" t="s">
        <v>95</v>
      </c>
      <c r="E525" s="14">
        <f t="shared" si="144"/>
        <v>6</v>
      </c>
      <c r="F525" s="1" t="str">
        <f t="shared" si="151"/>
        <v>冷却</v>
      </c>
      <c r="H525" s="1">
        <f t="shared" ca="1" si="152"/>
        <v>754.80663571797402</v>
      </c>
      <c r="I525" s="1">
        <f t="shared" ca="1" si="154"/>
        <v>150</v>
      </c>
      <c r="J525" s="1">
        <f t="shared" ca="1" si="154"/>
        <v>321.76585365853703</v>
      </c>
      <c r="K525" s="1">
        <f t="shared" ca="1" si="154"/>
        <v>39.666899999999998</v>
      </c>
      <c r="L525" s="1">
        <f t="shared" ca="1" si="154"/>
        <v>321.76585365853703</v>
      </c>
      <c r="M525" s="1">
        <f t="shared" ca="1" si="154"/>
        <v>39.666899999999998</v>
      </c>
      <c r="N525" s="1">
        <f t="shared" ca="1" si="154"/>
        <v>0.2</v>
      </c>
      <c r="O525" s="1">
        <f t="shared" ca="1" si="154"/>
        <v>0.2</v>
      </c>
      <c r="P525" s="1">
        <f t="shared" ca="1" si="154"/>
        <v>0.36</v>
      </c>
      <c r="Q525" s="1">
        <f t="shared" ca="1" si="154"/>
        <v>0.1</v>
      </c>
      <c r="R525" s="1">
        <f t="shared" ca="1" si="154"/>
        <v>2</v>
      </c>
      <c r="S525" s="1">
        <f t="shared" ca="1" si="155"/>
        <v>0.1</v>
      </c>
      <c r="T525" s="1">
        <f t="shared" ca="1" si="155"/>
        <v>0.9</v>
      </c>
      <c r="U525" s="1">
        <f t="shared" ca="1" si="155"/>
        <v>54.133333333333297</v>
      </c>
      <c r="V525" s="1">
        <f t="shared" ca="1" si="155"/>
        <v>0</v>
      </c>
      <c r="W525" s="1">
        <f t="shared" ca="1" si="155"/>
        <v>0</v>
      </c>
      <c r="X525" s="1">
        <f t="shared" ca="1" si="155"/>
        <v>78.570731707317151</v>
      </c>
      <c r="Y525" s="1">
        <f t="shared" ca="1" si="155"/>
        <v>0</v>
      </c>
      <c r="Z525" s="1">
        <f t="shared" ca="1" si="155"/>
        <v>0</v>
      </c>
      <c r="AA525" s="1">
        <f t="shared" ca="1" si="155"/>
        <v>0</v>
      </c>
      <c r="AB525" s="1">
        <f t="shared" ca="1" si="150"/>
        <v>0</v>
      </c>
      <c r="AC525" s="1">
        <f t="shared" ca="1" si="155"/>
        <v>39.666899999999998</v>
      </c>
      <c r="AD525" s="1">
        <f t="shared" ca="1" si="155"/>
        <v>39.666899999999998</v>
      </c>
      <c r="AE525" s="1">
        <f t="shared" ca="1" si="155"/>
        <v>59.500349999999997</v>
      </c>
      <c r="AF525" s="1">
        <f t="shared" ca="1" si="155"/>
        <v>39.666899999999998</v>
      </c>
      <c r="AG525" s="1">
        <f t="shared" ca="1" si="155"/>
        <v>39.666899999999998</v>
      </c>
      <c r="AH525" s="1">
        <f t="shared" ca="1" si="155"/>
        <v>39.666899999999998</v>
      </c>
      <c r="AI525" s="1">
        <f t="shared" ca="1" si="138"/>
        <v>39.666899999999998</v>
      </c>
    </row>
    <row r="526" spans="2:35" x14ac:dyDescent="0.15">
      <c r="B526" s="1" t="str">
        <f t="shared" si="153"/>
        <v>水系29</v>
      </c>
      <c r="C526" s="1">
        <f t="shared" si="143"/>
        <v>29</v>
      </c>
      <c r="D526" s="14" t="s">
        <v>95</v>
      </c>
      <c r="E526" s="14">
        <f t="shared" si="144"/>
        <v>6</v>
      </c>
      <c r="F526" s="1" t="str">
        <f t="shared" si="151"/>
        <v>冷却</v>
      </c>
      <c r="H526" s="1">
        <f t="shared" ca="1" si="152"/>
        <v>786.18076141569497</v>
      </c>
      <c r="I526" s="1">
        <f t="shared" ca="1" si="154"/>
        <v>150</v>
      </c>
      <c r="J526" s="1">
        <f t="shared" ca="1" si="154"/>
        <v>335.92289227166299</v>
      </c>
      <c r="K526" s="1">
        <f t="shared" ca="1" si="154"/>
        <v>41.083575000000003</v>
      </c>
      <c r="L526" s="1">
        <f t="shared" ca="1" si="154"/>
        <v>335.92289227166299</v>
      </c>
      <c r="M526" s="1">
        <f t="shared" ca="1" si="154"/>
        <v>41.083575000000003</v>
      </c>
      <c r="N526" s="1">
        <f t="shared" ca="1" si="154"/>
        <v>0.2</v>
      </c>
      <c r="O526" s="1">
        <f t="shared" ca="1" si="154"/>
        <v>0.2</v>
      </c>
      <c r="P526" s="1">
        <f t="shared" ca="1" si="154"/>
        <v>0.36</v>
      </c>
      <c r="Q526" s="1">
        <f t="shared" ca="1" si="154"/>
        <v>0.1</v>
      </c>
      <c r="R526" s="1">
        <f t="shared" ca="1" si="154"/>
        <v>2</v>
      </c>
      <c r="S526" s="1">
        <f t="shared" ca="1" si="155"/>
        <v>0.1</v>
      </c>
      <c r="T526" s="1">
        <f t="shared" ca="1" si="155"/>
        <v>0.9</v>
      </c>
      <c r="U526" s="1">
        <f t="shared" ca="1" si="155"/>
        <v>56.066666666666698</v>
      </c>
      <c r="V526" s="1">
        <f t="shared" ca="1" si="155"/>
        <v>0</v>
      </c>
      <c r="W526" s="1">
        <f t="shared" ca="1" si="155"/>
        <v>0</v>
      </c>
      <c r="X526" s="1">
        <f t="shared" ca="1" si="155"/>
        <v>85.45406908665106</v>
      </c>
      <c r="Y526" s="1">
        <f t="shared" ca="1" si="155"/>
        <v>0</v>
      </c>
      <c r="Z526" s="1">
        <f t="shared" ca="1" si="155"/>
        <v>0</v>
      </c>
      <c r="AA526" s="1">
        <f t="shared" ca="1" si="155"/>
        <v>0</v>
      </c>
      <c r="AB526" s="1">
        <f t="shared" ca="1" si="150"/>
        <v>0</v>
      </c>
      <c r="AC526" s="1">
        <f t="shared" ca="1" si="155"/>
        <v>41.083575000000003</v>
      </c>
      <c r="AD526" s="1">
        <f t="shared" ca="1" si="155"/>
        <v>41.083575000000003</v>
      </c>
      <c r="AE526" s="1">
        <f t="shared" ca="1" si="155"/>
        <v>61.625362500000008</v>
      </c>
      <c r="AF526" s="1">
        <f t="shared" ca="1" si="155"/>
        <v>41.083575000000003</v>
      </c>
      <c r="AG526" s="1">
        <f t="shared" ca="1" si="155"/>
        <v>41.083575000000003</v>
      </c>
      <c r="AH526" s="1">
        <f t="shared" ca="1" si="155"/>
        <v>41.083575000000003</v>
      </c>
      <c r="AI526" s="1">
        <f t="shared" ca="1" si="138"/>
        <v>41.083575000000003</v>
      </c>
    </row>
    <row r="527" spans="2:35" x14ac:dyDescent="0.15">
      <c r="B527" s="1" t="str">
        <f t="shared" si="153"/>
        <v>水系30</v>
      </c>
      <c r="C527" s="1">
        <f t="shared" si="143"/>
        <v>30</v>
      </c>
      <c r="D527" s="14" t="s">
        <v>95</v>
      </c>
      <c r="E527" s="14">
        <f t="shared" si="144"/>
        <v>6</v>
      </c>
      <c r="F527" s="1" t="str">
        <f t="shared" si="151"/>
        <v>冷却</v>
      </c>
      <c r="H527" s="1">
        <f t="shared" ca="1" si="152"/>
        <v>817.85949027552897</v>
      </c>
      <c r="I527" s="1">
        <f t="shared" ca="1" si="154"/>
        <v>150</v>
      </c>
      <c r="J527" s="1">
        <f t="shared" ca="1" si="154"/>
        <v>350.28630460448602</v>
      </c>
      <c r="K527" s="1">
        <f t="shared" ca="1" si="154"/>
        <v>42.500250000000001</v>
      </c>
      <c r="L527" s="1">
        <f t="shared" ca="1" si="154"/>
        <v>350.28630460448602</v>
      </c>
      <c r="M527" s="1">
        <f t="shared" ca="1" si="154"/>
        <v>42.500250000000001</v>
      </c>
      <c r="N527" s="1">
        <f t="shared" ca="1" si="154"/>
        <v>0.2</v>
      </c>
      <c r="O527" s="1">
        <f t="shared" ca="1" si="154"/>
        <v>0.2</v>
      </c>
      <c r="P527" s="1">
        <f t="shared" ca="1" si="154"/>
        <v>0.36</v>
      </c>
      <c r="Q527" s="1">
        <f t="shared" ca="1" si="154"/>
        <v>0.1</v>
      </c>
      <c r="R527" s="1">
        <f t="shared" ca="1" si="154"/>
        <v>2</v>
      </c>
      <c r="S527" s="1">
        <f t="shared" ca="1" si="155"/>
        <v>0.1</v>
      </c>
      <c r="T527" s="1">
        <f t="shared" ca="1" si="155"/>
        <v>0.9</v>
      </c>
      <c r="U527" s="1">
        <f t="shared" ca="1" si="155"/>
        <v>58</v>
      </c>
      <c r="V527" s="1">
        <f t="shared" ca="1" si="155"/>
        <v>0</v>
      </c>
      <c r="W527" s="1">
        <f t="shared" ca="1" si="155"/>
        <v>0</v>
      </c>
      <c r="X527" s="1">
        <f t="shared" ca="1" si="155"/>
        <v>92.72284533648164</v>
      </c>
      <c r="Y527" s="1">
        <f t="shared" ca="1" si="155"/>
        <v>0</v>
      </c>
      <c r="Z527" s="1">
        <f t="shared" ca="1" si="155"/>
        <v>0</v>
      </c>
      <c r="AA527" s="1">
        <f t="shared" ca="1" si="155"/>
        <v>0</v>
      </c>
      <c r="AB527" s="1">
        <f t="shared" ca="1" si="150"/>
        <v>0</v>
      </c>
      <c r="AC527" s="1">
        <f t="shared" ca="1" si="155"/>
        <v>42.500250000000001</v>
      </c>
      <c r="AD527" s="1">
        <f t="shared" ca="1" si="155"/>
        <v>42.500250000000001</v>
      </c>
      <c r="AE527" s="1">
        <f t="shared" ca="1" si="155"/>
        <v>63.750375000000005</v>
      </c>
      <c r="AF527" s="1">
        <f t="shared" ca="1" si="155"/>
        <v>42.500250000000001</v>
      </c>
      <c r="AG527" s="1">
        <f t="shared" ca="1" si="155"/>
        <v>42.500250000000001</v>
      </c>
      <c r="AH527" s="1">
        <f t="shared" ca="1" si="155"/>
        <v>42.500250000000001</v>
      </c>
      <c r="AI527" s="1">
        <f t="shared" ca="1" si="138"/>
        <v>42.500250000000001</v>
      </c>
    </row>
    <row r="528" spans="2:35" x14ac:dyDescent="0.15">
      <c r="B528" s="1" t="str">
        <f t="shared" si="153"/>
        <v>水系31</v>
      </c>
      <c r="C528" s="1">
        <f t="shared" si="143"/>
        <v>31</v>
      </c>
      <c r="D528" s="14" t="s">
        <v>95</v>
      </c>
      <c r="E528" s="14">
        <f t="shared" si="144"/>
        <v>6</v>
      </c>
      <c r="F528" s="1" t="str">
        <f t="shared" si="151"/>
        <v>冷却</v>
      </c>
      <c r="H528" s="1">
        <f t="shared" ca="1" si="152"/>
        <v>849.84282229747703</v>
      </c>
      <c r="I528" s="1">
        <f t="shared" ca="1" si="154"/>
        <v>150</v>
      </c>
      <c r="J528" s="1">
        <f t="shared" ca="1" si="154"/>
        <v>364.85892857142898</v>
      </c>
      <c r="K528" s="1">
        <f t="shared" ca="1" si="154"/>
        <v>43.916924999999999</v>
      </c>
      <c r="L528" s="1">
        <f t="shared" ca="1" si="154"/>
        <v>364.85892857142898</v>
      </c>
      <c r="M528" s="1">
        <f t="shared" ca="1" si="154"/>
        <v>43.916924999999999</v>
      </c>
      <c r="N528" s="1">
        <f t="shared" ca="1" si="154"/>
        <v>0.2</v>
      </c>
      <c r="O528" s="1">
        <f t="shared" ca="1" si="154"/>
        <v>0.2</v>
      </c>
      <c r="P528" s="1">
        <f t="shared" ca="1" si="154"/>
        <v>0.36</v>
      </c>
      <c r="Q528" s="1">
        <f t="shared" ca="1" si="154"/>
        <v>0.1</v>
      </c>
      <c r="R528" s="1">
        <f t="shared" ca="1" si="154"/>
        <v>2</v>
      </c>
      <c r="S528" s="1">
        <f t="shared" ca="1" si="155"/>
        <v>0.1</v>
      </c>
      <c r="T528" s="1">
        <f t="shared" ca="1" si="155"/>
        <v>0.9</v>
      </c>
      <c r="U528" s="1">
        <f t="shared" ca="1" si="155"/>
        <v>59.933333333333302</v>
      </c>
      <c r="V528" s="1">
        <f t="shared" ca="1" si="155"/>
        <v>0</v>
      </c>
      <c r="W528" s="1">
        <f t="shared" ca="1" si="155"/>
        <v>0</v>
      </c>
      <c r="X528" s="1">
        <f t="shared" ca="1" si="155"/>
        <v>100.39017857142855</v>
      </c>
      <c r="Y528" s="1">
        <f t="shared" ca="1" si="155"/>
        <v>0</v>
      </c>
      <c r="Z528" s="1">
        <f t="shared" ca="1" si="155"/>
        <v>0</v>
      </c>
      <c r="AA528" s="1">
        <f t="shared" ca="1" si="155"/>
        <v>0</v>
      </c>
      <c r="AB528" s="1">
        <f t="shared" ca="1" si="150"/>
        <v>0</v>
      </c>
      <c r="AC528" s="1">
        <f t="shared" ca="1" si="155"/>
        <v>43.916924999999999</v>
      </c>
      <c r="AD528" s="1">
        <f t="shared" ca="1" si="155"/>
        <v>43.916924999999999</v>
      </c>
      <c r="AE528" s="1">
        <f t="shared" ca="1" si="155"/>
        <v>65.875387500000002</v>
      </c>
      <c r="AF528" s="1">
        <f t="shared" ca="1" si="155"/>
        <v>43.916924999999999</v>
      </c>
      <c r="AG528" s="1">
        <f t="shared" ca="1" si="155"/>
        <v>43.916924999999999</v>
      </c>
      <c r="AH528" s="1">
        <f t="shared" ca="1" si="155"/>
        <v>43.916924999999999</v>
      </c>
      <c r="AI528" s="1">
        <f t="shared" ca="1" si="138"/>
        <v>43.916924999999999</v>
      </c>
    </row>
    <row r="529" spans="2:35" x14ac:dyDescent="0.15">
      <c r="B529" s="1" t="str">
        <f t="shared" si="153"/>
        <v>水系32</v>
      </c>
      <c r="C529" s="1">
        <f t="shared" si="143"/>
        <v>32</v>
      </c>
      <c r="D529" s="14" t="s">
        <v>95</v>
      </c>
      <c r="E529" s="14">
        <f t="shared" si="144"/>
        <v>6</v>
      </c>
      <c r="F529" s="1" t="str">
        <f t="shared" si="151"/>
        <v>冷却</v>
      </c>
      <c r="H529" s="1">
        <f t="shared" ca="1" si="152"/>
        <v>882.13075748153904</v>
      </c>
      <c r="I529" s="1">
        <f t="shared" ca="1" si="154"/>
        <v>150</v>
      </c>
      <c r="J529" s="1">
        <f t="shared" ca="1" si="154"/>
        <v>379.64369747899201</v>
      </c>
      <c r="K529" s="1">
        <f t="shared" ca="1" si="154"/>
        <v>45.333599999999997</v>
      </c>
      <c r="L529" s="1">
        <f t="shared" ca="1" si="154"/>
        <v>379.64369747899201</v>
      </c>
      <c r="M529" s="1">
        <f t="shared" ca="1" si="154"/>
        <v>45.333599999999997</v>
      </c>
      <c r="N529" s="1">
        <f t="shared" ca="1" si="154"/>
        <v>0.2</v>
      </c>
      <c r="O529" s="1">
        <f t="shared" ca="1" si="154"/>
        <v>0.2</v>
      </c>
      <c r="P529" s="1">
        <f t="shared" ca="1" si="154"/>
        <v>0.36</v>
      </c>
      <c r="Q529" s="1">
        <f t="shared" ca="1" si="154"/>
        <v>0.1</v>
      </c>
      <c r="R529" s="1">
        <f t="shared" ca="1" si="154"/>
        <v>2</v>
      </c>
      <c r="S529" s="1">
        <f t="shared" ca="1" si="155"/>
        <v>0.1</v>
      </c>
      <c r="T529" s="1">
        <f t="shared" ca="1" si="155"/>
        <v>0.9</v>
      </c>
      <c r="U529" s="1">
        <f t="shared" ca="1" si="155"/>
        <v>61.866666666666703</v>
      </c>
      <c r="V529" s="1">
        <f t="shared" ca="1" si="155"/>
        <v>0</v>
      </c>
      <c r="W529" s="1">
        <f t="shared" ca="1" si="155"/>
        <v>0</v>
      </c>
      <c r="X529" s="1">
        <f t="shared" ca="1" si="155"/>
        <v>108.46962785114042</v>
      </c>
      <c r="Y529" s="1">
        <f t="shared" ca="1" si="155"/>
        <v>0</v>
      </c>
      <c r="Z529" s="1">
        <f t="shared" ca="1" si="155"/>
        <v>0</v>
      </c>
      <c r="AA529" s="1">
        <f t="shared" ca="1" si="155"/>
        <v>0</v>
      </c>
      <c r="AB529" s="1">
        <f t="shared" ca="1" si="155"/>
        <v>0</v>
      </c>
      <c r="AC529" s="1">
        <f t="shared" ca="1" si="155"/>
        <v>45.333599999999997</v>
      </c>
      <c r="AD529" s="1">
        <f t="shared" ca="1" si="155"/>
        <v>45.333599999999997</v>
      </c>
      <c r="AE529" s="1">
        <f t="shared" ca="1" si="155"/>
        <v>68.000399999999999</v>
      </c>
      <c r="AF529" s="1">
        <f t="shared" ca="1" si="155"/>
        <v>45.333599999999997</v>
      </c>
      <c r="AG529" s="1">
        <f t="shared" ca="1" si="155"/>
        <v>45.333599999999997</v>
      </c>
      <c r="AH529" s="1">
        <f t="shared" ca="1" si="155"/>
        <v>45.333599999999997</v>
      </c>
      <c r="AI529" s="1">
        <f t="shared" ca="1" si="138"/>
        <v>45.333599999999997</v>
      </c>
    </row>
    <row r="530" spans="2:35" x14ac:dyDescent="0.15">
      <c r="B530" s="1" t="str">
        <f t="shared" si="153"/>
        <v>水系33</v>
      </c>
      <c r="C530" s="1">
        <f t="shared" si="143"/>
        <v>33</v>
      </c>
      <c r="D530" s="14" t="s">
        <v>95</v>
      </c>
      <c r="E530" s="14">
        <f t="shared" si="144"/>
        <v>6</v>
      </c>
      <c r="F530" s="1" t="str">
        <f t="shared" si="151"/>
        <v>冷却</v>
      </c>
      <c r="H530" s="1">
        <f t="shared" ca="1" si="152"/>
        <v>914.72329582771499</v>
      </c>
      <c r="I530" s="1">
        <f t="shared" ca="1" si="154"/>
        <v>150</v>
      </c>
      <c r="J530" s="1">
        <f t="shared" ca="1" si="154"/>
        <v>394.64364406779703</v>
      </c>
      <c r="K530" s="1">
        <f t="shared" ca="1" si="154"/>
        <v>46.750275000000002</v>
      </c>
      <c r="L530" s="1">
        <f t="shared" ca="1" si="154"/>
        <v>394.64364406779703</v>
      </c>
      <c r="M530" s="1">
        <f t="shared" ca="1" si="154"/>
        <v>46.750275000000002</v>
      </c>
      <c r="N530" s="1">
        <f t="shared" ca="1" si="154"/>
        <v>0.2</v>
      </c>
      <c r="O530" s="1">
        <f t="shared" ca="1" si="154"/>
        <v>0.2</v>
      </c>
      <c r="P530" s="1">
        <f t="shared" ca="1" si="154"/>
        <v>0.36</v>
      </c>
      <c r="Q530" s="1">
        <f t="shared" ca="1" si="154"/>
        <v>0.1</v>
      </c>
      <c r="R530" s="1">
        <f t="shared" ca="1" si="154"/>
        <v>2</v>
      </c>
      <c r="S530" s="1">
        <f t="shared" ca="1" si="155"/>
        <v>0.1</v>
      </c>
      <c r="T530" s="1">
        <f t="shared" ca="1" si="155"/>
        <v>0.9</v>
      </c>
      <c r="U530" s="1">
        <f t="shared" ca="1" si="155"/>
        <v>63.8</v>
      </c>
      <c r="V530" s="1">
        <f t="shared" ca="1" si="155"/>
        <v>0</v>
      </c>
      <c r="W530" s="1">
        <f t="shared" ca="1" si="155"/>
        <v>0</v>
      </c>
      <c r="X530" s="1">
        <f t="shared" ca="1" si="155"/>
        <v>116.97521186440682</v>
      </c>
      <c r="Y530" s="1">
        <f t="shared" ca="1" si="155"/>
        <v>0</v>
      </c>
      <c r="Z530" s="1">
        <f t="shared" ca="1" si="155"/>
        <v>0</v>
      </c>
      <c r="AA530" s="1">
        <f t="shared" ca="1" si="155"/>
        <v>0</v>
      </c>
      <c r="AB530" s="1">
        <f t="shared" ca="1" si="155"/>
        <v>0</v>
      </c>
      <c r="AC530" s="1">
        <f t="shared" ca="1" si="155"/>
        <v>46.750275000000002</v>
      </c>
      <c r="AD530" s="1">
        <f t="shared" ca="1" si="155"/>
        <v>46.750275000000002</v>
      </c>
      <c r="AE530" s="1">
        <f t="shared" ca="1" si="155"/>
        <v>70.12541250000001</v>
      </c>
      <c r="AF530" s="1">
        <f t="shared" ca="1" si="155"/>
        <v>46.750275000000002</v>
      </c>
      <c r="AG530" s="1">
        <f t="shared" ca="1" si="155"/>
        <v>46.750275000000002</v>
      </c>
      <c r="AH530" s="1">
        <f t="shared" ca="1" si="155"/>
        <v>46.750275000000002</v>
      </c>
      <c r="AI530" s="1">
        <f t="shared" ca="1" si="138"/>
        <v>46.750275000000002</v>
      </c>
    </row>
    <row r="531" spans="2:35" x14ac:dyDescent="0.15">
      <c r="B531" s="1" t="str">
        <f t="shared" si="153"/>
        <v>水系34</v>
      </c>
      <c r="C531" s="1">
        <f t="shared" si="143"/>
        <v>34</v>
      </c>
      <c r="D531" s="14" t="s">
        <v>95</v>
      </c>
      <c r="E531" s="14">
        <f t="shared" si="144"/>
        <v>6</v>
      </c>
      <c r="F531" s="1" t="str">
        <f t="shared" si="151"/>
        <v>冷却</v>
      </c>
      <c r="H531" s="1">
        <f t="shared" ca="1" si="152"/>
        <v>983.66060335075701</v>
      </c>
      <c r="I531" s="1">
        <f t="shared" ca="1" si="154"/>
        <v>150</v>
      </c>
      <c r="J531" s="1">
        <f t="shared" ca="1" si="154"/>
        <v>409.86190476190501</v>
      </c>
      <c r="K531" s="1">
        <f t="shared" ca="1" si="154"/>
        <v>48.16695</v>
      </c>
      <c r="L531" s="1">
        <f t="shared" ca="1" si="154"/>
        <v>409.86190476190501</v>
      </c>
      <c r="M531" s="1">
        <f t="shared" ca="1" si="154"/>
        <v>48.16695</v>
      </c>
      <c r="N531" s="1">
        <f t="shared" ca="1" si="154"/>
        <v>0.2</v>
      </c>
      <c r="O531" s="1">
        <f t="shared" ca="1" si="154"/>
        <v>0.2</v>
      </c>
      <c r="P531" s="1">
        <f t="shared" ca="1" si="154"/>
        <v>0.36</v>
      </c>
      <c r="Q531" s="1">
        <f t="shared" ca="1" si="154"/>
        <v>0.1</v>
      </c>
      <c r="R531" s="1">
        <f t="shared" ca="1" si="154"/>
        <v>2</v>
      </c>
      <c r="S531" s="1">
        <f t="shared" ca="1" si="155"/>
        <v>0.1</v>
      </c>
      <c r="T531" s="1">
        <f t="shared" ca="1" si="155"/>
        <v>0.9</v>
      </c>
      <c r="U531" s="1">
        <f t="shared" ca="1" si="155"/>
        <v>65.733333333333306</v>
      </c>
      <c r="V531" s="1">
        <f t="shared" ca="1" si="155"/>
        <v>0</v>
      </c>
      <c r="W531" s="1">
        <f t="shared" ca="1" si="155"/>
        <v>0</v>
      </c>
      <c r="X531" s="1">
        <f t="shared" ca="1" si="155"/>
        <v>125.92142857142865</v>
      </c>
      <c r="Y531" s="1">
        <f t="shared" ca="1" si="155"/>
        <v>0</v>
      </c>
      <c r="Z531" s="1">
        <f t="shared" ca="1" si="155"/>
        <v>0</v>
      </c>
      <c r="AA531" s="1">
        <f t="shared" ca="1" si="155"/>
        <v>0</v>
      </c>
      <c r="AB531" s="1">
        <f t="shared" ca="1" si="155"/>
        <v>0</v>
      </c>
      <c r="AC531" s="1">
        <f t="shared" ca="1" si="155"/>
        <v>48.16695</v>
      </c>
      <c r="AD531" s="1">
        <f t="shared" ca="1" si="155"/>
        <v>48.16695</v>
      </c>
      <c r="AE531" s="1">
        <f t="shared" ca="1" si="155"/>
        <v>72.250425000000007</v>
      </c>
      <c r="AF531" s="1">
        <f t="shared" ca="1" si="155"/>
        <v>48.16695</v>
      </c>
      <c r="AG531" s="1">
        <f t="shared" ca="1" si="155"/>
        <v>48.16695</v>
      </c>
      <c r="AH531" s="1">
        <f t="shared" ca="1" si="155"/>
        <v>48.16695</v>
      </c>
      <c r="AI531" s="1">
        <f t="shared" ref="AI531:AI594" ca="1" si="156">mVlookup($C531,monsterBaseDate,AI$2,FALSE)*(1+mVlookup($E531,monsterType,AI$2,FALSE))</f>
        <v>48.16695</v>
      </c>
    </row>
    <row r="532" spans="2:35" x14ac:dyDescent="0.15">
      <c r="B532" s="1" t="str">
        <f t="shared" si="153"/>
        <v>水系35</v>
      </c>
      <c r="C532" s="1">
        <f t="shared" si="143"/>
        <v>35</v>
      </c>
      <c r="D532" s="14" t="s">
        <v>95</v>
      </c>
      <c r="E532" s="14">
        <f t="shared" si="144"/>
        <v>6</v>
      </c>
      <c r="F532" s="1" t="str">
        <f t="shared" si="151"/>
        <v>冷却</v>
      </c>
      <c r="H532" s="1">
        <f t="shared" ca="1" si="152"/>
        <v>1018.12508607825</v>
      </c>
      <c r="I532" s="1">
        <f t="shared" ca="1" si="154"/>
        <v>150</v>
      </c>
      <c r="J532" s="1">
        <f t="shared" ca="1" si="154"/>
        <v>425.30172413793099</v>
      </c>
      <c r="K532" s="1">
        <f t="shared" ca="1" si="154"/>
        <v>49.583624999999998</v>
      </c>
      <c r="L532" s="1">
        <f t="shared" ca="1" si="154"/>
        <v>425.30172413793099</v>
      </c>
      <c r="M532" s="1">
        <f t="shared" ca="1" si="154"/>
        <v>49.583624999999998</v>
      </c>
      <c r="N532" s="1">
        <f t="shared" ca="1" si="154"/>
        <v>0.2</v>
      </c>
      <c r="O532" s="1">
        <f t="shared" ca="1" si="154"/>
        <v>0.2</v>
      </c>
      <c r="P532" s="1">
        <f t="shared" ca="1" si="154"/>
        <v>0.36</v>
      </c>
      <c r="Q532" s="1">
        <f t="shared" ca="1" si="154"/>
        <v>0.1</v>
      </c>
      <c r="R532" s="1">
        <f t="shared" ca="1" si="154"/>
        <v>2</v>
      </c>
      <c r="S532" s="1">
        <f t="shared" ca="1" si="155"/>
        <v>0.1</v>
      </c>
      <c r="T532" s="1">
        <f t="shared" ca="1" si="155"/>
        <v>0.9</v>
      </c>
      <c r="U532" s="1">
        <f t="shared" ca="1" si="155"/>
        <v>67.6666666666667</v>
      </c>
      <c r="V532" s="1">
        <f t="shared" ca="1" si="155"/>
        <v>0</v>
      </c>
      <c r="W532" s="1">
        <f t="shared" ca="1" si="155"/>
        <v>0</v>
      </c>
      <c r="X532" s="1">
        <f t="shared" ca="1" si="155"/>
        <v>135.32327586206895</v>
      </c>
      <c r="Y532" s="1">
        <f t="shared" ca="1" si="155"/>
        <v>0</v>
      </c>
      <c r="Z532" s="1">
        <f t="shared" ca="1" si="155"/>
        <v>0</v>
      </c>
      <c r="AA532" s="1">
        <f t="shared" ca="1" si="155"/>
        <v>0</v>
      </c>
      <c r="AB532" s="1">
        <f t="shared" ca="1" si="155"/>
        <v>0</v>
      </c>
      <c r="AC532" s="1">
        <f t="shared" ca="1" si="155"/>
        <v>49.583624999999998</v>
      </c>
      <c r="AD532" s="1">
        <f t="shared" ca="1" si="155"/>
        <v>49.583624999999998</v>
      </c>
      <c r="AE532" s="1">
        <f t="shared" ca="1" si="155"/>
        <v>74.375437500000004</v>
      </c>
      <c r="AF532" s="1">
        <f t="shared" ca="1" si="155"/>
        <v>49.583624999999998</v>
      </c>
      <c r="AG532" s="1">
        <f t="shared" ca="1" si="155"/>
        <v>49.583624999999998</v>
      </c>
      <c r="AH532" s="1">
        <f t="shared" ca="1" si="155"/>
        <v>49.583624999999998</v>
      </c>
      <c r="AI532" s="1">
        <f t="shared" ca="1" si="156"/>
        <v>49.583624999999998</v>
      </c>
    </row>
    <row r="533" spans="2:35" x14ac:dyDescent="0.15">
      <c r="B533" s="1" t="str">
        <f t="shared" si="153"/>
        <v>水系36</v>
      </c>
      <c r="C533" s="1">
        <f t="shared" si="143"/>
        <v>36</v>
      </c>
      <c r="D533" s="14" t="s">
        <v>95</v>
      </c>
      <c r="E533" s="14">
        <f t="shared" si="144"/>
        <v>6</v>
      </c>
      <c r="F533" s="1" t="str">
        <f t="shared" si="151"/>
        <v>冷却</v>
      </c>
      <c r="H533" s="1">
        <f t="shared" ca="1" si="152"/>
        <v>1052.9057567206801</v>
      </c>
      <c r="I533" s="1">
        <f t="shared" ref="I533:R542" ca="1" si="157">mVlookup($C533,monsterBaseDate,I$2,FALSE)*(1+mVlookup($E533,monsterType,I$2,FALSE))</f>
        <v>150</v>
      </c>
      <c r="J533" s="1">
        <f t="shared" ca="1" si="157"/>
        <v>440.96645962732902</v>
      </c>
      <c r="K533" s="1">
        <f t="shared" ca="1" si="157"/>
        <v>51.000300000000003</v>
      </c>
      <c r="L533" s="1">
        <f t="shared" ca="1" si="157"/>
        <v>440.96645962732902</v>
      </c>
      <c r="M533" s="1">
        <f t="shared" ca="1" si="157"/>
        <v>51.000300000000003</v>
      </c>
      <c r="N533" s="1">
        <f t="shared" ca="1" si="157"/>
        <v>0.2</v>
      </c>
      <c r="O533" s="1">
        <f t="shared" ca="1" si="157"/>
        <v>0.2</v>
      </c>
      <c r="P533" s="1">
        <f t="shared" ca="1" si="157"/>
        <v>0.36</v>
      </c>
      <c r="Q533" s="1">
        <f t="shared" ca="1" si="157"/>
        <v>0.1</v>
      </c>
      <c r="R533" s="1">
        <f t="shared" ca="1" si="157"/>
        <v>2</v>
      </c>
      <c r="S533" s="1">
        <f t="shared" ref="S533:AH548" ca="1" si="158">mVlookup($C533,monsterBaseDate,S$2,FALSE)*(1+mVlookup($E533,monsterType,S$2,FALSE))</f>
        <v>0.1</v>
      </c>
      <c r="T533" s="1">
        <f t="shared" ca="1" si="158"/>
        <v>0.9</v>
      </c>
      <c r="U533" s="1">
        <f t="shared" ca="1" si="158"/>
        <v>69.599999999999994</v>
      </c>
      <c r="V533" s="1">
        <f t="shared" ca="1" si="158"/>
        <v>0</v>
      </c>
      <c r="W533" s="1">
        <f t="shared" ca="1" si="158"/>
        <v>0</v>
      </c>
      <c r="X533" s="1">
        <f t="shared" ca="1" si="158"/>
        <v>145.19627329192545</v>
      </c>
      <c r="Y533" s="1">
        <f t="shared" ca="1" si="158"/>
        <v>0</v>
      </c>
      <c r="Z533" s="1">
        <f t="shared" ca="1" si="158"/>
        <v>0</v>
      </c>
      <c r="AA533" s="1">
        <f t="shared" ca="1" si="158"/>
        <v>0</v>
      </c>
      <c r="AB533" s="1">
        <f t="shared" ca="1" si="155"/>
        <v>0</v>
      </c>
      <c r="AC533" s="1">
        <f t="shared" ca="1" si="158"/>
        <v>51.000300000000003</v>
      </c>
      <c r="AD533" s="1">
        <f t="shared" ca="1" si="158"/>
        <v>51.000300000000003</v>
      </c>
      <c r="AE533" s="1">
        <f t="shared" ca="1" si="158"/>
        <v>76.500450000000001</v>
      </c>
      <c r="AF533" s="1">
        <f t="shared" ca="1" si="158"/>
        <v>51.000300000000003</v>
      </c>
      <c r="AG533" s="1">
        <f t="shared" ca="1" si="158"/>
        <v>51.000300000000003</v>
      </c>
      <c r="AH533" s="1">
        <f t="shared" ca="1" si="158"/>
        <v>51.000300000000003</v>
      </c>
      <c r="AI533" s="1">
        <f t="shared" ca="1" si="156"/>
        <v>51.000300000000003</v>
      </c>
    </row>
    <row r="534" spans="2:35" x14ac:dyDescent="0.15">
      <c r="B534" s="1" t="str">
        <f t="shared" si="153"/>
        <v>水系37</v>
      </c>
      <c r="C534" s="1">
        <f t="shared" si="143"/>
        <v>37</v>
      </c>
      <c r="D534" s="14" t="s">
        <v>95</v>
      </c>
      <c r="E534" s="14">
        <f t="shared" si="144"/>
        <v>6</v>
      </c>
      <c r="F534" s="1" t="str">
        <f t="shared" si="151"/>
        <v>冷却</v>
      </c>
      <c r="H534" s="1">
        <f t="shared" ca="1" si="152"/>
        <v>1088.0026152780299</v>
      </c>
      <c r="I534" s="1">
        <f t="shared" ca="1" si="157"/>
        <v>150</v>
      </c>
      <c r="J534" s="1">
        <f t="shared" ca="1" si="157"/>
        <v>456.85958646616501</v>
      </c>
      <c r="K534" s="1">
        <f t="shared" ca="1" si="157"/>
        <v>52.416975000000001</v>
      </c>
      <c r="L534" s="1">
        <f t="shared" ca="1" si="157"/>
        <v>456.85958646616501</v>
      </c>
      <c r="M534" s="1">
        <f t="shared" ca="1" si="157"/>
        <v>52.416975000000001</v>
      </c>
      <c r="N534" s="1">
        <f t="shared" ca="1" si="157"/>
        <v>0.2</v>
      </c>
      <c r="O534" s="1">
        <f t="shared" ca="1" si="157"/>
        <v>0.2</v>
      </c>
      <c r="P534" s="1">
        <f t="shared" ca="1" si="157"/>
        <v>0.36</v>
      </c>
      <c r="Q534" s="1">
        <f t="shared" ca="1" si="157"/>
        <v>0.1</v>
      </c>
      <c r="R534" s="1">
        <f t="shared" ca="1" si="157"/>
        <v>2</v>
      </c>
      <c r="S534" s="1">
        <f t="shared" ca="1" si="158"/>
        <v>0.1</v>
      </c>
      <c r="T534" s="1">
        <f t="shared" ca="1" si="158"/>
        <v>0.9</v>
      </c>
      <c r="U534" s="1">
        <f t="shared" ca="1" si="158"/>
        <v>71.533333333333303</v>
      </c>
      <c r="V534" s="1">
        <f t="shared" ca="1" si="158"/>
        <v>0</v>
      </c>
      <c r="W534" s="1">
        <f t="shared" ca="1" si="158"/>
        <v>0</v>
      </c>
      <c r="X534" s="1">
        <f t="shared" ca="1" si="158"/>
        <v>155.5564849624065</v>
      </c>
      <c r="Y534" s="1">
        <f t="shared" ca="1" si="158"/>
        <v>0</v>
      </c>
      <c r="Z534" s="1">
        <f t="shared" ca="1" si="158"/>
        <v>0</v>
      </c>
      <c r="AA534" s="1">
        <f t="shared" ca="1" si="158"/>
        <v>0</v>
      </c>
      <c r="AB534" s="1">
        <f t="shared" ca="1" si="155"/>
        <v>0</v>
      </c>
      <c r="AC534" s="1">
        <f t="shared" ca="1" si="158"/>
        <v>52.416975000000001</v>
      </c>
      <c r="AD534" s="1">
        <f t="shared" ca="1" si="158"/>
        <v>52.416975000000001</v>
      </c>
      <c r="AE534" s="1">
        <f t="shared" ca="1" si="158"/>
        <v>78.625462499999998</v>
      </c>
      <c r="AF534" s="1">
        <f t="shared" ca="1" si="158"/>
        <v>52.416975000000001</v>
      </c>
      <c r="AG534" s="1">
        <f t="shared" ca="1" si="158"/>
        <v>52.416975000000001</v>
      </c>
      <c r="AH534" s="1">
        <f t="shared" ca="1" si="158"/>
        <v>52.416975000000001</v>
      </c>
      <c r="AI534" s="1">
        <f t="shared" ca="1" si="156"/>
        <v>52.416975000000001</v>
      </c>
    </row>
    <row r="535" spans="2:35" x14ac:dyDescent="0.15">
      <c r="B535" s="1" t="str">
        <f t="shared" si="153"/>
        <v>水系38</v>
      </c>
      <c r="C535" s="1">
        <f t="shared" si="143"/>
        <v>38</v>
      </c>
      <c r="D535" s="14" t="s">
        <v>95</v>
      </c>
      <c r="E535" s="14">
        <f t="shared" si="144"/>
        <v>6</v>
      </c>
      <c r="F535" s="1" t="str">
        <f t="shared" si="151"/>
        <v>冷却</v>
      </c>
      <c r="H535" s="1">
        <f t="shared" ca="1" si="152"/>
        <v>1123.4156617503199</v>
      </c>
      <c r="I535" s="1">
        <f t="shared" ca="1" si="157"/>
        <v>150</v>
      </c>
      <c r="J535" s="1">
        <f t="shared" ca="1" si="157"/>
        <v>472.98470290771201</v>
      </c>
      <c r="K535" s="1">
        <f t="shared" ca="1" si="157"/>
        <v>53.833649999999999</v>
      </c>
      <c r="L535" s="1">
        <f t="shared" ca="1" si="157"/>
        <v>472.98470290771201</v>
      </c>
      <c r="M535" s="1">
        <f t="shared" ca="1" si="157"/>
        <v>53.833649999999999</v>
      </c>
      <c r="N535" s="1">
        <f t="shared" ca="1" si="157"/>
        <v>0.2</v>
      </c>
      <c r="O535" s="1">
        <f t="shared" ca="1" si="157"/>
        <v>0.2</v>
      </c>
      <c r="P535" s="1">
        <f t="shared" ca="1" si="157"/>
        <v>0.36</v>
      </c>
      <c r="Q535" s="1">
        <f t="shared" ca="1" si="157"/>
        <v>0.1</v>
      </c>
      <c r="R535" s="1">
        <f t="shared" ca="1" si="157"/>
        <v>2</v>
      </c>
      <c r="S535" s="1">
        <f t="shared" ca="1" si="158"/>
        <v>0.1</v>
      </c>
      <c r="T535" s="1">
        <f t="shared" ca="1" si="158"/>
        <v>0.9</v>
      </c>
      <c r="U535" s="1">
        <f t="shared" ca="1" si="158"/>
        <v>73.466666666666697</v>
      </c>
      <c r="V535" s="1">
        <f t="shared" ca="1" si="158"/>
        <v>0</v>
      </c>
      <c r="W535" s="1">
        <f t="shared" ca="1" si="158"/>
        <v>0</v>
      </c>
      <c r="X535" s="1">
        <f t="shared" ca="1" si="158"/>
        <v>166.42054361567699</v>
      </c>
      <c r="Y535" s="1">
        <f t="shared" ca="1" si="158"/>
        <v>0</v>
      </c>
      <c r="Z535" s="1">
        <f t="shared" ca="1" si="158"/>
        <v>0</v>
      </c>
      <c r="AA535" s="1">
        <f t="shared" ca="1" si="158"/>
        <v>0</v>
      </c>
      <c r="AB535" s="1">
        <f t="shared" ca="1" si="155"/>
        <v>0</v>
      </c>
      <c r="AC535" s="1">
        <f t="shared" ca="1" si="158"/>
        <v>53.833649999999999</v>
      </c>
      <c r="AD535" s="1">
        <f t="shared" ca="1" si="158"/>
        <v>53.833649999999999</v>
      </c>
      <c r="AE535" s="1">
        <f t="shared" ca="1" si="158"/>
        <v>80.750474999999994</v>
      </c>
      <c r="AF535" s="1">
        <f t="shared" ca="1" si="158"/>
        <v>53.833649999999999</v>
      </c>
      <c r="AG535" s="1">
        <f t="shared" ca="1" si="158"/>
        <v>53.833649999999999</v>
      </c>
      <c r="AH535" s="1">
        <f t="shared" ca="1" si="158"/>
        <v>53.833649999999999</v>
      </c>
      <c r="AI535" s="1">
        <f t="shared" ca="1" si="156"/>
        <v>53.833649999999999</v>
      </c>
    </row>
    <row r="536" spans="2:35" x14ac:dyDescent="0.15">
      <c r="B536" s="1" t="str">
        <f t="shared" si="153"/>
        <v>水系39</v>
      </c>
      <c r="C536" s="1">
        <f t="shared" si="143"/>
        <v>39</v>
      </c>
      <c r="D536" s="14" t="s">
        <v>95</v>
      </c>
      <c r="E536" s="14">
        <f t="shared" si="144"/>
        <v>6</v>
      </c>
      <c r="F536" s="1" t="str">
        <f t="shared" si="151"/>
        <v>冷却</v>
      </c>
      <c r="H536" s="1">
        <f t="shared" ca="1" si="152"/>
        <v>1159.1448961375399</v>
      </c>
      <c r="I536" s="1">
        <f t="shared" ca="1" si="157"/>
        <v>150</v>
      </c>
      <c r="J536" s="1">
        <f t="shared" ca="1" si="157"/>
        <v>489.34553571428597</v>
      </c>
      <c r="K536" s="1">
        <f t="shared" ca="1" si="157"/>
        <v>55.250324999999997</v>
      </c>
      <c r="L536" s="1">
        <f t="shared" ca="1" si="157"/>
        <v>489.34553571428597</v>
      </c>
      <c r="M536" s="1">
        <f t="shared" ca="1" si="157"/>
        <v>55.250324999999997</v>
      </c>
      <c r="N536" s="1">
        <f t="shared" ca="1" si="157"/>
        <v>0.2</v>
      </c>
      <c r="O536" s="1">
        <f t="shared" ca="1" si="157"/>
        <v>0.2</v>
      </c>
      <c r="P536" s="1">
        <f t="shared" ca="1" si="157"/>
        <v>0.36</v>
      </c>
      <c r="Q536" s="1">
        <f t="shared" ca="1" si="157"/>
        <v>0.1</v>
      </c>
      <c r="R536" s="1">
        <f t="shared" ca="1" si="157"/>
        <v>2</v>
      </c>
      <c r="S536" s="1">
        <f t="shared" ca="1" si="158"/>
        <v>0.1</v>
      </c>
      <c r="T536" s="1">
        <f t="shared" ca="1" si="158"/>
        <v>0.9</v>
      </c>
      <c r="U536" s="1">
        <f t="shared" ca="1" si="158"/>
        <v>75.400000000000006</v>
      </c>
      <c r="V536" s="1">
        <f t="shared" ca="1" si="158"/>
        <v>0</v>
      </c>
      <c r="W536" s="1">
        <f t="shared" ca="1" si="158"/>
        <v>0</v>
      </c>
      <c r="X536" s="1">
        <f t="shared" ca="1" si="158"/>
        <v>177.8056760204085</v>
      </c>
      <c r="Y536" s="1">
        <f t="shared" ca="1" si="158"/>
        <v>0</v>
      </c>
      <c r="Z536" s="1">
        <f t="shared" ca="1" si="158"/>
        <v>0</v>
      </c>
      <c r="AA536" s="1">
        <f t="shared" ca="1" si="158"/>
        <v>0</v>
      </c>
      <c r="AB536" s="1">
        <f t="shared" ca="1" si="155"/>
        <v>0</v>
      </c>
      <c r="AC536" s="1">
        <f t="shared" ca="1" si="158"/>
        <v>55.250324999999997</v>
      </c>
      <c r="AD536" s="1">
        <f t="shared" ca="1" si="158"/>
        <v>55.250324999999997</v>
      </c>
      <c r="AE536" s="1">
        <f t="shared" ca="1" si="158"/>
        <v>82.875487499999991</v>
      </c>
      <c r="AF536" s="1">
        <f t="shared" ca="1" si="158"/>
        <v>55.250324999999997</v>
      </c>
      <c r="AG536" s="1">
        <f t="shared" ca="1" si="158"/>
        <v>55.250324999999997</v>
      </c>
      <c r="AH536" s="1">
        <f t="shared" ca="1" si="158"/>
        <v>55.250324999999997</v>
      </c>
      <c r="AI536" s="1">
        <f t="shared" ca="1" si="156"/>
        <v>55.250324999999997</v>
      </c>
    </row>
    <row r="537" spans="2:35" x14ac:dyDescent="0.15">
      <c r="B537" s="1" t="str">
        <f t="shared" si="153"/>
        <v>水系40</v>
      </c>
      <c r="C537" s="1">
        <f t="shared" si="143"/>
        <v>40</v>
      </c>
      <c r="D537" s="14" t="s">
        <v>95</v>
      </c>
      <c r="E537" s="14">
        <f t="shared" si="144"/>
        <v>6</v>
      </c>
      <c r="F537" s="1" t="str">
        <f t="shared" si="151"/>
        <v>冷却</v>
      </c>
      <c r="H537" s="1">
        <f t="shared" ca="1" si="152"/>
        <v>1195.1903184396899</v>
      </c>
      <c r="I537" s="1">
        <f t="shared" ca="1" si="157"/>
        <v>150</v>
      </c>
      <c r="J537" s="1">
        <f t="shared" ca="1" si="157"/>
        <v>505.94594594594599</v>
      </c>
      <c r="K537" s="1">
        <f t="shared" ca="1" si="157"/>
        <v>56.667000000000002</v>
      </c>
      <c r="L537" s="1">
        <f t="shared" ca="1" si="157"/>
        <v>505.94594594594599</v>
      </c>
      <c r="M537" s="1">
        <f t="shared" ca="1" si="157"/>
        <v>56.667000000000002</v>
      </c>
      <c r="N537" s="1">
        <f t="shared" ca="1" si="157"/>
        <v>0.2</v>
      </c>
      <c r="O537" s="1">
        <f t="shared" ca="1" si="157"/>
        <v>0.2</v>
      </c>
      <c r="P537" s="1">
        <f t="shared" ca="1" si="157"/>
        <v>0.36</v>
      </c>
      <c r="Q537" s="1">
        <f t="shared" ca="1" si="157"/>
        <v>0.1</v>
      </c>
      <c r="R537" s="1">
        <f t="shared" ca="1" si="157"/>
        <v>2</v>
      </c>
      <c r="S537" s="1">
        <f t="shared" ca="1" si="158"/>
        <v>0.1</v>
      </c>
      <c r="T537" s="1">
        <f t="shared" ca="1" si="158"/>
        <v>0.9</v>
      </c>
      <c r="U537" s="1">
        <f t="shared" ca="1" si="158"/>
        <v>77.3333333333333</v>
      </c>
      <c r="V537" s="1">
        <f t="shared" ca="1" si="158"/>
        <v>0</v>
      </c>
      <c r="W537" s="1">
        <f t="shared" ca="1" si="158"/>
        <v>0</v>
      </c>
      <c r="X537" s="1">
        <f t="shared" ca="1" si="158"/>
        <v>189.72972972973048</v>
      </c>
      <c r="Y537" s="1">
        <f t="shared" ca="1" si="158"/>
        <v>0</v>
      </c>
      <c r="Z537" s="1">
        <f t="shared" ca="1" si="158"/>
        <v>0</v>
      </c>
      <c r="AA537" s="1">
        <f t="shared" ca="1" si="158"/>
        <v>0</v>
      </c>
      <c r="AB537" s="1">
        <f t="shared" ca="1" si="155"/>
        <v>0</v>
      </c>
      <c r="AC537" s="1">
        <f t="shared" ca="1" si="158"/>
        <v>56.667000000000002</v>
      </c>
      <c r="AD537" s="1">
        <f t="shared" ca="1" si="158"/>
        <v>56.667000000000002</v>
      </c>
      <c r="AE537" s="1">
        <f t="shared" ca="1" si="158"/>
        <v>85.000500000000002</v>
      </c>
      <c r="AF537" s="1">
        <f t="shared" ca="1" si="158"/>
        <v>56.667000000000002</v>
      </c>
      <c r="AG537" s="1">
        <f t="shared" ca="1" si="158"/>
        <v>56.667000000000002</v>
      </c>
      <c r="AH537" s="1">
        <f t="shared" ca="1" si="158"/>
        <v>56.667000000000002</v>
      </c>
      <c r="AI537" s="1">
        <f t="shared" ca="1" si="156"/>
        <v>56.667000000000002</v>
      </c>
    </row>
    <row r="538" spans="2:35" x14ac:dyDescent="0.15">
      <c r="B538" s="1" t="str">
        <f t="shared" si="153"/>
        <v>水系41</v>
      </c>
      <c r="C538" s="1">
        <f t="shared" si="143"/>
        <v>41</v>
      </c>
      <c r="D538" s="14" t="s">
        <v>95</v>
      </c>
      <c r="E538" s="14">
        <f t="shared" si="144"/>
        <v>6</v>
      </c>
      <c r="F538" s="1" t="str">
        <f t="shared" si="151"/>
        <v>冷却</v>
      </c>
      <c r="H538" s="1">
        <f t="shared" ca="1" si="152"/>
        <v>1231.5519286567701</v>
      </c>
      <c r="I538" s="1">
        <f t="shared" ca="1" si="157"/>
        <v>150</v>
      </c>
      <c r="J538" s="1">
        <f t="shared" ca="1" si="157"/>
        <v>522.78993506493498</v>
      </c>
      <c r="K538" s="1">
        <f t="shared" ca="1" si="157"/>
        <v>58.083674999999999</v>
      </c>
      <c r="L538" s="1">
        <f t="shared" ca="1" si="157"/>
        <v>522.78993506493498</v>
      </c>
      <c r="M538" s="1">
        <f t="shared" ca="1" si="157"/>
        <v>58.083674999999999</v>
      </c>
      <c r="N538" s="1">
        <f t="shared" ca="1" si="157"/>
        <v>0.2</v>
      </c>
      <c r="O538" s="1">
        <f t="shared" ca="1" si="157"/>
        <v>0.2</v>
      </c>
      <c r="P538" s="1">
        <f t="shared" ca="1" si="157"/>
        <v>0.36</v>
      </c>
      <c r="Q538" s="1">
        <f t="shared" ca="1" si="157"/>
        <v>0.1</v>
      </c>
      <c r="R538" s="1">
        <f t="shared" ca="1" si="157"/>
        <v>2</v>
      </c>
      <c r="S538" s="1">
        <f t="shared" ca="1" si="158"/>
        <v>0.1</v>
      </c>
      <c r="T538" s="1">
        <f t="shared" ca="1" si="158"/>
        <v>0.9</v>
      </c>
      <c r="U538" s="1">
        <f t="shared" ca="1" si="158"/>
        <v>79.266666666666694</v>
      </c>
      <c r="V538" s="1">
        <f t="shared" ca="1" si="158"/>
        <v>0</v>
      </c>
      <c r="W538" s="1">
        <f t="shared" ca="1" si="158"/>
        <v>0</v>
      </c>
      <c r="X538" s="1">
        <f t="shared" ca="1" si="158"/>
        <v>202.21120129870201</v>
      </c>
      <c r="Y538" s="1">
        <f t="shared" ca="1" si="158"/>
        <v>0</v>
      </c>
      <c r="Z538" s="1">
        <f t="shared" ca="1" si="158"/>
        <v>0</v>
      </c>
      <c r="AA538" s="1">
        <f t="shared" ca="1" si="158"/>
        <v>0</v>
      </c>
      <c r="AB538" s="1">
        <f t="shared" ca="1" si="155"/>
        <v>0</v>
      </c>
      <c r="AC538" s="1">
        <f t="shared" ca="1" si="158"/>
        <v>58.083674999999999</v>
      </c>
      <c r="AD538" s="1">
        <f t="shared" ca="1" si="158"/>
        <v>58.083674999999999</v>
      </c>
      <c r="AE538" s="1">
        <f t="shared" ca="1" si="158"/>
        <v>87.125512499999999</v>
      </c>
      <c r="AF538" s="1">
        <f t="shared" ca="1" si="158"/>
        <v>58.083674999999999</v>
      </c>
      <c r="AG538" s="1">
        <f t="shared" ca="1" si="158"/>
        <v>58.083674999999999</v>
      </c>
      <c r="AH538" s="1">
        <f t="shared" ca="1" si="158"/>
        <v>58.083674999999999</v>
      </c>
      <c r="AI538" s="1">
        <f t="shared" ca="1" si="156"/>
        <v>58.083674999999999</v>
      </c>
    </row>
    <row r="539" spans="2:35" x14ac:dyDescent="0.15">
      <c r="B539" s="1" t="str">
        <f t="shared" si="153"/>
        <v>水系42</v>
      </c>
      <c r="C539" s="1">
        <f t="shared" si="143"/>
        <v>42</v>
      </c>
      <c r="D539" s="14" t="s">
        <v>95</v>
      </c>
      <c r="E539" s="14">
        <f t="shared" si="144"/>
        <v>6</v>
      </c>
      <c r="F539" s="1" t="str">
        <f t="shared" si="151"/>
        <v>冷却</v>
      </c>
      <c r="H539" s="1">
        <f t="shared" ca="1" si="152"/>
        <v>1268.22972678878</v>
      </c>
      <c r="I539" s="1">
        <f t="shared" ca="1" si="157"/>
        <v>150</v>
      </c>
      <c r="J539" s="1">
        <f t="shared" ca="1" si="157"/>
        <v>539.88165137614703</v>
      </c>
      <c r="K539" s="1">
        <f t="shared" ca="1" si="157"/>
        <v>59.500349999999997</v>
      </c>
      <c r="L539" s="1">
        <f t="shared" ca="1" si="157"/>
        <v>539.88165137614703</v>
      </c>
      <c r="M539" s="1">
        <f t="shared" ca="1" si="157"/>
        <v>59.500349999999997</v>
      </c>
      <c r="N539" s="1">
        <f t="shared" ca="1" si="157"/>
        <v>0.2</v>
      </c>
      <c r="O539" s="1">
        <f t="shared" ca="1" si="157"/>
        <v>0.2</v>
      </c>
      <c r="P539" s="1">
        <f t="shared" ca="1" si="157"/>
        <v>0.36</v>
      </c>
      <c r="Q539" s="1">
        <f t="shared" ca="1" si="157"/>
        <v>0.1</v>
      </c>
      <c r="R539" s="1">
        <f t="shared" ca="1" si="157"/>
        <v>2</v>
      </c>
      <c r="S539" s="1">
        <f t="shared" ca="1" si="158"/>
        <v>0.1</v>
      </c>
      <c r="T539" s="1">
        <f t="shared" ca="1" si="158"/>
        <v>0.9</v>
      </c>
      <c r="U539" s="1">
        <f t="shared" ca="1" si="158"/>
        <v>81.2</v>
      </c>
      <c r="V539" s="1">
        <f t="shared" ca="1" si="158"/>
        <v>0</v>
      </c>
      <c r="W539" s="1">
        <f t="shared" ca="1" si="158"/>
        <v>0</v>
      </c>
      <c r="X539" s="1">
        <f t="shared" ca="1" si="158"/>
        <v>215.26926605504551</v>
      </c>
      <c r="Y539" s="1">
        <f t="shared" ca="1" si="158"/>
        <v>0</v>
      </c>
      <c r="Z539" s="1">
        <f t="shared" ca="1" si="158"/>
        <v>0</v>
      </c>
      <c r="AA539" s="1">
        <f t="shared" ca="1" si="158"/>
        <v>0</v>
      </c>
      <c r="AB539" s="1">
        <f t="shared" ca="1" si="158"/>
        <v>0</v>
      </c>
      <c r="AC539" s="1">
        <f t="shared" ca="1" si="158"/>
        <v>59.500349999999997</v>
      </c>
      <c r="AD539" s="1">
        <f t="shared" ca="1" si="158"/>
        <v>59.500349999999997</v>
      </c>
      <c r="AE539" s="1">
        <f t="shared" ca="1" si="158"/>
        <v>89.250524999999996</v>
      </c>
      <c r="AF539" s="1">
        <f t="shared" ca="1" si="158"/>
        <v>59.500349999999997</v>
      </c>
      <c r="AG539" s="1">
        <f t="shared" ca="1" si="158"/>
        <v>59.500349999999997</v>
      </c>
      <c r="AH539" s="1">
        <f t="shared" ca="1" si="158"/>
        <v>59.500349999999997</v>
      </c>
      <c r="AI539" s="1">
        <f t="shared" ca="1" si="156"/>
        <v>59.500349999999997</v>
      </c>
    </row>
    <row r="540" spans="2:35" x14ac:dyDescent="0.15">
      <c r="B540" s="1" t="str">
        <f t="shared" si="153"/>
        <v>水系43</v>
      </c>
      <c r="C540" s="1">
        <f t="shared" si="143"/>
        <v>43</v>
      </c>
      <c r="D540" s="14" t="s">
        <v>95</v>
      </c>
      <c r="E540" s="14">
        <f t="shared" si="144"/>
        <v>6</v>
      </c>
      <c r="F540" s="1" t="str">
        <f t="shared" si="151"/>
        <v>冷却</v>
      </c>
      <c r="H540" s="1">
        <f t="shared" ca="1" si="152"/>
        <v>1305.2237128357201</v>
      </c>
      <c r="I540" s="1">
        <f t="shared" ca="1" si="157"/>
        <v>150</v>
      </c>
      <c r="J540" s="1">
        <f t="shared" ca="1" si="157"/>
        <v>557.22539682539696</v>
      </c>
      <c r="K540" s="1">
        <f t="shared" ca="1" si="157"/>
        <v>60.917025000000002</v>
      </c>
      <c r="L540" s="1">
        <f t="shared" ca="1" si="157"/>
        <v>557.22539682539696</v>
      </c>
      <c r="M540" s="1">
        <f t="shared" ca="1" si="157"/>
        <v>60.917025000000002</v>
      </c>
      <c r="N540" s="1">
        <f t="shared" ca="1" si="157"/>
        <v>0.2</v>
      </c>
      <c r="O540" s="1">
        <f t="shared" ca="1" si="157"/>
        <v>0.2</v>
      </c>
      <c r="P540" s="1">
        <f t="shared" ca="1" si="157"/>
        <v>0.36</v>
      </c>
      <c r="Q540" s="1">
        <f t="shared" ca="1" si="157"/>
        <v>0.1</v>
      </c>
      <c r="R540" s="1">
        <f t="shared" ca="1" si="157"/>
        <v>2</v>
      </c>
      <c r="S540" s="1">
        <f t="shared" ca="1" si="158"/>
        <v>0.1</v>
      </c>
      <c r="T540" s="1">
        <f t="shared" ca="1" si="158"/>
        <v>0.9</v>
      </c>
      <c r="U540" s="1">
        <f t="shared" ca="1" si="158"/>
        <v>83.133333333333297</v>
      </c>
      <c r="V540" s="1">
        <f t="shared" ca="1" si="158"/>
        <v>0</v>
      </c>
      <c r="W540" s="1">
        <f t="shared" ca="1" si="158"/>
        <v>0</v>
      </c>
      <c r="X540" s="1">
        <f t="shared" ca="1" si="158"/>
        <v>228.9238095238095</v>
      </c>
      <c r="Y540" s="1">
        <f t="shared" ca="1" si="158"/>
        <v>0</v>
      </c>
      <c r="Z540" s="1">
        <f t="shared" ca="1" si="158"/>
        <v>0</v>
      </c>
      <c r="AA540" s="1">
        <f t="shared" ca="1" si="158"/>
        <v>0</v>
      </c>
      <c r="AB540" s="1">
        <f t="shared" ca="1" si="158"/>
        <v>0</v>
      </c>
      <c r="AC540" s="1">
        <f t="shared" ca="1" si="158"/>
        <v>60.917025000000002</v>
      </c>
      <c r="AD540" s="1">
        <f t="shared" ca="1" si="158"/>
        <v>60.917025000000002</v>
      </c>
      <c r="AE540" s="1">
        <f t="shared" ca="1" si="158"/>
        <v>91.375537500000007</v>
      </c>
      <c r="AF540" s="1">
        <f t="shared" ca="1" si="158"/>
        <v>60.917025000000002</v>
      </c>
      <c r="AG540" s="1">
        <f t="shared" ca="1" si="158"/>
        <v>60.917025000000002</v>
      </c>
      <c r="AH540" s="1">
        <f t="shared" ca="1" si="158"/>
        <v>60.917025000000002</v>
      </c>
      <c r="AI540" s="1">
        <f t="shared" ca="1" si="156"/>
        <v>60.917025000000002</v>
      </c>
    </row>
    <row r="541" spans="2:35" x14ac:dyDescent="0.15">
      <c r="B541" s="1" t="str">
        <f t="shared" si="153"/>
        <v>水系44</v>
      </c>
      <c r="C541" s="1">
        <f t="shared" si="143"/>
        <v>44</v>
      </c>
      <c r="D541" s="14" t="s">
        <v>95</v>
      </c>
      <c r="E541" s="14">
        <f t="shared" si="144"/>
        <v>6</v>
      </c>
      <c r="F541" s="1" t="str">
        <f t="shared" si="151"/>
        <v>冷却</v>
      </c>
      <c r="H541" s="1">
        <f t="shared" ca="1" si="152"/>
        <v>1342.53388679759</v>
      </c>
      <c r="I541" s="1">
        <f t="shared" ca="1" si="157"/>
        <v>150</v>
      </c>
      <c r="J541" s="1">
        <f t="shared" ca="1" si="157"/>
        <v>574.82563417890503</v>
      </c>
      <c r="K541" s="1">
        <f t="shared" ca="1" si="157"/>
        <v>62.3337</v>
      </c>
      <c r="L541" s="1">
        <f t="shared" ca="1" si="157"/>
        <v>574.82563417890503</v>
      </c>
      <c r="M541" s="1">
        <f t="shared" ca="1" si="157"/>
        <v>62.3337</v>
      </c>
      <c r="N541" s="1">
        <f t="shared" ca="1" si="157"/>
        <v>0.2</v>
      </c>
      <c r="O541" s="1">
        <f t="shared" ca="1" si="157"/>
        <v>0.2</v>
      </c>
      <c r="P541" s="1">
        <f t="shared" ca="1" si="157"/>
        <v>0.36</v>
      </c>
      <c r="Q541" s="1">
        <f t="shared" ca="1" si="157"/>
        <v>0.1</v>
      </c>
      <c r="R541" s="1">
        <f t="shared" ca="1" si="157"/>
        <v>2</v>
      </c>
      <c r="S541" s="1">
        <f t="shared" ca="1" si="158"/>
        <v>0.1</v>
      </c>
      <c r="T541" s="1">
        <f t="shared" ca="1" si="158"/>
        <v>0.9</v>
      </c>
      <c r="U541" s="1">
        <f t="shared" ca="1" si="158"/>
        <v>85.066666666666706</v>
      </c>
      <c r="V541" s="1">
        <f t="shared" ca="1" si="158"/>
        <v>0</v>
      </c>
      <c r="W541" s="1">
        <f t="shared" ca="1" si="158"/>
        <v>0</v>
      </c>
      <c r="X541" s="1">
        <f t="shared" ca="1" si="158"/>
        <v>243.19546061415303</v>
      </c>
      <c r="Y541" s="1">
        <f t="shared" ca="1" si="158"/>
        <v>0</v>
      </c>
      <c r="Z541" s="1">
        <f t="shared" ca="1" si="158"/>
        <v>0</v>
      </c>
      <c r="AA541" s="1">
        <f t="shared" ca="1" si="158"/>
        <v>0</v>
      </c>
      <c r="AB541" s="1">
        <f t="shared" ca="1" si="158"/>
        <v>0</v>
      </c>
      <c r="AC541" s="1">
        <f t="shared" ca="1" si="158"/>
        <v>62.3337</v>
      </c>
      <c r="AD541" s="1">
        <f t="shared" ca="1" si="158"/>
        <v>62.3337</v>
      </c>
      <c r="AE541" s="1">
        <f t="shared" ca="1" si="158"/>
        <v>93.500550000000004</v>
      </c>
      <c r="AF541" s="1">
        <f t="shared" ca="1" si="158"/>
        <v>62.3337</v>
      </c>
      <c r="AG541" s="1">
        <f t="shared" ca="1" si="158"/>
        <v>62.3337</v>
      </c>
      <c r="AH541" s="1">
        <f t="shared" ca="1" si="158"/>
        <v>62.3337</v>
      </c>
      <c r="AI541" s="1">
        <f t="shared" ca="1" si="156"/>
        <v>62.3337</v>
      </c>
    </row>
    <row r="542" spans="2:35" x14ac:dyDescent="0.15">
      <c r="B542" s="1" t="str">
        <f t="shared" si="153"/>
        <v>水系45</v>
      </c>
      <c r="C542" s="1">
        <f t="shared" si="143"/>
        <v>45</v>
      </c>
      <c r="D542" s="14" t="s">
        <v>95</v>
      </c>
      <c r="E542" s="14">
        <f t="shared" si="144"/>
        <v>6</v>
      </c>
      <c r="F542" s="1" t="str">
        <f t="shared" si="151"/>
        <v>冷却</v>
      </c>
      <c r="H542" s="1">
        <f t="shared" ca="1" si="152"/>
        <v>1433.4145567624901</v>
      </c>
      <c r="I542" s="1">
        <f t="shared" ca="1" si="157"/>
        <v>150</v>
      </c>
      <c r="J542" s="1">
        <f t="shared" ca="1" si="157"/>
        <v>592.68699460916503</v>
      </c>
      <c r="K542" s="1">
        <f t="shared" ca="1" si="157"/>
        <v>63.750374999999998</v>
      </c>
      <c r="L542" s="1">
        <f t="shared" ca="1" si="157"/>
        <v>592.68699460916503</v>
      </c>
      <c r="M542" s="1">
        <f t="shared" ca="1" si="157"/>
        <v>63.750374999999998</v>
      </c>
      <c r="N542" s="1">
        <f t="shared" ca="1" si="157"/>
        <v>0.2</v>
      </c>
      <c r="O542" s="1">
        <f t="shared" ca="1" si="157"/>
        <v>0.2</v>
      </c>
      <c r="P542" s="1">
        <f t="shared" ca="1" si="157"/>
        <v>0.36</v>
      </c>
      <c r="Q542" s="1">
        <f t="shared" ca="1" si="157"/>
        <v>0.1</v>
      </c>
      <c r="R542" s="1">
        <f t="shared" ca="1" si="157"/>
        <v>2</v>
      </c>
      <c r="S542" s="1">
        <f t="shared" ca="1" si="158"/>
        <v>0.1</v>
      </c>
      <c r="T542" s="1">
        <f t="shared" ca="1" si="158"/>
        <v>0.9</v>
      </c>
      <c r="U542" s="1">
        <f t="shared" ca="1" si="158"/>
        <v>87</v>
      </c>
      <c r="V542" s="1">
        <f t="shared" ca="1" si="158"/>
        <v>0</v>
      </c>
      <c r="W542" s="1">
        <f t="shared" ca="1" si="158"/>
        <v>0</v>
      </c>
      <c r="X542" s="1">
        <f t="shared" ca="1" si="158"/>
        <v>258.105626684637</v>
      </c>
      <c r="Y542" s="1">
        <f t="shared" ca="1" si="158"/>
        <v>0</v>
      </c>
      <c r="Z542" s="1">
        <f t="shared" ca="1" si="158"/>
        <v>0</v>
      </c>
      <c r="AA542" s="1">
        <f t="shared" ca="1" si="158"/>
        <v>0</v>
      </c>
      <c r="AB542" s="1">
        <f t="shared" ca="1" si="158"/>
        <v>0</v>
      </c>
      <c r="AC542" s="1">
        <f t="shared" ca="1" si="158"/>
        <v>63.750374999999998</v>
      </c>
      <c r="AD542" s="1">
        <f t="shared" ca="1" si="158"/>
        <v>63.750374999999998</v>
      </c>
      <c r="AE542" s="1">
        <f t="shared" ca="1" si="158"/>
        <v>95.625562500000001</v>
      </c>
      <c r="AF542" s="1">
        <f t="shared" ca="1" si="158"/>
        <v>63.750374999999998</v>
      </c>
      <c r="AG542" s="1">
        <f t="shared" ca="1" si="158"/>
        <v>63.750374999999998</v>
      </c>
      <c r="AH542" s="1">
        <f t="shared" ca="1" si="158"/>
        <v>63.750374999999998</v>
      </c>
      <c r="AI542" s="1">
        <f t="shared" ca="1" si="156"/>
        <v>63.750374999999998</v>
      </c>
    </row>
    <row r="543" spans="2:35" x14ac:dyDescent="0.15">
      <c r="B543" s="1" t="str">
        <f t="shared" si="153"/>
        <v>水系46</v>
      </c>
      <c r="C543" s="1">
        <f t="shared" si="143"/>
        <v>46</v>
      </c>
      <c r="D543" s="14" t="s">
        <v>95</v>
      </c>
      <c r="E543" s="14">
        <f t="shared" si="144"/>
        <v>6</v>
      </c>
      <c r="F543" s="1" t="str">
        <f t="shared" si="151"/>
        <v>冷却</v>
      </c>
      <c r="H543" s="1">
        <f t="shared" ca="1" si="152"/>
        <v>1472.82114251541</v>
      </c>
      <c r="I543" s="1">
        <f t="shared" ref="I543:R552" ca="1" si="159">mVlookup($C543,monsterBaseDate,I$2,FALSE)*(1+mVlookup($E543,monsterType,I$2,FALSE))</f>
        <v>150</v>
      </c>
      <c r="J543" s="1">
        <f t="shared" ca="1" si="159"/>
        <v>610.81428571428603</v>
      </c>
      <c r="K543" s="1">
        <f t="shared" ca="1" si="159"/>
        <v>65.167050000000003</v>
      </c>
      <c r="L543" s="1">
        <f t="shared" ca="1" si="159"/>
        <v>610.81428571428603</v>
      </c>
      <c r="M543" s="1">
        <f t="shared" ca="1" si="159"/>
        <v>65.167050000000003</v>
      </c>
      <c r="N543" s="1">
        <f t="shared" ca="1" si="159"/>
        <v>0.2</v>
      </c>
      <c r="O543" s="1">
        <f t="shared" ca="1" si="159"/>
        <v>0.2</v>
      </c>
      <c r="P543" s="1">
        <f t="shared" ca="1" si="159"/>
        <v>0.36</v>
      </c>
      <c r="Q543" s="1">
        <f t="shared" ca="1" si="159"/>
        <v>0.1</v>
      </c>
      <c r="R543" s="1">
        <f t="shared" ca="1" si="159"/>
        <v>2</v>
      </c>
      <c r="S543" s="1">
        <f t="shared" ref="S543:AH558" ca="1" si="160">mVlookup($C543,monsterBaseDate,S$2,FALSE)*(1+mVlookup($E543,monsterType,S$2,FALSE))</f>
        <v>0.1</v>
      </c>
      <c r="T543" s="1">
        <f t="shared" ca="1" si="160"/>
        <v>0.9</v>
      </c>
      <c r="U543" s="1">
        <f t="shared" ca="1" si="160"/>
        <v>88.933333333333294</v>
      </c>
      <c r="V543" s="1">
        <f t="shared" ca="1" si="160"/>
        <v>0</v>
      </c>
      <c r="W543" s="1">
        <f t="shared" ca="1" si="160"/>
        <v>0</v>
      </c>
      <c r="X543" s="1">
        <f t="shared" ca="1" si="160"/>
        <v>273.67653061224451</v>
      </c>
      <c r="Y543" s="1">
        <f t="shared" ca="1" si="160"/>
        <v>0</v>
      </c>
      <c r="Z543" s="1">
        <f t="shared" ca="1" si="160"/>
        <v>0</v>
      </c>
      <c r="AA543" s="1">
        <f t="shared" ca="1" si="160"/>
        <v>0</v>
      </c>
      <c r="AB543" s="1">
        <f t="shared" ca="1" si="158"/>
        <v>0</v>
      </c>
      <c r="AC543" s="1">
        <f t="shared" ca="1" si="160"/>
        <v>65.167050000000003</v>
      </c>
      <c r="AD543" s="1">
        <f t="shared" ca="1" si="160"/>
        <v>65.167050000000003</v>
      </c>
      <c r="AE543" s="1">
        <f t="shared" ca="1" si="160"/>
        <v>97.750574999999998</v>
      </c>
      <c r="AF543" s="1">
        <f t="shared" ca="1" si="160"/>
        <v>65.167050000000003</v>
      </c>
      <c r="AG543" s="1">
        <f t="shared" ca="1" si="160"/>
        <v>65.167050000000003</v>
      </c>
      <c r="AH543" s="1">
        <f t="shared" ca="1" si="160"/>
        <v>65.167050000000003</v>
      </c>
      <c r="AI543" s="1">
        <f t="shared" ca="1" si="156"/>
        <v>65.167050000000003</v>
      </c>
    </row>
    <row r="544" spans="2:35" x14ac:dyDescent="0.15">
      <c r="B544" s="1" t="str">
        <f t="shared" si="153"/>
        <v>水系47</v>
      </c>
      <c r="C544" s="1">
        <f t="shared" si="143"/>
        <v>47</v>
      </c>
      <c r="D544" s="14" t="s">
        <v>95</v>
      </c>
      <c r="E544" s="14">
        <f t="shared" si="144"/>
        <v>6</v>
      </c>
      <c r="F544" s="1" t="str">
        <f t="shared" si="151"/>
        <v>冷却</v>
      </c>
      <c r="H544" s="1">
        <f t="shared" ca="1" si="152"/>
        <v>1512.5561164829401</v>
      </c>
      <c r="I544" s="1">
        <f t="shared" ca="1" si="159"/>
        <v>150</v>
      </c>
      <c r="J544" s="1">
        <f t="shared" ca="1" si="159"/>
        <v>629.21249999999998</v>
      </c>
      <c r="K544" s="1">
        <f t="shared" ca="1" si="159"/>
        <v>66.583725000000001</v>
      </c>
      <c r="L544" s="1">
        <f t="shared" ca="1" si="159"/>
        <v>629.21249999999998</v>
      </c>
      <c r="M544" s="1">
        <f t="shared" ca="1" si="159"/>
        <v>66.583725000000001</v>
      </c>
      <c r="N544" s="1">
        <f t="shared" ca="1" si="159"/>
        <v>0.2</v>
      </c>
      <c r="O544" s="1">
        <f t="shared" ca="1" si="159"/>
        <v>0.2</v>
      </c>
      <c r="P544" s="1">
        <f t="shared" ca="1" si="159"/>
        <v>0.36</v>
      </c>
      <c r="Q544" s="1">
        <f t="shared" ca="1" si="159"/>
        <v>0.1</v>
      </c>
      <c r="R544" s="1">
        <f t="shared" ca="1" si="159"/>
        <v>2</v>
      </c>
      <c r="S544" s="1">
        <f t="shared" ca="1" si="160"/>
        <v>0.1</v>
      </c>
      <c r="T544" s="1">
        <f t="shared" ca="1" si="160"/>
        <v>0.9</v>
      </c>
      <c r="U544" s="1">
        <f t="shared" ca="1" si="160"/>
        <v>90.866666666666703</v>
      </c>
      <c r="V544" s="1">
        <f t="shared" ca="1" si="160"/>
        <v>0</v>
      </c>
      <c r="W544" s="1">
        <f t="shared" ca="1" si="160"/>
        <v>0</v>
      </c>
      <c r="X544" s="1">
        <f t="shared" ca="1" si="160"/>
        <v>289.93124999999998</v>
      </c>
      <c r="Y544" s="1">
        <f t="shared" ca="1" si="160"/>
        <v>0</v>
      </c>
      <c r="Z544" s="1">
        <f t="shared" ca="1" si="160"/>
        <v>0</v>
      </c>
      <c r="AA544" s="1">
        <f t="shared" ca="1" si="160"/>
        <v>0</v>
      </c>
      <c r="AB544" s="1">
        <f t="shared" ca="1" si="158"/>
        <v>0</v>
      </c>
      <c r="AC544" s="1">
        <f t="shared" ca="1" si="160"/>
        <v>66.583725000000001</v>
      </c>
      <c r="AD544" s="1">
        <f t="shared" ca="1" si="160"/>
        <v>66.583725000000001</v>
      </c>
      <c r="AE544" s="1">
        <f t="shared" ca="1" si="160"/>
        <v>99.875587499999995</v>
      </c>
      <c r="AF544" s="1">
        <f t="shared" ca="1" si="160"/>
        <v>66.583725000000001</v>
      </c>
      <c r="AG544" s="1">
        <f t="shared" ca="1" si="160"/>
        <v>66.583725000000001</v>
      </c>
      <c r="AH544" s="1">
        <f t="shared" ca="1" si="160"/>
        <v>66.583725000000001</v>
      </c>
      <c r="AI544" s="1">
        <f t="shared" ca="1" si="156"/>
        <v>66.583725000000001</v>
      </c>
    </row>
    <row r="545" spans="2:35" x14ac:dyDescent="0.15">
      <c r="B545" s="1" t="str">
        <f t="shared" si="153"/>
        <v>水系48</v>
      </c>
      <c r="C545" s="1">
        <f t="shared" si="143"/>
        <v>48</v>
      </c>
      <c r="D545" s="14" t="s">
        <v>95</v>
      </c>
      <c r="E545" s="14">
        <f t="shared" si="144"/>
        <v>6</v>
      </c>
      <c r="F545" s="1" t="str">
        <f t="shared" si="151"/>
        <v>冷却</v>
      </c>
      <c r="H545" s="1">
        <f t="shared" ca="1" si="152"/>
        <v>1552.6194786650699</v>
      </c>
      <c r="I545" s="1">
        <f t="shared" ca="1" si="159"/>
        <v>150</v>
      </c>
      <c r="J545" s="1">
        <f t="shared" ca="1" si="159"/>
        <v>647.88682385575601</v>
      </c>
      <c r="K545" s="1">
        <f t="shared" ca="1" si="159"/>
        <v>68.000399999999999</v>
      </c>
      <c r="L545" s="1">
        <f t="shared" ca="1" si="159"/>
        <v>647.88682385575601</v>
      </c>
      <c r="M545" s="1">
        <f t="shared" ca="1" si="159"/>
        <v>68.000399999999999</v>
      </c>
      <c r="N545" s="1">
        <f t="shared" ca="1" si="159"/>
        <v>0.2</v>
      </c>
      <c r="O545" s="1">
        <f t="shared" ca="1" si="159"/>
        <v>0.2</v>
      </c>
      <c r="P545" s="1">
        <f t="shared" ca="1" si="159"/>
        <v>0.36</v>
      </c>
      <c r="Q545" s="1">
        <f t="shared" ca="1" si="159"/>
        <v>0.1</v>
      </c>
      <c r="R545" s="1">
        <f t="shared" ca="1" si="159"/>
        <v>2</v>
      </c>
      <c r="S545" s="1">
        <f t="shared" ca="1" si="160"/>
        <v>0.1</v>
      </c>
      <c r="T545" s="1">
        <f t="shared" ca="1" si="160"/>
        <v>0.9</v>
      </c>
      <c r="U545" s="1">
        <f t="shared" ca="1" si="160"/>
        <v>92.8</v>
      </c>
      <c r="V545" s="1">
        <f t="shared" ca="1" si="160"/>
        <v>0</v>
      </c>
      <c r="W545" s="1">
        <f t="shared" ca="1" si="160"/>
        <v>0</v>
      </c>
      <c r="X545" s="1">
        <f t="shared" ca="1" si="160"/>
        <v>306.893758668516</v>
      </c>
      <c r="Y545" s="1">
        <f t="shared" ca="1" si="160"/>
        <v>0</v>
      </c>
      <c r="Z545" s="1">
        <f t="shared" ca="1" si="160"/>
        <v>0</v>
      </c>
      <c r="AA545" s="1">
        <f t="shared" ca="1" si="160"/>
        <v>0</v>
      </c>
      <c r="AB545" s="1">
        <f t="shared" ca="1" si="158"/>
        <v>0</v>
      </c>
      <c r="AC545" s="1">
        <f t="shared" ca="1" si="160"/>
        <v>68.000399999999999</v>
      </c>
      <c r="AD545" s="1">
        <f t="shared" ca="1" si="160"/>
        <v>68.000399999999999</v>
      </c>
      <c r="AE545" s="1">
        <f t="shared" ca="1" si="160"/>
        <v>102.00059999999999</v>
      </c>
      <c r="AF545" s="1">
        <f t="shared" ca="1" si="160"/>
        <v>68.000399999999999</v>
      </c>
      <c r="AG545" s="1">
        <f t="shared" ca="1" si="160"/>
        <v>68.000399999999999</v>
      </c>
      <c r="AH545" s="1">
        <f t="shared" ca="1" si="160"/>
        <v>68.000399999999999</v>
      </c>
      <c r="AI545" s="1">
        <f t="shared" ca="1" si="156"/>
        <v>68.000399999999999</v>
      </c>
    </row>
    <row r="546" spans="2:35" x14ac:dyDescent="0.15">
      <c r="B546" s="1" t="str">
        <f t="shared" si="153"/>
        <v>水系49</v>
      </c>
      <c r="C546" s="1">
        <f t="shared" si="143"/>
        <v>49</v>
      </c>
      <c r="D546" s="14" t="s">
        <v>95</v>
      </c>
      <c r="E546" s="14">
        <f t="shared" si="144"/>
        <v>6</v>
      </c>
      <c r="F546" s="1" t="str">
        <f t="shared" si="151"/>
        <v>冷却</v>
      </c>
      <c r="H546" s="1">
        <f t="shared" ca="1" si="152"/>
        <v>1593.0112290618199</v>
      </c>
      <c r="I546" s="1">
        <f t="shared" ca="1" si="159"/>
        <v>150</v>
      </c>
      <c r="J546" s="1">
        <f t="shared" ca="1" si="159"/>
        <v>666.84264705882401</v>
      </c>
      <c r="K546" s="1">
        <f t="shared" ca="1" si="159"/>
        <v>69.417074999999997</v>
      </c>
      <c r="L546" s="1">
        <f t="shared" ca="1" si="159"/>
        <v>666.84264705882401</v>
      </c>
      <c r="M546" s="1">
        <f t="shared" ca="1" si="159"/>
        <v>69.417074999999997</v>
      </c>
      <c r="N546" s="1">
        <f t="shared" ca="1" si="159"/>
        <v>0.2</v>
      </c>
      <c r="O546" s="1">
        <f t="shared" ca="1" si="159"/>
        <v>0.2</v>
      </c>
      <c r="P546" s="1">
        <f t="shared" ca="1" si="159"/>
        <v>0.36</v>
      </c>
      <c r="Q546" s="1">
        <f t="shared" ca="1" si="159"/>
        <v>0.1</v>
      </c>
      <c r="R546" s="1">
        <f t="shared" ca="1" si="159"/>
        <v>2</v>
      </c>
      <c r="S546" s="1">
        <f t="shared" ca="1" si="160"/>
        <v>0.1</v>
      </c>
      <c r="T546" s="1">
        <f t="shared" ca="1" si="160"/>
        <v>0.9</v>
      </c>
      <c r="U546" s="1">
        <f t="shared" ca="1" si="160"/>
        <v>94.733333333333306</v>
      </c>
      <c r="V546" s="1">
        <f t="shared" ca="1" si="160"/>
        <v>0</v>
      </c>
      <c r="W546" s="1">
        <f t="shared" ca="1" si="160"/>
        <v>0</v>
      </c>
      <c r="X546" s="1">
        <f t="shared" ca="1" si="160"/>
        <v>324.58897058823601</v>
      </c>
      <c r="Y546" s="1">
        <f t="shared" ca="1" si="160"/>
        <v>0</v>
      </c>
      <c r="Z546" s="1">
        <f t="shared" ca="1" si="160"/>
        <v>0</v>
      </c>
      <c r="AA546" s="1">
        <f t="shared" ca="1" si="160"/>
        <v>0</v>
      </c>
      <c r="AB546" s="1">
        <f t="shared" ca="1" si="158"/>
        <v>0</v>
      </c>
      <c r="AC546" s="1">
        <f t="shared" ca="1" si="160"/>
        <v>69.417074999999997</v>
      </c>
      <c r="AD546" s="1">
        <f t="shared" ca="1" si="160"/>
        <v>69.417074999999997</v>
      </c>
      <c r="AE546" s="1">
        <f t="shared" ca="1" si="160"/>
        <v>104.12561249999999</v>
      </c>
      <c r="AF546" s="1">
        <f t="shared" ca="1" si="160"/>
        <v>69.417074999999997</v>
      </c>
      <c r="AG546" s="1">
        <f t="shared" ca="1" si="160"/>
        <v>69.417074999999997</v>
      </c>
      <c r="AH546" s="1">
        <f t="shared" ca="1" si="160"/>
        <v>69.417074999999997</v>
      </c>
      <c r="AI546" s="1">
        <f t="shared" ca="1" si="156"/>
        <v>69.417074999999997</v>
      </c>
    </row>
    <row r="547" spans="2:35" x14ac:dyDescent="0.15">
      <c r="B547" s="1" t="str">
        <f t="shared" si="153"/>
        <v>水系50</v>
      </c>
      <c r="C547" s="1">
        <f t="shared" si="143"/>
        <v>50</v>
      </c>
      <c r="D547" s="14" t="s">
        <v>95</v>
      </c>
      <c r="E547" s="14">
        <f t="shared" si="144"/>
        <v>6</v>
      </c>
      <c r="F547" s="1" t="str">
        <f t="shared" si="151"/>
        <v>冷却</v>
      </c>
      <c r="H547" s="1">
        <f t="shared" ca="1" si="152"/>
        <v>1633.7313676731701</v>
      </c>
      <c r="I547" s="1">
        <f t="shared" ca="1" si="159"/>
        <v>150</v>
      </c>
      <c r="J547" s="1">
        <f t="shared" ca="1" si="159"/>
        <v>686.085572842999</v>
      </c>
      <c r="K547" s="1">
        <f t="shared" ca="1" si="159"/>
        <v>70.833749999999995</v>
      </c>
      <c r="L547" s="1">
        <f t="shared" ca="1" si="159"/>
        <v>686.085572842999</v>
      </c>
      <c r="M547" s="1">
        <f t="shared" ca="1" si="159"/>
        <v>70.833749999999995</v>
      </c>
      <c r="N547" s="1">
        <f t="shared" ca="1" si="159"/>
        <v>0.2</v>
      </c>
      <c r="O547" s="1">
        <f t="shared" ca="1" si="159"/>
        <v>0.2</v>
      </c>
      <c r="P547" s="1">
        <f t="shared" ca="1" si="159"/>
        <v>0.36</v>
      </c>
      <c r="Q547" s="1">
        <f t="shared" ca="1" si="159"/>
        <v>0.1</v>
      </c>
      <c r="R547" s="1">
        <f t="shared" ca="1" si="159"/>
        <v>2</v>
      </c>
      <c r="S547" s="1">
        <f t="shared" ca="1" si="160"/>
        <v>0.1</v>
      </c>
      <c r="T547" s="1">
        <f t="shared" ca="1" si="160"/>
        <v>0.9</v>
      </c>
      <c r="U547" s="1">
        <f t="shared" ca="1" si="160"/>
        <v>96.6666666666667</v>
      </c>
      <c r="V547" s="1">
        <f t="shared" ca="1" si="160"/>
        <v>0</v>
      </c>
      <c r="W547" s="1">
        <f t="shared" ca="1" si="160"/>
        <v>0</v>
      </c>
      <c r="X547" s="1">
        <f t="shared" ca="1" si="160"/>
        <v>343.04278642149899</v>
      </c>
      <c r="Y547" s="1">
        <f t="shared" ca="1" si="160"/>
        <v>0</v>
      </c>
      <c r="Z547" s="1">
        <f t="shared" ca="1" si="160"/>
        <v>0</v>
      </c>
      <c r="AA547" s="1">
        <f t="shared" ca="1" si="160"/>
        <v>0</v>
      </c>
      <c r="AB547" s="1">
        <f t="shared" ca="1" si="158"/>
        <v>0</v>
      </c>
      <c r="AC547" s="1">
        <f t="shared" ca="1" si="160"/>
        <v>70.833749999999995</v>
      </c>
      <c r="AD547" s="1">
        <f t="shared" ca="1" si="160"/>
        <v>70.833749999999995</v>
      </c>
      <c r="AE547" s="1">
        <f t="shared" ca="1" si="160"/>
        <v>106.25062499999999</v>
      </c>
      <c r="AF547" s="1">
        <f t="shared" ca="1" si="160"/>
        <v>70.833749999999995</v>
      </c>
      <c r="AG547" s="1">
        <f t="shared" ca="1" si="160"/>
        <v>70.833749999999995</v>
      </c>
      <c r="AH547" s="1">
        <f t="shared" ca="1" si="160"/>
        <v>70.833749999999995</v>
      </c>
      <c r="AI547" s="1">
        <f t="shared" ca="1" si="156"/>
        <v>70.833749999999995</v>
      </c>
    </row>
    <row r="548" spans="2:35" x14ac:dyDescent="0.15">
      <c r="B548" s="1" t="str">
        <f t="shared" si="153"/>
        <v>水系51</v>
      </c>
      <c r="C548" s="1">
        <f t="shared" si="143"/>
        <v>51</v>
      </c>
      <c r="D548" s="14" t="s">
        <v>95</v>
      </c>
      <c r="E548" s="14">
        <f t="shared" si="144"/>
        <v>6</v>
      </c>
      <c r="F548" s="1" t="str">
        <f t="shared" si="151"/>
        <v>冷却</v>
      </c>
      <c r="H548" s="1">
        <f t="shared" ca="1" si="152"/>
        <v>1674.77989449913</v>
      </c>
      <c r="I548" s="1">
        <f t="shared" ca="1" si="159"/>
        <v>150</v>
      </c>
      <c r="J548" s="1">
        <f t="shared" ca="1" si="159"/>
        <v>705.62142857142896</v>
      </c>
      <c r="K548" s="1">
        <f t="shared" ca="1" si="159"/>
        <v>72.250425000000007</v>
      </c>
      <c r="L548" s="1">
        <f t="shared" ca="1" si="159"/>
        <v>705.62142857142896</v>
      </c>
      <c r="M548" s="1">
        <f t="shared" ca="1" si="159"/>
        <v>72.250425000000007</v>
      </c>
      <c r="N548" s="1">
        <f t="shared" ca="1" si="159"/>
        <v>0.2</v>
      </c>
      <c r="O548" s="1">
        <f t="shared" ca="1" si="159"/>
        <v>0.2</v>
      </c>
      <c r="P548" s="1">
        <f t="shared" ca="1" si="159"/>
        <v>0.36</v>
      </c>
      <c r="Q548" s="1">
        <f t="shared" ca="1" si="159"/>
        <v>0.1</v>
      </c>
      <c r="R548" s="1">
        <f t="shared" ca="1" si="159"/>
        <v>2</v>
      </c>
      <c r="S548" s="1">
        <f t="shared" ca="1" si="160"/>
        <v>0.1</v>
      </c>
      <c r="T548" s="1">
        <f t="shared" ca="1" si="160"/>
        <v>0.9</v>
      </c>
      <c r="U548" s="1">
        <f t="shared" ca="1" si="160"/>
        <v>98.6</v>
      </c>
      <c r="V548" s="1">
        <f t="shared" ca="1" si="160"/>
        <v>0</v>
      </c>
      <c r="W548" s="1">
        <f t="shared" ca="1" si="160"/>
        <v>0</v>
      </c>
      <c r="X548" s="1">
        <f t="shared" ca="1" si="160"/>
        <v>362.28214285714353</v>
      </c>
      <c r="Y548" s="1">
        <f t="shared" ca="1" si="160"/>
        <v>0</v>
      </c>
      <c r="Z548" s="1">
        <f t="shared" ca="1" si="160"/>
        <v>0</v>
      </c>
      <c r="AA548" s="1">
        <f t="shared" ca="1" si="160"/>
        <v>0</v>
      </c>
      <c r="AB548" s="1">
        <f t="shared" ca="1" si="158"/>
        <v>0</v>
      </c>
      <c r="AC548" s="1">
        <f t="shared" ca="1" si="160"/>
        <v>72.250425000000007</v>
      </c>
      <c r="AD548" s="1">
        <f t="shared" ca="1" si="160"/>
        <v>72.250425000000007</v>
      </c>
      <c r="AE548" s="1">
        <f t="shared" ca="1" si="160"/>
        <v>108.37563750000001</v>
      </c>
      <c r="AF548" s="1">
        <f t="shared" ca="1" si="160"/>
        <v>72.250425000000007</v>
      </c>
      <c r="AG548" s="1">
        <f t="shared" ca="1" si="160"/>
        <v>72.250425000000007</v>
      </c>
      <c r="AH548" s="1">
        <f t="shared" ca="1" si="160"/>
        <v>72.250425000000007</v>
      </c>
      <c r="AI548" s="1">
        <f t="shared" ca="1" si="156"/>
        <v>72.250425000000007</v>
      </c>
    </row>
    <row r="549" spans="2:35" x14ac:dyDescent="0.15">
      <c r="B549" s="1" t="str">
        <f t="shared" si="153"/>
        <v>水系52</v>
      </c>
      <c r="C549" s="1">
        <f t="shared" si="143"/>
        <v>52</v>
      </c>
      <c r="D549" s="14" t="s">
        <v>95</v>
      </c>
      <c r="E549" s="14">
        <f t="shared" si="144"/>
        <v>6</v>
      </c>
      <c r="F549" s="1" t="str">
        <f t="shared" si="151"/>
        <v>冷却</v>
      </c>
      <c r="H549" s="1">
        <f t="shared" ca="1" si="152"/>
        <v>1716.1568095396899</v>
      </c>
      <c r="I549" s="1">
        <f t="shared" ca="1" si="159"/>
        <v>150</v>
      </c>
      <c r="J549" s="1">
        <f t="shared" ca="1" si="159"/>
        <v>725.45627705627703</v>
      </c>
      <c r="K549" s="1">
        <f t="shared" ca="1" si="159"/>
        <v>73.667100000000005</v>
      </c>
      <c r="L549" s="1">
        <f t="shared" ca="1" si="159"/>
        <v>725.45627705627703</v>
      </c>
      <c r="M549" s="1">
        <f t="shared" ca="1" si="159"/>
        <v>73.667100000000005</v>
      </c>
      <c r="N549" s="1">
        <f t="shared" ca="1" si="159"/>
        <v>0.2</v>
      </c>
      <c r="O549" s="1">
        <f t="shared" ca="1" si="159"/>
        <v>0.2</v>
      </c>
      <c r="P549" s="1">
        <f t="shared" ca="1" si="159"/>
        <v>0.36</v>
      </c>
      <c r="Q549" s="1">
        <f t="shared" ca="1" si="159"/>
        <v>0.1</v>
      </c>
      <c r="R549" s="1">
        <f t="shared" ca="1" si="159"/>
        <v>2</v>
      </c>
      <c r="S549" s="1">
        <f t="shared" ca="1" si="160"/>
        <v>0.1</v>
      </c>
      <c r="T549" s="1">
        <f t="shared" ca="1" si="160"/>
        <v>0.9</v>
      </c>
      <c r="U549" s="1">
        <f t="shared" ca="1" si="160"/>
        <v>100.533333333333</v>
      </c>
      <c r="V549" s="1">
        <f t="shared" ca="1" si="160"/>
        <v>0</v>
      </c>
      <c r="W549" s="1">
        <f t="shared" ca="1" si="160"/>
        <v>0</v>
      </c>
      <c r="X549" s="1">
        <f t="shared" ca="1" si="160"/>
        <v>382.33506493506451</v>
      </c>
      <c r="Y549" s="1">
        <f t="shared" ca="1" si="160"/>
        <v>0</v>
      </c>
      <c r="Z549" s="1">
        <f t="shared" ca="1" si="160"/>
        <v>0</v>
      </c>
      <c r="AA549" s="1">
        <f t="shared" ca="1" si="160"/>
        <v>0</v>
      </c>
      <c r="AB549" s="1">
        <f t="shared" ca="1" si="160"/>
        <v>0</v>
      </c>
      <c r="AC549" s="1">
        <f t="shared" ca="1" si="160"/>
        <v>73.667100000000005</v>
      </c>
      <c r="AD549" s="1">
        <f t="shared" ca="1" si="160"/>
        <v>73.667100000000005</v>
      </c>
      <c r="AE549" s="1">
        <f t="shared" ca="1" si="160"/>
        <v>110.50065000000001</v>
      </c>
      <c r="AF549" s="1">
        <f t="shared" ca="1" si="160"/>
        <v>73.667100000000005</v>
      </c>
      <c r="AG549" s="1">
        <f t="shared" ca="1" si="160"/>
        <v>73.667100000000005</v>
      </c>
      <c r="AH549" s="1">
        <f t="shared" ca="1" si="160"/>
        <v>73.667100000000005</v>
      </c>
      <c r="AI549" s="1">
        <f t="shared" ca="1" si="156"/>
        <v>73.667100000000005</v>
      </c>
    </row>
    <row r="550" spans="2:35" x14ac:dyDescent="0.15">
      <c r="B550" s="1" t="str">
        <f t="shared" si="153"/>
        <v>水系53</v>
      </c>
      <c r="C550" s="1">
        <f t="shared" si="143"/>
        <v>53</v>
      </c>
      <c r="D550" s="14" t="s">
        <v>95</v>
      </c>
      <c r="E550" s="14">
        <f t="shared" si="144"/>
        <v>6</v>
      </c>
      <c r="F550" s="1" t="str">
        <f t="shared" si="151"/>
        <v>冷却</v>
      </c>
      <c r="H550" s="1">
        <f t="shared" ca="1" si="152"/>
        <v>1757.86211279487</v>
      </c>
      <c r="I550" s="1">
        <f t="shared" ca="1" si="159"/>
        <v>150</v>
      </c>
      <c r="J550" s="1">
        <f t="shared" ca="1" si="159"/>
        <v>745.59642857142899</v>
      </c>
      <c r="K550" s="1">
        <f t="shared" ca="1" si="159"/>
        <v>75.083775000000003</v>
      </c>
      <c r="L550" s="1">
        <f t="shared" ca="1" si="159"/>
        <v>745.59642857142899</v>
      </c>
      <c r="M550" s="1">
        <f t="shared" ca="1" si="159"/>
        <v>75.083775000000003</v>
      </c>
      <c r="N550" s="1">
        <f t="shared" ca="1" si="159"/>
        <v>0.2</v>
      </c>
      <c r="O550" s="1">
        <f t="shared" ca="1" si="159"/>
        <v>0.2</v>
      </c>
      <c r="P550" s="1">
        <f t="shared" ca="1" si="159"/>
        <v>0.36</v>
      </c>
      <c r="Q550" s="1">
        <f t="shared" ca="1" si="159"/>
        <v>0.1</v>
      </c>
      <c r="R550" s="1">
        <f t="shared" ca="1" si="159"/>
        <v>2</v>
      </c>
      <c r="S550" s="1">
        <f t="shared" ca="1" si="160"/>
        <v>0.1</v>
      </c>
      <c r="T550" s="1">
        <f t="shared" ca="1" si="160"/>
        <v>0.9</v>
      </c>
      <c r="U550" s="1">
        <f t="shared" ca="1" si="160"/>
        <v>102.466666666667</v>
      </c>
      <c r="V550" s="1">
        <f t="shared" ca="1" si="160"/>
        <v>0</v>
      </c>
      <c r="W550" s="1">
        <f t="shared" ca="1" si="160"/>
        <v>0</v>
      </c>
      <c r="X550" s="1">
        <f t="shared" ca="1" si="160"/>
        <v>403.2307215743445</v>
      </c>
      <c r="Y550" s="1">
        <f t="shared" ca="1" si="160"/>
        <v>0</v>
      </c>
      <c r="Z550" s="1">
        <f t="shared" ca="1" si="160"/>
        <v>0</v>
      </c>
      <c r="AA550" s="1">
        <f t="shared" ca="1" si="160"/>
        <v>0</v>
      </c>
      <c r="AB550" s="1">
        <f t="shared" ca="1" si="160"/>
        <v>0</v>
      </c>
      <c r="AC550" s="1">
        <f t="shared" ca="1" si="160"/>
        <v>75.083775000000003</v>
      </c>
      <c r="AD550" s="1">
        <f t="shared" ca="1" si="160"/>
        <v>75.083775000000003</v>
      </c>
      <c r="AE550" s="1">
        <f t="shared" ca="1" si="160"/>
        <v>112.6256625</v>
      </c>
      <c r="AF550" s="1">
        <f t="shared" ca="1" si="160"/>
        <v>75.083775000000003</v>
      </c>
      <c r="AG550" s="1">
        <f t="shared" ca="1" si="160"/>
        <v>75.083775000000003</v>
      </c>
      <c r="AH550" s="1">
        <f t="shared" ca="1" si="160"/>
        <v>75.083775000000003</v>
      </c>
      <c r="AI550" s="1">
        <f t="shared" ca="1" si="156"/>
        <v>75.083775000000003</v>
      </c>
    </row>
    <row r="551" spans="2:35" x14ac:dyDescent="0.15">
      <c r="B551" s="1" t="str">
        <f t="shared" si="153"/>
        <v>水系54</v>
      </c>
      <c r="C551" s="1">
        <f t="shared" ref="C551:C614" si="161">C452</f>
        <v>54</v>
      </c>
      <c r="D551" s="14" t="s">
        <v>95</v>
      </c>
      <c r="E551" s="14">
        <f t="shared" ref="E551:E614" si="162">E452+1</f>
        <v>6</v>
      </c>
      <c r="F551" s="1" t="str">
        <f t="shared" si="151"/>
        <v>冷却</v>
      </c>
      <c r="H551" s="1">
        <f t="shared" ca="1" si="152"/>
        <v>1799.89580426465</v>
      </c>
      <c r="I551" s="1">
        <f t="shared" ca="1" si="159"/>
        <v>150</v>
      </c>
      <c r="J551" s="1">
        <f t="shared" ca="1" si="159"/>
        <v>766.048453608248</v>
      </c>
      <c r="K551" s="1">
        <f t="shared" ca="1" si="159"/>
        <v>76.500450000000001</v>
      </c>
      <c r="L551" s="1">
        <f t="shared" ca="1" si="159"/>
        <v>766.048453608248</v>
      </c>
      <c r="M551" s="1">
        <f t="shared" ca="1" si="159"/>
        <v>76.500450000000001</v>
      </c>
      <c r="N551" s="1">
        <f t="shared" ca="1" si="159"/>
        <v>0.2</v>
      </c>
      <c r="O551" s="1">
        <f t="shared" ca="1" si="159"/>
        <v>0.2</v>
      </c>
      <c r="P551" s="1">
        <f t="shared" ca="1" si="159"/>
        <v>0.36</v>
      </c>
      <c r="Q551" s="1">
        <f t="shared" ca="1" si="159"/>
        <v>0.1</v>
      </c>
      <c r="R551" s="1">
        <f t="shared" ca="1" si="159"/>
        <v>2</v>
      </c>
      <c r="S551" s="1">
        <f t="shared" ca="1" si="160"/>
        <v>0.1</v>
      </c>
      <c r="T551" s="1">
        <f t="shared" ca="1" si="160"/>
        <v>0.9</v>
      </c>
      <c r="U551" s="1">
        <f t="shared" ca="1" si="160"/>
        <v>104.4</v>
      </c>
      <c r="V551" s="1">
        <f t="shared" ca="1" si="160"/>
        <v>0</v>
      </c>
      <c r="W551" s="1">
        <f t="shared" ca="1" si="160"/>
        <v>0</v>
      </c>
      <c r="X551" s="1">
        <f t="shared" ca="1" si="160"/>
        <v>424.999484536083</v>
      </c>
      <c r="Y551" s="1">
        <f t="shared" ca="1" si="160"/>
        <v>0</v>
      </c>
      <c r="Z551" s="1">
        <f t="shared" ca="1" si="160"/>
        <v>0</v>
      </c>
      <c r="AA551" s="1">
        <f t="shared" ca="1" si="160"/>
        <v>0</v>
      </c>
      <c r="AB551" s="1">
        <f t="shared" ca="1" si="160"/>
        <v>0</v>
      </c>
      <c r="AC551" s="1">
        <f t="shared" ca="1" si="160"/>
        <v>76.500450000000001</v>
      </c>
      <c r="AD551" s="1">
        <f t="shared" ca="1" si="160"/>
        <v>76.500450000000001</v>
      </c>
      <c r="AE551" s="1">
        <f t="shared" ca="1" si="160"/>
        <v>114.750675</v>
      </c>
      <c r="AF551" s="1">
        <f t="shared" ca="1" si="160"/>
        <v>76.500450000000001</v>
      </c>
      <c r="AG551" s="1">
        <f t="shared" ca="1" si="160"/>
        <v>76.500450000000001</v>
      </c>
      <c r="AH551" s="1">
        <f t="shared" ca="1" si="160"/>
        <v>76.500450000000001</v>
      </c>
      <c r="AI551" s="1">
        <f t="shared" ca="1" si="156"/>
        <v>76.500450000000001</v>
      </c>
    </row>
    <row r="552" spans="2:35" x14ac:dyDescent="0.15">
      <c r="B552" s="1" t="str">
        <f t="shared" si="153"/>
        <v>水系55</v>
      </c>
      <c r="C552" s="1">
        <f t="shared" si="161"/>
        <v>55</v>
      </c>
      <c r="D552" s="14" t="s">
        <v>95</v>
      </c>
      <c r="E552" s="14">
        <f t="shared" si="162"/>
        <v>6</v>
      </c>
      <c r="F552" s="1" t="str">
        <f t="shared" si="151"/>
        <v>冷却</v>
      </c>
      <c r="H552" s="1">
        <f t="shared" ca="1" si="152"/>
        <v>1842.25788394904</v>
      </c>
      <c r="I552" s="1">
        <f t="shared" ca="1" si="159"/>
        <v>150</v>
      </c>
      <c r="J552" s="1">
        <f t="shared" ca="1" si="159"/>
        <v>786.81919642857201</v>
      </c>
      <c r="K552" s="1">
        <f t="shared" ca="1" si="159"/>
        <v>77.917124999999999</v>
      </c>
      <c r="L552" s="1">
        <f t="shared" ca="1" si="159"/>
        <v>786.81919642857201</v>
      </c>
      <c r="M552" s="1">
        <f t="shared" ca="1" si="159"/>
        <v>77.917124999999999</v>
      </c>
      <c r="N552" s="1">
        <f t="shared" ca="1" si="159"/>
        <v>0.2</v>
      </c>
      <c r="O552" s="1">
        <f t="shared" ca="1" si="159"/>
        <v>0.2</v>
      </c>
      <c r="P552" s="1">
        <f t="shared" ca="1" si="159"/>
        <v>0.36</v>
      </c>
      <c r="Q552" s="1">
        <f t="shared" ca="1" si="159"/>
        <v>0.1</v>
      </c>
      <c r="R552" s="1">
        <f t="shared" ca="1" si="159"/>
        <v>2</v>
      </c>
      <c r="S552" s="1">
        <f t="shared" ca="1" si="160"/>
        <v>0.1</v>
      </c>
      <c r="T552" s="1">
        <f t="shared" ca="1" si="160"/>
        <v>0.9</v>
      </c>
      <c r="U552" s="1">
        <f t="shared" ca="1" si="160"/>
        <v>106.333333333333</v>
      </c>
      <c r="V552" s="1">
        <f t="shared" ca="1" si="160"/>
        <v>0</v>
      </c>
      <c r="W552" s="1">
        <f t="shared" ca="1" si="160"/>
        <v>0</v>
      </c>
      <c r="X552" s="1">
        <f t="shared" ca="1" si="160"/>
        <v>447.67299107142901</v>
      </c>
      <c r="Y552" s="1">
        <f t="shared" ca="1" si="160"/>
        <v>0</v>
      </c>
      <c r="Z552" s="1">
        <f t="shared" ca="1" si="160"/>
        <v>0</v>
      </c>
      <c r="AA552" s="1">
        <f t="shared" ca="1" si="160"/>
        <v>0</v>
      </c>
      <c r="AB552" s="1">
        <f t="shared" ca="1" si="160"/>
        <v>0</v>
      </c>
      <c r="AC552" s="1">
        <f t="shared" ca="1" si="160"/>
        <v>77.917124999999999</v>
      </c>
      <c r="AD552" s="1">
        <f t="shared" ca="1" si="160"/>
        <v>77.917124999999999</v>
      </c>
      <c r="AE552" s="1">
        <f t="shared" ca="1" si="160"/>
        <v>116.8756875</v>
      </c>
      <c r="AF552" s="1">
        <f t="shared" ca="1" si="160"/>
        <v>77.917124999999999</v>
      </c>
      <c r="AG552" s="1">
        <f t="shared" ca="1" si="160"/>
        <v>77.917124999999999</v>
      </c>
      <c r="AH552" s="1">
        <f t="shared" ca="1" si="160"/>
        <v>77.917124999999999</v>
      </c>
      <c r="AI552" s="1">
        <f t="shared" ca="1" si="156"/>
        <v>77.917124999999999</v>
      </c>
    </row>
    <row r="553" spans="2:35" x14ac:dyDescent="0.15">
      <c r="B553" s="1" t="str">
        <f t="shared" si="153"/>
        <v>水系56</v>
      </c>
      <c r="C553" s="1">
        <f t="shared" si="161"/>
        <v>56</v>
      </c>
      <c r="D553" s="14" t="s">
        <v>95</v>
      </c>
      <c r="E553" s="14">
        <f t="shared" si="162"/>
        <v>6</v>
      </c>
      <c r="F553" s="1" t="str">
        <f t="shared" si="151"/>
        <v>冷却</v>
      </c>
      <c r="H553" s="1">
        <f t="shared" ca="1" si="152"/>
        <v>1958.58059015868</v>
      </c>
      <c r="I553" s="1">
        <f t="shared" ref="I553:R562" ca="1" si="163">mVlookup($C553,monsterBaseDate,I$2,FALSE)*(1+mVlookup($E553,monsterType,I$2,FALSE))</f>
        <v>150</v>
      </c>
      <c r="J553" s="1">
        <f t="shared" ca="1" si="163"/>
        <v>807.91578947368498</v>
      </c>
      <c r="K553" s="1">
        <f t="shared" ca="1" si="163"/>
        <v>79.333799999999997</v>
      </c>
      <c r="L553" s="1">
        <f t="shared" ca="1" si="163"/>
        <v>807.91578947368498</v>
      </c>
      <c r="M553" s="1">
        <f t="shared" ca="1" si="163"/>
        <v>79.333799999999997</v>
      </c>
      <c r="N553" s="1">
        <f t="shared" ca="1" si="163"/>
        <v>0.2</v>
      </c>
      <c r="O553" s="1">
        <f t="shared" ca="1" si="163"/>
        <v>0.2</v>
      </c>
      <c r="P553" s="1">
        <f t="shared" ca="1" si="163"/>
        <v>0.36</v>
      </c>
      <c r="Q553" s="1">
        <f t="shared" ca="1" si="163"/>
        <v>0.1</v>
      </c>
      <c r="R553" s="1">
        <f t="shared" ca="1" si="163"/>
        <v>2</v>
      </c>
      <c r="S553" s="1">
        <f t="shared" ref="S553:AH568" ca="1" si="164">mVlookup($C553,monsterBaseDate,S$2,FALSE)*(1+mVlookup($E553,monsterType,S$2,FALSE))</f>
        <v>0.1</v>
      </c>
      <c r="T553" s="1">
        <f t="shared" ca="1" si="164"/>
        <v>0.9</v>
      </c>
      <c r="U553" s="1">
        <f t="shared" ca="1" si="164"/>
        <v>108.26666666666701</v>
      </c>
      <c r="V553" s="1">
        <f t="shared" ca="1" si="164"/>
        <v>0</v>
      </c>
      <c r="W553" s="1">
        <f t="shared" ca="1" si="164"/>
        <v>0</v>
      </c>
      <c r="X553" s="1">
        <f t="shared" ca="1" si="164"/>
        <v>471.28421052631654</v>
      </c>
      <c r="Y553" s="1">
        <f t="shared" ca="1" si="164"/>
        <v>0</v>
      </c>
      <c r="Z553" s="1">
        <f t="shared" ca="1" si="164"/>
        <v>0</v>
      </c>
      <c r="AA553" s="1">
        <f t="shared" ca="1" si="164"/>
        <v>0</v>
      </c>
      <c r="AB553" s="1">
        <f t="shared" ca="1" si="160"/>
        <v>0</v>
      </c>
      <c r="AC553" s="1">
        <f t="shared" ca="1" si="164"/>
        <v>79.333799999999997</v>
      </c>
      <c r="AD553" s="1">
        <f t="shared" ca="1" si="164"/>
        <v>79.333799999999997</v>
      </c>
      <c r="AE553" s="1">
        <f t="shared" ca="1" si="164"/>
        <v>119.00069999999999</v>
      </c>
      <c r="AF553" s="1">
        <f t="shared" ca="1" si="164"/>
        <v>79.333799999999997</v>
      </c>
      <c r="AG553" s="1">
        <f t="shared" ca="1" si="164"/>
        <v>79.333799999999997</v>
      </c>
      <c r="AH553" s="1">
        <f t="shared" ca="1" si="164"/>
        <v>79.333799999999997</v>
      </c>
      <c r="AI553" s="1">
        <f t="shared" ca="1" si="156"/>
        <v>79.333799999999997</v>
      </c>
    </row>
    <row r="554" spans="2:35" x14ac:dyDescent="0.15">
      <c r="B554" s="1" t="str">
        <f t="shared" si="153"/>
        <v>水系57</v>
      </c>
      <c r="C554" s="1">
        <f t="shared" si="161"/>
        <v>57</v>
      </c>
      <c r="D554" s="14" t="s">
        <v>95</v>
      </c>
      <c r="E554" s="14">
        <f t="shared" si="162"/>
        <v>6</v>
      </c>
      <c r="F554" s="1" t="str">
        <f t="shared" si="151"/>
        <v>冷却</v>
      </c>
      <c r="H554" s="1">
        <f t="shared" ca="1" si="152"/>
        <v>2003.2799032790199</v>
      </c>
      <c r="I554" s="1">
        <f t="shared" ca="1" si="163"/>
        <v>150</v>
      </c>
      <c r="J554" s="1">
        <f t="shared" ca="1" si="163"/>
        <v>829.34566869301</v>
      </c>
      <c r="K554" s="1">
        <f t="shared" ca="1" si="163"/>
        <v>80.750474999999994</v>
      </c>
      <c r="L554" s="1">
        <f t="shared" ca="1" si="163"/>
        <v>829.34566869301</v>
      </c>
      <c r="M554" s="1">
        <f t="shared" ca="1" si="163"/>
        <v>80.750474999999994</v>
      </c>
      <c r="N554" s="1">
        <f t="shared" ca="1" si="163"/>
        <v>0.2</v>
      </c>
      <c r="O554" s="1">
        <f t="shared" ca="1" si="163"/>
        <v>0.2</v>
      </c>
      <c r="P554" s="1">
        <f t="shared" ca="1" si="163"/>
        <v>0.36</v>
      </c>
      <c r="Q554" s="1">
        <f t="shared" ca="1" si="163"/>
        <v>0.1</v>
      </c>
      <c r="R554" s="1">
        <f t="shared" ca="1" si="163"/>
        <v>2</v>
      </c>
      <c r="S554" s="1">
        <f t="shared" ca="1" si="164"/>
        <v>0.1</v>
      </c>
      <c r="T554" s="1">
        <f t="shared" ca="1" si="164"/>
        <v>0.9</v>
      </c>
      <c r="U554" s="1">
        <f t="shared" ca="1" si="164"/>
        <v>110.2</v>
      </c>
      <c r="V554" s="1">
        <f t="shared" ca="1" si="164"/>
        <v>0</v>
      </c>
      <c r="W554" s="1">
        <f t="shared" ca="1" si="164"/>
        <v>0</v>
      </c>
      <c r="X554" s="1">
        <f t="shared" ca="1" si="164"/>
        <v>495.86751519756899</v>
      </c>
      <c r="Y554" s="1">
        <f t="shared" ca="1" si="164"/>
        <v>0</v>
      </c>
      <c r="Z554" s="1">
        <f t="shared" ca="1" si="164"/>
        <v>0</v>
      </c>
      <c r="AA554" s="1">
        <f t="shared" ca="1" si="164"/>
        <v>0</v>
      </c>
      <c r="AB554" s="1">
        <f t="shared" ca="1" si="160"/>
        <v>0</v>
      </c>
      <c r="AC554" s="1">
        <f t="shared" ca="1" si="164"/>
        <v>80.750474999999994</v>
      </c>
      <c r="AD554" s="1">
        <f t="shared" ca="1" si="164"/>
        <v>80.750474999999994</v>
      </c>
      <c r="AE554" s="1">
        <f t="shared" ca="1" si="164"/>
        <v>121.12571249999999</v>
      </c>
      <c r="AF554" s="1">
        <f t="shared" ca="1" si="164"/>
        <v>80.750474999999994</v>
      </c>
      <c r="AG554" s="1">
        <f t="shared" ca="1" si="164"/>
        <v>80.750474999999994</v>
      </c>
      <c r="AH554" s="1">
        <f t="shared" ca="1" si="164"/>
        <v>80.750474999999994</v>
      </c>
      <c r="AI554" s="1">
        <f t="shared" ca="1" si="156"/>
        <v>80.750474999999994</v>
      </c>
    </row>
    <row r="555" spans="2:35" x14ac:dyDescent="0.15">
      <c r="B555" s="1" t="str">
        <f t="shared" si="153"/>
        <v>水系58</v>
      </c>
      <c r="C555" s="1">
        <f t="shared" si="161"/>
        <v>58</v>
      </c>
      <c r="D555" s="14" t="s">
        <v>95</v>
      </c>
      <c r="E555" s="14">
        <f t="shared" si="162"/>
        <v>6</v>
      </c>
      <c r="F555" s="1" t="str">
        <f t="shared" si="151"/>
        <v>冷却</v>
      </c>
      <c r="H555" s="1">
        <f t="shared" ca="1" si="152"/>
        <v>2048.3204325300599</v>
      </c>
      <c r="I555" s="1">
        <f t="shared" ca="1" si="163"/>
        <v>150</v>
      </c>
      <c r="J555" s="1">
        <f t="shared" ca="1" si="163"/>
        <v>851.116589861752</v>
      </c>
      <c r="K555" s="1">
        <f t="shared" ca="1" si="163"/>
        <v>82.167150000000007</v>
      </c>
      <c r="L555" s="1">
        <f t="shared" ca="1" si="163"/>
        <v>851.116589861752</v>
      </c>
      <c r="M555" s="1">
        <f t="shared" ca="1" si="163"/>
        <v>82.167150000000007</v>
      </c>
      <c r="N555" s="1">
        <f t="shared" ca="1" si="163"/>
        <v>0.2</v>
      </c>
      <c r="O555" s="1">
        <f t="shared" ca="1" si="163"/>
        <v>0.2</v>
      </c>
      <c r="P555" s="1">
        <f t="shared" ca="1" si="163"/>
        <v>0.36</v>
      </c>
      <c r="Q555" s="1">
        <f t="shared" ca="1" si="163"/>
        <v>0.1</v>
      </c>
      <c r="R555" s="1">
        <f t="shared" ca="1" si="163"/>
        <v>2</v>
      </c>
      <c r="S555" s="1">
        <f t="shared" ca="1" si="164"/>
        <v>0.1</v>
      </c>
      <c r="T555" s="1">
        <f t="shared" ca="1" si="164"/>
        <v>0.9</v>
      </c>
      <c r="U555" s="1">
        <f t="shared" ca="1" si="164"/>
        <v>112.133333333333</v>
      </c>
      <c r="V555" s="1">
        <f t="shared" ca="1" si="164"/>
        <v>0</v>
      </c>
      <c r="W555" s="1">
        <f t="shared" ca="1" si="164"/>
        <v>0</v>
      </c>
      <c r="X555" s="1">
        <f t="shared" ca="1" si="164"/>
        <v>521.45875576036951</v>
      </c>
      <c r="Y555" s="1">
        <f t="shared" ca="1" si="164"/>
        <v>0</v>
      </c>
      <c r="Z555" s="1">
        <f t="shared" ca="1" si="164"/>
        <v>0</v>
      </c>
      <c r="AA555" s="1">
        <f t="shared" ca="1" si="164"/>
        <v>0</v>
      </c>
      <c r="AB555" s="1">
        <f t="shared" ca="1" si="160"/>
        <v>0</v>
      </c>
      <c r="AC555" s="1">
        <f t="shared" ca="1" si="164"/>
        <v>82.167150000000007</v>
      </c>
      <c r="AD555" s="1">
        <f t="shared" ca="1" si="164"/>
        <v>82.167150000000007</v>
      </c>
      <c r="AE555" s="1">
        <f t="shared" ca="1" si="164"/>
        <v>123.25072500000002</v>
      </c>
      <c r="AF555" s="1">
        <f t="shared" ca="1" si="164"/>
        <v>82.167150000000007</v>
      </c>
      <c r="AG555" s="1">
        <f t="shared" ca="1" si="164"/>
        <v>82.167150000000007</v>
      </c>
      <c r="AH555" s="1">
        <f t="shared" ca="1" si="164"/>
        <v>82.167150000000007</v>
      </c>
      <c r="AI555" s="1">
        <f t="shared" ca="1" si="156"/>
        <v>82.167150000000007</v>
      </c>
    </row>
    <row r="556" spans="2:35" x14ac:dyDescent="0.15">
      <c r="B556" s="1" t="str">
        <f t="shared" si="153"/>
        <v>水系59</v>
      </c>
      <c r="C556" s="1">
        <f t="shared" si="161"/>
        <v>59</v>
      </c>
      <c r="D556" s="14" t="s">
        <v>95</v>
      </c>
      <c r="E556" s="14">
        <f t="shared" si="162"/>
        <v>6</v>
      </c>
      <c r="F556" s="1" t="str">
        <f t="shared" si="151"/>
        <v>冷却</v>
      </c>
      <c r="H556" s="1">
        <f t="shared" ca="1" si="152"/>
        <v>2093.7021779117799</v>
      </c>
      <c r="I556" s="1">
        <f t="shared" ca="1" si="163"/>
        <v>150</v>
      </c>
      <c r="J556" s="1">
        <f t="shared" ca="1" si="163"/>
        <v>873.23664596273295</v>
      </c>
      <c r="K556" s="1">
        <f t="shared" ca="1" si="163"/>
        <v>83.583825000000004</v>
      </c>
      <c r="L556" s="1">
        <f t="shared" ca="1" si="163"/>
        <v>873.23664596273295</v>
      </c>
      <c r="M556" s="1">
        <f t="shared" ca="1" si="163"/>
        <v>83.583825000000004</v>
      </c>
      <c r="N556" s="1">
        <f t="shared" ca="1" si="163"/>
        <v>0.2</v>
      </c>
      <c r="O556" s="1">
        <f t="shared" ca="1" si="163"/>
        <v>0.2</v>
      </c>
      <c r="P556" s="1">
        <f t="shared" ca="1" si="163"/>
        <v>0.36</v>
      </c>
      <c r="Q556" s="1">
        <f t="shared" ca="1" si="163"/>
        <v>0.1</v>
      </c>
      <c r="R556" s="1">
        <f t="shared" ca="1" si="163"/>
        <v>2</v>
      </c>
      <c r="S556" s="1">
        <f t="shared" ca="1" si="164"/>
        <v>0.1</v>
      </c>
      <c r="T556" s="1">
        <f t="shared" ca="1" si="164"/>
        <v>0.9</v>
      </c>
      <c r="U556" s="1">
        <f t="shared" ca="1" si="164"/>
        <v>114.066666666667</v>
      </c>
      <c r="V556" s="1">
        <f t="shared" ca="1" si="164"/>
        <v>0</v>
      </c>
      <c r="W556" s="1">
        <f t="shared" ca="1" si="164"/>
        <v>0</v>
      </c>
      <c r="X556" s="1">
        <f t="shared" ca="1" si="164"/>
        <v>548.09534161490706</v>
      </c>
      <c r="Y556" s="1">
        <f t="shared" ca="1" si="164"/>
        <v>0</v>
      </c>
      <c r="Z556" s="1">
        <f t="shared" ca="1" si="164"/>
        <v>0</v>
      </c>
      <c r="AA556" s="1">
        <f t="shared" ca="1" si="164"/>
        <v>0</v>
      </c>
      <c r="AB556" s="1">
        <f t="shared" ca="1" si="160"/>
        <v>0</v>
      </c>
      <c r="AC556" s="1">
        <f t="shared" ca="1" si="164"/>
        <v>83.583825000000004</v>
      </c>
      <c r="AD556" s="1">
        <f t="shared" ca="1" si="164"/>
        <v>83.583825000000004</v>
      </c>
      <c r="AE556" s="1">
        <f t="shared" ca="1" si="164"/>
        <v>125.37573750000001</v>
      </c>
      <c r="AF556" s="1">
        <f t="shared" ca="1" si="164"/>
        <v>83.583825000000004</v>
      </c>
      <c r="AG556" s="1">
        <f t="shared" ca="1" si="164"/>
        <v>83.583825000000004</v>
      </c>
      <c r="AH556" s="1">
        <f t="shared" ca="1" si="164"/>
        <v>83.583825000000004</v>
      </c>
      <c r="AI556" s="1">
        <f t="shared" ca="1" si="156"/>
        <v>83.583825000000004</v>
      </c>
    </row>
    <row r="557" spans="2:35" x14ac:dyDescent="0.15">
      <c r="B557" s="1" t="str">
        <f t="shared" si="153"/>
        <v>水系60</v>
      </c>
      <c r="C557" s="1">
        <f t="shared" si="161"/>
        <v>60</v>
      </c>
      <c r="D557" s="14" t="s">
        <v>95</v>
      </c>
      <c r="E557" s="14">
        <f t="shared" si="162"/>
        <v>6</v>
      </c>
      <c r="F557" s="1" t="str">
        <f t="shared" si="151"/>
        <v>冷却</v>
      </c>
      <c r="H557" s="1">
        <f t="shared" ca="1" si="152"/>
        <v>2139.4251394242001</v>
      </c>
      <c r="I557" s="1">
        <f t="shared" ca="1" si="163"/>
        <v>150</v>
      </c>
      <c r="J557" s="1">
        <f t="shared" ca="1" si="163"/>
        <v>895.71428571428601</v>
      </c>
      <c r="K557" s="1">
        <f t="shared" ca="1" si="163"/>
        <v>85.000500000000002</v>
      </c>
      <c r="L557" s="1">
        <f t="shared" ca="1" si="163"/>
        <v>895.71428571428601</v>
      </c>
      <c r="M557" s="1">
        <f t="shared" ca="1" si="163"/>
        <v>85.000500000000002</v>
      </c>
      <c r="N557" s="1">
        <f t="shared" ca="1" si="163"/>
        <v>0.2</v>
      </c>
      <c r="O557" s="1">
        <f t="shared" ca="1" si="163"/>
        <v>0.2</v>
      </c>
      <c r="P557" s="1">
        <f t="shared" ca="1" si="163"/>
        <v>0.36</v>
      </c>
      <c r="Q557" s="1">
        <f t="shared" ca="1" si="163"/>
        <v>0.1</v>
      </c>
      <c r="R557" s="1">
        <f t="shared" ca="1" si="163"/>
        <v>2</v>
      </c>
      <c r="S557" s="1">
        <f t="shared" ca="1" si="164"/>
        <v>0.1</v>
      </c>
      <c r="T557" s="1">
        <f t="shared" ca="1" si="164"/>
        <v>0.9</v>
      </c>
      <c r="U557" s="1">
        <f t="shared" ca="1" si="164"/>
        <v>116</v>
      </c>
      <c r="V557" s="1">
        <f t="shared" ca="1" si="164"/>
        <v>0</v>
      </c>
      <c r="W557" s="1">
        <f t="shared" ca="1" si="164"/>
        <v>0</v>
      </c>
      <c r="X557" s="1">
        <f t="shared" ca="1" si="164"/>
        <v>575.81632653061206</v>
      </c>
      <c r="Y557" s="1">
        <f t="shared" ca="1" si="164"/>
        <v>0</v>
      </c>
      <c r="Z557" s="1">
        <f t="shared" ca="1" si="164"/>
        <v>0</v>
      </c>
      <c r="AA557" s="1">
        <f t="shared" ca="1" si="164"/>
        <v>0</v>
      </c>
      <c r="AB557" s="1">
        <f t="shared" ca="1" si="160"/>
        <v>0</v>
      </c>
      <c r="AC557" s="1">
        <f t="shared" ca="1" si="164"/>
        <v>85.000500000000002</v>
      </c>
      <c r="AD557" s="1">
        <f t="shared" ca="1" si="164"/>
        <v>85.000500000000002</v>
      </c>
      <c r="AE557" s="1">
        <f t="shared" ca="1" si="164"/>
        <v>127.50075000000001</v>
      </c>
      <c r="AF557" s="1">
        <f t="shared" ca="1" si="164"/>
        <v>85.000500000000002</v>
      </c>
      <c r="AG557" s="1">
        <f t="shared" ca="1" si="164"/>
        <v>85.000500000000002</v>
      </c>
      <c r="AH557" s="1">
        <f t="shared" ca="1" si="164"/>
        <v>85.000500000000002</v>
      </c>
      <c r="AI557" s="1">
        <f t="shared" ca="1" si="156"/>
        <v>85.000500000000002</v>
      </c>
    </row>
    <row r="558" spans="2:35" x14ac:dyDescent="0.15">
      <c r="B558" s="1" t="str">
        <f t="shared" si="153"/>
        <v>水系61</v>
      </c>
      <c r="C558" s="1">
        <f t="shared" si="161"/>
        <v>61</v>
      </c>
      <c r="D558" s="14" t="s">
        <v>95</v>
      </c>
      <c r="E558" s="14">
        <f t="shared" si="162"/>
        <v>6</v>
      </c>
      <c r="F558" s="1" t="str">
        <f t="shared" si="151"/>
        <v>冷却</v>
      </c>
      <c r="H558" s="1">
        <f t="shared" ca="1" si="152"/>
        <v>2185.4893170672999</v>
      </c>
      <c r="I558" s="1">
        <f t="shared" ca="1" si="163"/>
        <v>150</v>
      </c>
      <c r="J558" s="1">
        <f t="shared" ca="1" si="163"/>
        <v>918.55833333333396</v>
      </c>
      <c r="K558" s="1">
        <f t="shared" ca="1" si="163"/>
        <v>86.417175</v>
      </c>
      <c r="L558" s="1">
        <f t="shared" ca="1" si="163"/>
        <v>918.55833333333396</v>
      </c>
      <c r="M558" s="1">
        <f t="shared" ca="1" si="163"/>
        <v>86.417175</v>
      </c>
      <c r="N558" s="1">
        <f t="shared" ca="1" si="163"/>
        <v>0.2</v>
      </c>
      <c r="O558" s="1">
        <f t="shared" ca="1" si="163"/>
        <v>0.2</v>
      </c>
      <c r="P558" s="1">
        <f t="shared" ca="1" si="163"/>
        <v>0.36</v>
      </c>
      <c r="Q558" s="1">
        <f t="shared" ca="1" si="163"/>
        <v>0.1</v>
      </c>
      <c r="R558" s="1">
        <f t="shared" ca="1" si="163"/>
        <v>2</v>
      </c>
      <c r="S558" s="1">
        <f t="shared" ca="1" si="164"/>
        <v>0.1</v>
      </c>
      <c r="T558" s="1">
        <f t="shared" ca="1" si="164"/>
        <v>0.9</v>
      </c>
      <c r="U558" s="1">
        <f t="shared" ca="1" si="164"/>
        <v>117.933333333333</v>
      </c>
      <c r="V558" s="1">
        <f t="shared" ca="1" si="164"/>
        <v>0</v>
      </c>
      <c r="W558" s="1">
        <f t="shared" ca="1" si="164"/>
        <v>0</v>
      </c>
      <c r="X558" s="1">
        <f t="shared" ca="1" si="164"/>
        <v>604.66250000000093</v>
      </c>
      <c r="Y558" s="1">
        <f t="shared" ca="1" si="164"/>
        <v>0</v>
      </c>
      <c r="Z558" s="1">
        <f t="shared" ca="1" si="164"/>
        <v>0</v>
      </c>
      <c r="AA558" s="1">
        <f t="shared" ca="1" si="164"/>
        <v>0</v>
      </c>
      <c r="AB558" s="1">
        <f t="shared" ca="1" si="160"/>
        <v>0</v>
      </c>
      <c r="AC558" s="1">
        <f t="shared" ca="1" si="164"/>
        <v>86.417175</v>
      </c>
      <c r="AD558" s="1">
        <f t="shared" ca="1" si="164"/>
        <v>86.417175</v>
      </c>
      <c r="AE558" s="1">
        <f t="shared" ca="1" si="164"/>
        <v>129.62576250000001</v>
      </c>
      <c r="AF558" s="1">
        <f t="shared" ca="1" si="164"/>
        <v>86.417175</v>
      </c>
      <c r="AG558" s="1">
        <f t="shared" ca="1" si="164"/>
        <v>86.417175</v>
      </c>
      <c r="AH558" s="1">
        <f t="shared" ca="1" si="164"/>
        <v>86.417175</v>
      </c>
      <c r="AI558" s="1">
        <f t="shared" ca="1" si="156"/>
        <v>86.417175</v>
      </c>
    </row>
    <row r="559" spans="2:35" x14ac:dyDescent="0.15">
      <c r="B559" s="1" t="str">
        <f t="shared" si="153"/>
        <v>水系62</v>
      </c>
      <c r="C559" s="1">
        <f t="shared" si="161"/>
        <v>62</v>
      </c>
      <c r="D559" s="14" t="s">
        <v>95</v>
      </c>
      <c r="E559" s="14">
        <f t="shared" si="162"/>
        <v>6</v>
      </c>
      <c r="F559" s="1" t="str">
        <f t="shared" si="151"/>
        <v>冷却</v>
      </c>
      <c r="H559" s="1">
        <f t="shared" ca="1" si="152"/>
        <v>2231.8947108410998</v>
      </c>
      <c r="I559" s="1">
        <f t="shared" ca="1" si="163"/>
        <v>150</v>
      </c>
      <c r="J559" s="1">
        <f t="shared" ca="1" si="163"/>
        <v>941.77800963081904</v>
      </c>
      <c r="K559" s="1">
        <f t="shared" ca="1" si="163"/>
        <v>87.833849999999998</v>
      </c>
      <c r="L559" s="1">
        <f t="shared" ca="1" si="163"/>
        <v>941.77800963081904</v>
      </c>
      <c r="M559" s="1">
        <f t="shared" ca="1" si="163"/>
        <v>87.833849999999998</v>
      </c>
      <c r="N559" s="1">
        <f t="shared" ca="1" si="163"/>
        <v>0.2</v>
      </c>
      <c r="O559" s="1">
        <f t="shared" ca="1" si="163"/>
        <v>0.2</v>
      </c>
      <c r="P559" s="1">
        <f t="shared" ca="1" si="163"/>
        <v>0.36</v>
      </c>
      <c r="Q559" s="1">
        <f t="shared" ca="1" si="163"/>
        <v>0.1</v>
      </c>
      <c r="R559" s="1">
        <f t="shared" ca="1" si="163"/>
        <v>2</v>
      </c>
      <c r="S559" s="1">
        <f t="shared" ca="1" si="164"/>
        <v>0.1</v>
      </c>
      <c r="T559" s="1">
        <f t="shared" ca="1" si="164"/>
        <v>0.9</v>
      </c>
      <c r="U559" s="1">
        <f t="shared" ca="1" si="164"/>
        <v>119.866666666667</v>
      </c>
      <c r="V559" s="1">
        <f t="shared" ca="1" si="164"/>
        <v>0</v>
      </c>
      <c r="W559" s="1">
        <f t="shared" ca="1" si="164"/>
        <v>0</v>
      </c>
      <c r="X559" s="1">
        <f t="shared" ca="1" si="164"/>
        <v>634.6764847512045</v>
      </c>
      <c r="Y559" s="1">
        <f t="shared" ca="1" si="164"/>
        <v>0</v>
      </c>
      <c r="Z559" s="1">
        <f t="shared" ca="1" si="164"/>
        <v>0</v>
      </c>
      <c r="AA559" s="1">
        <f t="shared" ca="1" si="164"/>
        <v>0</v>
      </c>
      <c r="AB559" s="1">
        <f t="shared" ca="1" si="164"/>
        <v>0</v>
      </c>
      <c r="AC559" s="1">
        <f t="shared" ca="1" si="164"/>
        <v>87.833849999999998</v>
      </c>
      <c r="AD559" s="1">
        <f t="shared" ca="1" si="164"/>
        <v>87.833849999999998</v>
      </c>
      <c r="AE559" s="1">
        <f t="shared" ca="1" si="164"/>
        <v>131.750775</v>
      </c>
      <c r="AF559" s="1">
        <f t="shared" ca="1" si="164"/>
        <v>87.833849999999998</v>
      </c>
      <c r="AG559" s="1">
        <f t="shared" ca="1" si="164"/>
        <v>87.833849999999998</v>
      </c>
      <c r="AH559" s="1">
        <f t="shared" ca="1" si="164"/>
        <v>87.833849999999998</v>
      </c>
      <c r="AI559" s="1">
        <f t="shared" ca="1" si="156"/>
        <v>87.833849999999998</v>
      </c>
    </row>
    <row r="560" spans="2:35" x14ac:dyDescent="0.15">
      <c r="B560" s="1" t="str">
        <f t="shared" si="153"/>
        <v>水系63</v>
      </c>
      <c r="C560" s="1">
        <f t="shared" si="161"/>
        <v>63</v>
      </c>
      <c r="D560" s="14" t="s">
        <v>95</v>
      </c>
      <c r="E560" s="14">
        <f t="shared" si="162"/>
        <v>6</v>
      </c>
      <c r="F560" s="1" t="str">
        <f t="shared" si="151"/>
        <v>冷却</v>
      </c>
      <c r="H560" s="1">
        <f t="shared" ca="1" si="152"/>
        <v>2278.6413207455798</v>
      </c>
      <c r="I560" s="1">
        <f t="shared" ca="1" si="163"/>
        <v>150</v>
      </c>
      <c r="J560" s="1">
        <f t="shared" ca="1" si="163"/>
        <v>965.38295454545505</v>
      </c>
      <c r="K560" s="1">
        <f t="shared" ca="1" si="163"/>
        <v>89.250524999999996</v>
      </c>
      <c r="L560" s="1">
        <f t="shared" ca="1" si="163"/>
        <v>965.38295454545505</v>
      </c>
      <c r="M560" s="1">
        <f t="shared" ca="1" si="163"/>
        <v>89.250524999999996</v>
      </c>
      <c r="N560" s="1">
        <f t="shared" ca="1" si="163"/>
        <v>0.2</v>
      </c>
      <c r="O560" s="1">
        <f t="shared" ca="1" si="163"/>
        <v>0.2</v>
      </c>
      <c r="P560" s="1">
        <f t="shared" ca="1" si="163"/>
        <v>0.36</v>
      </c>
      <c r="Q560" s="1">
        <f t="shared" ca="1" si="163"/>
        <v>0.1</v>
      </c>
      <c r="R560" s="1">
        <f t="shared" ca="1" si="163"/>
        <v>2</v>
      </c>
      <c r="S560" s="1">
        <f t="shared" ca="1" si="164"/>
        <v>0.1</v>
      </c>
      <c r="T560" s="1">
        <f t="shared" ca="1" si="164"/>
        <v>0.9</v>
      </c>
      <c r="U560" s="1">
        <f t="shared" ca="1" si="164"/>
        <v>121.8</v>
      </c>
      <c r="V560" s="1">
        <f t="shared" ca="1" si="164"/>
        <v>0</v>
      </c>
      <c r="W560" s="1">
        <f t="shared" ca="1" si="164"/>
        <v>0</v>
      </c>
      <c r="X560" s="1">
        <f t="shared" ca="1" si="164"/>
        <v>665.90284090909199</v>
      </c>
      <c r="Y560" s="1">
        <f t="shared" ca="1" si="164"/>
        <v>0</v>
      </c>
      <c r="Z560" s="1">
        <f t="shared" ca="1" si="164"/>
        <v>0</v>
      </c>
      <c r="AA560" s="1">
        <f t="shared" ca="1" si="164"/>
        <v>0</v>
      </c>
      <c r="AB560" s="1">
        <f t="shared" ca="1" si="164"/>
        <v>0</v>
      </c>
      <c r="AC560" s="1">
        <f t="shared" ca="1" si="164"/>
        <v>89.250524999999996</v>
      </c>
      <c r="AD560" s="1">
        <f t="shared" ca="1" si="164"/>
        <v>89.250524999999996</v>
      </c>
      <c r="AE560" s="1">
        <f t="shared" ca="1" si="164"/>
        <v>133.8757875</v>
      </c>
      <c r="AF560" s="1">
        <f t="shared" ca="1" si="164"/>
        <v>89.250524999999996</v>
      </c>
      <c r="AG560" s="1">
        <f t="shared" ca="1" si="164"/>
        <v>89.250524999999996</v>
      </c>
      <c r="AH560" s="1">
        <f t="shared" ca="1" si="164"/>
        <v>89.250524999999996</v>
      </c>
      <c r="AI560" s="1">
        <f t="shared" ca="1" si="156"/>
        <v>89.250524999999996</v>
      </c>
    </row>
    <row r="561" spans="2:35" x14ac:dyDescent="0.15">
      <c r="B561" s="1" t="str">
        <f t="shared" si="153"/>
        <v>水系64</v>
      </c>
      <c r="C561" s="1">
        <f t="shared" si="161"/>
        <v>64</v>
      </c>
      <c r="D561" s="14" t="s">
        <v>95</v>
      </c>
      <c r="E561" s="14">
        <f t="shared" si="162"/>
        <v>6</v>
      </c>
      <c r="F561" s="1" t="str">
        <f t="shared" si="151"/>
        <v>冷却</v>
      </c>
      <c r="H561" s="1">
        <f t="shared" ca="1" si="152"/>
        <v>2325.7291467807499</v>
      </c>
      <c r="I561" s="1">
        <f t="shared" ca="1" si="163"/>
        <v>150</v>
      </c>
      <c r="J561" s="1">
        <f t="shared" ca="1" si="163"/>
        <v>989.38325123152799</v>
      </c>
      <c r="K561" s="1">
        <f t="shared" ca="1" si="163"/>
        <v>90.667199999999994</v>
      </c>
      <c r="L561" s="1">
        <f t="shared" ca="1" si="163"/>
        <v>989.38325123152799</v>
      </c>
      <c r="M561" s="1">
        <f t="shared" ca="1" si="163"/>
        <v>90.667199999999994</v>
      </c>
      <c r="N561" s="1">
        <f t="shared" ca="1" si="163"/>
        <v>0.2</v>
      </c>
      <c r="O561" s="1">
        <f t="shared" ca="1" si="163"/>
        <v>0.2</v>
      </c>
      <c r="P561" s="1">
        <f t="shared" ca="1" si="163"/>
        <v>0.36</v>
      </c>
      <c r="Q561" s="1">
        <f t="shared" ca="1" si="163"/>
        <v>0.1</v>
      </c>
      <c r="R561" s="1">
        <f t="shared" ca="1" si="163"/>
        <v>2</v>
      </c>
      <c r="S561" s="1">
        <f t="shared" ca="1" si="164"/>
        <v>0.1</v>
      </c>
      <c r="T561" s="1">
        <f t="shared" ca="1" si="164"/>
        <v>0.9</v>
      </c>
      <c r="U561" s="1">
        <f t="shared" ca="1" si="164"/>
        <v>123.73333333333299</v>
      </c>
      <c r="V561" s="1">
        <f t="shared" ca="1" si="164"/>
        <v>0</v>
      </c>
      <c r="W561" s="1">
        <f t="shared" ca="1" si="164"/>
        <v>0</v>
      </c>
      <c r="X561" s="1">
        <f t="shared" ca="1" si="164"/>
        <v>698.3881773399014</v>
      </c>
      <c r="Y561" s="1">
        <f t="shared" ca="1" si="164"/>
        <v>0</v>
      </c>
      <c r="Z561" s="1">
        <f t="shared" ca="1" si="164"/>
        <v>0</v>
      </c>
      <c r="AA561" s="1">
        <f t="shared" ca="1" si="164"/>
        <v>0</v>
      </c>
      <c r="AB561" s="1">
        <f t="shared" ca="1" si="164"/>
        <v>0</v>
      </c>
      <c r="AC561" s="1">
        <f t="shared" ca="1" si="164"/>
        <v>90.667199999999994</v>
      </c>
      <c r="AD561" s="1">
        <f t="shared" ca="1" si="164"/>
        <v>90.667199999999994</v>
      </c>
      <c r="AE561" s="1">
        <f t="shared" ca="1" si="164"/>
        <v>136.0008</v>
      </c>
      <c r="AF561" s="1">
        <f t="shared" ca="1" si="164"/>
        <v>90.667199999999994</v>
      </c>
      <c r="AG561" s="1">
        <f t="shared" ca="1" si="164"/>
        <v>90.667199999999994</v>
      </c>
      <c r="AH561" s="1">
        <f t="shared" ca="1" si="164"/>
        <v>90.667199999999994</v>
      </c>
      <c r="AI561" s="1">
        <f t="shared" ca="1" si="156"/>
        <v>90.667199999999994</v>
      </c>
    </row>
    <row r="562" spans="2:35" x14ac:dyDescent="0.15">
      <c r="B562" s="1" t="str">
        <f t="shared" si="153"/>
        <v>水系65</v>
      </c>
      <c r="C562" s="1">
        <f t="shared" si="161"/>
        <v>65</v>
      </c>
      <c r="D562" s="14" t="s">
        <v>95</v>
      </c>
      <c r="E562" s="14">
        <f t="shared" si="162"/>
        <v>6</v>
      </c>
      <c r="F562" s="1" t="str">
        <f t="shared" si="151"/>
        <v>冷却</v>
      </c>
      <c r="H562" s="1">
        <f t="shared" ca="1" si="152"/>
        <v>2373.1581889466202</v>
      </c>
      <c r="I562" s="1">
        <f t="shared" ca="1" si="163"/>
        <v>150</v>
      </c>
      <c r="J562" s="1">
        <f t="shared" ca="1" si="163"/>
        <v>1013.78945182724</v>
      </c>
      <c r="K562" s="1">
        <f t="shared" ca="1" si="163"/>
        <v>92.083875000000006</v>
      </c>
      <c r="L562" s="1">
        <f t="shared" ca="1" si="163"/>
        <v>1013.78945182724</v>
      </c>
      <c r="M562" s="1">
        <f t="shared" ca="1" si="163"/>
        <v>92.083875000000006</v>
      </c>
      <c r="N562" s="1">
        <f t="shared" ca="1" si="163"/>
        <v>0.2</v>
      </c>
      <c r="O562" s="1">
        <f t="shared" ca="1" si="163"/>
        <v>0.2</v>
      </c>
      <c r="P562" s="1">
        <f t="shared" ca="1" si="163"/>
        <v>0.36</v>
      </c>
      <c r="Q562" s="1">
        <f t="shared" ca="1" si="163"/>
        <v>0.1</v>
      </c>
      <c r="R562" s="1">
        <f t="shared" ca="1" si="163"/>
        <v>2</v>
      </c>
      <c r="S562" s="1">
        <f t="shared" ca="1" si="164"/>
        <v>0.1</v>
      </c>
      <c r="T562" s="1">
        <f t="shared" ca="1" si="164"/>
        <v>0.9</v>
      </c>
      <c r="U562" s="1">
        <f t="shared" ca="1" si="164"/>
        <v>125.666666666667</v>
      </c>
      <c r="V562" s="1">
        <f t="shared" ca="1" si="164"/>
        <v>0</v>
      </c>
      <c r="W562" s="1">
        <f t="shared" ca="1" si="164"/>
        <v>0</v>
      </c>
      <c r="X562" s="1">
        <f t="shared" ca="1" si="164"/>
        <v>732.18127076411997</v>
      </c>
      <c r="Y562" s="1">
        <f t="shared" ca="1" si="164"/>
        <v>0</v>
      </c>
      <c r="Z562" s="1">
        <f t="shared" ca="1" si="164"/>
        <v>0</v>
      </c>
      <c r="AA562" s="1">
        <f t="shared" ca="1" si="164"/>
        <v>0</v>
      </c>
      <c r="AB562" s="1">
        <f t="shared" ca="1" si="164"/>
        <v>0</v>
      </c>
      <c r="AC562" s="1">
        <f t="shared" ca="1" si="164"/>
        <v>92.083875000000006</v>
      </c>
      <c r="AD562" s="1">
        <f t="shared" ca="1" si="164"/>
        <v>92.083875000000006</v>
      </c>
      <c r="AE562" s="1">
        <f t="shared" ca="1" si="164"/>
        <v>138.12581249999999</v>
      </c>
      <c r="AF562" s="1">
        <f t="shared" ca="1" si="164"/>
        <v>92.083875000000006</v>
      </c>
      <c r="AG562" s="1">
        <f t="shared" ca="1" si="164"/>
        <v>92.083875000000006</v>
      </c>
      <c r="AH562" s="1">
        <f t="shared" ca="1" si="164"/>
        <v>92.083875000000006</v>
      </c>
      <c r="AI562" s="1">
        <f t="shared" ca="1" si="156"/>
        <v>92.083875000000006</v>
      </c>
    </row>
    <row r="563" spans="2:35" x14ac:dyDescent="0.15">
      <c r="B563" s="1" t="str">
        <f t="shared" si="153"/>
        <v>水系66</v>
      </c>
      <c r="C563" s="1">
        <f t="shared" si="161"/>
        <v>66</v>
      </c>
      <c r="D563" s="14" t="s">
        <v>95</v>
      </c>
      <c r="E563" s="14">
        <f t="shared" si="162"/>
        <v>6</v>
      </c>
      <c r="F563" s="1" t="str">
        <f t="shared" si="151"/>
        <v>冷却</v>
      </c>
      <c r="H563" s="1">
        <f t="shared" ca="1" si="152"/>
        <v>2420.92844724317</v>
      </c>
      <c r="I563" s="1">
        <f t="shared" ref="I563:R572" ca="1" si="165">mVlookup($C563,monsterBaseDate,I$2,FALSE)*(1+mVlookup($E563,monsterType,I$2,FALSE))</f>
        <v>150</v>
      </c>
      <c r="J563" s="1">
        <f t="shared" ca="1" si="165"/>
        <v>1038.61260504202</v>
      </c>
      <c r="K563" s="1">
        <f t="shared" ca="1" si="165"/>
        <v>93.500550000000004</v>
      </c>
      <c r="L563" s="1">
        <f t="shared" ca="1" si="165"/>
        <v>1038.61260504202</v>
      </c>
      <c r="M563" s="1">
        <f t="shared" ca="1" si="165"/>
        <v>93.500550000000004</v>
      </c>
      <c r="N563" s="1">
        <f t="shared" ca="1" si="165"/>
        <v>0.2</v>
      </c>
      <c r="O563" s="1">
        <f t="shared" ca="1" si="165"/>
        <v>0.2</v>
      </c>
      <c r="P563" s="1">
        <f t="shared" ca="1" si="165"/>
        <v>0.36</v>
      </c>
      <c r="Q563" s="1">
        <f t="shared" ca="1" si="165"/>
        <v>0.1</v>
      </c>
      <c r="R563" s="1">
        <f t="shared" ca="1" si="165"/>
        <v>2</v>
      </c>
      <c r="S563" s="1">
        <f t="shared" ref="S563:AH578" ca="1" si="166">mVlookup($C563,monsterBaseDate,S$2,FALSE)*(1+mVlookup($E563,monsterType,S$2,FALSE))</f>
        <v>0.1</v>
      </c>
      <c r="T563" s="1">
        <f t="shared" ca="1" si="166"/>
        <v>0.9</v>
      </c>
      <c r="U563" s="1">
        <f t="shared" ca="1" si="166"/>
        <v>127.6</v>
      </c>
      <c r="V563" s="1">
        <f t="shared" ca="1" si="166"/>
        <v>0</v>
      </c>
      <c r="W563" s="1">
        <f t="shared" ca="1" si="166"/>
        <v>0</v>
      </c>
      <c r="X563" s="1">
        <f t="shared" ca="1" si="166"/>
        <v>767.33319327731101</v>
      </c>
      <c r="Y563" s="1">
        <f t="shared" ca="1" si="166"/>
        <v>0</v>
      </c>
      <c r="Z563" s="1">
        <f t="shared" ca="1" si="166"/>
        <v>0</v>
      </c>
      <c r="AA563" s="1">
        <f t="shared" ca="1" si="166"/>
        <v>0</v>
      </c>
      <c r="AB563" s="1">
        <f t="shared" ca="1" si="164"/>
        <v>0</v>
      </c>
      <c r="AC563" s="1">
        <f t="shared" ca="1" si="166"/>
        <v>93.500550000000004</v>
      </c>
      <c r="AD563" s="1">
        <f t="shared" ca="1" si="166"/>
        <v>93.500550000000004</v>
      </c>
      <c r="AE563" s="1">
        <f t="shared" ca="1" si="166"/>
        <v>140.25082500000002</v>
      </c>
      <c r="AF563" s="1">
        <f t="shared" ca="1" si="166"/>
        <v>93.500550000000004</v>
      </c>
      <c r="AG563" s="1">
        <f t="shared" ca="1" si="166"/>
        <v>93.500550000000004</v>
      </c>
      <c r="AH563" s="1">
        <f t="shared" ca="1" si="166"/>
        <v>93.500550000000004</v>
      </c>
      <c r="AI563" s="1">
        <f t="shared" ca="1" si="156"/>
        <v>93.500550000000004</v>
      </c>
    </row>
    <row r="564" spans="2:35" x14ac:dyDescent="0.15">
      <c r="B564" s="1" t="str">
        <f t="shared" si="153"/>
        <v>水系67</v>
      </c>
      <c r="C564" s="1">
        <f t="shared" si="161"/>
        <v>67</v>
      </c>
      <c r="D564" s="14" t="s">
        <v>95</v>
      </c>
      <c r="E564" s="14">
        <f t="shared" si="162"/>
        <v>6</v>
      </c>
      <c r="F564" s="1" t="str">
        <f t="shared" si="151"/>
        <v>冷却</v>
      </c>
      <c r="H564" s="1">
        <f t="shared" ca="1" si="152"/>
        <v>2566.4914899863102</v>
      </c>
      <c r="I564" s="1">
        <f t="shared" ca="1" si="165"/>
        <v>150</v>
      </c>
      <c r="J564" s="1">
        <f t="shared" ca="1" si="165"/>
        <v>1063.86428571429</v>
      </c>
      <c r="K564" s="1">
        <f t="shared" ca="1" si="165"/>
        <v>94.917225000000002</v>
      </c>
      <c r="L564" s="1">
        <f t="shared" ca="1" si="165"/>
        <v>1063.86428571429</v>
      </c>
      <c r="M564" s="1">
        <f t="shared" ca="1" si="165"/>
        <v>94.917225000000002</v>
      </c>
      <c r="N564" s="1">
        <f t="shared" ca="1" si="165"/>
        <v>0.2</v>
      </c>
      <c r="O564" s="1">
        <f t="shared" ca="1" si="165"/>
        <v>0.2</v>
      </c>
      <c r="P564" s="1">
        <f t="shared" ca="1" si="165"/>
        <v>0.36</v>
      </c>
      <c r="Q564" s="1">
        <f t="shared" ca="1" si="165"/>
        <v>0.1</v>
      </c>
      <c r="R564" s="1">
        <f t="shared" ca="1" si="165"/>
        <v>2</v>
      </c>
      <c r="S564" s="1">
        <f t="shared" ca="1" si="166"/>
        <v>0.1</v>
      </c>
      <c r="T564" s="1">
        <f t="shared" ca="1" si="166"/>
        <v>0.9</v>
      </c>
      <c r="U564" s="1">
        <f t="shared" ca="1" si="166"/>
        <v>129.53333333333299</v>
      </c>
      <c r="V564" s="1">
        <f t="shared" ca="1" si="166"/>
        <v>0</v>
      </c>
      <c r="W564" s="1">
        <f t="shared" ca="1" si="166"/>
        <v>0</v>
      </c>
      <c r="X564" s="1">
        <f t="shared" ca="1" si="166"/>
        <v>803.89744897959304</v>
      </c>
      <c r="Y564" s="1">
        <f t="shared" ca="1" si="166"/>
        <v>0</v>
      </c>
      <c r="Z564" s="1">
        <f t="shared" ca="1" si="166"/>
        <v>0</v>
      </c>
      <c r="AA564" s="1">
        <f t="shared" ca="1" si="166"/>
        <v>0</v>
      </c>
      <c r="AB564" s="1">
        <f t="shared" ca="1" si="164"/>
        <v>0</v>
      </c>
      <c r="AC564" s="1">
        <f t="shared" ca="1" si="166"/>
        <v>94.917225000000002</v>
      </c>
      <c r="AD564" s="1">
        <f t="shared" ca="1" si="166"/>
        <v>94.917225000000002</v>
      </c>
      <c r="AE564" s="1">
        <f t="shared" ca="1" si="166"/>
        <v>142.37583749999999</v>
      </c>
      <c r="AF564" s="1">
        <f t="shared" ca="1" si="166"/>
        <v>94.917225000000002</v>
      </c>
      <c r="AG564" s="1">
        <f t="shared" ca="1" si="166"/>
        <v>94.917225000000002</v>
      </c>
      <c r="AH564" s="1">
        <f t="shared" ca="1" si="166"/>
        <v>94.917225000000002</v>
      </c>
      <c r="AI564" s="1">
        <f t="shared" ca="1" si="156"/>
        <v>94.917225000000002</v>
      </c>
    </row>
    <row r="565" spans="2:35" x14ac:dyDescent="0.15">
      <c r="B565" s="1" t="str">
        <f t="shared" si="153"/>
        <v>水系68</v>
      </c>
      <c r="C565" s="1">
        <f t="shared" si="161"/>
        <v>68</v>
      </c>
      <c r="D565" s="14" t="s">
        <v>95</v>
      </c>
      <c r="E565" s="14">
        <f t="shared" si="162"/>
        <v>6</v>
      </c>
      <c r="F565" s="1" t="str">
        <f t="shared" si="151"/>
        <v>冷却</v>
      </c>
      <c r="H565" s="1">
        <f t="shared" ca="1" si="152"/>
        <v>2616.8565800330298</v>
      </c>
      <c r="I565" s="1">
        <f t="shared" ca="1" si="165"/>
        <v>150</v>
      </c>
      <c r="J565" s="1">
        <f t="shared" ca="1" si="165"/>
        <v>1089.5566265060199</v>
      </c>
      <c r="K565" s="1">
        <f t="shared" ca="1" si="165"/>
        <v>96.3339</v>
      </c>
      <c r="L565" s="1">
        <f t="shared" ca="1" si="165"/>
        <v>1089.5566265060199</v>
      </c>
      <c r="M565" s="1">
        <f t="shared" ca="1" si="165"/>
        <v>96.3339</v>
      </c>
      <c r="N565" s="1">
        <f t="shared" ca="1" si="165"/>
        <v>0.2</v>
      </c>
      <c r="O565" s="1">
        <f t="shared" ca="1" si="165"/>
        <v>0.2</v>
      </c>
      <c r="P565" s="1">
        <f t="shared" ca="1" si="165"/>
        <v>0.36</v>
      </c>
      <c r="Q565" s="1">
        <f t="shared" ca="1" si="165"/>
        <v>0.1</v>
      </c>
      <c r="R565" s="1">
        <f t="shared" ca="1" si="165"/>
        <v>2</v>
      </c>
      <c r="S565" s="1">
        <f t="shared" ca="1" si="166"/>
        <v>0.1</v>
      </c>
      <c r="T565" s="1">
        <f t="shared" ca="1" si="166"/>
        <v>0.9</v>
      </c>
      <c r="U565" s="1">
        <f t="shared" ca="1" si="166"/>
        <v>131.46666666666701</v>
      </c>
      <c r="V565" s="1">
        <f t="shared" ca="1" si="166"/>
        <v>0</v>
      </c>
      <c r="W565" s="1">
        <f t="shared" ca="1" si="166"/>
        <v>0</v>
      </c>
      <c r="X565" s="1">
        <f t="shared" ca="1" si="166"/>
        <v>841.93012048192804</v>
      </c>
      <c r="Y565" s="1">
        <f t="shared" ca="1" si="166"/>
        <v>0</v>
      </c>
      <c r="Z565" s="1">
        <f t="shared" ca="1" si="166"/>
        <v>0</v>
      </c>
      <c r="AA565" s="1">
        <f t="shared" ca="1" si="166"/>
        <v>0</v>
      </c>
      <c r="AB565" s="1">
        <f t="shared" ca="1" si="164"/>
        <v>0</v>
      </c>
      <c r="AC565" s="1">
        <f t="shared" ca="1" si="166"/>
        <v>96.3339</v>
      </c>
      <c r="AD565" s="1">
        <f t="shared" ca="1" si="166"/>
        <v>96.3339</v>
      </c>
      <c r="AE565" s="1">
        <f t="shared" ca="1" si="166"/>
        <v>144.50085000000001</v>
      </c>
      <c r="AF565" s="1">
        <f t="shared" ca="1" si="166"/>
        <v>96.3339</v>
      </c>
      <c r="AG565" s="1">
        <f t="shared" ca="1" si="166"/>
        <v>96.3339</v>
      </c>
      <c r="AH565" s="1">
        <f t="shared" ca="1" si="166"/>
        <v>96.3339</v>
      </c>
      <c r="AI565" s="1">
        <f t="shared" ca="1" si="156"/>
        <v>96.3339</v>
      </c>
    </row>
    <row r="566" spans="2:35" x14ac:dyDescent="0.15">
      <c r="B566" s="1" t="str">
        <f t="shared" si="153"/>
        <v>水系69</v>
      </c>
      <c r="C566" s="1">
        <f t="shared" si="161"/>
        <v>69</v>
      </c>
      <c r="D566" s="14" t="s">
        <v>95</v>
      </c>
      <c r="E566" s="14">
        <f t="shared" si="162"/>
        <v>6</v>
      </c>
      <c r="F566" s="1" t="str">
        <f t="shared" si="151"/>
        <v>冷却</v>
      </c>
      <c r="H566" s="1">
        <f t="shared" ca="1" si="152"/>
        <v>2667.5763538124702</v>
      </c>
      <c r="I566" s="1">
        <f t="shared" ca="1" si="165"/>
        <v>150</v>
      </c>
      <c r="J566" s="1">
        <f t="shared" ca="1" si="165"/>
        <v>1115.7023519163799</v>
      </c>
      <c r="K566" s="1">
        <f t="shared" ca="1" si="165"/>
        <v>97.750574999999998</v>
      </c>
      <c r="L566" s="1">
        <f t="shared" ca="1" si="165"/>
        <v>1115.7023519163799</v>
      </c>
      <c r="M566" s="1">
        <f t="shared" ca="1" si="165"/>
        <v>97.750574999999998</v>
      </c>
      <c r="N566" s="1">
        <f t="shared" ca="1" si="165"/>
        <v>0.2</v>
      </c>
      <c r="O566" s="1">
        <f t="shared" ca="1" si="165"/>
        <v>0.2</v>
      </c>
      <c r="P566" s="1">
        <f t="shared" ca="1" si="165"/>
        <v>0.36</v>
      </c>
      <c r="Q566" s="1">
        <f t="shared" ca="1" si="165"/>
        <v>0.1</v>
      </c>
      <c r="R566" s="1">
        <f t="shared" ca="1" si="165"/>
        <v>2</v>
      </c>
      <c r="S566" s="1">
        <f t="shared" ca="1" si="166"/>
        <v>0.1</v>
      </c>
      <c r="T566" s="1">
        <f t="shared" ca="1" si="166"/>
        <v>0.9</v>
      </c>
      <c r="U566" s="1">
        <f t="shared" ca="1" si="166"/>
        <v>133.4</v>
      </c>
      <c r="V566" s="1">
        <f t="shared" ca="1" si="166"/>
        <v>0</v>
      </c>
      <c r="W566" s="1">
        <f t="shared" ca="1" si="166"/>
        <v>0</v>
      </c>
      <c r="X566" s="1">
        <f t="shared" ca="1" si="166"/>
        <v>881.49002613240452</v>
      </c>
      <c r="Y566" s="1">
        <f t="shared" ca="1" si="166"/>
        <v>0</v>
      </c>
      <c r="Z566" s="1">
        <f t="shared" ca="1" si="166"/>
        <v>0</v>
      </c>
      <c r="AA566" s="1">
        <f t="shared" ca="1" si="166"/>
        <v>0</v>
      </c>
      <c r="AB566" s="1">
        <f t="shared" ca="1" si="164"/>
        <v>0</v>
      </c>
      <c r="AC566" s="1">
        <f t="shared" ca="1" si="166"/>
        <v>97.750574999999998</v>
      </c>
      <c r="AD566" s="1">
        <f t="shared" ca="1" si="166"/>
        <v>97.750574999999998</v>
      </c>
      <c r="AE566" s="1">
        <f t="shared" ca="1" si="166"/>
        <v>146.62586249999998</v>
      </c>
      <c r="AF566" s="1">
        <f t="shared" ca="1" si="166"/>
        <v>97.750574999999998</v>
      </c>
      <c r="AG566" s="1">
        <f t="shared" ca="1" si="166"/>
        <v>97.750574999999998</v>
      </c>
      <c r="AH566" s="1">
        <f t="shared" ca="1" si="166"/>
        <v>97.750574999999998</v>
      </c>
      <c r="AI566" s="1">
        <f t="shared" ca="1" si="156"/>
        <v>97.750574999999998</v>
      </c>
    </row>
    <row r="567" spans="2:35" x14ac:dyDescent="0.15">
      <c r="B567" s="1" t="str">
        <f t="shared" si="153"/>
        <v>水系70</v>
      </c>
      <c r="C567" s="1">
        <f t="shared" si="161"/>
        <v>70</v>
      </c>
      <c r="D567" s="14" t="s">
        <v>95</v>
      </c>
      <c r="E567" s="14">
        <f t="shared" si="162"/>
        <v>6</v>
      </c>
      <c r="F567" s="1" t="str">
        <f t="shared" si="151"/>
        <v>冷却</v>
      </c>
      <c r="H567" s="1">
        <f t="shared" ca="1" si="152"/>
        <v>2718.65081132463</v>
      </c>
      <c r="I567" s="1">
        <f t="shared" ca="1" si="165"/>
        <v>150</v>
      </c>
      <c r="J567" s="1">
        <f t="shared" ca="1" si="165"/>
        <v>1142.31481481482</v>
      </c>
      <c r="K567" s="1">
        <f t="shared" ca="1" si="165"/>
        <v>99.167249999999996</v>
      </c>
      <c r="L567" s="1">
        <f t="shared" ca="1" si="165"/>
        <v>1142.31481481482</v>
      </c>
      <c r="M567" s="1">
        <f t="shared" ca="1" si="165"/>
        <v>99.167249999999996</v>
      </c>
      <c r="N567" s="1">
        <f t="shared" ca="1" si="165"/>
        <v>0.2</v>
      </c>
      <c r="O567" s="1">
        <f t="shared" ca="1" si="165"/>
        <v>0.2</v>
      </c>
      <c r="P567" s="1">
        <f t="shared" ca="1" si="165"/>
        <v>0.36</v>
      </c>
      <c r="Q567" s="1">
        <f t="shared" ca="1" si="165"/>
        <v>0.1</v>
      </c>
      <c r="R567" s="1">
        <f t="shared" ca="1" si="165"/>
        <v>2</v>
      </c>
      <c r="S567" s="1">
        <f t="shared" ca="1" si="166"/>
        <v>0.1</v>
      </c>
      <c r="T567" s="1">
        <f t="shared" ca="1" si="166"/>
        <v>0.9</v>
      </c>
      <c r="U567" s="1">
        <f t="shared" ca="1" si="166"/>
        <v>135.333333333333</v>
      </c>
      <c r="V567" s="1">
        <f t="shared" ca="1" si="166"/>
        <v>0</v>
      </c>
      <c r="W567" s="1">
        <f t="shared" ca="1" si="166"/>
        <v>0</v>
      </c>
      <c r="X567" s="1">
        <f t="shared" ca="1" si="166"/>
        <v>922.63888888888937</v>
      </c>
      <c r="Y567" s="1">
        <f t="shared" ca="1" si="166"/>
        <v>0</v>
      </c>
      <c r="Z567" s="1">
        <f t="shared" ca="1" si="166"/>
        <v>0</v>
      </c>
      <c r="AA567" s="1">
        <f t="shared" ca="1" si="166"/>
        <v>0</v>
      </c>
      <c r="AB567" s="1">
        <f t="shared" ca="1" si="164"/>
        <v>0</v>
      </c>
      <c r="AC567" s="1">
        <f t="shared" ca="1" si="166"/>
        <v>99.167249999999996</v>
      </c>
      <c r="AD567" s="1">
        <f t="shared" ca="1" si="166"/>
        <v>99.167249999999996</v>
      </c>
      <c r="AE567" s="1">
        <f t="shared" ca="1" si="166"/>
        <v>148.75087500000001</v>
      </c>
      <c r="AF567" s="1">
        <f t="shared" ca="1" si="166"/>
        <v>99.167249999999996</v>
      </c>
      <c r="AG567" s="1">
        <f t="shared" ca="1" si="166"/>
        <v>99.167249999999996</v>
      </c>
      <c r="AH567" s="1">
        <f t="shared" ca="1" si="166"/>
        <v>99.167249999999996</v>
      </c>
      <c r="AI567" s="1">
        <f t="shared" ca="1" si="156"/>
        <v>99.167249999999996</v>
      </c>
    </row>
    <row r="568" spans="2:35" x14ac:dyDescent="0.15">
      <c r="B568" s="1" t="str">
        <f t="shared" si="153"/>
        <v>水系71</v>
      </c>
      <c r="C568" s="1">
        <f t="shared" si="161"/>
        <v>71</v>
      </c>
      <c r="D568" s="14" t="s">
        <v>95</v>
      </c>
      <c r="E568" s="14">
        <f t="shared" si="162"/>
        <v>6</v>
      </c>
      <c r="F568" s="1" t="str">
        <f t="shared" si="151"/>
        <v>冷却</v>
      </c>
      <c r="H568" s="1">
        <f t="shared" ca="1" si="152"/>
        <v>2770.0799525695202</v>
      </c>
      <c r="I568" s="1">
        <f t="shared" ca="1" si="165"/>
        <v>150</v>
      </c>
      <c r="J568" s="1">
        <f t="shared" ca="1" si="165"/>
        <v>1169.40803571429</v>
      </c>
      <c r="K568" s="1">
        <f t="shared" ca="1" si="165"/>
        <v>100.58392499999999</v>
      </c>
      <c r="L568" s="1">
        <f t="shared" ca="1" si="165"/>
        <v>1169.40803571429</v>
      </c>
      <c r="M568" s="1">
        <f t="shared" ca="1" si="165"/>
        <v>100.58392499999999</v>
      </c>
      <c r="N568" s="1">
        <f t="shared" ca="1" si="165"/>
        <v>0.2</v>
      </c>
      <c r="O568" s="1">
        <f t="shared" ca="1" si="165"/>
        <v>0.2</v>
      </c>
      <c r="P568" s="1">
        <f t="shared" ca="1" si="165"/>
        <v>0.36</v>
      </c>
      <c r="Q568" s="1">
        <f t="shared" ca="1" si="165"/>
        <v>0.1</v>
      </c>
      <c r="R568" s="1">
        <f t="shared" ca="1" si="165"/>
        <v>2</v>
      </c>
      <c r="S568" s="1">
        <f t="shared" ca="1" si="166"/>
        <v>0.1</v>
      </c>
      <c r="T568" s="1">
        <f t="shared" ca="1" si="166"/>
        <v>0.9</v>
      </c>
      <c r="U568" s="1">
        <f t="shared" ca="1" si="166"/>
        <v>137.26666666666699</v>
      </c>
      <c r="V568" s="1">
        <f t="shared" ca="1" si="166"/>
        <v>0</v>
      </c>
      <c r="W568" s="1">
        <f t="shared" ca="1" si="166"/>
        <v>0</v>
      </c>
      <c r="X568" s="1">
        <f t="shared" ca="1" si="166"/>
        <v>965.44151785714348</v>
      </c>
      <c r="Y568" s="1">
        <f t="shared" ca="1" si="166"/>
        <v>0</v>
      </c>
      <c r="Z568" s="1">
        <f t="shared" ca="1" si="166"/>
        <v>0</v>
      </c>
      <c r="AA568" s="1">
        <f t="shared" ca="1" si="166"/>
        <v>0</v>
      </c>
      <c r="AB568" s="1">
        <f t="shared" ca="1" si="164"/>
        <v>0</v>
      </c>
      <c r="AC568" s="1">
        <f t="shared" ca="1" si="166"/>
        <v>100.58392499999999</v>
      </c>
      <c r="AD568" s="1">
        <f t="shared" ca="1" si="166"/>
        <v>100.58392499999999</v>
      </c>
      <c r="AE568" s="1">
        <f t="shared" ca="1" si="166"/>
        <v>150.87588749999998</v>
      </c>
      <c r="AF568" s="1">
        <f t="shared" ca="1" si="166"/>
        <v>100.58392499999999</v>
      </c>
      <c r="AG568" s="1">
        <f t="shared" ca="1" si="166"/>
        <v>100.58392499999999</v>
      </c>
      <c r="AH568" s="1">
        <f t="shared" ca="1" si="166"/>
        <v>100.58392499999999</v>
      </c>
      <c r="AI568" s="1">
        <f t="shared" ca="1" si="156"/>
        <v>100.58392499999999</v>
      </c>
    </row>
    <row r="569" spans="2:35" x14ac:dyDescent="0.15">
      <c r="B569" s="1" t="str">
        <f t="shared" si="153"/>
        <v>水系72</v>
      </c>
      <c r="C569" s="1">
        <f t="shared" si="161"/>
        <v>72</v>
      </c>
      <c r="D569" s="14" t="s">
        <v>95</v>
      </c>
      <c r="E569" s="14">
        <f t="shared" si="162"/>
        <v>6</v>
      </c>
      <c r="F569" s="1" t="str">
        <f t="shared" si="151"/>
        <v>冷却</v>
      </c>
      <c r="H569" s="1">
        <f t="shared" ca="1" si="152"/>
        <v>2821.8637775471302</v>
      </c>
      <c r="I569" s="1">
        <f t="shared" ca="1" si="165"/>
        <v>150</v>
      </c>
      <c r="J569" s="1">
        <f t="shared" ca="1" si="165"/>
        <v>1196.9967450271299</v>
      </c>
      <c r="K569" s="1">
        <f t="shared" ca="1" si="165"/>
        <v>102.00060000000001</v>
      </c>
      <c r="L569" s="1">
        <f t="shared" ca="1" si="165"/>
        <v>1196.9967450271299</v>
      </c>
      <c r="M569" s="1">
        <f t="shared" ca="1" si="165"/>
        <v>102.00060000000001</v>
      </c>
      <c r="N569" s="1">
        <f t="shared" ca="1" si="165"/>
        <v>0.2</v>
      </c>
      <c r="O569" s="1">
        <f t="shared" ca="1" si="165"/>
        <v>0.2</v>
      </c>
      <c r="P569" s="1">
        <f t="shared" ca="1" si="165"/>
        <v>0.36</v>
      </c>
      <c r="Q569" s="1">
        <f t="shared" ca="1" si="165"/>
        <v>0.1</v>
      </c>
      <c r="R569" s="1">
        <f t="shared" ca="1" si="165"/>
        <v>2</v>
      </c>
      <c r="S569" s="1">
        <f t="shared" ca="1" si="166"/>
        <v>0.1</v>
      </c>
      <c r="T569" s="1">
        <f t="shared" ca="1" si="166"/>
        <v>0.9</v>
      </c>
      <c r="U569" s="1">
        <f t="shared" ca="1" si="166"/>
        <v>139.19999999999999</v>
      </c>
      <c r="V569" s="1">
        <f t="shared" ca="1" si="166"/>
        <v>0</v>
      </c>
      <c r="W569" s="1">
        <f t="shared" ca="1" si="166"/>
        <v>0</v>
      </c>
      <c r="X569" s="1">
        <f t="shared" ca="1" si="166"/>
        <v>1009.966003616637</v>
      </c>
      <c r="Y569" s="1">
        <f t="shared" ca="1" si="166"/>
        <v>0</v>
      </c>
      <c r="Z569" s="1">
        <f t="shared" ca="1" si="166"/>
        <v>0</v>
      </c>
      <c r="AA569" s="1">
        <f t="shared" ca="1" si="166"/>
        <v>0</v>
      </c>
      <c r="AB569" s="1">
        <f t="shared" ca="1" si="166"/>
        <v>0</v>
      </c>
      <c r="AC569" s="1">
        <f t="shared" ca="1" si="166"/>
        <v>102.00060000000001</v>
      </c>
      <c r="AD569" s="1">
        <f t="shared" ca="1" si="166"/>
        <v>102.00060000000001</v>
      </c>
      <c r="AE569" s="1">
        <f t="shared" ca="1" si="166"/>
        <v>153.0009</v>
      </c>
      <c r="AF569" s="1">
        <f t="shared" ca="1" si="166"/>
        <v>102.00060000000001</v>
      </c>
      <c r="AG569" s="1">
        <f t="shared" ca="1" si="166"/>
        <v>102.00060000000001</v>
      </c>
      <c r="AH569" s="1">
        <f t="shared" ca="1" si="166"/>
        <v>102.00060000000001</v>
      </c>
      <c r="AI569" s="1">
        <f t="shared" ca="1" si="156"/>
        <v>102.00060000000001</v>
      </c>
    </row>
    <row r="570" spans="2:35" x14ac:dyDescent="0.15">
      <c r="B570" s="1" t="str">
        <f t="shared" si="153"/>
        <v>水系73</v>
      </c>
      <c r="C570" s="1">
        <f t="shared" si="161"/>
        <v>73</v>
      </c>
      <c r="D570" s="14" t="s">
        <v>95</v>
      </c>
      <c r="E570" s="14">
        <f t="shared" si="162"/>
        <v>6</v>
      </c>
      <c r="F570" s="1" t="str">
        <f t="shared" si="151"/>
        <v>冷却</v>
      </c>
      <c r="H570" s="1">
        <f t="shared" ca="1" si="152"/>
        <v>2874.0022862574701</v>
      </c>
      <c r="I570" s="1">
        <f t="shared" ca="1" si="165"/>
        <v>150</v>
      </c>
      <c r="J570" s="1">
        <f t="shared" ca="1" si="165"/>
        <v>1225.0964285714299</v>
      </c>
      <c r="K570" s="1">
        <f t="shared" ca="1" si="165"/>
        <v>103.417275</v>
      </c>
      <c r="L570" s="1">
        <f t="shared" ca="1" si="165"/>
        <v>1225.0964285714299</v>
      </c>
      <c r="M570" s="1">
        <f t="shared" ca="1" si="165"/>
        <v>103.417275</v>
      </c>
      <c r="N570" s="1">
        <f t="shared" ca="1" si="165"/>
        <v>0.2</v>
      </c>
      <c r="O570" s="1">
        <f t="shared" ca="1" si="165"/>
        <v>0.2</v>
      </c>
      <c r="P570" s="1">
        <f t="shared" ca="1" si="165"/>
        <v>0.36</v>
      </c>
      <c r="Q570" s="1">
        <f t="shared" ca="1" si="165"/>
        <v>0.1</v>
      </c>
      <c r="R570" s="1">
        <f t="shared" ca="1" si="165"/>
        <v>2</v>
      </c>
      <c r="S570" s="1">
        <f t="shared" ca="1" si="166"/>
        <v>0.1</v>
      </c>
      <c r="T570" s="1">
        <f t="shared" ca="1" si="166"/>
        <v>0.9</v>
      </c>
      <c r="U570" s="1">
        <f t="shared" ca="1" si="166"/>
        <v>141.13333333333301</v>
      </c>
      <c r="V570" s="1">
        <f t="shared" ca="1" si="166"/>
        <v>0</v>
      </c>
      <c r="W570" s="1">
        <f t="shared" ca="1" si="166"/>
        <v>0</v>
      </c>
      <c r="X570" s="1">
        <f t="shared" ca="1" si="166"/>
        <v>1056.283928571429</v>
      </c>
      <c r="Y570" s="1">
        <f t="shared" ca="1" si="166"/>
        <v>0</v>
      </c>
      <c r="Z570" s="1">
        <f t="shared" ca="1" si="166"/>
        <v>0</v>
      </c>
      <c r="AA570" s="1">
        <f t="shared" ca="1" si="166"/>
        <v>0</v>
      </c>
      <c r="AB570" s="1">
        <f t="shared" ca="1" si="166"/>
        <v>0</v>
      </c>
      <c r="AC570" s="1">
        <f t="shared" ca="1" si="166"/>
        <v>103.417275</v>
      </c>
      <c r="AD570" s="1">
        <f t="shared" ca="1" si="166"/>
        <v>103.417275</v>
      </c>
      <c r="AE570" s="1">
        <f t="shared" ca="1" si="166"/>
        <v>155.1259125</v>
      </c>
      <c r="AF570" s="1">
        <f t="shared" ca="1" si="166"/>
        <v>103.417275</v>
      </c>
      <c r="AG570" s="1">
        <f t="shared" ca="1" si="166"/>
        <v>103.417275</v>
      </c>
      <c r="AH570" s="1">
        <f t="shared" ca="1" si="166"/>
        <v>103.417275</v>
      </c>
      <c r="AI570" s="1">
        <f t="shared" ca="1" si="156"/>
        <v>103.417275</v>
      </c>
    </row>
    <row r="571" spans="2:35" x14ac:dyDescent="0.15">
      <c r="B571" s="1" t="str">
        <f t="shared" si="153"/>
        <v>水系74</v>
      </c>
      <c r="C571" s="1">
        <f t="shared" si="161"/>
        <v>74</v>
      </c>
      <c r="D571" s="14" t="s">
        <v>95</v>
      </c>
      <c r="E571" s="14">
        <f t="shared" si="162"/>
        <v>6</v>
      </c>
      <c r="F571" s="1" t="str">
        <f t="shared" si="151"/>
        <v>冷却</v>
      </c>
      <c r="H571" s="1">
        <f t="shared" ca="1" si="152"/>
        <v>2926.4954787005299</v>
      </c>
      <c r="I571" s="1">
        <f t="shared" ca="1" si="165"/>
        <v>150</v>
      </c>
      <c r="J571" s="1">
        <f t="shared" ca="1" si="165"/>
        <v>1253.7233766233801</v>
      </c>
      <c r="K571" s="1">
        <f t="shared" ca="1" si="165"/>
        <v>104.83395</v>
      </c>
      <c r="L571" s="1">
        <f t="shared" ca="1" si="165"/>
        <v>1253.7233766233801</v>
      </c>
      <c r="M571" s="1">
        <f t="shared" ca="1" si="165"/>
        <v>104.83395</v>
      </c>
      <c r="N571" s="1">
        <f t="shared" ca="1" si="165"/>
        <v>0.2</v>
      </c>
      <c r="O571" s="1">
        <f t="shared" ca="1" si="165"/>
        <v>0.2</v>
      </c>
      <c r="P571" s="1">
        <f t="shared" ca="1" si="165"/>
        <v>0.36</v>
      </c>
      <c r="Q571" s="1">
        <f t="shared" ca="1" si="165"/>
        <v>0.1</v>
      </c>
      <c r="R571" s="1">
        <f t="shared" ca="1" si="165"/>
        <v>2</v>
      </c>
      <c r="S571" s="1">
        <f t="shared" ca="1" si="166"/>
        <v>0.1</v>
      </c>
      <c r="T571" s="1">
        <f t="shared" ca="1" si="166"/>
        <v>0.9</v>
      </c>
      <c r="U571" s="1">
        <f t="shared" ca="1" si="166"/>
        <v>143.066666666667</v>
      </c>
      <c r="V571" s="1">
        <f t="shared" ca="1" si="166"/>
        <v>0</v>
      </c>
      <c r="W571" s="1">
        <f t="shared" ca="1" si="166"/>
        <v>0</v>
      </c>
      <c r="X571" s="1">
        <f t="shared" ca="1" si="166"/>
        <v>1104.4705936920241</v>
      </c>
      <c r="Y571" s="1">
        <f t="shared" ca="1" si="166"/>
        <v>0</v>
      </c>
      <c r="Z571" s="1">
        <f t="shared" ca="1" si="166"/>
        <v>0</v>
      </c>
      <c r="AA571" s="1">
        <f t="shared" ca="1" si="166"/>
        <v>0</v>
      </c>
      <c r="AB571" s="1">
        <f t="shared" ca="1" si="166"/>
        <v>0</v>
      </c>
      <c r="AC571" s="1">
        <f t="shared" ca="1" si="166"/>
        <v>104.83395</v>
      </c>
      <c r="AD571" s="1">
        <f t="shared" ca="1" si="166"/>
        <v>104.83395</v>
      </c>
      <c r="AE571" s="1">
        <f t="shared" ca="1" si="166"/>
        <v>157.250925</v>
      </c>
      <c r="AF571" s="1">
        <f t="shared" ca="1" si="166"/>
        <v>104.83395</v>
      </c>
      <c r="AG571" s="1">
        <f t="shared" ca="1" si="166"/>
        <v>104.83395</v>
      </c>
      <c r="AH571" s="1">
        <f t="shared" ca="1" si="166"/>
        <v>104.83395</v>
      </c>
      <c r="AI571" s="1">
        <f t="shared" ca="1" si="156"/>
        <v>104.83395</v>
      </c>
    </row>
    <row r="572" spans="2:35" x14ac:dyDescent="0.15">
      <c r="B572" s="1" t="str">
        <f t="shared" si="153"/>
        <v>水系75</v>
      </c>
      <c r="C572" s="1">
        <f t="shared" si="161"/>
        <v>75</v>
      </c>
      <c r="D572" s="14" t="s">
        <v>95</v>
      </c>
      <c r="E572" s="14">
        <f t="shared" si="162"/>
        <v>6</v>
      </c>
      <c r="F572" s="1" t="str">
        <f t="shared" si="151"/>
        <v>冷却</v>
      </c>
      <c r="H572" s="1">
        <f t="shared" ca="1" si="152"/>
        <v>2979.3433548763101</v>
      </c>
      <c r="I572" s="1">
        <f t="shared" ca="1" si="165"/>
        <v>150</v>
      </c>
      <c r="J572" s="1">
        <f t="shared" ca="1" si="165"/>
        <v>1282.89473684211</v>
      </c>
      <c r="K572" s="1">
        <f t="shared" ca="1" si="165"/>
        <v>106.250625</v>
      </c>
      <c r="L572" s="1">
        <f t="shared" ca="1" si="165"/>
        <v>1282.89473684211</v>
      </c>
      <c r="M572" s="1">
        <f t="shared" ca="1" si="165"/>
        <v>106.250625</v>
      </c>
      <c r="N572" s="1">
        <f t="shared" ca="1" si="165"/>
        <v>0.2</v>
      </c>
      <c r="O572" s="1">
        <f t="shared" ca="1" si="165"/>
        <v>0.2</v>
      </c>
      <c r="P572" s="1">
        <f t="shared" ca="1" si="165"/>
        <v>0.36</v>
      </c>
      <c r="Q572" s="1">
        <f t="shared" ca="1" si="165"/>
        <v>0.1</v>
      </c>
      <c r="R572" s="1">
        <f t="shared" ca="1" si="165"/>
        <v>2</v>
      </c>
      <c r="S572" s="1">
        <f t="shared" ca="1" si="166"/>
        <v>0.1</v>
      </c>
      <c r="T572" s="1">
        <f t="shared" ca="1" si="166"/>
        <v>0.9</v>
      </c>
      <c r="U572" s="1">
        <f t="shared" ca="1" si="166"/>
        <v>145</v>
      </c>
      <c r="V572" s="1">
        <f t="shared" ca="1" si="166"/>
        <v>0</v>
      </c>
      <c r="W572" s="1">
        <f t="shared" ca="1" si="166"/>
        <v>0</v>
      </c>
      <c r="X572" s="1">
        <f t="shared" ca="1" si="166"/>
        <v>1154.6052631578959</v>
      </c>
      <c r="Y572" s="1">
        <f t="shared" ca="1" si="166"/>
        <v>0</v>
      </c>
      <c r="Z572" s="1">
        <f t="shared" ca="1" si="166"/>
        <v>0</v>
      </c>
      <c r="AA572" s="1">
        <f t="shared" ca="1" si="166"/>
        <v>0</v>
      </c>
      <c r="AB572" s="1">
        <f t="shared" ca="1" si="166"/>
        <v>0</v>
      </c>
      <c r="AC572" s="1">
        <f t="shared" ca="1" si="166"/>
        <v>106.250625</v>
      </c>
      <c r="AD572" s="1">
        <f t="shared" ca="1" si="166"/>
        <v>106.250625</v>
      </c>
      <c r="AE572" s="1">
        <f t="shared" ca="1" si="166"/>
        <v>159.37593749999999</v>
      </c>
      <c r="AF572" s="1">
        <f t="shared" ca="1" si="166"/>
        <v>106.250625</v>
      </c>
      <c r="AG572" s="1">
        <f t="shared" ca="1" si="166"/>
        <v>106.250625</v>
      </c>
      <c r="AH572" s="1">
        <f t="shared" ca="1" si="166"/>
        <v>106.250625</v>
      </c>
      <c r="AI572" s="1">
        <f t="shared" ca="1" si="156"/>
        <v>106.250625</v>
      </c>
    </row>
    <row r="573" spans="2:35" x14ac:dyDescent="0.15">
      <c r="B573" s="1" t="str">
        <f t="shared" si="153"/>
        <v>水系76</v>
      </c>
      <c r="C573" s="1">
        <f t="shared" si="161"/>
        <v>76</v>
      </c>
      <c r="D573" s="14" t="s">
        <v>95</v>
      </c>
      <c r="E573" s="14">
        <f t="shared" si="162"/>
        <v>6</v>
      </c>
      <c r="F573" s="1" t="str">
        <f t="shared" si="151"/>
        <v>冷却</v>
      </c>
      <c r="H573" s="1">
        <f t="shared" ca="1" si="152"/>
        <v>3032.5459147848201</v>
      </c>
      <c r="I573" s="1">
        <f t="shared" ref="I573:R582" ca="1" si="167">mVlookup($C573,monsterBaseDate,I$2,FALSE)*(1+mVlookup($E573,monsterType,I$2,FALSE))</f>
        <v>150</v>
      </c>
      <c r="J573" s="1">
        <f t="shared" ca="1" si="167"/>
        <v>1312.62857142857</v>
      </c>
      <c r="K573" s="1">
        <f t="shared" ca="1" si="167"/>
        <v>107.6673</v>
      </c>
      <c r="L573" s="1">
        <f t="shared" ca="1" si="167"/>
        <v>1312.62857142857</v>
      </c>
      <c r="M573" s="1">
        <f t="shared" ca="1" si="167"/>
        <v>107.6673</v>
      </c>
      <c r="N573" s="1">
        <f t="shared" ca="1" si="167"/>
        <v>0.2</v>
      </c>
      <c r="O573" s="1">
        <f t="shared" ca="1" si="167"/>
        <v>0.2</v>
      </c>
      <c r="P573" s="1">
        <f t="shared" ca="1" si="167"/>
        <v>0.36</v>
      </c>
      <c r="Q573" s="1">
        <f t="shared" ca="1" si="167"/>
        <v>0.1</v>
      </c>
      <c r="R573" s="1">
        <f t="shared" ca="1" si="167"/>
        <v>2</v>
      </c>
      <c r="S573" s="1">
        <f t="shared" ref="S573:AH588" ca="1" si="168">mVlookup($C573,monsterBaseDate,S$2,FALSE)*(1+mVlookup($E573,monsterType,S$2,FALSE))</f>
        <v>0.1</v>
      </c>
      <c r="T573" s="1">
        <f t="shared" ca="1" si="168"/>
        <v>0.9</v>
      </c>
      <c r="U573" s="1">
        <f t="shared" ca="1" si="168"/>
        <v>146.933333333333</v>
      </c>
      <c r="V573" s="1">
        <f t="shared" ca="1" si="168"/>
        <v>0</v>
      </c>
      <c r="W573" s="1">
        <f t="shared" ca="1" si="168"/>
        <v>0</v>
      </c>
      <c r="X573" s="1">
        <f t="shared" ca="1" si="168"/>
        <v>1206.7714285714289</v>
      </c>
      <c r="Y573" s="1">
        <f t="shared" ca="1" si="168"/>
        <v>0</v>
      </c>
      <c r="Z573" s="1">
        <f t="shared" ca="1" si="168"/>
        <v>0</v>
      </c>
      <c r="AA573" s="1">
        <f t="shared" ca="1" si="168"/>
        <v>0</v>
      </c>
      <c r="AB573" s="1">
        <f t="shared" ca="1" si="166"/>
        <v>0</v>
      </c>
      <c r="AC573" s="1">
        <f t="shared" ca="1" si="168"/>
        <v>107.6673</v>
      </c>
      <c r="AD573" s="1">
        <f t="shared" ca="1" si="168"/>
        <v>107.6673</v>
      </c>
      <c r="AE573" s="1">
        <f t="shared" ca="1" si="168"/>
        <v>161.50094999999999</v>
      </c>
      <c r="AF573" s="1">
        <f t="shared" ca="1" si="168"/>
        <v>107.6673</v>
      </c>
      <c r="AG573" s="1">
        <f t="shared" ca="1" si="168"/>
        <v>107.6673</v>
      </c>
      <c r="AH573" s="1">
        <f t="shared" ca="1" si="168"/>
        <v>107.6673</v>
      </c>
      <c r="AI573" s="1">
        <f t="shared" ca="1" si="156"/>
        <v>107.6673</v>
      </c>
    </row>
    <row r="574" spans="2:35" x14ac:dyDescent="0.15">
      <c r="B574" s="1" t="str">
        <f t="shared" si="153"/>
        <v>水系77</v>
      </c>
      <c r="C574" s="1">
        <f t="shared" si="161"/>
        <v>77</v>
      </c>
      <c r="D574" s="14" t="s">
        <v>95</v>
      </c>
      <c r="E574" s="14">
        <f t="shared" si="162"/>
        <v>6</v>
      </c>
      <c r="F574" s="1" t="str">
        <f t="shared" si="151"/>
        <v>冷却</v>
      </c>
      <c r="H574" s="1">
        <f t="shared" ca="1" si="152"/>
        <v>3086.10315842605</v>
      </c>
      <c r="I574" s="1">
        <f t="shared" ca="1" si="167"/>
        <v>150</v>
      </c>
      <c r="J574" s="1">
        <f t="shared" ca="1" si="167"/>
        <v>1342.94391891892</v>
      </c>
      <c r="K574" s="1">
        <f t="shared" ca="1" si="167"/>
        <v>109.083975</v>
      </c>
      <c r="L574" s="1">
        <f t="shared" ca="1" si="167"/>
        <v>1342.94391891892</v>
      </c>
      <c r="M574" s="1">
        <f t="shared" ca="1" si="167"/>
        <v>109.083975</v>
      </c>
      <c r="N574" s="1">
        <f t="shared" ca="1" si="167"/>
        <v>0.2</v>
      </c>
      <c r="O574" s="1">
        <f t="shared" ca="1" si="167"/>
        <v>0.2</v>
      </c>
      <c r="P574" s="1">
        <f t="shared" ca="1" si="167"/>
        <v>0.36</v>
      </c>
      <c r="Q574" s="1">
        <f t="shared" ca="1" si="167"/>
        <v>0.1</v>
      </c>
      <c r="R574" s="1">
        <f t="shared" ca="1" si="167"/>
        <v>2</v>
      </c>
      <c r="S574" s="1">
        <f t="shared" ca="1" si="168"/>
        <v>0.1</v>
      </c>
      <c r="T574" s="1">
        <f t="shared" ca="1" si="168"/>
        <v>0.9</v>
      </c>
      <c r="U574" s="1">
        <f t="shared" ca="1" si="168"/>
        <v>148.86666666666699</v>
      </c>
      <c r="V574" s="1">
        <f t="shared" ca="1" si="168"/>
        <v>0</v>
      </c>
      <c r="W574" s="1">
        <f t="shared" ca="1" si="168"/>
        <v>0</v>
      </c>
      <c r="X574" s="1">
        <f t="shared" ca="1" si="168"/>
        <v>1261.0570945945965</v>
      </c>
      <c r="Y574" s="1">
        <f t="shared" ca="1" si="168"/>
        <v>0</v>
      </c>
      <c r="Z574" s="1">
        <f t="shared" ca="1" si="168"/>
        <v>0</v>
      </c>
      <c r="AA574" s="1">
        <f t="shared" ca="1" si="168"/>
        <v>0</v>
      </c>
      <c r="AB574" s="1">
        <f t="shared" ca="1" si="166"/>
        <v>0</v>
      </c>
      <c r="AC574" s="1">
        <f t="shared" ca="1" si="168"/>
        <v>109.083975</v>
      </c>
      <c r="AD574" s="1">
        <f t="shared" ca="1" si="168"/>
        <v>109.083975</v>
      </c>
      <c r="AE574" s="1">
        <f t="shared" ca="1" si="168"/>
        <v>163.62596249999999</v>
      </c>
      <c r="AF574" s="1">
        <f t="shared" ca="1" si="168"/>
        <v>109.083975</v>
      </c>
      <c r="AG574" s="1">
        <f t="shared" ca="1" si="168"/>
        <v>109.083975</v>
      </c>
      <c r="AH574" s="1">
        <f t="shared" ca="1" si="168"/>
        <v>109.083975</v>
      </c>
      <c r="AI574" s="1">
        <f t="shared" ca="1" si="156"/>
        <v>109.083975</v>
      </c>
    </row>
    <row r="575" spans="2:35" x14ac:dyDescent="0.15">
      <c r="B575" s="1" t="str">
        <f t="shared" si="153"/>
        <v>水系78</v>
      </c>
      <c r="C575" s="1">
        <f t="shared" si="161"/>
        <v>78</v>
      </c>
      <c r="D575" s="14" t="s">
        <v>95</v>
      </c>
      <c r="E575" s="14">
        <f t="shared" si="162"/>
        <v>6</v>
      </c>
      <c r="F575" s="1" t="str">
        <f t="shared" si="151"/>
        <v>冷却</v>
      </c>
      <c r="H575" s="1">
        <f t="shared" ca="1" si="152"/>
        <v>3265.0137580279402</v>
      </c>
      <c r="I575" s="1">
        <f t="shared" ca="1" si="167"/>
        <v>150</v>
      </c>
      <c r="J575" s="1">
        <f t="shared" ca="1" si="167"/>
        <v>1373.8608610567501</v>
      </c>
      <c r="K575" s="1">
        <f t="shared" ca="1" si="167"/>
        <v>110.50064999999999</v>
      </c>
      <c r="L575" s="1">
        <f t="shared" ca="1" si="167"/>
        <v>1373.8608610567501</v>
      </c>
      <c r="M575" s="1">
        <f t="shared" ca="1" si="167"/>
        <v>110.50064999999999</v>
      </c>
      <c r="N575" s="1">
        <f t="shared" ca="1" si="167"/>
        <v>0.2</v>
      </c>
      <c r="O575" s="1">
        <f t="shared" ca="1" si="167"/>
        <v>0.2</v>
      </c>
      <c r="P575" s="1">
        <f t="shared" ca="1" si="167"/>
        <v>0.36</v>
      </c>
      <c r="Q575" s="1">
        <f t="shared" ca="1" si="167"/>
        <v>0.1</v>
      </c>
      <c r="R575" s="1">
        <f t="shared" ca="1" si="167"/>
        <v>2</v>
      </c>
      <c r="S575" s="1">
        <f t="shared" ca="1" si="168"/>
        <v>0.1</v>
      </c>
      <c r="T575" s="1">
        <f t="shared" ca="1" si="168"/>
        <v>0.9</v>
      </c>
      <c r="U575" s="1">
        <f t="shared" ca="1" si="168"/>
        <v>150.80000000000001</v>
      </c>
      <c r="V575" s="1">
        <f t="shared" ca="1" si="168"/>
        <v>0</v>
      </c>
      <c r="W575" s="1">
        <f t="shared" ca="1" si="168"/>
        <v>0</v>
      </c>
      <c r="X575" s="1">
        <f t="shared" ca="1" si="168"/>
        <v>1317.555088062624</v>
      </c>
      <c r="Y575" s="1">
        <f t="shared" ca="1" si="168"/>
        <v>0</v>
      </c>
      <c r="Z575" s="1">
        <f t="shared" ca="1" si="168"/>
        <v>0</v>
      </c>
      <c r="AA575" s="1">
        <f t="shared" ca="1" si="168"/>
        <v>0</v>
      </c>
      <c r="AB575" s="1">
        <f t="shared" ca="1" si="166"/>
        <v>0</v>
      </c>
      <c r="AC575" s="1">
        <f t="shared" ca="1" si="168"/>
        <v>110.50064999999999</v>
      </c>
      <c r="AD575" s="1">
        <f t="shared" ca="1" si="168"/>
        <v>110.50064999999999</v>
      </c>
      <c r="AE575" s="1">
        <f t="shared" ca="1" si="168"/>
        <v>165.75097499999998</v>
      </c>
      <c r="AF575" s="1">
        <f t="shared" ca="1" si="168"/>
        <v>110.50064999999999</v>
      </c>
      <c r="AG575" s="1">
        <f t="shared" ca="1" si="168"/>
        <v>110.50064999999999</v>
      </c>
      <c r="AH575" s="1">
        <f t="shared" ca="1" si="168"/>
        <v>110.50064999999999</v>
      </c>
      <c r="AI575" s="1">
        <f t="shared" ca="1" si="156"/>
        <v>110.50064999999999</v>
      </c>
    </row>
    <row r="576" spans="2:35" x14ac:dyDescent="0.15">
      <c r="B576" s="1" t="str">
        <f t="shared" si="153"/>
        <v>水系79</v>
      </c>
      <c r="C576" s="1">
        <f t="shared" si="161"/>
        <v>79</v>
      </c>
      <c r="D576" s="14" t="s">
        <v>95</v>
      </c>
      <c r="E576" s="14">
        <f t="shared" si="162"/>
        <v>6</v>
      </c>
      <c r="F576" s="1" t="str">
        <f t="shared" si="151"/>
        <v>冷却</v>
      </c>
      <c r="H576" s="1">
        <f t="shared" ca="1" si="152"/>
        <v>3321.4406308369598</v>
      </c>
      <c r="I576" s="1">
        <f t="shared" ca="1" si="167"/>
        <v>150</v>
      </c>
      <c r="J576" s="1">
        <f t="shared" ca="1" si="167"/>
        <v>1405.4005952381001</v>
      </c>
      <c r="K576" s="1">
        <f t="shared" ca="1" si="167"/>
        <v>111.91732500000001</v>
      </c>
      <c r="L576" s="1">
        <f t="shared" ca="1" si="167"/>
        <v>1405.4005952381001</v>
      </c>
      <c r="M576" s="1">
        <f t="shared" ca="1" si="167"/>
        <v>111.91732500000001</v>
      </c>
      <c r="N576" s="1">
        <f t="shared" ca="1" si="167"/>
        <v>0.2</v>
      </c>
      <c r="O576" s="1">
        <f t="shared" ca="1" si="167"/>
        <v>0.2</v>
      </c>
      <c r="P576" s="1">
        <f t="shared" ca="1" si="167"/>
        <v>0.36</v>
      </c>
      <c r="Q576" s="1">
        <f t="shared" ca="1" si="167"/>
        <v>0.1</v>
      </c>
      <c r="R576" s="1">
        <f t="shared" ca="1" si="167"/>
        <v>2</v>
      </c>
      <c r="S576" s="1">
        <f t="shared" ca="1" si="168"/>
        <v>0.1</v>
      </c>
      <c r="T576" s="1">
        <f t="shared" ca="1" si="168"/>
        <v>0.9</v>
      </c>
      <c r="U576" s="1">
        <f t="shared" ca="1" si="168"/>
        <v>152.73333333333301</v>
      </c>
      <c r="V576" s="1">
        <f t="shared" ca="1" si="168"/>
        <v>0</v>
      </c>
      <c r="W576" s="1">
        <f t="shared" ca="1" si="168"/>
        <v>0</v>
      </c>
      <c r="X576" s="1">
        <f t="shared" ca="1" si="168"/>
        <v>1376.3633928571439</v>
      </c>
      <c r="Y576" s="1">
        <f t="shared" ca="1" si="168"/>
        <v>0</v>
      </c>
      <c r="Z576" s="1">
        <f t="shared" ca="1" si="168"/>
        <v>0</v>
      </c>
      <c r="AA576" s="1">
        <f t="shared" ca="1" si="168"/>
        <v>0</v>
      </c>
      <c r="AB576" s="1">
        <f t="shared" ca="1" si="166"/>
        <v>0</v>
      </c>
      <c r="AC576" s="1">
        <f t="shared" ca="1" si="168"/>
        <v>111.91732500000001</v>
      </c>
      <c r="AD576" s="1">
        <f t="shared" ca="1" si="168"/>
        <v>111.91732500000001</v>
      </c>
      <c r="AE576" s="1">
        <f t="shared" ca="1" si="168"/>
        <v>167.87598750000001</v>
      </c>
      <c r="AF576" s="1">
        <f t="shared" ca="1" si="168"/>
        <v>111.91732500000001</v>
      </c>
      <c r="AG576" s="1">
        <f t="shared" ca="1" si="168"/>
        <v>111.91732500000001</v>
      </c>
      <c r="AH576" s="1">
        <f t="shared" ca="1" si="168"/>
        <v>111.91732500000001</v>
      </c>
      <c r="AI576" s="1">
        <f t="shared" ca="1" si="156"/>
        <v>111.91732500000001</v>
      </c>
    </row>
    <row r="577" spans="2:35" x14ac:dyDescent="0.15">
      <c r="B577" s="1" t="str">
        <f t="shared" si="153"/>
        <v>水系80</v>
      </c>
      <c r="C577" s="1">
        <f t="shared" si="161"/>
        <v>80</v>
      </c>
      <c r="D577" s="14" t="s">
        <v>95</v>
      </c>
      <c r="E577" s="14">
        <f t="shared" si="162"/>
        <v>6</v>
      </c>
      <c r="F577" s="1" t="str">
        <f t="shared" si="151"/>
        <v>冷却</v>
      </c>
      <c r="H577" s="1">
        <f t="shared" ca="1" si="152"/>
        <v>3378.2363067362398</v>
      </c>
      <c r="I577" s="1">
        <f t="shared" ca="1" si="167"/>
        <v>150</v>
      </c>
      <c r="J577" s="1">
        <f t="shared" ca="1" si="167"/>
        <v>1437.5855130784701</v>
      </c>
      <c r="K577" s="1">
        <f t="shared" ca="1" si="167"/>
        <v>113.334</v>
      </c>
      <c r="L577" s="1">
        <f t="shared" ca="1" si="167"/>
        <v>1437.5855130784701</v>
      </c>
      <c r="M577" s="1">
        <f t="shared" ca="1" si="167"/>
        <v>113.334</v>
      </c>
      <c r="N577" s="1">
        <f t="shared" ca="1" si="167"/>
        <v>0.2</v>
      </c>
      <c r="O577" s="1">
        <f t="shared" ca="1" si="167"/>
        <v>0.2</v>
      </c>
      <c r="P577" s="1">
        <f t="shared" ca="1" si="167"/>
        <v>0.36</v>
      </c>
      <c r="Q577" s="1">
        <f t="shared" ca="1" si="167"/>
        <v>0.1</v>
      </c>
      <c r="R577" s="1">
        <f t="shared" ca="1" si="167"/>
        <v>2</v>
      </c>
      <c r="S577" s="1">
        <f t="shared" ca="1" si="168"/>
        <v>0.1</v>
      </c>
      <c r="T577" s="1">
        <f t="shared" ca="1" si="168"/>
        <v>0.9</v>
      </c>
      <c r="U577" s="1">
        <f t="shared" ca="1" si="168"/>
        <v>154.666666666667</v>
      </c>
      <c r="V577" s="1">
        <f t="shared" ca="1" si="168"/>
        <v>0</v>
      </c>
      <c r="W577" s="1">
        <f t="shared" ca="1" si="168"/>
        <v>0</v>
      </c>
      <c r="X577" s="1">
        <f t="shared" ca="1" si="168"/>
        <v>1437.5855130784726</v>
      </c>
      <c r="Y577" s="1">
        <f t="shared" ca="1" si="168"/>
        <v>0</v>
      </c>
      <c r="Z577" s="1">
        <f t="shared" ca="1" si="168"/>
        <v>0</v>
      </c>
      <c r="AA577" s="1">
        <f t="shared" ca="1" si="168"/>
        <v>0</v>
      </c>
      <c r="AB577" s="1">
        <f t="shared" ca="1" si="166"/>
        <v>0</v>
      </c>
      <c r="AC577" s="1">
        <f t="shared" ca="1" si="168"/>
        <v>113.334</v>
      </c>
      <c r="AD577" s="1">
        <f t="shared" ca="1" si="168"/>
        <v>113.334</v>
      </c>
      <c r="AE577" s="1">
        <f t="shared" ca="1" si="168"/>
        <v>170.001</v>
      </c>
      <c r="AF577" s="1">
        <f t="shared" ca="1" si="168"/>
        <v>113.334</v>
      </c>
      <c r="AG577" s="1">
        <f t="shared" ca="1" si="168"/>
        <v>113.334</v>
      </c>
      <c r="AH577" s="1">
        <f t="shared" ca="1" si="168"/>
        <v>113.334</v>
      </c>
      <c r="AI577" s="1">
        <f t="shared" ca="1" si="156"/>
        <v>113.334</v>
      </c>
    </row>
    <row r="578" spans="2:35" x14ac:dyDescent="0.15">
      <c r="B578" s="1" t="str">
        <f t="shared" si="153"/>
        <v>水系81</v>
      </c>
      <c r="C578" s="1">
        <f t="shared" si="161"/>
        <v>81</v>
      </c>
      <c r="D578" s="14" t="s">
        <v>95</v>
      </c>
      <c r="E578" s="14">
        <f t="shared" si="162"/>
        <v>6</v>
      </c>
      <c r="F578" s="1" t="str">
        <f t="shared" si="151"/>
        <v>冷却</v>
      </c>
      <c r="H578" s="1">
        <f t="shared" ca="1" si="152"/>
        <v>3435.4007857257702</v>
      </c>
      <c r="I578" s="1">
        <f t="shared" ca="1" si="167"/>
        <v>150</v>
      </c>
      <c r="J578" s="1">
        <f t="shared" ca="1" si="167"/>
        <v>1470.43928571429</v>
      </c>
      <c r="K578" s="1">
        <f t="shared" ca="1" si="167"/>
        <v>114.750675</v>
      </c>
      <c r="L578" s="1">
        <f t="shared" ca="1" si="167"/>
        <v>1470.43928571429</v>
      </c>
      <c r="M578" s="1">
        <f t="shared" ca="1" si="167"/>
        <v>114.750675</v>
      </c>
      <c r="N578" s="1">
        <f t="shared" ca="1" si="167"/>
        <v>0.2</v>
      </c>
      <c r="O578" s="1">
        <f t="shared" ca="1" si="167"/>
        <v>0.2</v>
      </c>
      <c r="P578" s="1">
        <f t="shared" ca="1" si="167"/>
        <v>0.36</v>
      </c>
      <c r="Q578" s="1">
        <f t="shared" ca="1" si="167"/>
        <v>0.1</v>
      </c>
      <c r="R578" s="1">
        <f t="shared" ca="1" si="167"/>
        <v>2</v>
      </c>
      <c r="S578" s="1">
        <f t="shared" ca="1" si="168"/>
        <v>0.1</v>
      </c>
      <c r="T578" s="1">
        <f t="shared" ca="1" si="168"/>
        <v>0.9</v>
      </c>
      <c r="U578" s="1">
        <f t="shared" ca="1" si="168"/>
        <v>156.6</v>
      </c>
      <c r="V578" s="1">
        <f t="shared" ca="1" si="168"/>
        <v>0</v>
      </c>
      <c r="W578" s="1">
        <f t="shared" ca="1" si="168"/>
        <v>0</v>
      </c>
      <c r="X578" s="1">
        <f t="shared" ca="1" si="168"/>
        <v>1501.3308673469401</v>
      </c>
      <c r="Y578" s="1">
        <f t="shared" ca="1" si="168"/>
        <v>0</v>
      </c>
      <c r="Z578" s="1">
        <f t="shared" ca="1" si="168"/>
        <v>0</v>
      </c>
      <c r="AA578" s="1">
        <f t="shared" ca="1" si="168"/>
        <v>0</v>
      </c>
      <c r="AB578" s="1">
        <f t="shared" ca="1" si="166"/>
        <v>0</v>
      </c>
      <c r="AC578" s="1">
        <f t="shared" ca="1" si="168"/>
        <v>114.750675</v>
      </c>
      <c r="AD578" s="1">
        <f t="shared" ca="1" si="168"/>
        <v>114.750675</v>
      </c>
      <c r="AE578" s="1">
        <f t="shared" ca="1" si="168"/>
        <v>172.1260125</v>
      </c>
      <c r="AF578" s="1">
        <f t="shared" ca="1" si="168"/>
        <v>114.750675</v>
      </c>
      <c r="AG578" s="1">
        <f t="shared" ca="1" si="168"/>
        <v>114.750675</v>
      </c>
      <c r="AH578" s="1">
        <f t="shared" ca="1" si="168"/>
        <v>114.750675</v>
      </c>
      <c r="AI578" s="1">
        <f t="shared" ca="1" si="156"/>
        <v>114.750675</v>
      </c>
    </row>
    <row r="579" spans="2:35" x14ac:dyDescent="0.15">
      <c r="B579" s="1" t="str">
        <f t="shared" si="153"/>
        <v>水系82</v>
      </c>
      <c r="C579" s="1">
        <f t="shared" si="161"/>
        <v>82</v>
      </c>
      <c r="D579" s="14" t="s">
        <v>95</v>
      </c>
      <c r="E579" s="14">
        <f t="shared" si="162"/>
        <v>6</v>
      </c>
      <c r="F579" s="1" t="str">
        <f t="shared" ref="F579:F642" si="169">VLOOKUP(E579,monsterType,4,FALSE)</f>
        <v>冷却</v>
      </c>
      <c r="H579" s="1">
        <f t="shared" ref="H579:H642" ca="1" si="170">mVlookup(C579,monsterBaseDate,H$2,FALSE)*(1+mVlookup(E579,monsterType,H$2,FALSE))*(1+mVlookup(C579,monsterHpRevise,D579,FALSE))</f>
        <v>3492.9340678055601</v>
      </c>
      <c r="I579" s="1">
        <f t="shared" ca="1" si="167"/>
        <v>150</v>
      </c>
      <c r="J579" s="1">
        <f t="shared" ca="1" si="167"/>
        <v>1503.98695652174</v>
      </c>
      <c r="K579" s="1">
        <f t="shared" ca="1" si="167"/>
        <v>116.16735</v>
      </c>
      <c r="L579" s="1">
        <f t="shared" ca="1" si="167"/>
        <v>1503.98695652174</v>
      </c>
      <c r="M579" s="1">
        <f t="shared" ca="1" si="167"/>
        <v>116.16735</v>
      </c>
      <c r="N579" s="1">
        <f t="shared" ca="1" si="167"/>
        <v>0.2</v>
      </c>
      <c r="O579" s="1">
        <f t="shared" ca="1" si="167"/>
        <v>0.2</v>
      </c>
      <c r="P579" s="1">
        <f t="shared" ca="1" si="167"/>
        <v>0.36</v>
      </c>
      <c r="Q579" s="1">
        <f t="shared" ca="1" si="167"/>
        <v>0.1</v>
      </c>
      <c r="R579" s="1">
        <f t="shared" ca="1" si="167"/>
        <v>2</v>
      </c>
      <c r="S579" s="1">
        <f t="shared" ca="1" si="168"/>
        <v>0.1</v>
      </c>
      <c r="T579" s="1">
        <f t="shared" ca="1" si="168"/>
        <v>0.9</v>
      </c>
      <c r="U579" s="1">
        <f t="shared" ca="1" si="168"/>
        <v>158.53333333333299</v>
      </c>
      <c r="V579" s="1">
        <f t="shared" ca="1" si="168"/>
        <v>0</v>
      </c>
      <c r="W579" s="1">
        <f t="shared" ca="1" si="168"/>
        <v>0</v>
      </c>
      <c r="X579" s="1">
        <f t="shared" ca="1" si="168"/>
        <v>1567.715217391305</v>
      </c>
      <c r="Y579" s="1">
        <f t="shared" ca="1" si="168"/>
        <v>0</v>
      </c>
      <c r="Z579" s="1">
        <f t="shared" ca="1" si="168"/>
        <v>0</v>
      </c>
      <c r="AA579" s="1">
        <f t="shared" ca="1" si="168"/>
        <v>0</v>
      </c>
      <c r="AB579" s="1">
        <f t="shared" ca="1" si="168"/>
        <v>0</v>
      </c>
      <c r="AC579" s="1">
        <f t="shared" ca="1" si="168"/>
        <v>116.16735</v>
      </c>
      <c r="AD579" s="1">
        <f t="shared" ca="1" si="168"/>
        <v>116.16735</v>
      </c>
      <c r="AE579" s="1">
        <f t="shared" ca="1" si="168"/>
        <v>174.251025</v>
      </c>
      <c r="AF579" s="1">
        <f t="shared" ca="1" si="168"/>
        <v>116.16735</v>
      </c>
      <c r="AG579" s="1">
        <f t="shared" ca="1" si="168"/>
        <v>116.16735</v>
      </c>
      <c r="AH579" s="1">
        <f t="shared" ca="1" si="168"/>
        <v>116.16735</v>
      </c>
      <c r="AI579" s="1">
        <f t="shared" ca="1" si="156"/>
        <v>116.16735</v>
      </c>
    </row>
    <row r="580" spans="2:35" x14ac:dyDescent="0.15">
      <c r="B580" s="1" t="str">
        <f t="shared" ref="B580:B643" si="171">D580&amp;C580</f>
        <v>水系83</v>
      </c>
      <c r="C580" s="1">
        <f t="shared" si="161"/>
        <v>83</v>
      </c>
      <c r="D580" s="14" t="s">
        <v>95</v>
      </c>
      <c r="E580" s="14">
        <f t="shared" si="162"/>
        <v>6</v>
      </c>
      <c r="F580" s="1" t="str">
        <f t="shared" si="169"/>
        <v>冷却</v>
      </c>
      <c r="H580" s="1">
        <f t="shared" ca="1" si="170"/>
        <v>3550.8361529755998</v>
      </c>
      <c r="I580" s="1">
        <f t="shared" ca="1" si="167"/>
        <v>150</v>
      </c>
      <c r="J580" s="1">
        <f t="shared" ca="1" si="167"/>
        <v>1538.25504201681</v>
      </c>
      <c r="K580" s="1">
        <f t="shared" ca="1" si="167"/>
        <v>117.584025</v>
      </c>
      <c r="L580" s="1">
        <f t="shared" ca="1" si="167"/>
        <v>1538.25504201681</v>
      </c>
      <c r="M580" s="1">
        <f t="shared" ca="1" si="167"/>
        <v>117.584025</v>
      </c>
      <c r="N580" s="1">
        <f t="shared" ca="1" si="167"/>
        <v>0.2</v>
      </c>
      <c r="O580" s="1">
        <f t="shared" ca="1" si="167"/>
        <v>0.2</v>
      </c>
      <c r="P580" s="1">
        <f t="shared" ca="1" si="167"/>
        <v>0.36</v>
      </c>
      <c r="Q580" s="1">
        <f t="shared" ca="1" si="167"/>
        <v>0.1</v>
      </c>
      <c r="R580" s="1">
        <f t="shared" ca="1" si="167"/>
        <v>2</v>
      </c>
      <c r="S580" s="1">
        <f t="shared" ca="1" si="168"/>
        <v>0.1</v>
      </c>
      <c r="T580" s="1">
        <f t="shared" ca="1" si="168"/>
        <v>0.9</v>
      </c>
      <c r="U580" s="1">
        <f t="shared" ca="1" si="168"/>
        <v>160.46666666666701</v>
      </c>
      <c r="V580" s="1">
        <f t="shared" ca="1" si="168"/>
        <v>0</v>
      </c>
      <c r="W580" s="1">
        <f t="shared" ca="1" si="168"/>
        <v>0</v>
      </c>
      <c r="X580" s="1">
        <f t="shared" ca="1" si="168"/>
        <v>1636.8611344537799</v>
      </c>
      <c r="Y580" s="1">
        <f t="shared" ca="1" si="168"/>
        <v>0</v>
      </c>
      <c r="Z580" s="1">
        <f t="shared" ca="1" si="168"/>
        <v>0</v>
      </c>
      <c r="AA580" s="1">
        <f t="shared" ca="1" si="168"/>
        <v>0</v>
      </c>
      <c r="AB580" s="1">
        <f t="shared" ca="1" si="168"/>
        <v>0</v>
      </c>
      <c r="AC580" s="1">
        <f t="shared" ca="1" si="168"/>
        <v>117.584025</v>
      </c>
      <c r="AD580" s="1">
        <f t="shared" ca="1" si="168"/>
        <v>117.584025</v>
      </c>
      <c r="AE580" s="1">
        <f t="shared" ca="1" si="168"/>
        <v>176.3760375</v>
      </c>
      <c r="AF580" s="1">
        <f t="shared" ca="1" si="168"/>
        <v>117.584025</v>
      </c>
      <c r="AG580" s="1">
        <f t="shared" ca="1" si="168"/>
        <v>117.584025</v>
      </c>
      <c r="AH580" s="1">
        <f t="shared" ca="1" si="168"/>
        <v>117.584025</v>
      </c>
      <c r="AI580" s="1">
        <f t="shared" ca="1" si="156"/>
        <v>117.584025</v>
      </c>
    </row>
    <row r="581" spans="2:35" x14ac:dyDescent="0.15">
      <c r="B581" s="1" t="str">
        <f t="shared" si="171"/>
        <v>水系84</v>
      </c>
      <c r="C581" s="1">
        <f t="shared" si="161"/>
        <v>84</v>
      </c>
      <c r="D581" s="14" t="s">
        <v>95</v>
      </c>
      <c r="E581" s="14">
        <f t="shared" si="162"/>
        <v>6</v>
      </c>
      <c r="F581" s="1" t="str">
        <f t="shared" si="169"/>
        <v>冷却</v>
      </c>
      <c r="H581" s="1">
        <f t="shared" ca="1" si="170"/>
        <v>3609.1070412358999</v>
      </c>
      <c r="I581" s="1">
        <f t="shared" ca="1" si="167"/>
        <v>150</v>
      </c>
      <c r="J581" s="1">
        <f t="shared" ca="1" si="167"/>
        <v>1573.2716417910499</v>
      </c>
      <c r="K581" s="1">
        <f t="shared" ca="1" si="167"/>
        <v>119.00069999999999</v>
      </c>
      <c r="L581" s="1">
        <f t="shared" ca="1" si="167"/>
        <v>1573.2716417910499</v>
      </c>
      <c r="M581" s="1">
        <f t="shared" ca="1" si="167"/>
        <v>119.00069999999999</v>
      </c>
      <c r="N581" s="1">
        <f t="shared" ca="1" si="167"/>
        <v>0.2</v>
      </c>
      <c r="O581" s="1">
        <f t="shared" ca="1" si="167"/>
        <v>0.2</v>
      </c>
      <c r="P581" s="1">
        <f t="shared" ca="1" si="167"/>
        <v>0.36</v>
      </c>
      <c r="Q581" s="1">
        <f t="shared" ca="1" si="167"/>
        <v>0.1</v>
      </c>
      <c r="R581" s="1">
        <f t="shared" ca="1" si="167"/>
        <v>2</v>
      </c>
      <c r="S581" s="1">
        <f t="shared" ca="1" si="168"/>
        <v>0.1</v>
      </c>
      <c r="T581" s="1">
        <f t="shared" ca="1" si="168"/>
        <v>0.9</v>
      </c>
      <c r="U581" s="1">
        <f t="shared" ca="1" si="168"/>
        <v>162.4</v>
      </c>
      <c r="V581" s="1">
        <f t="shared" ca="1" si="168"/>
        <v>0</v>
      </c>
      <c r="W581" s="1">
        <f t="shared" ca="1" si="168"/>
        <v>0</v>
      </c>
      <c r="X581" s="1">
        <f t="shared" ca="1" si="168"/>
        <v>1708.8985074626851</v>
      </c>
      <c r="Y581" s="1">
        <f t="shared" ca="1" si="168"/>
        <v>0</v>
      </c>
      <c r="Z581" s="1">
        <f t="shared" ca="1" si="168"/>
        <v>0</v>
      </c>
      <c r="AA581" s="1">
        <f t="shared" ca="1" si="168"/>
        <v>0</v>
      </c>
      <c r="AB581" s="1">
        <f t="shared" ca="1" si="168"/>
        <v>0</v>
      </c>
      <c r="AC581" s="1">
        <f t="shared" ca="1" si="168"/>
        <v>119.00069999999999</v>
      </c>
      <c r="AD581" s="1">
        <f t="shared" ca="1" si="168"/>
        <v>119.00069999999999</v>
      </c>
      <c r="AE581" s="1">
        <f t="shared" ca="1" si="168"/>
        <v>178.50104999999999</v>
      </c>
      <c r="AF581" s="1">
        <f t="shared" ca="1" si="168"/>
        <v>119.00069999999999</v>
      </c>
      <c r="AG581" s="1">
        <f t="shared" ca="1" si="168"/>
        <v>119.00069999999999</v>
      </c>
      <c r="AH581" s="1">
        <f t="shared" ca="1" si="168"/>
        <v>119.00069999999999</v>
      </c>
      <c r="AI581" s="1">
        <f t="shared" ca="1" si="156"/>
        <v>119.00069999999999</v>
      </c>
    </row>
    <row r="582" spans="2:35" x14ac:dyDescent="0.15">
      <c r="B582" s="1" t="str">
        <f t="shared" si="171"/>
        <v>水系85</v>
      </c>
      <c r="C582" s="1">
        <f t="shared" si="161"/>
        <v>85</v>
      </c>
      <c r="D582" s="14" t="s">
        <v>95</v>
      </c>
      <c r="E582" s="14">
        <f t="shared" si="162"/>
        <v>6</v>
      </c>
      <c r="F582" s="1" t="str">
        <f t="shared" si="169"/>
        <v>冷却</v>
      </c>
      <c r="H582" s="1">
        <f t="shared" ca="1" si="170"/>
        <v>3667.74673258645</v>
      </c>
      <c r="I582" s="1">
        <f t="shared" ca="1" si="167"/>
        <v>150</v>
      </c>
      <c r="J582" s="1">
        <f t="shared" ca="1" si="167"/>
        <v>1609.0665584415599</v>
      </c>
      <c r="K582" s="1">
        <f t="shared" ca="1" si="167"/>
        <v>120.41737500000001</v>
      </c>
      <c r="L582" s="1">
        <f t="shared" ca="1" si="167"/>
        <v>1609.0665584415599</v>
      </c>
      <c r="M582" s="1">
        <f t="shared" ca="1" si="167"/>
        <v>120.41737500000001</v>
      </c>
      <c r="N582" s="1">
        <f t="shared" ca="1" si="167"/>
        <v>0.2</v>
      </c>
      <c r="O582" s="1">
        <f t="shared" ca="1" si="167"/>
        <v>0.2</v>
      </c>
      <c r="P582" s="1">
        <f t="shared" ca="1" si="167"/>
        <v>0.36</v>
      </c>
      <c r="Q582" s="1">
        <f t="shared" ca="1" si="167"/>
        <v>0.1</v>
      </c>
      <c r="R582" s="1">
        <f t="shared" ca="1" si="167"/>
        <v>2</v>
      </c>
      <c r="S582" s="1">
        <f t="shared" ca="1" si="168"/>
        <v>0.1</v>
      </c>
      <c r="T582" s="1">
        <f t="shared" ca="1" si="168"/>
        <v>0.9</v>
      </c>
      <c r="U582" s="1">
        <f t="shared" ca="1" si="168"/>
        <v>164.333333333333</v>
      </c>
      <c r="V582" s="1">
        <f t="shared" ca="1" si="168"/>
        <v>0</v>
      </c>
      <c r="W582" s="1">
        <f t="shared" ca="1" si="168"/>
        <v>0</v>
      </c>
      <c r="X582" s="1">
        <f t="shared" ca="1" si="168"/>
        <v>1783.9650974026049</v>
      </c>
      <c r="Y582" s="1">
        <f t="shared" ca="1" si="168"/>
        <v>0</v>
      </c>
      <c r="Z582" s="1">
        <f t="shared" ca="1" si="168"/>
        <v>0</v>
      </c>
      <c r="AA582" s="1">
        <f t="shared" ca="1" si="168"/>
        <v>0</v>
      </c>
      <c r="AB582" s="1">
        <f t="shared" ca="1" si="168"/>
        <v>0</v>
      </c>
      <c r="AC582" s="1">
        <f t="shared" ca="1" si="168"/>
        <v>120.41737500000001</v>
      </c>
      <c r="AD582" s="1">
        <f t="shared" ca="1" si="168"/>
        <v>120.41737500000001</v>
      </c>
      <c r="AE582" s="1">
        <f t="shared" ca="1" si="168"/>
        <v>180.62606250000002</v>
      </c>
      <c r="AF582" s="1">
        <f t="shared" ca="1" si="168"/>
        <v>120.41737500000001</v>
      </c>
      <c r="AG582" s="1">
        <f t="shared" ca="1" si="168"/>
        <v>120.41737500000001</v>
      </c>
      <c r="AH582" s="1">
        <f t="shared" ca="1" si="168"/>
        <v>120.41737500000001</v>
      </c>
      <c r="AI582" s="1">
        <f t="shared" ca="1" si="156"/>
        <v>120.41737500000001</v>
      </c>
    </row>
    <row r="583" spans="2:35" x14ac:dyDescent="0.15">
      <c r="B583" s="1" t="str">
        <f t="shared" si="171"/>
        <v>水系86</v>
      </c>
      <c r="C583" s="1">
        <f t="shared" si="161"/>
        <v>86</v>
      </c>
      <c r="D583" s="14" t="s">
        <v>95</v>
      </c>
      <c r="E583" s="14">
        <f t="shared" si="162"/>
        <v>6</v>
      </c>
      <c r="F583" s="1" t="str">
        <f t="shared" si="169"/>
        <v>冷却</v>
      </c>
      <c r="H583" s="1">
        <f t="shared" ca="1" si="170"/>
        <v>3726.7552270272599</v>
      </c>
      <c r="I583" s="1">
        <f t="shared" ref="I583:R592" ca="1" si="172">mVlookup($C583,monsterBaseDate,I$2,FALSE)*(1+mVlookup($E583,monsterType,I$2,FALSE))</f>
        <v>150</v>
      </c>
      <c r="J583" s="1">
        <f t="shared" ca="1" si="172"/>
        <v>1645.6714285714299</v>
      </c>
      <c r="K583" s="1">
        <f t="shared" ca="1" si="172"/>
        <v>121.83405</v>
      </c>
      <c r="L583" s="1">
        <f t="shared" ca="1" si="172"/>
        <v>1645.6714285714299</v>
      </c>
      <c r="M583" s="1">
        <f t="shared" ca="1" si="172"/>
        <v>121.83405</v>
      </c>
      <c r="N583" s="1">
        <f t="shared" ca="1" si="172"/>
        <v>0.2</v>
      </c>
      <c r="O583" s="1">
        <f t="shared" ca="1" si="172"/>
        <v>0.2</v>
      </c>
      <c r="P583" s="1">
        <f t="shared" ca="1" si="172"/>
        <v>0.36</v>
      </c>
      <c r="Q583" s="1">
        <f t="shared" ca="1" si="172"/>
        <v>0.1</v>
      </c>
      <c r="R583" s="1">
        <f t="shared" ca="1" si="172"/>
        <v>2</v>
      </c>
      <c r="S583" s="1">
        <f t="shared" ref="S583:AH598" ca="1" si="173">mVlookup($C583,monsterBaseDate,S$2,FALSE)*(1+mVlookup($E583,monsterType,S$2,FALSE))</f>
        <v>0.1</v>
      </c>
      <c r="T583" s="1">
        <f t="shared" ca="1" si="173"/>
        <v>0.9</v>
      </c>
      <c r="U583" s="1">
        <f t="shared" ca="1" si="173"/>
        <v>166.26666666666699</v>
      </c>
      <c r="V583" s="1">
        <f t="shared" ca="1" si="173"/>
        <v>0</v>
      </c>
      <c r="W583" s="1">
        <f t="shared" ca="1" si="173"/>
        <v>0</v>
      </c>
      <c r="X583" s="1">
        <f t="shared" ca="1" si="173"/>
        <v>1862.2071428571448</v>
      </c>
      <c r="Y583" s="1">
        <f t="shared" ca="1" si="173"/>
        <v>0</v>
      </c>
      <c r="Z583" s="1">
        <f t="shared" ca="1" si="173"/>
        <v>0</v>
      </c>
      <c r="AA583" s="1">
        <f t="shared" ca="1" si="173"/>
        <v>0</v>
      </c>
      <c r="AB583" s="1">
        <f t="shared" ca="1" si="168"/>
        <v>0</v>
      </c>
      <c r="AC583" s="1">
        <f t="shared" ca="1" si="173"/>
        <v>121.83405</v>
      </c>
      <c r="AD583" s="1">
        <f t="shared" ca="1" si="173"/>
        <v>121.83405</v>
      </c>
      <c r="AE583" s="1">
        <f t="shared" ca="1" si="173"/>
        <v>182.75107500000001</v>
      </c>
      <c r="AF583" s="1">
        <f t="shared" ca="1" si="173"/>
        <v>121.83405</v>
      </c>
      <c r="AG583" s="1">
        <f t="shared" ca="1" si="173"/>
        <v>121.83405</v>
      </c>
      <c r="AH583" s="1">
        <f t="shared" ca="1" si="173"/>
        <v>121.83405</v>
      </c>
      <c r="AI583" s="1">
        <f t="shared" ca="1" si="156"/>
        <v>121.83405</v>
      </c>
    </row>
    <row r="584" spans="2:35" x14ac:dyDescent="0.15">
      <c r="B584" s="1" t="str">
        <f t="shared" si="171"/>
        <v>水系87</v>
      </c>
      <c r="C584" s="1">
        <f t="shared" si="161"/>
        <v>87</v>
      </c>
      <c r="D584" s="14" t="s">
        <v>95</v>
      </c>
      <c r="E584" s="14">
        <f t="shared" si="162"/>
        <v>6</v>
      </c>
      <c r="F584" s="1" t="str">
        <f t="shared" si="169"/>
        <v>冷却</v>
      </c>
      <c r="H584" s="1">
        <f t="shared" ca="1" si="170"/>
        <v>3786.1325245583198</v>
      </c>
      <c r="I584" s="1">
        <f t="shared" ca="1" si="172"/>
        <v>150</v>
      </c>
      <c r="J584" s="1">
        <f t="shared" ca="1" si="172"/>
        <v>1683.1198660714299</v>
      </c>
      <c r="K584" s="1">
        <f t="shared" ca="1" si="172"/>
        <v>123.250725</v>
      </c>
      <c r="L584" s="1">
        <f t="shared" ca="1" si="172"/>
        <v>1683.1198660714299</v>
      </c>
      <c r="M584" s="1">
        <f t="shared" ca="1" si="172"/>
        <v>123.250725</v>
      </c>
      <c r="N584" s="1">
        <f t="shared" ca="1" si="172"/>
        <v>0.2</v>
      </c>
      <c r="O584" s="1">
        <f t="shared" ca="1" si="172"/>
        <v>0.2</v>
      </c>
      <c r="P584" s="1">
        <f t="shared" ca="1" si="172"/>
        <v>0.36</v>
      </c>
      <c r="Q584" s="1">
        <f t="shared" ca="1" si="172"/>
        <v>0.1</v>
      </c>
      <c r="R584" s="1">
        <f t="shared" ca="1" si="172"/>
        <v>2</v>
      </c>
      <c r="S584" s="1">
        <f t="shared" ca="1" si="173"/>
        <v>0.1</v>
      </c>
      <c r="T584" s="1">
        <f t="shared" ca="1" si="173"/>
        <v>0.9</v>
      </c>
      <c r="U584" s="1">
        <f t="shared" ca="1" si="173"/>
        <v>168.2</v>
      </c>
      <c r="V584" s="1">
        <f t="shared" ca="1" si="173"/>
        <v>0</v>
      </c>
      <c r="W584" s="1">
        <f t="shared" ca="1" si="173"/>
        <v>0</v>
      </c>
      <c r="X584" s="1">
        <f t="shared" ca="1" si="173"/>
        <v>1943.7800223214349</v>
      </c>
      <c r="Y584" s="1">
        <f t="shared" ca="1" si="173"/>
        <v>0</v>
      </c>
      <c r="Z584" s="1">
        <f t="shared" ca="1" si="173"/>
        <v>0</v>
      </c>
      <c r="AA584" s="1">
        <f t="shared" ca="1" si="173"/>
        <v>0</v>
      </c>
      <c r="AB584" s="1">
        <f t="shared" ca="1" si="168"/>
        <v>0</v>
      </c>
      <c r="AC584" s="1">
        <f t="shared" ca="1" si="173"/>
        <v>123.250725</v>
      </c>
      <c r="AD584" s="1">
        <f t="shared" ca="1" si="173"/>
        <v>123.250725</v>
      </c>
      <c r="AE584" s="1">
        <f t="shared" ca="1" si="173"/>
        <v>184.87608750000001</v>
      </c>
      <c r="AF584" s="1">
        <f t="shared" ca="1" si="173"/>
        <v>123.250725</v>
      </c>
      <c r="AG584" s="1">
        <f t="shared" ca="1" si="173"/>
        <v>123.250725</v>
      </c>
      <c r="AH584" s="1">
        <f t="shared" ca="1" si="173"/>
        <v>123.250725</v>
      </c>
      <c r="AI584" s="1">
        <f t="shared" ca="1" si="156"/>
        <v>123.250725</v>
      </c>
    </row>
    <row r="585" spans="2:35" x14ac:dyDescent="0.15">
      <c r="B585" s="1" t="str">
        <f t="shared" si="171"/>
        <v>水系88</v>
      </c>
      <c r="C585" s="1">
        <f t="shared" si="161"/>
        <v>88</v>
      </c>
      <c r="D585" s="14" t="s">
        <v>95</v>
      </c>
      <c r="E585" s="14">
        <f t="shared" si="162"/>
        <v>6</v>
      </c>
      <c r="F585" s="1" t="str">
        <f t="shared" si="169"/>
        <v>冷却</v>
      </c>
      <c r="H585" s="1">
        <f t="shared" ca="1" si="170"/>
        <v>3845.87862517964</v>
      </c>
      <c r="I585" s="1">
        <f t="shared" ca="1" si="172"/>
        <v>150</v>
      </c>
      <c r="J585" s="1">
        <f t="shared" ca="1" si="172"/>
        <v>1721.44761904762</v>
      </c>
      <c r="K585" s="1">
        <f t="shared" ca="1" si="172"/>
        <v>124.6674</v>
      </c>
      <c r="L585" s="1">
        <f t="shared" ca="1" si="172"/>
        <v>1721.44761904762</v>
      </c>
      <c r="M585" s="1">
        <f t="shared" ca="1" si="172"/>
        <v>124.6674</v>
      </c>
      <c r="N585" s="1">
        <f t="shared" ca="1" si="172"/>
        <v>0.2</v>
      </c>
      <c r="O585" s="1">
        <f t="shared" ca="1" si="172"/>
        <v>0.2</v>
      </c>
      <c r="P585" s="1">
        <f t="shared" ca="1" si="172"/>
        <v>0.36</v>
      </c>
      <c r="Q585" s="1">
        <f t="shared" ca="1" si="172"/>
        <v>0.1</v>
      </c>
      <c r="R585" s="1">
        <f t="shared" ca="1" si="172"/>
        <v>2</v>
      </c>
      <c r="S585" s="1">
        <f t="shared" ca="1" si="173"/>
        <v>0.1</v>
      </c>
      <c r="T585" s="1">
        <f t="shared" ca="1" si="173"/>
        <v>0.9</v>
      </c>
      <c r="U585" s="1">
        <f t="shared" ca="1" si="173"/>
        <v>170.13333333333301</v>
      </c>
      <c r="V585" s="1">
        <f t="shared" ca="1" si="173"/>
        <v>0</v>
      </c>
      <c r="W585" s="1">
        <f t="shared" ca="1" si="173"/>
        <v>0</v>
      </c>
      <c r="X585" s="1">
        <f t="shared" ca="1" si="173"/>
        <v>2028.8489795918399</v>
      </c>
      <c r="Y585" s="1">
        <f t="shared" ca="1" si="173"/>
        <v>0</v>
      </c>
      <c r="Z585" s="1">
        <f t="shared" ca="1" si="173"/>
        <v>0</v>
      </c>
      <c r="AA585" s="1">
        <f t="shared" ca="1" si="173"/>
        <v>0</v>
      </c>
      <c r="AB585" s="1">
        <f t="shared" ca="1" si="168"/>
        <v>0</v>
      </c>
      <c r="AC585" s="1">
        <f t="shared" ca="1" si="173"/>
        <v>124.6674</v>
      </c>
      <c r="AD585" s="1">
        <f t="shared" ca="1" si="173"/>
        <v>124.6674</v>
      </c>
      <c r="AE585" s="1">
        <f t="shared" ca="1" si="173"/>
        <v>187.00110000000001</v>
      </c>
      <c r="AF585" s="1">
        <f t="shared" ca="1" si="173"/>
        <v>124.6674</v>
      </c>
      <c r="AG585" s="1">
        <f t="shared" ca="1" si="173"/>
        <v>124.6674</v>
      </c>
      <c r="AH585" s="1">
        <f t="shared" ca="1" si="173"/>
        <v>124.6674</v>
      </c>
      <c r="AI585" s="1">
        <f t="shared" ca="1" si="156"/>
        <v>124.6674</v>
      </c>
    </row>
    <row r="586" spans="2:35" x14ac:dyDescent="0.15">
      <c r="B586" s="1" t="str">
        <f t="shared" si="171"/>
        <v>水系89</v>
      </c>
      <c r="C586" s="1">
        <f t="shared" si="161"/>
        <v>89</v>
      </c>
      <c r="D586" s="14" t="s">
        <v>95</v>
      </c>
      <c r="E586" s="14">
        <f t="shared" si="162"/>
        <v>6</v>
      </c>
      <c r="F586" s="1" t="str">
        <f t="shared" si="169"/>
        <v>冷却</v>
      </c>
      <c r="H586" s="1">
        <f t="shared" ca="1" si="170"/>
        <v>4062.5622155526498</v>
      </c>
      <c r="I586" s="1">
        <f t="shared" ca="1" si="172"/>
        <v>150</v>
      </c>
      <c r="J586" s="1">
        <f t="shared" ca="1" si="172"/>
        <v>1760.6927419354899</v>
      </c>
      <c r="K586" s="1">
        <f t="shared" ca="1" si="172"/>
        <v>126.084075</v>
      </c>
      <c r="L586" s="1">
        <f t="shared" ca="1" si="172"/>
        <v>1760.6927419354899</v>
      </c>
      <c r="M586" s="1">
        <f t="shared" ca="1" si="172"/>
        <v>126.084075</v>
      </c>
      <c r="N586" s="1">
        <f t="shared" ca="1" si="172"/>
        <v>0.2</v>
      </c>
      <c r="O586" s="1">
        <f t="shared" ca="1" si="172"/>
        <v>0.2</v>
      </c>
      <c r="P586" s="1">
        <f t="shared" ca="1" si="172"/>
        <v>0.36</v>
      </c>
      <c r="Q586" s="1">
        <f t="shared" ca="1" si="172"/>
        <v>0.1</v>
      </c>
      <c r="R586" s="1">
        <f t="shared" ca="1" si="172"/>
        <v>2</v>
      </c>
      <c r="S586" s="1">
        <f t="shared" ca="1" si="173"/>
        <v>0.1</v>
      </c>
      <c r="T586" s="1">
        <f t="shared" ca="1" si="173"/>
        <v>0.9</v>
      </c>
      <c r="U586" s="1">
        <f t="shared" ca="1" si="173"/>
        <v>172.066666666667</v>
      </c>
      <c r="V586" s="1">
        <f t="shared" ca="1" si="173"/>
        <v>0</v>
      </c>
      <c r="W586" s="1">
        <f t="shared" ca="1" si="173"/>
        <v>0</v>
      </c>
      <c r="X586" s="1">
        <f t="shared" ca="1" si="173"/>
        <v>2117.5899193548448</v>
      </c>
      <c r="Y586" s="1">
        <f t="shared" ca="1" si="173"/>
        <v>0</v>
      </c>
      <c r="Z586" s="1">
        <f t="shared" ca="1" si="173"/>
        <v>0</v>
      </c>
      <c r="AA586" s="1">
        <f t="shared" ca="1" si="173"/>
        <v>0</v>
      </c>
      <c r="AB586" s="1">
        <f t="shared" ca="1" si="168"/>
        <v>0</v>
      </c>
      <c r="AC586" s="1">
        <f t="shared" ca="1" si="173"/>
        <v>126.084075</v>
      </c>
      <c r="AD586" s="1">
        <f t="shared" ca="1" si="173"/>
        <v>126.084075</v>
      </c>
      <c r="AE586" s="1">
        <f t="shared" ca="1" si="173"/>
        <v>189.1261125</v>
      </c>
      <c r="AF586" s="1">
        <f t="shared" ca="1" si="173"/>
        <v>126.084075</v>
      </c>
      <c r="AG586" s="1">
        <f t="shared" ca="1" si="173"/>
        <v>126.084075</v>
      </c>
      <c r="AH586" s="1">
        <f t="shared" ca="1" si="173"/>
        <v>126.084075</v>
      </c>
      <c r="AI586" s="1">
        <f t="shared" ca="1" si="156"/>
        <v>126.084075</v>
      </c>
    </row>
    <row r="587" spans="2:35" x14ac:dyDescent="0.15">
      <c r="B587" s="1" t="str">
        <f t="shared" si="171"/>
        <v>水系90</v>
      </c>
      <c r="C587" s="1">
        <f t="shared" si="161"/>
        <v>90</v>
      </c>
      <c r="D587" s="14" t="s">
        <v>95</v>
      </c>
      <c r="E587" s="14">
        <f t="shared" si="162"/>
        <v>6</v>
      </c>
      <c r="F587" s="1" t="str">
        <f t="shared" si="169"/>
        <v>冷却</v>
      </c>
      <c r="H587" s="1">
        <f t="shared" ca="1" si="170"/>
        <v>4125.4703642969298</v>
      </c>
      <c r="I587" s="1">
        <f t="shared" ca="1" si="172"/>
        <v>150</v>
      </c>
      <c r="J587" s="1">
        <f t="shared" ca="1" si="172"/>
        <v>1800.8957845433299</v>
      </c>
      <c r="K587" s="1">
        <f t="shared" ca="1" si="172"/>
        <v>127.50075</v>
      </c>
      <c r="L587" s="1">
        <f t="shared" ca="1" si="172"/>
        <v>1800.8957845433299</v>
      </c>
      <c r="M587" s="1">
        <f t="shared" ca="1" si="172"/>
        <v>127.50075</v>
      </c>
      <c r="N587" s="1">
        <f t="shared" ca="1" si="172"/>
        <v>0.2</v>
      </c>
      <c r="O587" s="1">
        <f t="shared" ca="1" si="172"/>
        <v>0.2</v>
      </c>
      <c r="P587" s="1">
        <f t="shared" ca="1" si="172"/>
        <v>0.36</v>
      </c>
      <c r="Q587" s="1">
        <f t="shared" ca="1" si="172"/>
        <v>0.1</v>
      </c>
      <c r="R587" s="1">
        <f t="shared" ca="1" si="172"/>
        <v>2</v>
      </c>
      <c r="S587" s="1">
        <f t="shared" ca="1" si="173"/>
        <v>0.1</v>
      </c>
      <c r="T587" s="1">
        <f t="shared" ca="1" si="173"/>
        <v>0.9</v>
      </c>
      <c r="U587" s="1">
        <f t="shared" ca="1" si="173"/>
        <v>174</v>
      </c>
      <c r="V587" s="1">
        <f t="shared" ca="1" si="173"/>
        <v>0</v>
      </c>
      <c r="W587" s="1">
        <f t="shared" ca="1" si="173"/>
        <v>0</v>
      </c>
      <c r="X587" s="1">
        <f t="shared" ca="1" si="173"/>
        <v>2210.190281030445</v>
      </c>
      <c r="Y587" s="1">
        <f t="shared" ca="1" si="173"/>
        <v>0</v>
      </c>
      <c r="Z587" s="1">
        <f t="shared" ca="1" si="173"/>
        <v>0</v>
      </c>
      <c r="AA587" s="1">
        <f t="shared" ca="1" si="173"/>
        <v>0</v>
      </c>
      <c r="AB587" s="1">
        <f t="shared" ca="1" si="168"/>
        <v>0</v>
      </c>
      <c r="AC587" s="1">
        <f t="shared" ca="1" si="173"/>
        <v>127.50075</v>
      </c>
      <c r="AD587" s="1">
        <f t="shared" ca="1" si="173"/>
        <v>127.50075</v>
      </c>
      <c r="AE587" s="1">
        <f t="shared" ca="1" si="173"/>
        <v>191.251125</v>
      </c>
      <c r="AF587" s="1">
        <f t="shared" ca="1" si="173"/>
        <v>127.50075</v>
      </c>
      <c r="AG587" s="1">
        <f t="shared" ca="1" si="173"/>
        <v>127.50075</v>
      </c>
      <c r="AH587" s="1">
        <f t="shared" ca="1" si="173"/>
        <v>127.50075</v>
      </c>
      <c r="AI587" s="1">
        <f t="shared" ca="1" si="156"/>
        <v>127.50075</v>
      </c>
    </row>
    <row r="588" spans="2:35" x14ac:dyDescent="0.15">
      <c r="B588" s="1" t="str">
        <f t="shared" si="171"/>
        <v>水系91</v>
      </c>
      <c r="C588" s="1">
        <f t="shared" si="161"/>
        <v>91</v>
      </c>
      <c r="D588" s="14" t="s">
        <v>95</v>
      </c>
      <c r="E588" s="14">
        <f t="shared" si="162"/>
        <v>6</v>
      </c>
      <c r="F588" s="1" t="str">
        <f t="shared" si="169"/>
        <v>冷却</v>
      </c>
      <c r="H588" s="1">
        <f t="shared" ca="1" si="170"/>
        <v>4188.7620993140299</v>
      </c>
      <c r="I588" s="1">
        <f t="shared" ca="1" si="172"/>
        <v>150</v>
      </c>
      <c r="J588" s="1">
        <f t="shared" ca="1" si="172"/>
        <v>1842.1</v>
      </c>
      <c r="K588" s="1">
        <f t="shared" ca="1" si="172"/>
        <v>128.91742500000001</v>
      </c>
      <c r="L588" s="1">
        <f t="shared" ca="1" si="172"/>
        <v>1842.1</v>
      </c>
      <c r="M588" s="1">
        <f t="shared" ca="1" si="172"/>
        <v>128.91742500000001</v>
      </c>
      <c r="N588" s="1">
        <f t="shared" ca="1" si="172"/>
        <v>0.2</v>
      </c>
      <c r="O588" s="1">
        <f t="shared" ca="1" si="172"/>
        <v>0.2</v>
      </c>
      <c r="P588" s="1">
        <f t="shared" ca="1" si="172"/>
        <v>0.36</v>
      </c>
      <c r="Q588" s="1">
        <f t="shared" ca="1" si="172"/>
        <v>0.1</v>
      </c>
      <c r="R588" s="1">
        <f t="shared" ca="1" si="172"/>
        <v>2</v>
      </c>
      <c r="S588" s="1">
        <f t="shared" ca="1" si="173"/>
        <v>0.1</v>
      </c>
      <c r="T588" s="1">
        <f t="shared" ca="1" si="173"/>
        <v>0.9</v>
      </c>
      <c r="U588" s="1">
        <f t="shared" ca="1" si="173"/>
        <v>175.933333333333</v>
      </c>
      <c r="V588" s="1">
        <f t="shared" ca="1" si="173"/>
        <v>0</v>
      </c>
      <c r="W588" s="1">
        <f t="shared" ca="1" si="173"/>
        <v>0</v>
      </c>
      <c r="X588" s="1">
        <f t="shared" ca="1" si="173"/>
        <v>2306.8500000000004</v>
      </c>
      <c r="Y588" s="1">
        <f t="shared" ca="1" si="173"/>
        <v>0</v>
      </c>
      <c r="Z588" s="1">
        <f t="shared" ca="1" si="173"/>
        <v>0</v>
      </c>
      <c r="AA588" s="1">
        <f t="shared" ca="1" si="173"/>
        <v>0</v>
      </c>
      <c r="AB588" s="1">
        <f t="shared" ca="1" si="168"/>
        <v>0</v>
      </c>
      <c r="AC588" s="1">
        <f t="shared" ca="1" si="173"/>
        <v>128.91742500000001</v>
      </c>
      <c r="AD588" s="1">
        <f t="shared" ca="1" si="173"/>
        <v>128.91742500000001</v>
      </c>
      <c r="AE588" s="1">
        <f t="shared" ca="1" si="173"/>
        <v>193.37613750000003</v>
      </c>
      <c r="AF588" s="1">
        <f t="shared" ca="1" si="173"/>
        <v>128.91742500000001</v>
      </c>
      <c r="AG588" s="1">
        <f t="shared" ca="1" si="173"/>
        <v>128.91742500000001</v>
      </c>
      <c r="AH588" s="1">
        <f t="shared" ca="1" si="173"/>
        <v>128.91742500000001</v>
      </c>
      <c r="AI588" s="1">
        <f t="shared" ca="1" si="156"/>
        <v>128.91742500000001</v>
      </c>
    </row>
    <row r="589" spans="2:35" x14ac:dyDescent="0.15">
      <c r="B589" s="1" t="str">
        <f t="shared" si="171"/>
        <v>水系92</v>
      </c>
      <c r="C589" s="1">
        <f t="shared" si="161"/>
        <v>92</v>
      </c>
      <c r="D589" s="14" t="s">
        <v>95</v>
      </c>
      <c r="E589" s="14">
        <f t="shared" si="162"/>
        <v>6</v>
      </c>
      <c r="F589" s="1" t="str">
        <f t="shared" si="169"/>
        <v>冷却</v>
      </c>
      <c r="H589" s="1">
        <f t="shared" ca="1" si="170"/>
        <v>4252.4374206039702</v>
      </c>
      <c r="I589" s="1">
        <f t="shared" ca="1" si="172"/>
        <v>150</v>
      </c>
      <c r="J589" s="1">
        <f t="shared" ca="1" si="172"/>
        <v>1884.35157384988</v>
      </c>
      <c r="K589" s="1">
        <f t="shared" ca="1" si="172"/>
        <v>130.33410000000001</v>
      </c>
      <c r="L589" s="1">
        <f t="shared" ca="1" si="172"/>
        <v>1884.35157384988</v>
      </c>
      <c r="M589" s="1">
        <f t="shared" ca="1" si="172"/>
        <v>130.33410000000001</v>
      </c>
      <c r="N589" s="1">
        <f t="shared" ca="1" si="172"/>
        <v>0.2</v>
      </c>
      <c r="O589" s="1">
        <f t="shared" ca="1" si="172"/>
        <v>0.2</v>
      </c>
      <c r="P589" s="1">
        <f t="shared" ca="1" si="172"/>
        <v>0.36</v>
      </c>
      <c r="Q589" s="1">
        <f t="shared" ca="1" si="172"/>
        <v>0.1</v>
      </c>
      <c r="R589" s="1">
        <f t="shared" ca="1" si="172"/>
        <v>2</v>
      </c>
      <c r="S589" s="1">
        <f t="shared" ca="1" si="173"/>
        <v>0.1</v>
      </c>
      <c r="T589" s="1">
        <f t="shared" ca="1" si="173"/>
        <v>0.9</v>
      </c>
      <c r="U589" s="1">
        <f t="shared" ca="1" si="173"/>
        <v>177.86666666666699</v>
      </c>
      <c r="V589" s="1">
        <f t="shared" ca="1" si="173"/>
        <v>0</v>
      </c>
      <c r="W589" s="1">
        <f t="shared" ca="1" si="173"/>
        <v>0</v>
      </c>
      <c r="X589" s="1">
        <f t="shared" ca="1" si="173"/>
        <v>2407.782566585955</v>
      </c>
      <c r="Y589" s="1">
        <f t="shared" ca="1" si="173"/>
        <v>0</v>
      </c>
      <c r="Z589" s="1">
        <f t="shared" ca="1" si="173"/>
        <v>0</v>
      </c>
      <c r="AA589" s="1">
        <f t="shared" ca="1" si="173"/>
        <v>0</v>
      </c>
      <c r="AB589" s="1">
        <f t="shared" ca="1" si="173"/>
        <v>0</v>
      </c>
      <c r="AC589" s="1">
        <f t="shared" ca="1" si="173"/>
        <v>130.33410000000001</v>
      </c>
      <c r="AD589" s="1">
        <f t="shared" ca="1" si="173"/>
        <v>130.33410000000001</v>
      </c>
      <c r="AE589" s="1">
        <f t="shared" ca="1" si="173"/>
        <v>195.50115</v>
      </c>
      <c r="AF589" s="1">
        <f t="shared" ca="1" si="173"/>
        <v>130.33410000000001</v>
      </c>
      <c r="AG589" s="1">
        <f t="shared" ca="1" si="173"/>
        <v>130.33410000000001</v>
      </c>
      <c r="AH589" s="1">
        <f t="shared" ca="1" si="173"/>
        <v>130.33410000000001</v>
      </c>
      <c r="AI589" s="1">
        <f t="shared" ca="1" si="156"/>
        <v>130.33410000000001</v>
      </c>
    </row>
    <row r="590" spans="2:35" x14ac:dyDescent="0.15">
      <c r="B590" s="1" t="str">
        <f t="shared" si="171"/>
        <v>水系93</v>
      </c>
      <c r="C590" s="1">
        <f t="shared" si="161"/>
        <v>93</v>
      </c>
      <c r="D590" s="14" t="s">
        <v>95</v>
      </c>
      <c r="E590" s="14">
        <f t="shared" si="162"/>
        <v>6</v>
      </c>
      <c r="F590" s="1" t="str">
        <f t="shared" si="169"/>
        <v>冷却</v>
      </c>
      <c r="H590" s="1">
        <f t="shared" ca="1" si="170"/>
        <v>4316.4963281667397</v>
      </c>
      <c r="I590" s="1">
        <f t="shared" ca="1" si="172"/>
        <v>150</v>
      </c>
      <c r="J590" s="1">
        <f t="shared" ca="1" si="172"/>
        <v>1927.6998768472899</v>
      </c>
      <c r="K590" s="1">
        <f t="shared" ca="1" si="172"/>
        <v>131.750775</v>
      </c>
      <c r="L590" s="1">
        <f t="shared" ca="1" si="172"/>
        <v>1927.6998768472899</v>
      </c>
      <c r="M590" s="1">
        <f t="shared" ca="1" si="172"/>
        <v>131.750775</v>
      </c>
      <c r="N590" s="1">
        <f t="shared" ca="1" si="172"/>
        <v>0.2</v>
      </c>
      <c r="O590" s="1">
        <f t="shared" ca="1" si="172"/>
        <v>0.2</v>
      </c>
      <c r="P590" s="1">
        <f t="shared" ca="1" si="172"/>
        <v>0.36</v>
      </c>
      <c r="Q590" s="1">
        <f t="shared" ca="1" si="172"/>
        <v>0.1</v>
      </c>
      <c r="R590" s="1">
        <f t="shared" ca="1" si="172"/>
        <v>2</v>
      </c>
      <c r="S590" s="1">
        <f t="shared" ca="1" si="173"/>
        <v>0.1</v>
      </c>
      <c r="T590" s="1">
        <f t="shared" ca="1" si="173"/>
        <v>0.9</v>
      </c>
      <c r="U590" s="1">
        <f t="shared" ca="1" si="173"/>
        <v>179.8</v>
      </c>
      <c r="V590" s="1">
        <f t="shared" ca="1" si="173"/>
        <v>0</v>
      </c>
      <c r="W590" s="1">
        <f t="shared" ca="1" si="173"/>
        <v>0</v>
      </c>
      <c r="X590" s="1">
        <f t="shared" ca="1" si="173"/>
        <v>2513.216194581285</v>
      </c>
      <c r="Y590" s="1">
        <f t="shared" ca="1" si="173"/>
        <v>0</v>
      </c>
      <c r="Z590" s="1">
        <f t="shared" ca="1" si="173"/>
        <v>0</v>
      </c>
      <c r="AA590" s="1">
        <f t="shared" ca="1" si="173"/>
        <v>0</v>
      </c>
      <c r="AB590" s="1">
        <f t="shared" ca="1" si="173"/>
        <v>0</v>
      </c>
      <c r="AC590" s="1">
        <f t="shared" ca="1" si="173"/>
        <v>131.750775</v>
      </c>
      <c r="AD590" s="1">
        <f t="shared" ca="1" si="173"/>
        <v>131.750775</v>
      </c>
      <c r="AE590" s="1">
        <f t="shared" ca="1" si="173"/>
        <v>197.62616250000002</v>
      </c>
      <c r="AF590" s="1">
        <f t="shared" ca="1" si="173"/>
        <v>131.750775</v>
      </c>
      <c r="AG590" s="1">
        <f t="shared" ca="1" si="173"/>
        <v>131.750775</v>
      </c>
      <c r="AH590" s="1">
        <f t="shared" ca="1" si="173"/>
        <v>131.750775</v>
      </c>
      <c r="AI590" s="1">
        <f t="shared" ca="1" si="156"/>
        <v>131.750775</v>
      </c>
    </row>
    <row r="591" spans="2:35" x14ac:dyDescent="0.15">
      <c r="B591" s="1" t="str">
        <f t="shared" si="171"/>
        <v>水系94</v>
      </c>
      <c r="C591" s="1">
        <f t="shared" si="161"/>
        <v>94</v>
      </c>
      <c r="D591" s="14" t="s">
        <v>95</v>
      </c>
      <c r="E591" s="14">
        <f t="shared" si="162"/>
        <v>6</v>
      </c>
      <c r="F591" s="1" t="str">
        <f t="shared" si="169"/>
        <v>冷却</v>
      </c>
      <c r="H591" s="1">
        <f t="shared" ca="1" si="170"/>
        <v>4380.9388220023402</v>
      </c>
      <c r="I591" s="1">
        <f t="shared" ca="1" si="172"/>
        <v>150</v>
      </c>
      <c r="J591" s="1">
        <f t="shared" ca="1" si="172"/>
        <v>1972.1977443609101</v>
      </c>
      <c r="K591" s="1">
        <f t="shared" ca="1" si="172"/>
        <v>133.16745</v>
      </c>
      <c r="L591" s="1">
        <f t="shared" ca="1" si="172"/>
        <v>1972.1977443609101</v>
      </c>
      <c r="M591" s="1">
        <f t="shared" ca="1" si="172"/>
        <v>133.16745</v>
      </c>
      <c r="N591" s="1">
        <f t="shared" ca="1" si="172"/>
        <v>0.2</v>
      </c>
      <c r="O591" s="1">
        <f t="shared" ca="1" si="172"/>
        <v>0.2</v>
      </c>
      <c r="P591" s="1">
        <f t="shared" ca="1" si="172"/>
        <v>0.36</v>
      </c>
      <c r="Q591" s="1">
        <f t="shared" ca="1" si="172"/>
        <v>0.1</v>
      </c>
      <c r="R591" s="1">
        <f t="shared" ca="1" si="172"/>
        <v>2</v>
      </c>
      <c r="S591" s="1">
        <f t="shared" ca="1" si="173"/>
        <v>0.1</v>
      </c>
      <c r="T591" s="1">
        <f t="shared" ca="1" si="173"/>
        <v>0.9</v>
      </c>
      <c r="U591" s="1">
        <f t="shared" ca="1" si="173"/>
        <v>181.73333333333301</v>
      </c>
      <c r="V591" s="1">
        <f t="shared" ca="1" si="173"/>
        <v>0</v>
      </c>
      <c r="W591" s="1">
        <f t="shared" ca="1" si="173"/>
        <v>0</v>
      </c>
      <c r="X591" s="1">
        <f t="shared" ca="1" si="173"/>
        <v>2623.395112781955</v>
      </c>
      <c r="Y591" s="1">
        <f t="shared" ca="1" si="173"/>
        <v>0</v>
      </c>
      <c r="Z591" s="1">
        <f t="shared" ca="1" si="173"/>
        <v>0</v>
      </c>
      <c r="AA591" s="1">
        <f t="shared" ca="1" si="173"/>
        <v>0</v>
      </c>
      <c r="AB591" s="1">
        <f t="shared" ca="1" si="173"/>
        <v>0</v>
      </c>
      <c r="AC591" s="1">
        <f t="shared" ca="1" si="173"/>
        <v>133.16745</v>
      </c>
      <c r="AD591" s="1">
        <f t="shared" ca="1" si="173"/>
        <v>133.16745</v>
      </c>
      <c r="AE591" s="1">
        <f t="shared" ca="1" si="173"/>
        <v>199.75117499999999</v>
      </c>
      <c r="AF591" s="1">
        <f t="shared" ca="1" si="173"/>
        <v>133.16745</v>
      </c>
      <c r="AG591" s="1">
        <f t="shared" ca="1" si="173"/>
        <v>133.16745</v>
      </c>
      <c r="AH591" s="1">
        <f t="shared" ca="1" si="173"/>
        <v>133.16745</v>
      </c>
      <c r="AI591" s="1">
        <f t="shared" ca="1" si="156"/>
        <v>133.16745</v>
      </c>
    </row>
    <row r="592" spans="2:35" x14ac:dyDescent="0.15">
      <c r="B592" s="1" t="str">
        <f t="shared" si="171"/>
        <v>水系95</v>
      </c>
      <c r="C592" s="1">
        <f t="shared" si="161"/>
        <v>95</v>
      </c>
      <c r="D592" s="14" t="s">
        <v>95</v>
      </c>
      <c r="E592" s="14">
        <f t="shared" si="162"/>
        <v>6</v>
      </c>
      <c r="F592" s="1" t="str">
        <f t="shared" si="169"/>
        <v>冷却</v>
      </c>
      <c r="H592" s="1">
        <f t="shared" ca="1" si="170"/>
        <v>4445.76490211077</v>
      </c>
      <c r="I592" s="1">
        <f t="shared" ca="1" si="172"/>
        <v>150</v>
      </c>
      <c r="J592" s="1">
        <f t="shared" ca="1" si="172"/>
        <v>2017.9017857142901</v>
      </c>
      <c r="K592" s="1">
        <f t="shared" ca="1" si="172"/>
        <v>134.584125</v>
      </c>
      <c r="L592" s="1">
        <f t="shared" ca="1" si="172"/>
        <v>2017.9017857142901</v>
      </c>
      <c r="M592" s="1">
        <f t="shared" ca="1" si="172"/>
        <v>134.584125</v>
      </c>
      <c r="N592" s="1">
        <f t="shared" ca="1" si="172"/>
        <v>0.2</v>
      </c>
      <c r="O592" s="1">
        <f t="shared" ca="1" si="172"/>
        <v>0.2</v>
      </c>
      <c r="P592" s="1">
        <f t="shared" ca="1" si="172"/>
        <v>0.36</v>
      </c>
      <c r="Q592" s="1">
        <f t="shared" ca="1" si="172"/>
        <v>0.1</v>
      </c>
      <c r="R592" s="1">
        <f t="shared" ca="1" si="172"/>
        <v>2</v>
      </c>
      <c r="S592" s="1">
        <f t="shared" ca="1" si="173"/>
        <v>0.1</v>
      </c>
      <c r="T592" s="1">
        <f t="shared" ca="1" si="173"/>
        <v>0.9</v>
      </c>
      <c r="U592" s="1">
        <f t="shared" ca="1" si="173"/>
        <v>183.666666666667</v>
      </c>
      <c r="V592" s="1">
        <f t="shared" ca="1" si="173"/>
        <v>0</v>
      </c>
      <c r="W592" s="1">
        <f t="shared" ca="1" si="173"/>
        <v>0</v>
      </c>
      <c r="X592" s="1">
        <f t="shared" ca="1" si="173"/>
        <v>2738.580994897965</v>
      </c>
      <c r="Y592" s="1">
        <f t="shared" ca="1" si="173"/>
        <v>0</v>
      </c>
      <c r="Z592" s="1">
        <f t="shared" ca="1" si="173"/>
        <v>0</v>
      </c>
      <c r="AA592" s="1">
        <f t="shared" ca="1" si="173"/>
        <v>0</v>
      </c>
      <c r="AB592" s="1">
        <f t="shared" ca="1" si="173"/>
        <v>0</v>
      </c>
      <c r="AC592" s="1">
        <f t="shared" ca="1" si="173"/>
        <v>134.584125</v>
      </c>
      <c r="AD592" s="1">
        <f t="shared" ca="1" si="173"/>
        <v>134.584125</v>
      </c>
      <c r="AE592" s="1">
        <f t="shared" ca="1" si="173"/>
        <v>201.87618750000001</v>
      </c>
      <c r="AF592" s="1">
        <f t="shared" ca="1" si="173"/>
        <v>134.584125</v>
      </c>
      <c r="AG592" s="1">
        <f t="shared" ca="1" si="173"/>
        <v>134.584125</v>
      </c>
      <c r="AH592" s="1">
        <f t="shared" ca="1" si="173"/>
        <v>134.584125</v>
      </c>
      <c r="AI592" s="1">
        <f t="shared" ca="1" si="156"/>
        <v>134.584125</v>
      </c>
    </row>
    <row r="593" spans="2:35" x14ac:dyDescent="0.15">
      <c r="B593" s="1" t="str">
        <f t="shared" si="171"/>
        <v>水系96</v>
      </c>
      <c r="C593" s="1">
        <f t="shared" si="161"/>
        <v>96</v>
      </c>
      <c r="D593" s="14" t="s">
        <v>95</v>
      </c>
      <c r="E593" s="14">
        <f t="shared" si="162"/>
        <v>6</v>
      </c>
      <c r="F593" s="1" t="str">
        <f t="shared" si="169"/>
        <v>冷却</v>
      </c>
      <c r="H593" s="1">
        <f t="shared" ca="1" si="170"/>
        <v>4510.9745684920399</v>
      </c>
      <c r="I593" s="1">
        <f t="shared" ref="I593:R602" ca="1" si="174">mVlookup($C593,monsterBaseDate,I$2,FALSE)*(1+mVlookup($E593,monsterType,I$2,FALSE))</f>
        <v>150</v>
      </c>
      <c r="J593" s="1">
        <f t="shared" ca="1" si="174"/>
        <v>2064.8727272727301</v>
      </c>
      <c r="K593" s="1">
        <f t="shared" ca="1" si="174"/>
        <v>136.0008</v>
      </c>
      <c r="L593" s="1">
        <f t="shared" ca="1" si="174"/>
        <v>2064.8727272727301</v>
      </c>
      <c r="M593" s="1">
        <f t="shared" ca="1" si="174"/>
        <v>136.0008</v>
      </c>
      <c r="N593" s="1">
        <f t="shared" ca="1" si="174"/>
        <v>0.2</v>
      </c>
      <c r="O593" s="1">
        <f t="shared" ca="1" si="174"/>
        <v>0.2</v>
      </c>
      <c r="P593" s="1">
        <f t="shared" ca="1" si="174"/>
        <v>0.36</v>
      </c>
      <c r="Q593" s="1">
        <f t="shared" ca="1" si="174"/>
        <v>0.1</v>
      </c>
      <c r="R593" s="1">
        <f t="shared" ca="1" si="174"/>
        <v>2</v>
      </c>
      <c r="S593" s="1">
        <f t="shared" ref="S593:AH608" ca="1" si="175">mVlookup($C593,monsterBaseDate,S$2,FALSE)*(1+mVlookup($E593,monsterType,S$2,FALSE))</f>
        <v>0.1</v>
      </c>
      <c r="T593" s="1">
        <f t="shared" ca="1" si="175"/>
        <v>0.9</v>
      </c>
      <c r="U593" s="1">
        <f t="shared" ca="1" si="175"/>
        <v>185.6</v>
      </c>
      <c r="V593" s="1">
        <f t="shared" ca="1" si="175"/>
        <v>0</v>
      </c>
      <c r="W593" s="1">
        <f t="shared" ca="1" si="175"/>
        <v>0</v>
      </c>
      <c r="X593" s="1">
        <f t="shared" ca="1" si="175"/>
        <v>2859.054545454555</v>
      </c>
      <c r="Y593" s="1">
        <f t="shared" ca="1" si="175"/>
        <v>0</v>
      </c>
      <c r="Z593" s="1">
        <f t="shared" ca="1" si="175"/>
        <v>0</v>
      </c>
      <c r="AA593" s="1">
        <f t="shared" ca="1" si="175"/>
        <v>0</v>
      </c>
      <c r="AB593" s="1">
        <f t="shared" ca="1" si="173"/>
        <v>0</v>
      </c>
      <c r="AC593" s="1">
        <f t="shared" ca="1" si="175"/>
        <v>136.0008</v>
      </c>
      <c r="AD593" s="1">
        <f t="shared" ca="1" si="175"/>
        <v>136.0008</v>
      </c>
      <c r="AE593" s="1">
        <f t="shared" ca="1" si="175"/>
        <v>204.00119999999998</v>
      </c>
      <c r="AF593" s="1">
        <f t="shared" ca="1" si="175"/>
        <v>136.0008</v>
      </c>
      <c r="AG593" s="1">
        <f t="shared" ca="1" si="175"/>
        <v>136.0008</v>
      </c>
      <c r="AH593" s="1">
        <f t="shared" ca="1" si="175"/>
        <v>136.0008</v>
      </c>
      <c r="AI593" s="1">
        <f t="shared" ca="1" si="156"/>
        <v>136.0008</v>
      </c>
    </row>
    <row r="594" spans="2:35" x14ac:dyDescent="0.15">
      <c r="B594" s="1" t="str">
        <f t="shared" si="171"/>
        <v>水系97</v>
      </c>
      <c r="C594" s="1">
        <f t="shared" si="161"/>
        <v>97</v>
      </c>
      <c r="D594" s="14" t="s">
        <v>95</v>
      </c>
      <c r="E594" s="14">
        <f t="shared" si="162"/>
        <v>6</v>
      </c>
      <c r="F594" s="1" t="str">
        <f t="shared" si="169"/>
        <v>冷却</v>
      </c>
      <c r="H594" s="1">
        <f t="shared" ca="1" si="170"/>
        <v>4576.56782114613</v>
      </c>
      <c r="I594" s="1">
        <f t="shared" ca="1" si="174"/>
        <v>150</v>
      </c>
      <c r="J594" s="1">
        <f t="shared" ca="1" si="174"/>
        <v>2113.1757936508002</v>
      </c>
      <c r="K594" s="1">
        <f t="shared" ca="1" si="174"/>
        <v>137.417475</v>
      </c>
      <c r="L594" s="1">
        <f t="shared" ca="1" si="174"/>
        <v>2113.1757936508002</v>
      </c>
      <c r="M594" s="1">
        <f t="shared" ca="1" si="174"/>
        <v>137.417475</v>
      </c>
      <c r="N594" s="1">
        <f t="shared" ca="1" si="174"/>
        <v>0.2</v>
      </c>
      <c r="O594" s="1">
        <f t="shared" ca="1" si="174"/>
        <v>0.2</v>
      </c>
      <c r="P594" s="1">
        <f t="shared" ca="1" si="174"/>
        <v>0.36</v>
      </c>
      <c r="Q594" s="1">
        <f t="shared" ca="1" si="174"/>
        <v>0.1</v>
      </c>
      <c r="R594" s="1">
        <f t="shared" ca="1" si="174"/>
        <v>2</v>
      </c>
      <c r="S594" s="1">
        <f t="shared" ca="1" si="175"/>
        <v>0.1</v>
      </c>
      <c r="T594" s="1">
        <f t="shared" ca="1" si="175"/>
        <v>0.9</v>
      </c>
      <c r="U594" s="1">
        <f t="shared" ca="1" si="175"/>
        <v>187.53333333333299</v>
      </c>
      <c r="V594" s="1">
        <f t="shared" ca="1" si="175"/>
        <v>0</v>
      </c>
      <c r="W594" s="1">
        <f t="shared" ca="1" si="175"/>
        <v>0</v>
      </c>
      <c r="X594" s="1">
        <f t="shared" ca="1" si="175"/>
        <v>2985.1172619047702</v>
      </c>
      <c r="Y594" s="1">
        <f t="shared" ca="1" si="175"/>
        <v>0</v>
      </c>
      <c r="Z594" s="1">
        <f t="shared" ca="1" si="175"/>
        <v>0</v>
      </c>
      <c r="AA594" s="1">
        <f t="shared" ca="1" si="175"/>
        <v>0</v>
      </c>
      <c r="AB594" s="1">
        <f t="shared" ca="1" si="173"/>
        <v>0</v>
      </c>
      <c r="AC594" s="1">
        <f t="shared" ca="1" si="175"/>
        <v>137.417475</v>
      </c>
      <c r="AD594" s="1">
        <f t="shared" ca="1" si="175"/>
        <v>137.417475</v>
      </c>
      <c r="AE594" s="1">
        <f t="shared" ca="1" si="175"/>
        <v>206.12621250000001</v>
      </c>
      <c r="AF594" s="1">
        <f t="shared" ca="1" si="175"/>
        <v>137.417475</v>
      </c>
      <c r="AG594" s="1">
        <f t="shared" ca="1" si="175"/>
        <v>137.417475</v>
      </c>
      <c r="AH594" s="1">
        <f t="shared" ca="1" si="175"/>
        <v>137.417475</v>
      </c>
      <c r="AI594" s="1">
        <f t="shared" ca="1" si="156"/>
        <v>137.417475</v>
      </c>
    </row>
    <row r="595" spans="2:35" x14ac:dyDescent="0.15">
      <c r="B595" s="1" t="str">
        <f t="shared" si="171"/>
        <v>水系98</v>
      </c>
      <c r="C595" s="1">
        <f t="shared" si="161"/>
        <v>98</v>
      </c>
      <c r="D595" s="14" t="s">
        <v>95</v>
      </c>
      <c r="E595" s="14">
        <f t="shared" si="162"/>
        <v>6</v>
      </c>
      <c r="F595" s="1" t="str">
        <f t="shared" si="169"/>
        <v>冷却</v>
      </c>
      <c r="H595" s="1">
        <f t="shared" ca="1" si="170"/>
        <v>4642.5446600730502</v>
      </c>
      <c r="I595" s="1">
        <f t="shared" ca="1" si="174"/>
        <v>150</v>
      </c>
      <c r="J595" s="1">
        <f t="shared" ca="1" si="174"/>
        <v>2162.8811320754799</v>
      </c>
      <c r="K595" s="1">
        <f t="shared" ca="1" si="174"/>
        <v>138.83414999999999</v>
      </c>
      <c r="L595" s="1">
        <f t="shared" ca="1" si="174"/>
        <v>2162.8811320754799</v>
      </c>
      <c r="M595" s="1">
        <f t="shared" ca="1" si="174"/>
        <v>138.83414999999999</v>
      </c>
      <c r="N595" s="1">
        <f t="shared" ca="1" si="174"/>
        <v>0.2</v>
      </c>
      <c r="O595" s="1">
        <f t="shared" ca="1" si="174"/>
        <v>0.2</v>
      </c>
      <c r="P595" s="1">
        <f t="shared" ca="1" si="174"/>
        <v>0.36</v>
      </c>
      <c r="Q595" s="1">
        <f t="shared" ca="1" si="174"/>
        <v>0.1</v>
      </c>
      <c r="R595" s="1">
        <f t="shared" ca="1" si="174"/>
        <v>2</v>
      </c>
      <c r="S595" s="1">
        <f t="shared" ca="1" si="175"/>
        <v>0.1</v>
      </c>
      <c r="T595" s="1">
        <f t="shared" ca="1" si="175"/>
        <v>0.9</v>
      </c>
      <c r="U595" s="1">
        <f t="shared" ca="1" si="175"/>
        <v>189.46666666666701</v>
      </c>
      <c r="V595" s="1">
        <f t="shared" ca="1" si="175"/>
        <v>0</v>
      </c>
      <c r="W595" s="1">
        <f t="shared" ca="1" si="175"/>
        <v>0</v>
      </c>
      <c r="X595" s="1">
        <f t="shared" ca="1" si="175"/>
        <v>3117.0933962264248</v>
      </c>
      <c r="Y595" s="1">
        <f t="shared" ca="1" si="175"/>
        <v>0</v>
      </c>
      <c r="Z595" s="1">
        <f t="shared" ca="1" si="175"/>
        <v>0</v>
      </c>
      <c r="AA595" s="1">
        <f t="shared" ca="1" si="175"/>
        <v>0</v>
      </c>
      <c r="AB595" s="1">
        <f t="shared" ca="1" si="173"/>
        <v>0</v>
      </c>
      <c r="AC595" s="1">
        <f t="shared" ca="1" si="175"/>
        <v>138.83414999999999</v>
      </c>
      <c r="AD595" s="1">
        <f t="shared" ca="1" si="175"/>
        <v>138.83414999999999</v>
      </c>
      <c r="AE595" s="1">
        <f t="shared" ca="1" si="175"/>
        <v>208.25122499999998</v>
      </c>
      <c r="AF595" s="1">
        <f t="shared" ca="1" si="175"/>
        <v>138.83414999999999</v>
      </c>
      <c r="AG595" s="1">
        <f t="shared" ca="1" si="175"/>
        <v>138.83414999999999</v>
      </c>
      <c r="AH595" s="1">
        <f t="shared" ca="1" si="175"/>
        <v>138.83414999999999</v>
      </c>
      <c r="AI595" s="1">
        <f t="shared" ref="AI595:AI658" ca="1" si="176">mVlookup($C595,monsterBaseDate,AI$2,FALSE)*(1+mVlookup($E595,monsterType,AI$2,FALSE))</f>
        <v>138.83414999999999</v>
      </c>
    </row>
    <row r="596" spans="2:35" x14ac:dyDescent="0.15">
      <c r="B596" s="1" t="str">
        <f t="shared" si="171"/>
        <v>水系99</v>
      </c>
      <c r="C596" s="1">
        <f t="shared" si="161"/>
        <v>99</v>
      </c>
      <c r="D596" s="14" t="s">
        <v>95</v>
      </c>
      <c r="E596" s="14">
        <f t="shared" si="162"/>
        <v>6</v>
      </c>
      <c r="F596" s="1" t="str">
        <f t="shared" si="169"/>
        <v>冷却</v>
      </c>
      <c r="H596" s="1">
        <f t="shared" ca="1" si="170"/>
        <v>4708.9050852728096</v>
      </c>
      <c r="I596" s="1">
        <f t="shared" ca="1" si="174"/>
        <v>150</v>
      </c>
      <c r="J596" s="1">
        <f t="shared" ca="1" si="174"/>
        <v>2214.0642857142898</v>
      </c>
      <c r="K596" s="1">
        <f t="shared" ca="1" si="174"/>
        <v>140.25082499999999</v>
      </c>
      <c r="L596" s="1">
        <f t="shared" ca="1" si="174"/>
        <v>2214.0642857142898</v>
      </c>
      <c r="M596" s="1">
        <f t="shared" ca="1" si="174"/>
        <v>140.25082499999999</v>
      </c>
      <c r="N596" s="1">
        <f t="shared" ca="1" si="174"/>
        <v>0.2</v>
      </c>
      <c r="O596" s="1">
        <f t="shared" ca="1" si="174"/>
        <v>0.2</v>
      </c>
      <c r="P596" s="1">
        <f t="shared" ca="1" si="174"/>
        <v>0.36</v>
      </c>
      <c r="Q596" s="1">
        <f t="shared" ca="1" si="174"/>
        <v>0.1</v>
      </c>
      <c r="R596" s="1">
        <f t="shared" ca="1" si="174"/>
        <v>2</v>
      </c>
      <c r="S596" s="1">
        <f t="shared" ca="1" si="175"/>
        <v>0.1</v>
      </c>
      <c r="T596" s="1">
        <f t="shared" ca="1" si="175"/>
        <v>0.9</v>
      </c>
      <c r="U596" s="1">
        <f t="shared" ca="1" si="175"/>
        <v>191.4</v>
      </c>
      <c r="V596" s="1">
        <f t="shared" ca="1" si="175"/>
        <v>0</v>
      </c>
      <c r="W596" s="1">
        <f t="shared" ca="1" si="175"/>
        <v>0</v>
      </c>
      <c r="X596" s="1">
        <f t="shared" ca="1" si="175"/>
        <v>3255.3321428571448</v>
      </c>
      <c r="Y596" s="1">
        <f t="shared" ca="1" si="175"/>
        <v>0</v>
      </c>
      <c r="Z596" s="1">
        <f t="shared" ca="1" si="175"/>
        <v>0</v>
      </c>
      <c r="AA596" s="1">
        <f t="shared" ca="1" si="175"/>
        <v>0</v>
      </c>
      <c r="AB596" s="1">
        <f t="shared" ca="1" si="173"/>
        <v>0</v>
      </c>
      <c r="AC596" s="1">
        <f t="shared" ca="1" si="175"/>
        <v>140.25082499999999</v>
      </c>
      <c r="AD596" s="1">
        <f t="shared" ca="1" si="175"/>
        <v>140.25082499999999</v>
      </c>
      <c r="AE596" s="1">
        <f t="shared" ca="1" si="175"/>
        <v>210.3762375</v>
      </c>
      <c r="AF596" s="1">
        <f t="shared" ca="1" si="175"/>
        <v>140.25082499999999</v>
      </c>
      <c r="AG596" s="1">
        <f t="shared" ca="1" si="175"/>
        <v>140.25082499999999</v>
      </c>
      <c r="AH596" s="1">
        <f t="shared" ca="1" si="175"/>
        <v>140.25082499999999</v>
      </c>
      <c r="AI596" s="1">
        <f t="shared" ca="1" si="176"/>
        <v>140.25082499999999</v>
      </c>
    </row>
    <row r="597" spans="2:35" x14ac:dyDescent="0.15">
      <c r="B597" s="1" t="str">
        <f t="shared" si="171"/>
        <v>火系1</v>
      </c>
      <c r="C597" s="1">
        <f t="shared" si="161"/>
        <v>1</v>
      </c>
      <c r="D597" s="14" t="s">
        <v>96</v>
      </c>
      <c r="E597" s="14">
        <f t="shared" si="162"/>
        <v>7</v>
      </c>
      <c r="F597" s="1" t="str">
        <f t="shared" si="169"/>
        <v>火炎</v>
      </c>
      <c r="H597" s="1">
        <f t="shared" ca="1" si="170"/>
        <v>11.6833207784558</v>
      </c>
      <c r="I597" s="1">
        <f t="shared" ca="1" si="174"/>
        <v>150</v>
      </c>
      <c r="J597" s="1">
        <f t="shared" ca="1" si="174"/>
        <v>8.0843749999999996</v>
      </c>
      <c r="K597" s="1">
        <f t="shared" ca="1" si="174"/>
        <v>1.4166749999999999</v>
      </c>
      <c r="L597" s="1">
        <f t="shared" ca="1" si="174"/>
        <v>8.0843749999999996</v>
      </c>
      <c r="M597" s="1">
        <f t="shared" ca="1" si="174"/>
        <v>1.4166749999999999</v>
      </c>
      <c r="N597" s="1">
        <f t="shared" ca="1" si="174"/>
        <v>0.2</v>
      </c>
      <c r="O597" s="1">
        <f t="shared" ca="1" si="174"/>
        <v>0.2</v>
      </c>
      <c r="P597" s="1">
        <f t="shared" ca="1" si="174"/>
        <v>0.36</v>
      </c>
      <c r="Q597" s="1">
        <f t="shared" ca="1" si="174"/>
        <v>0.1</v>
      </c>
      <c r="R597" s="1">
        <f t="shared" ca="1" si="174"/>
        <v>2</v>
      </c>
      <c r="S597" s="1">
        <f t="shared" ca="1" si="175"/>
        <v>0.1</v>
      </c>
      <c r="T597" s="1">
        <f t="shared" ca="1" si="175"/>
        <v>0.9</v>
      </c>
      <c r="U597" s="1">
        <f t="shared" ca="1" si="175"/>
        <v>1.93333333333333</v>
      </c>
      <c r="V597" s="1">
        <f t="shared" ca="1" si="175"/>
        <v>0</v>
      </c>
      <c r="W597" s="1">
        <f t="shared" ca="1" si="175"/>
        <v>0</v>
      </c>
      <c r="X597" s="1">
        <f t="shared" ca="1" si="175"/>
        <v>0</v>
      </c>
      <c r="Y597" s="1">
        <f t="shared" ca="1" si="175"/>
        <v>6.0937500000000006E-2</v>
      </c>
      <c r="Z597" s="1">
        <f t="shared" ca="1" si="175"/>
        <v>0</v>
      </c>
      <c r="AA597" s="1">
        <f t="shared" ca="1" si="175"/>
        <v>0</v>
      </c>
      <c r="AB597" s="1">
        <f t="shared" ca="1" si="173"/>
        <v>0</v>
      </c>
      <c r="AC597" s="1">
        <f t="shared" ca="1" si="175"/>
        <v>1.4166749999999999</v>
      </c>
      <c r="AD597" s="1">
        <f t="shared" ca="1" si="175"/>
        <v>1.4166749999999999</v>
      </c>
      <c r="AE597" s="1">
        <f t="shared" ca="1" si="175"/>
        <v>1.4166749999999999</v>
      </c>
      <c r="AF597" s="1">
        <f t="shared" ca="1" si="175"/>
        <v>2.1250125</v>
      </c>
      <c r="AG597" s="1">
        <f t="shared" ca="1" si="175"/>
        <v>1.4166749999999999</v>
      </c>
      <c r="AH597" s="1">
        <f t="shared" ca="1" si="175"/>
        <v>1.4166749999999999</v>
      </c>
      <c r="AI597" s="1">
        <f t="shared" ca="1" si="176"/>
        <v>1.4166749999999999</v>
      </c>
    </row>
    <row r="598" spans="2:35" x14ac:dyDescent="0.15">
      <c r="B598" s="1" t="str">
        <f t="shared" si="171"/>
        <v>火系2</v>
      </c>
      <c r="C598" s="1">
        <f t="shared" si="161"/>
        <v>2</v>
      </c>
      <c r="D598" s="14" t="s">
        <v>96</v>
      </c>
      <c r="E598" s="14">
        <f t="shared" si="162"/>
        <v>7</v>
      </c>
      <c r="F598" s="1" t="str">
        <f t="shared" si="169"/>
        <v>火炎</v>
      </c>
      <c r="H598" s="1">
        <f t="shared" ca="1" si="170"/>
        <v>25.660820909772099</v>
      </c>
      <c r="I598" s="1">
        <f t="shared" ca="1" si="174"/>
        <v>150</v>
      </c>
      <c r="J598" s="1">
        <f t="shared" ca="1" si="174"/>
        <v>16.721476510067099</v>
      </c>
      <c r="K598" s="1">
        <f t="shared" ca="1" si="174"/>
        <v>2.8333499999999998</v>
      </c>
      <c r="L598" s="1">
        <f t="shared" ca="1" si="174"/>
        <v>16.721476510067099</v>
      </c>
      <c r="M598" s="1">
        <f t="shared" ca="1" si="174"/>
        <v>2.8333499999999998</v>
      </c>
      <c r="N598" s="1">
        <f t="shared" ca="1" si="174"/>
        <v>0.2</v>
      </c>
      <c r="O598" s="1">
        <f t="shared" ca="1" si="174"/>
        <v>0.2</v>
      </c>
      <c r="P598" s="1">
        <f t="shared" ca="1" si="174"/>
        <v>0.36</v>
      </c>
      <c r="Q598" s="1">
        <f t="shared" ca="1" si="174"/>
        <v>0.1</v>
      </c>
      <c r="R598" s="1">
        <f t="shared" ca="1" si="174"/>
        <v>2</v>
      </c>
      <c r="S598" s="1">
        <f t="shared" ca="1" si="175"/>
        <v>0.1</v>
      </c>
      <c r="T598" s="1">
        <f t="shared" ca="1" si="175"/>
        <v>0.9</v>
      </c>
      <c r="U598" s="1">
        <f t="shared" ca="1" si="175"/>
        <v>3.8666666666666698</v>
      </c>
      <c r="V598" s="1">
        <f t="shared" ca="1" si="175"/>
        <v>0</v>
      </c>
      <c r="W598" s="1">
        <f t="shared" ca="1" si="175"/>
        <v>0</v>
      </c>
      <c r="X598" s="1">
        <f t="shared" ca="1" si="175"/>
        <v>0</v>
      </c>
      <c r="Y598" s="1">
        <f t="shared" ca="1" si="175"/>
        <v>0.25335570469798652</v>
      </c>
      <c r="Z598" s="1">
        <f t="shared" ca="1" si="175"/>
        <v>0</v>
      </c>
      <c r="AA598" s="1">
        <f t="shared" ca="1" si="175"/>
        <v>0</v>
      </c>
      <c r="AB598" s="1">
        <f t="shared" ca="1" si="173"/>
        <v>0</v>
      </c>
      <c r="AC598" s="1">
        <f t="shared" ca="1" si="175"/>
        <v>2.8333499999999998</v>
      </c>
      <c r="AD598" s="1">
        <f t="shared" ca="1" si="175"/>
        <v>2.8333499999999998</v>
      </c>
      <c r="AE598" s="1">
        <f t="shared" ca="1" si="175"/>
        <v>2.8333499999999998</v>
      </c>
      <c r="AF598" s="1">
        <f t="shared" ca="1" si="175"/>
        <v>4.2500249999999999</v>
      </c>
      <c r="AG598" s="1">
        <f t="shared" ca="1" si="175"/>
        <v>2.8333499999999998</v>
      </c>
      <c r="AH598" s="1">
        <f t="shared" ca="1" si="175"/>
        <v>2.8333499999999998</v>
      </c>
      <c r="AI598" s="1">
        <f t="shared" ca="1" si="176"/>
        <v>2.8333499999999998</v>
      </c>
    </row>
    <row r="599" spans="2:35" x14ac:dyDescent="0.15">
      <c r="B599" s="1" t="str">
        <f t="shared" si="171"/>
        <v>火系3</v>
      </c>
      <c r="C599" s="1">
        <f t="shared" si="161"/>
        <v>3</v>
      </c>
      <c r="D599" s="14" t="s">
        <v>96</v>
      </c>
      <c r="E599" s="14">
        <f t="shared" si="162"/>
        <v>7</v>
      </c>
      <c r="F599" s="1" t="str">
        <f t="shared" si="169"/>
        <v>火炎</v>
      </c>
      <c r="H599" s="1">
        <f t="shared" ca="1" si="170"/>
        <v>41.974985196779599</v>
      </c>
      <c r="I599" s="1">
        <f t="shared" ca="1" si="174"/>
        <v>150</v>
      </c>
      <c r="J599" s="1">
        <f t="shared" ca="1" si="174"/>
        <v>25.956081081081098</v>
      </c>
      <c r="K599" s="1">
        <f t="shared" ca="1" si="174"/>
        <v>4.2500249999999999</v>
      </c>
      <c r="L599" s="1">
        <f t="shared" ca="1" si="174"/>
        <v>25.956081081081098</v>
      </c>
      <c r="M599" s="1">
        <f t="shared" ca="1" si="174"/>
        <v>4.2500249999999999</v>
      </c>
      <c r="N599" s="1">
        <f t="shared" ca="1" si="174"/>
        <v>0.2</v>
      </c>
      <c r="O599" s="1">
        <f t="shared" ca="1" si="174"/>
        <v>0.2</v>
      </c>
      <c r="P599" s="1">
        <f t="shared" ca="1" si="174"/>
        <v>0.36</v>
      </c>
      <c r="Q599" s="1">
        <f t="shared" ca="1" si="174"/>
        <v>0.1</v>
      </c>
      <c r="R599" s="1">
        <f t="shared" ca="1" si="174"/>
        <v>2</v>
      </c>
      <c r="S599" s="1">
        <f t="shared" ca="1" si="175"/>
        <v>0.1</v>
      </c>
      <c r="T599" s="1">
        <f t="shared" ca="1" si="175"/>
        <v>0.9</v>
      </c>
      <c r="U599" s="1">
        <f t="shared" ca="1" si="175"/>
        <v>5.8</v>
      </c>
      <c r="V599" s="1">
        <f t="shared" ca="1" si="175"/>
        <v>0</v>
      </c>
      <c r="W599" s="1">
        <f t="shared" ca="1" si="175"/>
        <v>0</v>
      </c>
      <c r="X599" s="1">
        <f t="shared" ca="1" si="175"/>
        <v>0</v>
      </c>
      <c r="Y599" s="1">
        <f t="shared" ca="1" si="175"/>
        <v>0.59290540540540504</v>
      </c>
      <c r="Z599" s="1">
        <f t="shared" ca="1" si="175"/>
        <v>0</v>
      </c>
      <c r="AA599" s="1">
        <f t="shared" ca="1" si="175"/>
        <v>0</v>
      </c>
      <c r="AB599" s="1">
        <f t="shared" ca="1" si="175"/>
        <v>0</v>
      </c>
      <c r="AC599" s="1">
        <f t="shared" ca="1" si="175"/>
        <v>4.2500249999999999</v>
      </c>
      <c r="AD599" s="1">
        <f t="shared" ca="1" si="175"/>
        <v>4.2500249999999999</v>
      </c>
      <c r="AE599" s="1">
        <f t="shared" ca="1" si="175"/>
        <v>4.2500249999999999</v>
      </c>
      <c r="AF599" s="1">
        <f t="shared" ca="1" si="175"/>
        <v>6.3750374999999995</v>
      </c>
      <c r="AG599" s="1">
        <f t="shared" ca="1" si="175"/>
        <v>4.2500249999999999</v>
      </c>
      <c r="AH599" s="1">
        <f t="shared" ca="1" si="175"/>
        <v>4.2500249999999999</v>
      </c>
      <c r="AI599" s="1">
        <f t="shared" ca="1" si="176"/>
        <v>4.2500249999999999</v>
      </c>
    </row>
    <row r="600" spans="2:35" x14ac:dyDescent="0.15">
      <c r="B600" s="1" t="str">
        <f t="shared" si="171"/>
        <v>火系4</v>
      </c>
      <c r="C600" s="1">
        <f t="shared" si="161"/>
        <v>4</v>
      </c>
      <c r="D600" s="14" t="s">
        <v>96</v>
      </c>
      <c r="E600" s="14">
        <f t="shared" si="162"/>
        <v>7</v>
      </c>
      <c r="F600" s="1" t="str">
        <f t="shared" si="169"/>
        <v>火炎</v>
      </c>
      <c r="H600" s="1">
        <f t="shared" ca="1" si="170"/>
        <v>60.668298442308902</v>
      </c>
      <c r="I600" s="1">
        <f t="shared" ca="1" si="174"/>
        <v>150</v>
      </c>
      <c r="J600" s="1">
        <f t="shared" ca="1" si="174"/>
        <v>35.837837837837803</v>
      </c>
      <c r="K600" s="1">
        <f t="shared" ca="1" si="174"/>
        <v>5.6666999999999996</v>
      </c>
      <c r="L600" s="1">
        <f t="shared" ca="1" si="174"/>
        <v>35.837837837837803</v>
      </c>
      <c r="M600" s="1">
        <f t="shared" ca="1" si="174"/>
        <v>5.6666999999999996</v>
      </c>
      <c r="N600" s="1">
        <f t="shared" ca="1" si="174"/>
        <v>0.2</v>
      </c>
      <c r="O600" s="1">
        <f t="shared" ca="1" si="174"/>
        <v>0.2</v>
      </c>
      <c r="P600" s="1">
        <f t="shared" ca="1" si="174"/>
        <v>0.36</v>
      </c>
      <c r="Q600" s="1">
        <f t="shared" ca="1" si="174"/>
        <v>0.1</v>
      </c>
      <c r="R600" s="1">
        <f t="shared" ca="1" si="174"/>
        <v>2</v>
      </c>
      <c r="S600" s="1">
        <f t="shared" ca="1" si="175"/>
        <v>0.1</v>
      </c>
      <c r="T600" s="1">
        <f t="shared" ca="1" si="175"/>
        <v>0.9</v>
      </c>
      <c r="U600" s="1">
        <f t="shared" ca="1" si="175"/>
        <v>7.7333333333333298</v>
      </c>
      <c r="V600" s="1">
        <f t="shared" ca="1" si="175"/>
        <v>0</v>
      </c>
      <c r="W600" s="1">
        <f t="shared" ca="1" si="175"/>
        <v>0</v>
      </c>
      <c r="X600" s="1">
        <f t="shared" ca="1" si="175"/>
        <v>0</v>
      </c>
      <c r="Y600" s="1">
        <f t="shared" ca="1" si="175"/>
        <v>1.09707666850524</v>
      </c>
      <c r="Z600" s="1">
        <f t="shared" ca="1" si="175"/>
        <v>0</v>
      </c>
      <c r="AA600" s="1">
        <f t="shared" ca="1" si="175"/>
        <v>0</v>
      </c>
      <c r="AB600" s="1">
        <f t="shared" ca="1" si="175"/>
        <v>0</v>
      </c>
      <c r="AC600" s="1">
        <f t="shared" ca="1" si="175"/>
        <v>5.6666999999999996</v>
      </c>
      <c r="AD600" s="1">
        <f t="shared" ca="1" si="175"/>
        <v>5.6666999999999996</v>
      </c>
      <c r="AE600" s="1">
        <f t="shared" ca="1" si="175"/>
        <v>5.6666999999999996</v>
      </c>
      <c r="AF600" s="1">
        <f t="shared" ca="1" si="175"/>
        <v>8.5000499999999999</v>
      </c>
      <c r="AG600" s="1">
        <f t="shared" ca="1" si="175"/>
        <v>5.6666999999999996</v>
      </c>
      <c r="AH600" s="1">
        <f t="shared" ca="1" si="175"/>
        <v>5.6666999999999996</v>
      </c>
      <c r="AI600" s="1">
        <f t="shared" ca="1" si="176"/>
        <v>5.6666999999999996</v>
      </c>
    </row>
    <row r="601" spans="2:35" x14ac:dyDescent="0.15">
      <c r="B601" s="1" t="str">
        <f t="shared" si="171"/>
        <v>火系5</v>
      </c>
      <c r="C601" s="1">
        <f t="shared" si="161"/>
        <v>5</v>
      </c>
      <c r="D601" s="14" t="s">
        <v>96</v>
      </c>
      <c r="E601" s="14">
        <f t="shared" si="162"/>
        <v>7</v>
      </c>
      <c r="F601" s="1" t="str">
        <f t="shared" si="169"/>
        <v>火炎</v>
      </c>
      <c r="H601" s="1">
        <f t="shared" ca="1" si="170"/>
        <v>81.783245449191</v>
      </c>
      <c r="I601" s="1">
        <f t="shared" ca="1" si="174"/>
        <v>150</v>
      </c>
      <c r="J601" s="1">
        <f t="shared" ca="1" si="174"/>
        <v>46.421946347031998</v>
      </c>
      <c r="K601" s="1">
        <f t="shared" ca="1" si="174"/>
        <v>7.0833750000000002</v>
      </c>
      <c r="L601" s="1">
        <f t="shared" ca="1" si="174"/>
        <v>46.421946347031998</v>
      </c>
      <c r="M601" s="1">
        <f t="shared" ca="1" si="174"/>
        <v>7.0833750000000002</v>
      </c>
      <c r="N601" s="1">
        <f t="shared" ca="1" si="174"/>
        <v>0.2</v>
      </c>
      <c r="O601" s="1">
        <f t="shared" ca="1" si="174"/>
        <v>0.2</v>
      </c>
      <c r="P601" s="1">
        <f t="shared" ca="1" si="174"/>
        <v>0.36</v>
      </c>
      <c r="Q601" s="1">
        <f t="shared" ca="1" si="174"/>
        <v>0.1</v>
      </c>
      <c r="R601" s="1">
        <f t="shared" ca="1" si="174"/>
        <v>2</v>
      </c>
      <c r="S601" s="1">
        <f t="shared" ca="1" si="175"/>
        <v>0.1</v>
      </c>
      <c r="T601" s="1">
        <f t="shared" ca="1" si="175"/>
        <v>0.9</v>
      </c>
      <c r="U601" s="1">
        <f t="shared" ca="1" si="175"/>
        <v>9.6666666666666696</v>
      </c>
      <c r="V601" s="1">
        <f t="shared" ca="1" si="175"/>
        <v>0</v>
      </c>
      <c r="W601" s="1">
        <f t="shared" ca="1" si="175"/>
        <v>0</v>
      </c>
      <c r="X601" s="1">
        <f t="shared" ca="1" si="175"/>
        <v>0</v>
      </c>
      <c r="Y601" s="1">
        <f t="shared" ca="1" si="175"/>
        <v>1.7854594748858401</v>
      </c>
      <c r="Z601" s="1">
        <f t="shared" ca="1" si="175"/>
        <v>0</v>
      </c>
      <c r="AA601" s="1">
        <f t="shared" ca="1" si="175"/>
        <v>0</v>
      </c>
      <c r="AB601" s="1">
        <f t="shared" ca="1" si="175"/>
        <v>0</v>
      </c>
      <c r="AC601" s="1">
        <f t="shared" ca="1" si="175"/>
        <v>7.0833750000000002</v>
      </c>
      <c r="AD601" s="1">
        <f t="shared" ca="1" si="175"/>
        <v>7.0833750000000002</v>
      </c>
      <c r="AE601" s="1">
        <f t="shared" ca="1" si="175"/>
        <v>7.0833750000000002</v>
      </c>
      <c r="AF601" s="1">
        <f t="shared" ca="1" si="175"/>
        <v>10.6250625</v>
      </c>
      <c r="AG601" s="1">
        <f t="shared" ca="1" si="175"/>
        <v>7.0833750000000002</v>
      </c>
      <c r="AH601" s="1">
        <f t="shared" ca="1" si="175"/>
        <v>7.0833750000000002</v>
      </c>
      <c r="AI601" s="1">
        <f t="shared" ca="1" si="176"/>
        <v>7.0833750000000002</v>
      </c>
    </row>
    <row r="602" spans="2:35" x14ac:dyDescent="0.15">
      <c r="B602" s="1" t="str">
        <f t="shared" si="171"/>
        <v>火系6</v>
      </c>
      <c r="C602" s="1">
        <f t="shared" si="161"/>
        <v>6</v>
      </c>
      <c r="D602" s="14" t="s">
        <v>96</v>
      </c>
      <c r="E602" s="14">
        <f t="shared" si="162"/>
        <v>7</v>
      </c>
      <c r="F602" s="1" t="str">
        <f t="shared" si="169"/>
        <v>火炎</v>
      </c>
      <c r="H602" s="1">
        <f t="shared" ca="1" si="170"/>
        <v>105.362311020256</v>
      </c>
      <c r="I602" s="1">
        <f t="shared" ca="1" si="174"/>
        <v>150</v>
      </c>
      <c r="J602" s="1">
        <f t="shared" ca="1" si="174"/>
        <v>57.7699507389163</v>
      </c>
      <c r="K602" s="1">
        <f t="shared" ca="1" si="174"/>
        <v>8.5000499999999999</v>
      </c>
      <c r="L602" s="1">
        <f t="shared" ca="1" si="174"/>
        <v>57.7699507389163</v>
      </c>
      <c r="M602" s="1">
        <f t="shared" ca="1" si="174"/>
        <v>8.5000499999999999</v>
      </c>
      <c r="N602" s="1">
        <f t="shared" ca="1" si="174"/>
        <v>0.2</v>
      </c>
      <c r="O602" s="1">
        <f t="shared" ca="1" si="174"/>
        <v>0.2</v>
      </c>
      <c r="P602" s="1">
        <f t="shared" ca="1" si="174"/>
        <v>0.36</v>
      </c>
      <c r="Q602" s="1">
        <f t="shared" ca="1" si="174"/>
        <v>0.1</v>
      </c>
      <c r="R602" s="1">
        <f t="shared" ca="1" si="174"/>
        <v>2</v>
      </c>
      <c r="S602" s="1">
        <f t="shared" ca="1" si="175"/>
        <v>0.1</v>
      </c>
      <c r="T602" s="1">
        <f t="shared" ca="1" si="175"/>
        <v>0.9</v>
      </c>
      <c r="U602" s="1">
        <f t="shared" ca="1" si="175"/>
        <v>11.6</v>
      </c>
      <c r="V602" s="1">
        <f t="shared" ca="1" si="175"/>
        <v>0</v>
      </c>
      <c r="W602" s="1">
        <f t="shared" ca="1" si="175"/>
        <v>0</v>
      </c>
      <c r="X602" s="1">
        <f t="shared" ca="1" si="175"/>
        <v>0</v>
      </c>
      <c r="Y602" s="1">
        <f t="shared" ca="1" si="175"/>
        <v>2.6800492610837399</v>
      </c>
      <c r="Z602" s="1">
        <f t="shared" ca="1" si="175"/>
        <v>0</v>
      </c>
      <c r="AA602" s="1">
        <f t="shared" ca="1" si="175"/>
        <v>0</v>
      </c>
      <c r="AB602" s="1">
        <f t="shared" ca="1" si="175"/>
        <v>0</v>
      </c>
      <c r="AC602" s="1">
        <f t="shared" ca="1" si="175"/>
        <v>8.5000499999999999</v>
      </c>
      <c r="AD602" s="1">
        <f t="shared" ca="1" si="175"/>
        <v>8.5000499999999999</v>
      </c>
      <c r="AE602" s="1">
        <f t="shared" ca="1" si="175"/>
        <v>8.5000499999999999</v>
      </c>
      <c r="AF602" s="1">
        <f t="shared" ca="1" si="175"/>
        <v>12.750074999999999</v>
      </c>
      <c r="AG602" s="1">
        <f t="shared" ca="1" si="175"/>
        <v>8.5000499999999999</v>
      </c>
      <c r="AH602" s="1">
        <f t="shared" ca="1" si="175"/>
        <v>8.5000499999999999</v>
      </c>
      <c r="AI602" s="1">
        <f t="shared" ca="1" si="176"/>
        <v>8.5000499999999999</v>
      </c>
    </row>
    <row r="603" spans="2:35" x14ac:dyDescent="0.15">
      <c r="B603" s="1" t="str">
        <f t="shared" si="171"/>
        <v>火系7</v>
      </c>
      <c r="C603" s="1">
        <f t="shared" si="161"/>
        <v>7</v>
      </c>
      <c r="D603" s="14" t="s">
        <v>96</v>
      </c>
      <c r="E603" s="14">
        <f t="shared" si="162"/>
        <v>7</v>
      </c>
      <c r="F603" s="1" t="str">
        <f t="shared" si="169"/>
        <v>火炎</v>
      </c>
      <c r="H603" s="1">
        <f t="shared" ca="1" si="170"/>
        <v>131.44797995833599</v>
      </c>
      <c r="I603" s="1">
        <f t="shared" ref="I603:R612" ca="1" si="177">mVlookup($C603,monsterBaseDate,I$2,FALSE)*(1+mVlookup($E603,monsterType,I$2,FALSE))</f>
        <v>150</v>
      </c>
      <c r="J603" s="1">
        <f t="shared" ca="1" si="177"/>
        <v>67.952083333333306</v>
      </c>
      <c r="K603" s="1">
        <f t="shared" ca="1" si="177"/>
        <v>9.9167249999999996</v>
      </c>
      <c r="L603" s="1">
        <f t="shared" ca="1" si="177"/>
        <v>67.952083333333306</v>
      </c>
      <c r="M603" s="1">
        <f t="shared" ca="1" si="177"/>
        <v>9.9167249999999996</v>
      </c>
      <c r="N603" s="1">
        <f t="shared" ca="1" si="177"/>
        <v>0.2</v>
      </c>
      <c r="O603" s="1">
        <f t="shared" ca="1" si="177"/>
        <v>0.2</v>
      </c>
      <c r="P603" s="1">
        <f t="shared" ca="1" si="177"/>
        <v>0.36</v>
      </c>
      <c r="Q603" s="1">
        <f t="shared" ca="1" si="177"/>
        <v>0.1</v>
      </c>
      <c r="R603" s="1">
        <f t="shared" ca="1" si="177"/>
        <v>2</v>
      </c>
      <c r="S603" s="1">
        <f t="shared" ref="S603:AH618" ca="1" si="178">mVlookup($C603,monsterBaseDate,S$2,FALSE)*(1+mVlookup($E603,monsterType,S$2,FALSE))</f>
        <v>0.1</v>
      </c>
      <c r="T603" s="1">
        <f t="shared" ca="1" si="178"/>
        <v>0.9</v>
      </c>
      <c r="U603" s="1">
        <f t="shared" ca="1" si="178"/>
        <v>13.533333333333299</v>
      </c>
      <c r="V603" s="1">
        <f t="shared" ca="1" si="178"/>
        <v>0</v>
      </c>
      <c r="W603" s="1">
        <f t="shared" ca="1" si="178"/>
        <v>0</v>
      </c>
      <c r="X603" s="1">
        <f t="shared" ca="1" si="178"/>
        <v>0</v>
      </c>
      <c r="Y603" s="1">
        <f t="shared" ca="1" si="178"/>
        <v>3.696874999999995</v>
      </c>
      <c r="Z603" s="1">
        <f t="shared" ca="1" si="178"/>
        <v>0</v>
      </c>
      <c r="AA603" s="1">
        <f t="shared" ca="1" si="178"/>
        <v>0</v>
      </c>
      <c r="AB603" s="1">
        <f t="shared" ca="1" si="175"/>
        <v>0</v>
      </c>
      <c r="AC603" s="1">
        <f t="shared" ca="1" si="178"/>
        <v>9.9167249999999996</v>
      </c>
      <c r="AD603" s="1">
        <f t="shared" ca="1" si="178"/>
        <v>9.9167249999999996</v>
      </c>
      <c r="AE603" s="1">
        <f t="shared" ca="1" si="178"/>
        <v>9.9167249999999996</v>
      </c>
      <c r="AF603" s="1">
        <f t="shared" ca="1" si="178"/>
        <v>14.875087499999999</v>
      </c>
      <c r="AG603" s="1">
        <f t="shared" ca="1" si="178"/>
        <v>9.9167249999999996</v>
      </c>
      <c r="AH603" s="1">
        <f t="shared" ca="1" si="178"/>
        <v>9.9167249999999996</v>
      </c>
      <c r="AI603" s="1">
        <f t="shared" ca="1" si="176"/>
        <v>9.9167249999999996</v>
      </c>
    </row>
    <row r="604" spans="2:35" x14ac:dyDescent="0.15">
      <c r="B604" s="1" t="str">
        <f t="shared" si="171"/>
        <v>火系8</v>
      </c>
      <c r="C604" s="1">
        <f t="shared" si="161"/>
        <v>8</v>
      </c>
      <c r="D604" s="14" t="s">
        <v>96</v>
      </c>
      <c r="E604" s="14">
        <f t="shared" si="162"/>
        <v>7</v>
      </c>
      <c r="F604" s="1" t="str">
        <f t="shared" si="169"/>
        <v>火炎</v>
      </c>
      <c r="H604" s="1">
        <f t="shared" ca="1" si="170"/>
        <v>160.08273706626099</v>
      </c>
      <c r="I604" s="1">
        <f t="shared" ca="1" si="177"/>
        <v>150</v>
      </c>
      <c r="J604" s="1">
        <f t="shared" ca="1" si="177"/>
        <v>78.296103896103901</v>
      </c>
      <c r="K604" s="1">
        <f t="shared" ca="1" si="177"/>
        <v>11.333399999999999</v>
      </c>
      <c r="L604" s="1">
        <f t="shared" ca="1" si="177"/>
        <v>78.296103896103901</v>
      </c>
      <c r="M604" s="1">
        <f t="shared" ca="1" si="177"/>
        <v>11.333399999999999</v>
      </c>
      <c r="N604" s="1">
        <f t="shared" ca="1" si="177"/>
        <v>0.2</v>
      </c>
      <c r="O604" s="1">
        <f t="shared" ca="1" si="177"/>
        <v>0.2</v>
      </c>
      <c r="P604" s="1">
        <f t="shared" ca="1" si="177"/>
        <v>0.36</v>
      </c>
      <c r="Q604" s="1">
        <f t="shared" ca="1" si="177"/>
        <v>0.1</v>
      </c>
      <c r="R604" s="1">
        <f t="shared" ca="1" si="177"/>
        <v>2</v>
      </c>
      <c r="S604" s="1">
        <f t="shared" ca="1" si="178"/>
        <v>0.1</v>
      </c>
      <c r="T604" s="1">
        <f t="shared" ca="1" si="178"/>
        <v>0.9</v>
      </c>
      <c r="U604" s="1">
        <f t="shared" ca="1" si="178"/>
        <v>15.466666666666701</v>
      </c>
      <c r="V604" s="1">
        <f t="shared" ca="1" si="178"/>
        <v>0</v>
      </c>
      <c r="W604" s="1">
        <f t="shared" ca="1" si="178"/>
        <v>0</v>
      </c>
      <c r="X604" s="1">
        <f t="shared" ca="1" si="178"/>
        <v>0</v>
      </c>
      <c r="Y604" s="1">
        <f t="shared" ca="1" si="178"/>
        <v>4.8935064935064894</v>
      </c>
      <c r="Z604" s="1">
        <f t="shared" ca="1" si="178"/>
        <v>0</v>
      </c>
      <c r="AA604" s="1">
        <f t="shared" ca="1" si="178"/>
        <v>0</v>
      </c>
      <c r="AB604" s="1">
        <f t="shared" ca="1" si="175"/>
        <v>0</v>
      </c>
      <c r="AC604" s="1">
        <f t="shared" ca="1" si="178"/>
        <v>11.333399999999999</v>
      </c>
      <c r="AD604" s="1">
        <f t="shared" ca="1" si="178"/>
        <v>11.333399999999999</v>
      </c>
      <c r="AE604" s="1">
        <f t="shared" ca="1" si="178"/>
        <v>11.333399999999999</v>
      </c>
      <c r="AF604" s="1">
        <f t="shared" ca="1" si="178"/>
        <v>17.0001</v>
      </c>
      <c r="AG604" s="1">
        <f t="shared" ca="1" si="178"/>
        <v>11.333399999999999</v>
      </c>
      <c r="AH604" s="1">
        <f t="shared" ca="1" si="178"/>
        <v>11.333399999999999</v>
      </c>
      <c r="AI604" s="1">
        <f t="shared" ca="1" si="176"/>
        <v>11.333399999999999</v>
      </c>
    </row>
    <row r="605" spans="2:35" x14ac:dyDescent="0.15">
      <c r="B605" s="1" t="str">
        <f t="shared" si="171"/>
        <v>火系9</v>
      </c>
      <c r="C605" s="1">
        <f t="shared" si="161"/>
        <v>9</v>
      </c>
      <c r="D605" s="14" t="s">
        <v>96</v>
      </c>
      <c r="E605" s="14">
        <f t="shared" si="162"/>
        <v>7</v>
      </c>
      <c r="F605" s="1" t="str">
        <f t="shared" si="169"/>
        <v>火炎</v>
      </c>
      <c r="H605" s="1">
        <f t="shared" ca="1" si="170"/>
        <v>191.309067146861</v>
      </c>
      <c r="I605" s="1">
        <f t="shared" ca="1" si="177"/>
        <v>150</v>
      </c>
      <c r="J605" s="1">
        <f t="shared" ca="1" si="177"/>
        <v>88.803470824949699</v>
      </c>
      <c r="K605" s="1">
        <f t="shared" ca="1" si="177"/>
        <v>12.750075000000001</v>
      </c>
      <c r="L605" s="1">
        <f t="shared" ca="1" si="177"/>
        <v>88.803470824949699</v>
      </c>
      <c r="M605" s="1">
        <f t="shared" ca="1" si="177"/>
        <v>12.750075000000001</v>
      </c>
      <c r="N605" s="1">
        <f t="shared" ca="1" si="177"/>
        <v>0.2</v>
      </c>
      <c r="O605" s="1">
        <f t="shared" ca="1" si="177"/>
        <v>0.2</v>
      </c>
      <c r="P605" s="1">
        <f t="shared" ca="1" si="177"/>
        <v>0.36</v>
      </c>
      <c r="Q605" s="1">
        <f t="shared" ca="1" si="177"/>
        <v>0.1</v>
      </c>
      <c r="R605" s="1">
        <f t="shared" ca="1" si="177"/>
        <v>2</v>
      </c>
      <c r="S605" s="1">
        <f t="shared" ca="1" si="178"/>
        <v>0.1</v>
      </c>
      <c r="T605" s="1">
        <f t="shared" ca="1" si="178"/>
        <v>0.9</v>
      </c>
      <c r="U605" s="1">
        <f t="shared" ca="1" si="178"/>
        <v>17.399999999999999</v>
      </c>
      <c r="V605" s="1">
        <f t="shared" ca="1" si="178"/>
        <v>0</v>
      </c>
      <c r="W605" s="1">
        <f t="shared" ca="1" si="178"/>
        <v>0</v>
      </c>
      <c r="X605" s="1">
        <f t="shared" ca="1" si="178"/>
        <v>0</v>
      </c>
      <c r="Y605" s="1">
        <f t="shared" ca="1" si="178"/>
        <v>6.2766851106639905</v>
      </c>
      <c r="Z605" s="1">
        <f t="shared" ca="1" si="178"/>
        <v>0</v>
      </c>
      <c r="AA605" s="1">
        <f t="shared" ca="1" si="178"/>
        <v>0</v>
      </c>
      <c r="AB605" s="1">
        <f t="shared" ca="1" si="175"/>
        <v>0</v>
      </c>
      <c r="AC605" s="1">
        <f t="shared" ca="1" si="178"/>
        <v>12.750075000000001</v>
      </c>
      <c r="AD605" s="1">
        <f t="shared" ca="1" si="178"/>
        <v>12.750075000000001</v>
      </c>
      <c r="AE605" s="1">
        <f t="shared" ca="1" si="178"/>
        <v>12.750075000000001</v>
      </c>
      <c r="AF605" s="1">
        <f t="shared" ca="1" si="178"/>
        <v>19.1251125</v>
      </c>
      <c r="AG605" s="1">
        <f t="shared" ca="1" si="178"/>
        <v>12.750075000000001</v>
      </c>
      <c r="AH605" s="1">
        <f t="shared" ca="1" si="178"/>
        <v>12.750075000000001</v>
      </c>
      <c r="AI605" s="1">
        <f t="shared" ca="1" si="176"/>
        <v>12.750075000000001</v>
      </c>
    </row>
    <row r="606" spans="2:35" x14ac:dyDescent="0.15">
      <c r="B606" s="1" t="str">
        <f t="shared" si="171"/>
        <v>火系10</v>
      </c>
      <c r="C606" s="1">
        <f t="shared" si="161"/>
        <v>10</v>
      </c>
      <c r="D606" s="14" t="s">
        <v>96</v>
      </c>
      <c r="E606" s="14">
        <f t="shared" si="162"/>
        <v>7</v>
      </c>
      <c r="F606" s="1" t="str">
        <f t="shared" si="169"/>
        <v>火炎</v>
      </c>
      <c r="H606" s="1">
        <f t="shared" ca="1" si="170"/>
        <v>225.169455002967</v>
      </c>
      <c r="I606" s="1">
        <f t="shared" ca="1" si="177"/>
        <v>150</v>
      </c>
      <c r="J606" s="1">
        <f t="shared" ca="1" si="177"/>
        <v>99.4756838905775</v>
      </c>
      <c r="K606" s="1">
        <f t="shared" ca="1" si="177"/>
        <v>14.16675</v>
      </c>
      <c r="L606" s="1">
        <f t="shared" ca="1" si="177"/>
        <v>99.4756838905775</v>
      </c>
      <c r="M606" s="1">
        <f t="shared" ca="1" si="177"/>
        <v>14.16675</v>
      </c>
      <c r="N606" s="1">
        <f t="shared" ca="1" si="177"/>
        <v>0.2</v>
      </c>
      <c r="O606" s="1">
        <f t="shared" ca="1" si="177"/>
        <v>0.2</v>
      </c>
      <c r="P606" s="1">
        <f t="shared" ca="1" si="177"/>
        <v>0.36</v>
      </c>
      <c r="Q606" s="1">
        <f t="shared" ca="1" si="177"/>
        <v>0.1</v>
      </c>
      <c r="R606" s="1">
        <f t="shared" ca="1" si="177"/>
        <v>2</v>
      </c>
      <c r="S606" s="1">
        <f t="shared" ca="1" si="178"/>
        <v>0.1</v>
      </c>
      <c r="T606" s="1">
        <f t="shared" ca="1" si="178"/>
        <v>0.9</v>
      </c>
      <c r="U606" s="1">
        <f t="shared" ca="1" si="178"/>
        <v>19.3333333333333</v>
      </c>
      <c r="V606" s="1">
        <f t="shared" ca="1" si="178"/>
        <v>0</v>
      </c>
      <c r="W606" s="1">
        <f t="shared" ca="1" si="178"/>
        <v>0</v>
      </c>
      <c r="X606" s="1">
        <f t="shared" ca="1" si="178"/>
        <v>0</v>
      </c>
      <c r="Y606" s="1">
        <f t="shared" ca="1" si="178"/>
        <v>7.8533434650456009</v>
      </c>
      <c r="Z606" s="1">
        <f t="shared" ca="1" si="178"/>
        <v>0</v>
      </c>
      <c r="AA606" s="1">
        <f t="shared" ca="1" si="178"/>
        <v>0</v>
      </c>
      <c r="AB606" s="1">
        <f t="shared" ca="1" si="175"/>
        <v>0</v>
      </c>
      <c r="AC606" s="1">
        <f t="shared" ca="1" si="178"/>
        <v>14.16675</v>
      </c>
      <c r="AD606" s="1">
        <f t="shared" ca="1" si="178"/>
        <v>14.16675</v>
      </c>
      <c r="AE606" s="1">
        <f t="shared" ca="1" si="178"/>
        <v>14.16675</v>
      </c>
      <c r="AF606" s="1">
        <f t="shared" ca="1" si="178"/>
        <v>21.250125000000001</v>
      </c>
      <c r="AG606" s="1">
        <f t="shared" ca="1" si="178"/>
        <v>14.16675</v>
      </c>
      <c r="AH606" s="1">
        <f t="shared" ca="1" si="178"/>
        <v>14.16675</v>
      </c>
      <c r="AI606" s="1">
        <f t="shared" ca="1" si="176"/>
        <v>14.16675</v>
      </c>
    </row>
    <row r="607" spans="2:35" x14ac:dyDescent="0.15">
      <c r="B607" s="1" t="str">
        <f t="shared" si="171"/>
        <v>火系11</v>
      </c>
      <c r="C607" s="1">
        <f t="shared" si="161"/>
        <v>11</v>
      </c>
      <c r="D607" s="14" t="s">
        <v>96</v>
      </c>
      <c r="E607" s="14">
        <f t="shared" si="162"/>
        <v>7</v>
      </c>
      <c r="F607" s="1" t="str">
        <f t="shared" si="169"/>
        <v>火炎</v>
      </c>
      <c r="H607" s="1">
        <f t="shared" ca="1" si="170"/>
        <v>249.24417660705799</v>
      </c>
      <c r="I607" s="1">
        <f t="shared" ca="1" si="177"/>
        <v>150</v>
      </c>
      <c r="J607" s="1">
        <f t="shared" ca="1" si="177"/>
        <v>110.314285714286</v>
      </c>
      <c r="K607" s="1">
        <f t="shared" ca="1" si="177"/>
        <v>15.583425</v>
      </c>
      <c r="L607" s="1">
        <f t="shared" ca="1" si="177"/>
        <v>110.314285714286</v>
      </c>
      <c r="M607" s="1">
        <f t="shared" ca="1" si="177"/>
        <v>15.583425</v>
      </c>
      <c r="N607" s="1">
        <f t="shared" ca="1" si="177"/>
        <v>0.2</v>
      </c>
      <c r="O607" s="1">
        <f t="shared" ca="1" si="177"/>
        <v>0.2</v>
      </c>
      <c r="P607" s="1">
        <f t="shared" ca="1" si="177"/>
        <v>0.36</v>
      </c>
      <c r="Q607" s="1">
        <f t="shared" ca="1" si="177"/>
        <v>0.1</v>
      </c>
      <c r="R607" s="1">
        <f t="shared" ca="1" si="177"/>
        <v>2</v>
      </c>
      <c r="S607" s="1">
        <f t="shared" ca="1" si="178"/>
        <v>0.1</v>
      </c>
      <c r="T607" s="1">
        <f t="shared" ca="1" si="178"/>
        <v>0.9</v>
      </c>
      <c r="U607" s="1">
        <f t="shared" ca="1" si="178"/>
        <v>21.266666666666701</v>
      </c>
      <c r="V607" s="1">
        <f t="shared" ca="1" si="178"/>
        <v>0</v>
      </c>
      <c r="W607" s="1">
        <f t="shared" ca="1" si="178"/>
        <v>0</v>
      </c>
      <c r="X607" s="1">
        <f t="shared" ca="1" si="178"/>
        <v>0</v>
      </c>
      <c r="Y607" s="1">
        <f t="shared" ca="1" si="178"/>
        <v>9.6306122448979643</v>
      </c>
      <c r="Z607" s="1">
        <f t="shared" ca="1" si="178"/>
        <v>0</v>
      </c>
      <c r="AA607" s="1">
        <f t="shared" ca="1" si="178"/>
        <v>0</v>
      </c>
      <c r="AB607" s="1">
        <f t="shared" ca="1" si="175"/>
        <v>0</v>
      </c>
      <c r="AC607" s="1">
        <f t="shared" ca="1" si="178"/>
        <v>15.583425</v>
      </c>
      <c r="AD607" s="1">
        <f t="shared" ca="1" si="178"/>
        <v>15.583425</v>
      </c>
      <c r="AE607" s="1">
        <f t="shared" ca="1" si="178"/>
        <v>15.583425</v>
      </c>
      <c r="AF607" s="1">
        <f t="shared" ca="1" si="178"/>
        <v>23.375137500000001</v>
      </c>
      <c r="AG607" s="1">
        <f t="shared" ca="1" si="178"/>
        <v>15.583425</v>
      </c>
      <c r="AH607" s="1">
        <f t="shared" ca="1" si="178"/>
        <v>15.583425</v>
      </c>
      <c r="AI607" s="1">
        <f t="shared" ca="1" si="176"/>
        <v>15.583425</v>
      </c>
    </row>
    <row r="608" spans="2:35" x14ac:dyDescent="0.15">
      <c r="B608" s="1" t="str">
        <f t="shared" si="171"/>
        <v>火系12</v>
      </c>
      <c r="C608" s="1">
        <f t="shared" si="161"/>
        <v>12</v>
      </c>
      <c r="D608" s="14" t="s">
        <v>96</v>
      </c>
      <c r="E608" s="14">
        <f t="shared" si="162"/>
        <v>7</v>
      </c>
      <c r="F608" s="1" t="str">
        <f t="shared" si="169"/>
        <v>火炎</v>
      </c>
      <c r="H608" s="1">
        <f t="shared" ca="1" si="170"/>
        <v>283.638742464666</v>
      </c>
      <c r="I608" s="1">
        <f t="shared" ca="1" si="177"/>
        <v>150</v>
      </c>
      <c r="J608" s="1">
        <f t="shared" ca="1" si="177"/>
        <v>121.320863309353</v>
      </c>
      <c r="K608" s="1">
        <f t="shared" ca="1" si="177"/>
        <v>17.0001</v>
      </c>
      <c r="L608" s="1">
        <f t="shared" ca="1" si="177"/>
        <v>121.320863309353</v>
      </c>
      <c r="M608" s="1">
        <f t="shared" ca="1" si="177"/>
        <v>17.0001</v>
      </c>
      <c r="N608" s="1">
        <f t="shared" ca="1" si="177"/>
        <v>0.2</v>
      </c>
      <c r="O608" s="1">
        <f t="shared" ca="1" si="177"/>
        <v>0.2</v>
      </c>
      <c r="P608" s="1">
        <f t="shared" ca="1" si="177"/>
        <v>0.36</v>
      </c>
      <c r="Q608" s="1">
        <f t="shared" ca="1" si="177"/>
        <v>0.1</v>
      </c>
      <c r="R608" s="1">
        <f t="shared" ca="1" si="177"/>
        <v>2</v>
      </c>
      <c r="S608" s="1">
        <f t="shared" ca="1" si="178"/>
        <v>0.1</v>
      </c>
      <c r="T608" s="1">
        <f t="shared" ca="1" si="178"/>
        <v>0.9</v>
      </c>
      <c r="U608" s="1">
        <f t="shared" ca="1" si="178"/>
        <v>23.2</v>
      </c>
      <c r="V608" s="1">
        <f t="shared" ca="1" si="178"/>
        <v>0</v>
      </c>
      <c r="W608" s="1">
        <f t="shared" ca="1" si="178"/>
        <v>0</v>
      </c>
      <c r="X608" s="1">
        <f t="shared" ca="1" si="178"/>
        <v>0</v>
      </c>
      <c r="Y608" s="1">
        <f t="shared" ca="1" si="178"/>
        <v>11.615827338129495</v>
      </c>
      <c r="Z608" s="1">
        <f t="shared" ca="1" si="178"/>
        <v>0</v>
      </c>
      <c r="AA608" s="1">
        <f t="shared" ca="1" si="178"/>
        <v>0</v>
      </c>
      <c r="AB608" s="1">
        <f t="shared" ca="1" si="175"/>
        <v>0</v>
      </c>
      <c r="AC608" s="1">
        <f t="shared" ca="1" si="178"/>
        <v>17.0001</v>
      </c>
      <c r="AD608" s="1">
        <f t="shared" ca="1" si="178"/>
        <v>17.0001</v>
      </c>
      <c r="AE608" s="1">
        <f t="shared" ca="1" si="178"/>
        <v>17.0001</v>
      </c>
      <c r="AF608" s="1">
        <f t="shared" ca="1" si="178"/>
        <v>25.500149999999998</v>
      </c>
      <c r="AG608" s="1">
        <f t="shared" ca="1" si="178"/>
        <v>17.0001</v>
      </c>
      <c r="AH608" s="1">
        <f t="shared" ca="1" si="178"/>
        <v>17.0001</v>
      </c>
      <c r="AI608" s="1">
        <f t="shared" ca="1" si="176"/>
        <v>17.0001</v>
      </c>
    </row>
    <row r="609" spans="2:35" x14ac:dyDescent="0.15">
      <c r="B609" s="1" t="str">
        <f t="shared" si="171"/>
        <v>火系13</v>
      </c>
      <c r="C609" s="1">
        <f t="shared" si="161"/>
        <v>13</v>
      </c>
      <c r="D609" s="14" t="s">
        <v>96</v>
      </c>
      <c r="E609" s="14">
        <f t="shared" si="162"/>
        <v>7</v>
      </c>
      <c r="F609" s="1" t="str">
        <f t="shared" si="169"/>
        <v>火炎</v>
      </c>
      <c r="H609" s="1">
        <f t="shared" ca="1" si="170"/>
        <v>309.183846599682</v>
      </c>
      <c r="I609" s="1">
        <f t="shared" ca="1" si="177"/>
        <v>150</v>
      </c>
      <c r="J609" s="1">
        <f t="shared" ca="1" si="177"/>
        <v>132.49704968944101</v>
      </c>
      <c r="K609" s="1">
        <f t="shared" ca="1" si="177"/>
        <v>18.416775000000001</v>
      </c>
      <c r="L609" s="1">
        <f t="shared" ca="1" si="177"/>
        <v>132.49704968944101</v>
      </c>
      <c r="M609" s="1">
        <f t="shared" ca="1" si="177"/>
        <v>18.416775000000001</v>
      </c>
      <c r="N609" s="1">
        <f t="shared" ca="1" si="177"/>
        <v>0.2</v>
      </c>
      <c r="O609" s="1">
        <f t="shared" ca="1" si="177"/>
        <v>0.2</v>
      </c>
      <c r="P609" s="1">
        <f t="shared" ca="1" si="177"/>
        <v>0.36</v>
      </c>
      <c r="Q609" s="1">
        <f t="shared" ca="1" si="177"/>
        <v>0.1</v>
      </c>
      <c r="R609" s="1">
        <f t="shared" ca="1" si="177"/>
        <v>2</v>
      </c>
      <c r="S609" s="1">
        <f t="shared" ca="1" si="178"/>
        <v>0.1</v>
      </c>
      <c r="T609" s="1">
        <f t="shared" ca="1" si="178"/>
        <v>0.9</v>
      </c>
      <c r="U609" s="1">
        <f t="shared" ca="1" si="178"/>
        <v>25.133333333333301</v>
      </c>
      <c r="V609" s="1">
        <f t="shared" ca="1" si="178"/>
        <v>0</v>
      </c>
      <c r="W609" s="1">
        <f t="shared" ca="1" si="178"/>
        <v>0</v>
      </c>
      <c r="X609" s="1">
        <f t="shared" ca="1" si="178"/>
        <v>0</v>
      </c>
      <c r="Y609" s="1">
        <f t="shared" ca="1" si="178"/>
        <v>13.816537267080751</v>
      </c>
      <c r="Z609" s="1">
        <f t="shared" ca="1" si="178"/>
        <v>0</v>
      </c>
      <c r="AA609" s="1">
        <f t="shared" ca="1" si="178"/>
        <v>0</v>
      </c>
      <c r="AB609" s="1">
        <f t="shared" ca="1" si="178"/>
        <v>0</v>
      </c>
      <c r="AC609" s="1">
        <f t="shared" ca="1" si="178"/>
        <v>18.416775000000001</v>
      </c>
      <c r="AD609" s="1">
        <f t="shared" ca="1" si="178"/>
        <v>18.416775000000001</v>
      </c>
      <c r="AE609" s="1">
        <f t="shared" ca="1" si="178"/>
        <v>18.416775000000001</v>
      </c>
      <c r="AF609" s="1">
        <f t="shared" ca="1" si="178"/>
        <v>27.625162500000002</v>
      </c>
      <c r="AG609" s="1">
        <f t="shared" ca="1" si="178"/>
        <v>18.416775000000001</v>
      </c>
      <c r="AH609" s="1">
        <f t="shared" ca="1" si="178"/>
        <v>18.416775000000001</v>
      </c>
      <c r="AI609" s="1">
        <f t="shared" ca="1" si="176"/>
        <v>18.416775000000001</v>
      </c>
    </row>
    <row r="610" spans="2:35" x14ac:dyDescent="0.15">
      <c r="B610" s="1" t="str">
        <f t="shared" si="171"/>
        <v>火系14</v>
      </c>
      <c r="C610" s="1">
        <f t="shared" si="161"/>
        <v>14</v>
      </c>
      <c r="D610" s="14" t="s">
        <v>96</v>
      </c>
      <c r="E610" s="14">
        <f t="shared" si="162"/>
        <v>7</v>
      </c>
      <c r="F610" s="1" t="str">
        <f t="shared" si="169"/>
        <v>火炎</v>
      </c>
      <c r="H610" s="1">
        <f t="shared" ca="1" si="170"/>
        <v>335.02257262130797</v>
      </c>
      <c r="I610" s="1">
        <f t="shared" ca="1" si="177"/>
        <v>150</v>
      </c>
      <c r="J610" s="1">
        <f t="shared" ca="1" si="177"/>
        <v>143.84452554744499</v>
      </c>
      <c r="K610" s="1">
        <f t="shared" ca="1" si="177"/>
        <v>19.833449999999999</v>
      </c>
      <c r="L610" s="1">
        <f t="shared" ca="1" si="177"/>
        <v>143.84452554744499</v>
      </c>
      <c r="M610" s="1">
        <f t="shared" ca="1" si="177"/>
        <v>19.833449999999999</v>
      </c>
      <c r="N610" s="1">
        <f t="shared" ca="1" si="177"/>
        <v>0.2</v>
      </c>
      <c r="O610" s="1">
        <f t="shared" ca="1" si="177"/>
        <v>0.2</v>
      </c>
      <c r="P610" s="1">
        <f t="shared" ca="1" si="177"/>
        <v>0.36</v>
      </c>
      <c r="Q610" s="1">
        <f t="shared" ca="1" si="177"/>
        <v>0.1</v>
      </c>
      <c r="R610" s="1">
        <f t="shared" ca="1" si="177"/>
        <v>2</v>
      </c>
      <c r="S610" s="1">
        <f t="shared" ca="1" si="178"/>
        <v>0.1</v>
      </c>
      <c r="T610" s="1">
        <f t="shared" ca="1" si="178"/>
        <v>0.9</v>
      </c>
      <c r="U610" s="1">
        <f t="shared" ca="1" si="178"/>
        <v>27.066666666666698</v>
      </c>
      <c r="V610" s="1">
        <f t="shared" ca="1" si="178"/>
        <v>0</v>
      </c>
      <c r="W610" s="1">
        <f t="shared" ca="1" si="178"/>
        <v>0</v>
      </c>
      <c r="X610" s="1">
        <f t="shared" ca="1" si="178"/>
        <v>0</v>
      </c>
      <c r="Y610" s="1">
        <f t="shared" ca="1" si="178"/>
        <v>16.24051094890515</v>
      </c>
      <c r="Z610" s="1">
        <f t="shared" ca="1" si="178"/>
        <v>0</v>
      </c>
      <c r="AA610" s="1">
        <f t="shared" ca="1" si="178"/>
        <v>0</v>
      </c>
      <c r="AB610" s="1">
        <f t="shared" ca="1" si="178"/>
        <v>0</v>
      </c>
      <c r="AC610" s="1">
        <f t="shared" ca="1" si="178"/>
        <v>19.833449999999999</v>
      </c>
      <c r="AD610" s="1">
        <f t="shared" ca="1" si="178"/>
        <v>19.833449999999999</v>
      </c>
      <c r="AE610" s="1">
        <f t="shared" ca="1" si="178"/>
        <v>19.833449999999999</v>
      </c>
      <c r="AF610" s="1">
        <f t="shared" ca="1" si="178"/>
        <v>29.750174999999999</v>
      </c>
      <c r="AG610" s="1">
        <f t="shared" ca="1" si="178"/>
        <v>19.833449999999999</v>
      </c>
      <c r="AH610" s="1">
        <f t="shared" ca="1" si="178"/>
        <v>19.833449999999999</v>
      </c>
      <c r="AI610" s="1">
        <f t="shared" ca="1" si="176"/>
        <v>19.833449999999999</v>
      </c>
    </row>
    <row r="611" spans="2:35" x14ac:dyDescent="0.15">
      <c r="B611" s="1" t="str">
        <f t="shared" si="171"/>
        <v>火系15</v>
      </c>
      <c r="C611" s="1">
        <f t="shared" si="161"/>
        <v>15</v>
      </c>
      <c r="D611" s="14" t="s">
        <v>96</v>
      </c>
      <c r="E611" s="14">
        <f t="shared" si="162"/>
        <v>7</v>
      </c>
      <c r="F611" s="1" t="str">
        <f t="shared" si="169"/>
        <v>火炎</v>
      </c>
      <c r="H611" s="1">
        <f t="shared" ca="1" si="170"/>
        <v>361.15492052954301</v>
      </c>
      <c r="I611" s="1">
        <f t="shared" ca="1" si="177"/>
        <v>150</v>
      </c>
      <c r="J611" s="1">
        <f t="shared" ca="1" si="177"/>
        <v>155.365021008403</v>
      </c>
      <c r="K611" s="1">
        <f t="shared" ca="1" si="177"/>
        <v>21.250125000000001</v>
      </c>
      <c r="L611" s="1">
        <f t="shared" ca="1" si="177"/>
        <v>155.365021008403</v>
      </c>
      <c r="M611" s="1">
        <f t="shared" ca="1" si="177"/>
        <v>21.250125000000001</v>
      </c>
      <c r="N611" s="1">
        <f t="shared" ca="1" si="177"/>
        <v>0.2</v>
      </c>
      <c r="O611" s="1">
        <f t="shared" ca="1" si="177"/>
        <v>0.2</v>
      </c>
      <c r="P611" s="1">
        <f t="shared" ca="1" si="177"/>
        <v>0.36</v>
      </c>
      <c r="Q611" s="1">
        <f t="shared" ca="1" si="177"/>
        <v>0.1</v>
      </c>
      <c r="R611" s="1">
        <f t="shared" ca="1" si="177"/>
        <v>2</v>
      </c>
      <c r="S611" s="1">
        <f t="shared" ca="1" si="178"/>
        <v>0.1</v>
      </c>
      <c r="T611" s="1">
        <f t="shared" ca="1" si="178"/>
        <v>0.9</v>
      </c>
      <c r="U611" s="1">
        <f t="shared" ca="1" si="178"/>
        <v>29</v>
      </c>
      <c r="V611" s="1">
        <f t="shared" ca="1" si="178"/>
        <v>0</v>
      </c>
      <c r="W611" s="1">
        <f t="shared" ca="1" si="178"/>
        <v>0</v>
      </c>
      <c r="X611" s="1">
        <f t="shared" ca="1" si="178"/>
        <v>0</v>
      </c>
      <c r="Y611" s="1">
        <f t="shared" ca="1" si="178"/>
        <v>18.8957457983193</v>
      </c>
      <c r="Z611" s="1">
        <f t="shared" ca="1" si="178"/>
        <v>0</v>
      </c>
      <c r="AA611" s="1">
        <f t="shared" ca="1" si="178"/>
        <v>0</v>
      </c>
      <c r="AB611" s="1">
        <f t="shared" ca="1" si="178"/>
        <v>0</v>
      </c>
      <c r="AC611" s="1">
        <f t="shared" ca="1" si="178"/>
        <v>21.250125000000001</v>
      </c>
      <c r="AD611" s="1">
        <f t="shared" ca="1" si="178"/>
        <v>21.250125000000001</v>
      </c>
      <c r="AE611" s="1">
        <f t="shared" ca="1" si="178"/>
        <v>21.250125000000001</v>
      </c>
      <c r="AF611" s="1">
        <f t="shared" ca="1" si="178"/>
        <v>31.875187500000003</v>
      </c>
      <c r="AG611" s="1">
        <f t="shared" ca="1" si="178"/>
        <v>21.250125000000001</v>
      </c>
      <c r="AH611" s="1">
        <f t="shared" ca="1" si="178"/>
        <v>21.250125000000001</v>
      </c>
      <c r="AI611" s="1">
        <f t="shared" ca="1" si="176"/>
        <v>21.250125000000001</v>
      </c>
    </row>
    <row r="612" spans="2:35" x14ac:dyDescent="0.15">
      <c r="B612" s="1" t="str">
        <f t="shared" si="171"/>
        <v>火系16</v>
      </c>
      <c r="C612" s="1">
        <f t="shared" si="161"/>
        <v>16</v>
      </c>
      <c r="D612" s="14" t="s">
        <v>96</v>
      </c>
      <c r="E612" s="14">
        <f t="shared" si="162"/>
        <v>7</v>
      </c>
      <c r="F612" s="1" t="str">
        <f t="shared" si="169"/>
        <v>火炎</v>
      </c>
      <c r="H612" s="1">
        <f t="shared" ca="1" si="170"/>
        <v>387.58089032438801</v>
      </c>
      <c r="I612" s="1">
        <f t="shared" ca="1" si="177"/>
        <v>150</v>
      </c>
      <c r="J612" s="1">
        <f t="shared" ca="1" si="177"/>
        <v>167.06031746031701</v>
      </c>
      <c r="K612" s="1">
        <f t="shared" ca="1" si="177"/>
        <v>22.666799999999999</v>
      </c>
      <c r="L612" s="1">
        <f t="shared" ca="1" si="177"/>
        <v>167.06031746031701</v>
      </c>
      <c r="M612" s="1">
        <f t="shared" ca="1" si="177"/>
        <v>22.666799999999999</v>
      </c>
      <c r="N612" s="1">
        <f t="shared" ca="1" si="177"/>
        <v>0.2</v>
      </c>
      <c r="O612" s="1">
        <f t="shared" ca="1" si="177"/>
        <v>0.2</v>
      </c>
      <c r="P612" s="1">
        <f t="shared" ca="1" si="177"/>
        <v>0.36</v>
      </c>
      <c r="Q612" s="1">
        <f t="shared" ca="1" si="177"/>
        <v>0.1</v>
      </c>
      <c r="R612" s="1">
        <f t="shared" ca="1" si="177"/>
        <v>2</v>
      </c>
      <c r="S612" s="1">
        <f t="shared" ca="1" si="178"/>
        <v>0.1</v>
      </c>
      <c r="T612" s="1">
        <f t="shared" ca="1" si="178"/>
        <v>0.9</v>
      </c>
      <c r="U612" s="1">
        <f t="shared" ca="1" si="178"/>
        <v>30.933333333333302</v>
      </c>
      <c r="V612" s="1">
        <f t="shared" ca="1" si="178"/>
        <v>0</v>
      </c>
      <c r="W612" s="1">
        <f t="shared" ca="1" si="178"/>
        <v>0</v>
      </c>
      <c r="X612" s="1">
        <f t="shared" ca="1" si="178"/>
        <v>0</v>
      </c>
      <c r="Y612" s="1">
        <f t="shared" ca="1" si="178"/>
        <v>21.790476190476149</v>
      </c>
      <c r="Z612" s="1">
        <f t="shared" ca="1" si="178"/>
        <v>0</v>
      </c>
      <c r="AA612" s="1">
        <f t="shared" ca="1" si="178"/>
        <v>0</v>
      </c>
      <c r="AB612" s="1">
        <f t="shared" ca="1" si="178"/>
        <v>0</v>
      </c>
      <c r="AC612" s="1">
        <f t="shared" ca="1" si="178"/>
        <v>22.666799999999999</v>
      </c>
      <c r="AD612" s="1">
        <f t="shared" ca="1" si="178"/>
        <v>22.666799999999999</v>
      </c>
      <c r="AE612" s="1">
        <f t="shared" ca="1" si="178"/>
        <v>22.666799999999999</v>
      </c>
      <c r="AF612" s="1">
        <f t="shared" ca="1" si="178"/>
        <v>34.0002</v>
      </c>
      <c r="AG612" s="1">
        <f t="shared" ca="1" si="178"/>
        <v>22.666799999999999</v>
      </c>
      <c r="AH612" s="1">
        <f t="shared" ca="1" si="178"/>
        <v>22.666799999999999</v>
      </c>
      <c r="AI612" s="1">
        <f t="shared" ca="1" si="176"/>
        <v>22.666799999999999</v>
      </c>
    </row>
    <row r="613" spans="2:35" x14ac:dyDescent="0.15">
      <c r="B613" s="1" t="str">
        <f t="shared" si="171"/>
        <v>火系17</v>
      </c>
      <c r="C613" s="1">
        <f t="shared" si="161"/>
        <v>17</v>
      </c>
      <c r="D613" s="14" t="s">
        <v>96</v>
      </c>
      <c r="E613" s="14">
        <f t="shared" si="162"/>
        <v>7</v>
      </c>
      <c r="F613" s="1" t="str">
        <f t="shared" si="169"/>
        <v>火炎</v>
      </c>
      <c r="H613" s="1">
        <f t="shared" ca="1" si="170"/>
        <v>414.30048200584201</v>
      </c>
      <c r="I613" s="1">
        <f t="shared" ref="I613:R622" ca="1" si="179">mVlookup($C613,monsterBaseDate,I$2,FALSE)*(1+mVlookup($E613,monsterType,I$2,FALSE))</f>
        <v>150</v>
      </c>
      <c r="J613" s="1">
        <f t="shared" ca="1" si="179"/>
        <v>178.93224946695099</v>
      </c>
      <c r="K613" s="1">
        <f t="shared" ca="1" si="179"/>
        <v>24.083475</v>
      </c>
      <c r="L613" s="1">
        <f t="shared" ca="1" si="179"/>
        <v>178.93224946695099</v>
      </c>
      <c r="M613" s="1">
        <f t="shared" ca="1" si="179"/>
        <v>24.083475</v>
      </c>
      <c r="N613" s="1">
        <f t="shared" ca="1" si="179"/>
        <v>0.2</v>
      </c>
      <c r="O613" s="1">
        <f t="shared" ca="1" si="179"/>
        <v>0.2</v>
      </c>
      <c r="P613" s="1">
        <f t="shared" ca="1" si="179"/>
        <v>0.36</v>
      </c>
      <c r="Q613" s="1">
        <f t="shared" ca="1" si="179"/>
        <v>0.1</v>
      </c>
      <c r="R613" s="1">
        <f t="shared" ca="1" si="179"/>
        <v>2</v>
      </c>
      <c r="S613" s="1">
        <f t="shared" ref="S613:AH628" ca="1" si="180">mVlookup($C613,monsterBaseDate,S$2,FALSE)*(1+mVlookup($E613,monsterType,S$2,FALSE))</f>
        <v>0.1</v>
      </c>
      <c r="T613" s="1">
        <f t="shared" ca="1" si="180"/>
        <v>0.9</v>
      </c>
      <c r="U613" s="1">
        <f t="shared" ca="1" si="180"/>
        <v>32.866666666666703</v>
      </c>
      <c r="V613" s="1">
        <f t="shared" ca="1" si="180"/>
        <v>0</v>
      </c>
      <c r="W613" s="1">
        <f t="shared" ca="1" si="180"/>
        <v>0</v>
      </c>
      <c r="X613" s="1">
        <f t="shared" ca="1" si="180"/>
        <v>0</v>
      </c>
      <c r="Y613" s="1">
        <f t="shared" ca="1" si="180"/>
        <v>24.933182302771801</v>
      </c>
      <c r="Z613" s="1">
        <f t="shared" ca="1" si="180"/>
        <v>0</v>
      </c>
      <c r="AA613" s="1">
        <f t="shared" ca="1" si="180"/>
        <v>0</v>
      </c>
      <c r="AB613" s="1">
        <f t="shared" ca="1" si="178"/>
        <v>0</v>
      </c>
      <c r="AC613" s="1">
        <f t="shared" ca="1" si="180"/>
        <v>24.083475</v>
      </c>
      <c r="AD613" s="1">
        <f t="shared" ca="1" si="180"/>
        <v>24.083475</v>
      </c>
      <c r="AE613" s="1">
        <f t="shared" ca="1" si="180"/>
        <v>24.083475</v>
      </c>
      <c r="AF613" s="1">
        <f t="shared" ca="1" si="180"/>
        <v>36.125212500000004</v>
      </c>
      <c r="AG613" s="1">
        <f t="shared" ca="1" si="180"/>
        <v>24.083475</v>
      </c>
      <c r="AH613" s="1">
        <f t="shared" ca="1" si="180"/>
        <v>24.083475</v>
      </c>
      <c r="AI613" s="1">
        <f t="shared" ca="1" si="176"/>
        <v>24.083475</v>
      </c>
    </row>
    <row r="614" spans="2:35" x14ac:dyDescent="0.15">
      <c r="B614" s="1" t="str">
        <f t="shared" si="171"/>
        <v>火系18</v>
      </c>
      <c r="C614" s="1">
        <f t="shared" si="161"/>
        <v>18</v>
      </c>
      <c r="D614" s="14" t="s">
        <v>96</v>
      </c>
      <c r="E614" s="14">
        <f t="shared" si="162"/>
        <v>7</v>
      </c>
      <c r="F614" s="1" t="str">
        <f t="shared" si="169"/>
        <v>火炎</v>
      </c>
      <c r="H614" s="1">
        <f t="shared" ca="1" si="170"/>
        <v>441.31369557390599</v>
      </c>
      <c r="I614" s="1">
        <f t="shared" ca="1" si="179"/>
        <v>150</v>
      </c>
      <c r="J614" s="1">
        <f t="shared" ca="1" si="179"/>
        <v>190.982706766917</v>
      </c>
      <c r="K614" s="1">
        <f t="shared" ca="1" si="179"/>
        <v>25.500150000000001</v>
      </c>
      <c r="L614" s="1">
        <f t="shared" ca="1" si="179"/>
        <v>190.982706766917</v>
      </c>
      <c r="M614" s="1">
        <f t="shared" ca="1" si="179"/>
        <v>25.500150000000001</v>
      </c>
      <c r="N614" s="1">
        <f t="shared" ca="1" si="179"/>
        <v>0.2</v>
      </c>
      <c r="O614" s="1">
        <f t="shared" ca="1" si="179"/>
        <v>0.2</v>
      </c>
      <c r="P614" s="1">
        <f t="shared" ca="1" si="179"/>
        <v>0.36</v>
      </c>
      <c r="Q614" s="1">
        <f t="shared" ca="1" si="179"/>
        <v>0.1</v>
      </c>
      <c r="R614" s="1">
        <f t="shared" ca="1" si="179"/>
        <v>2</v>
      </c>
      <c r="S614" s="1">
        <f t="shared" ca="1" si="180"/>
        <v>0.1</v>
      </c>
      <c r="T614" s="1">
        <f t="shared" ca="1" si="180"/>
        <v>0.9</v>
      </c>
      <c r="U614" s="1">
        <f t="shared" ca="1" si="180"/>
        <v>34.799999999999997</v>
      </c>
      <c r="V614" s="1">
        <f t="shared" ca="1" si="180"/>
        <v>0</v>
      </c>
      <c r="W614" s="1">
        <f t="shared" ca="1" si="180"/>
        <v>0</v>
      </c>
      <c r="X614" s="1">
        <f t="shared" ca="1" si="180"/>
        <v>0</v>
      </c>
      <c r="Y614" s="1">
        <f t="shared" ca="1" si="180"/>
        <v>28.332599355531752</v>
      </c>
      <c r="Z614" s="1">
        <f t="shared" ca="1" si="180"/>
        <v>0</v>
      </c>
      <c r="AA614" s="1">
        <f t="shared" ca="1" si="180"/>
        <v>0</v>
      </c>
      <c r="AB614" s="1">
        <f t="shared" ca="1" si="178"/>
        <v>0</v>
      </c>
      <c r="AC614" s="1">
        <f t="shared" ca="1" si="180"/>
        <v>25.500150000000001</v>
      </c>
      <c r="AD614" s="1">
        <f t="shared" ca="1" si="180"/>
        <v>25.500150000000001</v>
      </c>
      <c r="AE614" s="1">
        <f t="shared" ca="1" si="180"/>
        <v>25.500150000000001</v>
      </c>
      <c r="AF614" s="1">
        <f t="shared" ca="1" si="180"/>
        <v>38.250225</v>
      </c>
      <c r="AG614" s="1">
        <f t="shared" ca="1" si="180"/>
        <v>25.500150000000001</v>
      </c>
      <c r="AH614" s="1">
        <f t="shared" ca="1" si="180"/>
        <v>25.500150000000001</v>
      </c>
      <c r="AI614" s="1">
        <f t="shared" ca="1" si="176"/>
        <v>25.500150000000001</v>
      </c>
    </row>
    <row r="615" spans="2:35" x14ac:dyDescent="0.15">
      <c r="B615" s="1" t="str">
        <f t="shared" si="171"/>
        <v>火系19</v>
      </c>
      <c r="C615" s="1">
        <f t="shared" ref="C615:C678" si="181">C516</f>
        <v>19</v>
      </c>
      <c r="D615" s="14" t="s">
        <v>96</v>
      </c>
      <c r="E615" s="14">
        <f t="shared" ref="E615:E678" si="182">E516+1</f>
        <v>7</v>
      </c>
      <c r="F615" s="1" t="str">
        <f t="shared" si="169"/>
        <v>火炎</v>
      </c>
      <c r="H615" s="1">
        <f t="shared" ca="1" si="170"/>
        <v>468.620531028578</v>
      </c>
      <c r="I615" s="1">
        <f t="shared" ca="1" si="179"/>
        <v>150</v>
      </c>
      <c r="J615" s="1">
        <f t="shared" ca="1" si="179"/>
        <v>203.213636363636</v>
      </c>
      <c r="K615" s="1">
        <f t="shared" ca="1" si="179"/>
        <v>26.916824999999999</v>
      </c>
      <c r="L615" s="1">
        <f t="shared" ca="1" si="179"/>
        <v>203.213636363636</v>
      </c>
      <c r="M615" s="1">
        <f t="shared" ca="1" si="179"/>
        <v>26.916824999999999</v>
      </c>
      <c r="N615" s="1">
        <f t="shared" ca="1" si="179"/>
        <v>0.2</v>
      </c>
      <c r="O615" s="1">
        <f t="shared" ca="1" si="179"/>
        <v>0.2</v>
      </c>
      <c r="P615" s="1">
        <f t="shared" ca="1" si="179"/>
        <v>0.36</v>
      </c>
      <c r="Q615" s="1">
        <f t="shared" ca="1" si="179"/>
        <v>0.1</v>
      </c>
      <c r="R615" s="1">
        <f t="shared" ca="1" si="179"/>
        <v>2</v>
      </c>
      <c r="S615" s="1">
        <f t="shared" ca="1" si="180"/>
        <v>0.1</v>
      </c>
      <c r="T615" s="1">
        <f t="shared" ca="1" si="180"/>
        <v>0.9</v>
      </c>
      <c r="U615" s="1">
        <f t="shared" ca="1" si="180"/>
        <v>36.733333333333299</v>
      </c>
      <c r="V615" s="1">
        <f t="shared" ca="1" si="180"/>
        <v>0</v>
      </c>
      <c r="W615" s="1">
        <f t="shared" ca="1" si="180"/>
        <v>0</v>
      </c>
      <c r="X615" s="1">
        <f t="shared" ca="1" si="180"/>
        <v>0</v>
      </c>
      <c r="Y615" s="1">
        <f t="shared" ca="1" si="180"/>
        <v>31.9977272727273</v>
      </c>
      <c r="Z615" s="1">
        <f t="shared" ca="1" si="180"/>
        <v>0</v>
      </c>
      <c r="AA615" s="1">
        <f t="shared" ca="1" si="180"/>
        <v>0</v>
      </c>
      <c r="AB615" s="1">
        <f t="shared" ca="1" si="178"/>
        <v>0</v>
      </c>
      <c r="AC615" s="1">
        <f t="shared" ca="1" si="180"/>
        <v>26.916824999999999</v>
      </c>
      <c r="AD615" s="1">
        <f t="shared" ca="1" si="180"/>
        <v>26.916824999999999</v>
      </c>
      <c r="AE615" s="1">
        <f t="shared" ca="1" si="180"/>
        <v>26.916824999999999</v>
      </c>
      <c r="AF615" s="1">
        <f t="shared" ca="1" si="180"/>
        <v>40.375237499999997</v>
      </c>
      <c r="AG615" s="1">
        <f t="shared" ca="1" si="180"/>
        <v>26.916824999999999</v>
      </c>
      <c r="AH615" s="1">
        <f t="shared" ca="1" si="180"/>
        <v>26.916824999999999</v>
      </c>
      <c r="AI615" s="1">
        <f t="shared" ca="1" si="176"/>
        <v>26.916824999999999</v>
      </c>
    </row>
    <row r="616" spans="2:35" x14ac:dyDescent="0.15">
      <c r="B616" s="1" t="str">
        <f t="shared" si="171"/>
        <v>火系20</v>
      </c>
      <c r="C616" s="1">
        <f t="shared" si="181"/>
        <v>20</v>
      </c>
      <c r="D616" s="14" t="s">
        <v>96</v>
      </c>
      <c r="E616" s="14">
        <f t="shared" si="182"/>
        <v>7</v>
      </c>
      <c r="F616" s="1" t="str">
        <f t="shared" si="169"/>
        <v>火炎</v>
      </c>
      <c r="H616" s="1">
        <f t="shared" ca="1" si="170"/>
        <v>496.22098836985998</v>
      </c>
      <c r="I616" s="1">
        <f t="shared" ca="1" si="179"/>
        <v>150</v>
      </c>
      <c r="J616" s="1">
        <f t="shared" ca="1" si="179"/>
        <v>215.62704471101401</v>
      </c>
      <c r="K616" s="1">
        <f t="shared" ca="1" si="179"/>
        <v>28.333500000000001</v>
      </c>
      <c r="L616" s="1">
        <f t="shared" ca="1" si="179"/>
        <v>215.62704471101401</v>
      </c>
      <c r="M616" s="1">
        <f t="shared" ca="1" si="179"/>
        <v>28.333500000000001</v>
      </c>
      <c r="N616" s="1">
        <f t="shared" ca="1" si="179"/>
        <v>0.2</v>
      </c>
      <c r="O616" s="1">
        <f t="shared" ca="1" si="179"/>
        <v>0.2</v>
      </c>
      <c r="P616" s="1">
        <f t="shared" ca="1" si="179"/>
        <v>0.36</v>
      </c>
      <c r="Q616" s="1">
        <f t="shared" ca="1" si="179"/>
        <v>0.1</v>
      </c>
      <c r="R616" s="1">
        <f t="shared" ca="1" si="179"/>
        <v>2</v>
      </c>
      <c r="S616" s="1">
        <f t="shared" ca="1" si="180"/>
        <v>0.1</v>
      </c>
      <c r="T616" s="1">
        <f t="shared" ca="1" si="180"/>
        <v>0.9</v>
      </c>
      <c r="U616" s="1">
        <f t="shared" ca="1" si="180"/>
        <v>38.6666666666667</v>
      </c>
      <c r="V616" s="1">
        <f t="shared" ca="1" si="180"/>
        <v>0</v>
      </c>
      <c r="W616" s="1">
        <f t="shared" ca="1" si="180"/>
        <v>0</v>
      </c>
      <c r="X616" s="1">
        <f t="shared" ca="1" si="180"/>
        <v>0</v>
      </c>
      <c r="Y616" s="1">
        <f t="shared" ca="1" si="180"/>
        <v>35.937840785169001</v>
      </c>
      <c r="Z616" s="1">
        <f t="shared" ca="1" si="180"/>
        <v>0</v>
      </c>
      <c r="AA616" s="1">
        <f t="shared" ca="1" si="180"/>
        <v>0</v>
      </c>
      <c r="AB616" s="1">
        <f t="shared" ca="1" si="178"/>
        <v>0</v>
      </c>
      <c r="AC616" s="1">
        <f t="shared" ca="1" si="180"/>
        <v>28.333500000000001</v>
      </c>
      <c r="AD616" s="1">
        <f t="shared" ca="1" si="180"/>
        <v>28.333500000000001</v>
      </c>
      <c r="AE616" s="1">
        <f t="shared" ca="1" si="180"/>
        <v>28.333500000000001</v>
      </c>
      <c r="AF616" s="1">
        <f t="shared" ca="1" si="180"/>
        <v>42.500250000000001</v>
      </c>
      <c r="AG616" s="1">
        <f t="shared" ca="1" si="180"/>
        <v>28.333500000000001</v>
      </c>
      <c r="AH616" s="1">
        <f t="shared" ca="1" si="180"/>
        <v>28.333500000000001</v>
      </c>
      <c r="AI616" s="1">
        <f t="shared" ca="1" si="176"/>
        <v>28.333500000000001</v>
      </c>
    </row>
    <row r="617" spans="2:35" x14ac:dyDescent="0.15">
      <c r="B617" s="1" t="str">
        <f t="shared" si="171"/>
        <v>火系21</v>
      </c>
      <c r="C617" s="1">
        <f t="shared" si="181"/>
        <v>21</v>
      </c>
      <c r="D617" s="14" t="s">
        <v>96</v>
      </c>
      <c r="E617" s="14">
        <f t="shared" si="182"/>
        <v>7</v>
      </c>
      <c r="F617" s="1" t="str">
        <f t="shared" si="169"/>
        <v>火炎</v>
      </c>
      <c r="H617" s="1">
        <f t="shared" ca="1" si="170"/>
        <v>524.11506759775205</v>
      </c>
      <c r="I617" s="1">
        <f t="shared" ca="1" si="179"/>
        <v>150</v>
      </c>
      <c r="J617" s="1">
        <f t="shared" ca="1" si="179"/>
        <v>228.22499999999999</v>
      </c>
      <c r="K617" s="1">
        <f t="shared" ca="1" si="179"/>
        <v>29.750174999999999</v>
      </c>
      <c r="L617" s="1">
        <f t="shared" ca="1" si="179"/>
        <v>228.22499999999999</v>
      </c>
      <c r="M617" s="1">
        <f t="shared" ca="1" si="179"/>
        <v>29.750174999999999</v>
      </c>
      <c r="N617" s="1">
        <f t="shared" ca="1" si="179"/>
        <v>0.2</v>
      </c>
      <c r="O617" s="1">
        <f t="shared" ca="1" si="179"/>
        <v>0.2</v>
      </c>
      <c r="P617" s="1">
        <f t="shared" ca="1" si="179"/>
        <v>0.36</v>
      </c>
      <c r="Q617" s="1">
        <f t="shared" ca="1" si="179"/>
        <v>0.1</v>
      </c>
      <c r="R617" s="1">
        <f t="shared" ca="1" si="179"/>
        <v>2</v>
      </c>
      <c r="S617" s="1">
        <f t="shared" ca="1" si="180"/>
        <v>0.1</v>
      </c>
      <c r="T617" s="1">
        <f t="shared" ca="1" si="180"/>
        <v>0.9</v>
      </c>
      <c r="U617" s="1">
        <f t="shared" ca="1" si="180"/>
        <v>40.6</v>
      </c>
      <c r="V617" s="1">
        <f t="shared" ca="1" si="180"/>
        <v>0</v>
      </c>
      <c r="W617" s="1">
        <f t="shared" ca="1" si="180"/>
        <v>0</v>
      </c>
      <c r="X617" s="1">
        <f t="shared" ca="1" si="180"/>
        <v>0</v>
      </c>
      <c r="Y617" s="1">
        <f t="shared" ca="1" si="180"/>
        <v>40.162499999999994</v>
      </c>
      <c r="Z617" s="1">
        <f t="shared" ca="1" si="180"/>
        <v>0</v>
      </c>
      <c r="AA617" s="1">
        <f t="shared" ca="1" si="180"/>
        <v>0</v>
      </c>
      <c r="AB617" s="1">
        <f t="shared" ca="1" si="178"/>
        <v>0</v>
      </c>
      <c r="AC617" s="1">
        <f t="shared" ca="1" si="180"/>
        <v>29.750174999999999</v>
      </c>
      <c r="AD617" s="1">
        <f t="shared" ca="1" si="180"/>
        <v>29.750174999999999</v>
      </c>
      <c r="AE617" s="1">
        <f t="shared" ca="1" si="180"/>
        <v>29.750174999999999</v>
      </c>
      <c r="AF617" s="1">
        <f t="shared" ca="1" si="180"/>
        <v>44.625262499999998</v>
      </c>
      <c r="AG617" s="1">
        <f t="shared" ca="1" si="180"/>
        <v>29.750174999999999</v>
      </c>
      <c r="AH617" s="1">
        <f t="shared" ca="1" si="180"/>
        <v>29.750174999999999</v>
      </c>
      <c r="AI617" s="1">
        <f t="shared" ca="1" si="176"/>
        <v>29.750174999999999</v>
      </c>
    </row>
    <row r="618" spans="2:35" x14ac:dyDescent="0.15">
      <c r="B618" s="1" t="str">
        <f t="shared" si="171"/>
        <v>火系22</v>
      </c>
      <c r="C618" s="1">
        <f t="shared" si="181"/>
        <v>22</v>
      </c>
      <c r="D618" s="14" t="s">
        <v>96</v>
      </c>
      <c r="E618" s="14">
        <f t="shared" si="182"/>
        <v>7</v>
      </c>
      <c r="F618" s="1" t="str">
        <f t="shared" si="169"/>
        <v>火炎</v>
      </c>
      <c r="H618" s="1">
        <f t="shared" ca="1" si="170"/>
        <v>552.30276871225306</v>
      </c>
      <c r="I618" s="1">
        <f t="shared" ca="1" si="179"/>
        <v>150</v>
      </c>
      <c r="J618" s="1">
        <f t="shared" ca="1" si="179"/>
        <v>241.009634551495</v>
      </c>
      <c r="K618" s="1">
        <f t="shared" ca="1" si="179"/>
        <v>31.16685</v>
      </c>
      <c r="L618" s="1">
        <f t="shared" ca="1" si="179"/>
        <v>241.009634551495</v>
      </c>
      <c r="M618" s="1">
        <f t="shared" ca="1" si="179"/>
        <v>31.16685</v>
      </c>
      <c r="N618" s="1">
        <f t="shared" ca="1" si="179"/>
        <v>0.2</v>
      </c>
      <c r="O618" s="1">
        <f t="shared" ca="1" si="179"/>
        <v>0.2</v>
      </c>
      <c r="P618" s="1">
        <f t="shared" ca="1" si="179"/>
        <v>0.36</v>
      </c>
      <c r="Q618" s="1">
        <f t="shared" ca="1" si="179"/>
        <v>0.1</v>
      </c>
      <c r="R618" s="1">
        <f t="shared" ca="1" si="179"/>
        <v>2</v>
      </c>
      <c r="S618" s="1">
        <f t="shared" ca="1" si="180"/>
        <v>0.1</v>
      </c>
      <c r="T618" s="1">
        <f t="shared" ca="1" si="180"/>
        <v>0.9</v>
      </c>
      <c r="U618" s="1">
        <f t="shared" ca="1" si="180"/>
        <v>42.533333333333303</v>
      </c>
      <c r="V618" s="1">
        <f t="shared" ca="1" si="180"/>
        <v>0</v>
      </c>
      <c r="W618" s="1">
        <f t="shared" ca="1" si="180"/>
        <v>0</v>
      </c>
      <c r="X618" s="1">
        <f t="shared" ca="1" si="180"/>
        <v>0</v>
      </c>
      <c r="Y618" s="1">
        <f t="shared" ca="1" si="180"/>
        <v>44.681561461794004</v>
      </c>
      <c r="Z618" s="1">
        <f t="shared" ca="1" si="180"/>
        <v>0</v>
      </c>
      <c r="AA618" s="1">
        <f t="shared" ca="1" si="180"/>
        <v>0</v>
      </c>
      <c r="AB618" s="1">
        <f t="shared" ca="1" si="178"/>
        <v>0</v>
      </c>
      <c r="AC618" s="1">
        <f t="shared" ca="1" si="180"/>
        <v>31.16685</v>
      </c>
      <c r="AD618" s="1">
        <f t="shared" ca="1" si="180"/>
        <v>31.16685</v>
      </c>
      <c r="AE618" s="1">
        <f t="shared" ca="1" si="180"/>
        <v>31.16685</v>
      </c>
      <c r="AF618" s="1">
        <f t="shared" ca="1" si="180"/>
        <v>46.750275000000002</v>
      </c>
      <c r="AG618" s="1">
        <f t="shared" ca="1" si="180"/>
        <v>31.16685</v>
      </c>
      <c r="AH618" s="1">
        <f t="shared" ca="1" si="180"/>
        <v>31.16685</v>
      </c>
      <c r="AI618" s="1">
        <f t="shared" ca="1" si="176"/>
        <v>31.16685</v>
      </c>
    </row>
    <row r="619" spans="2:35" x14ac:dyDescent="0.15">
      <c r="B619" s="1" t="str">
        <f t="shared" si="171"/>
        <v>火系23</v>
      </c>
      <c r="C619" s="1">
        <f t="shared" si="181"/>
        <v>23</v>
      </c>
      <c r="D619" s="14" t="s">
        <v>96</v>
      </c>
      <c r="E619" s="14">
        <f t="shared" si="182"/>
        <v>7</v>
      </c>
      <c r="F619" s="1" t="str">
        <f t="shared" si="169"/>
        <v>火炎</v>
      </c>
      <c r="H619" s="1">
        <f t="shared" ca="1" si="170"/>
        <v>602.50505466107904</v>
      </c>
      <c r="I619" s="1">
        <f t="shared" ca="1" si="179"/>
        <v>150</v>
      </c>
      <c r="J619" s="1">
        <f t="shared" ca="1" si="179"/>
        <v>253.98314732142899</v>
      </c>
      <c r="K619" s="1">
        <f t="shared" ca="1" si="179"/>
        <v>32.583525000000002</v>
      </c>
      <c r="L619" s="1">
        <f t="shared" ca="1" si="179"/>
        <v>253.98314732142899</v>
      </c>
      <c r="M619" s="1">
        <f t="shared" ca="1" si="179"/>
        <v>32.583525000000002</v>
      </c>
      <c r="N619" s="1">
        <f t="shared" ca="1" si="179"/>
        <v>0.2</v>
      </c>
      <c r="O619" s="1">
        <f t="shared" ca="1" si="179"/>
        <v>0.2</v>
      </c>
      <c r="P619" s="1">
        <f t="shared" ca="1" si="179"/>
        <v>0.36</v>
      </c>
      <c r="Q619" s="1">
        <f t="shared" ca="1" si="179"/>
        <v>0.1</v>
      </c>
      <c r="R619" s="1">
        <f t="shared" ca="1" si="179"/>
        <v>2</v>
      </c>
      <c r="S619" s="1">
        <f t="shared" ca="1" si="180"/>
        <v>0.1</v>
      </c>
      <c r="T619" s="1">
        <f t="shared" ca="1" si="180"/>
        <v>0.9</v>
      </c>
      <c r="U619" s="1">
        <f t="shared" ca="1" si="180"/>
        <v>44.466666666666697</v>
      </c>
      <c r="V619" s="1">
        <f t="shared" ca="1" si="180"/>
        <v>0</v>
      </c>
      <c r="W619" s="1">
        <f t="shared" ca="1" si="180"/>
        <v>0</v>
      </c>
      <c r="X619" s="1">
        <f t="shared" ca="1" si="180"/>
        <v>0</v>
      </c>
      <c r="Y619" s="1">
        <f t="shared" ca="1" si="180"/>
        <v>49.505189732142895</v>
      </c>
      <c r="Z619" s="1">
        <f t="shared" ca="1" si="180"/>
        <v>0</v>
      </c>
      <c r="AA619" s="1">
        <f t="shared" ca="1" si="180"/>
        <v>0</v>
      </c>
      <c r="AB619" s="1">
        <f t="shared" ca="1" si="180"/>
        <v>0</v>
      </c>
      <c r="AC619" s="1">
        <f t="shared" ca="1" si="180"/>
        <v>32.583525000000002</v>
      </c>
      <c r="AD619" s="1">
        <f t="shared" ca="1" si="180"/>
        <v>32.583525000000002</v>
      </c>
      <c r="AE619" s="1">
        <f t="shared" ca="1" si="180"/>
        <v>32.583525000000002</v>
      </c>
      <c r="AF619" s="1">
        <f t="shared" ca="1" si="180"/>
        <v>48.875287499999999</v>
      </c>
      <c r="AG619" s="1">
        <f t="shared" ca="1" si="180"/>
        <v>32.583525000000002</v>
      </c>
      <c r="AH619" s="1">
        <f t="shared" ca="1" si="180"/>
        <v>32.583525000000002</v>
      </c>
      <c r="AI619" s="1">
        <f t="shared" ca="1" si="176"/>
        <v>32.583525000000002</v>
      </c>
    </row>
    <row r="620" spans="2:35" x14ac:dyDescent="0.15">
      <c r="B620" s="1" t="str">
        <f t="shared" si="171"/>
        <v>火系24</v>
      </c>
      <c r="C620" s="1">
        <f t="shared" si="181"/>
        <v>24</v>
      </c>
      <c r="D620" s="14" t="s">
        <v>96</v>
      </c>
      <c r="E620" s="14">
        <f t="shared" si="182"/>
        <v>7</v>
      </c>
      <c r="F620" s="1" t="str">
        <f t="shared" si="169"/>
        <v>火炎</v>
      </c>
      <c r="H620" s="1">
        <f t="shared" ca="1" si="170"/>
        <v>632.35616454823003</v>
      </c>
      <c r="I620" s="1">
        <f t="shared" ca="1" si="179"/>
        <v>150</v>
      </c>
      <c r="J620" s="1">
        <f t="shared" ca="1" si="179"/>
        <v>267.14780652418398</v>
      </c>
      <c r="K620" s="1">
        <f t="shared" ca="1" si="179"/>
        <v>34.0002</v>
      </c>
      <c r="L620" s="1">
        <f t="shared" ca="1" si="179"/>
        <v>267.14780652418398</v>
      </c>
      <c r="M620" s="1">
        <f t="shared" ca="1" si="179"/>
        <v>34.0002</v>
      </c>
      <c r="N620" s="1">
        <f t="shared" ca="1" si="179"/>
        <v>0.2</v>
      </c>
      <c r="O620" s="1">
        <f t="shared" ca="1" si="179"/>
        <v>0.2</v>
      </c>
      <c r="P620" s="1">
        <f t="shared" ca="1" si="179"/>
        <v>0.36</v>
      </c>
      <c r="Q620" s="1">
        <f t="shared" ca="1" si="179"/>
        <v>0.1</v>
      </c>
      <c r="R620" s="1">
        <f t="shared" ca="1" si="179"/>
        <v>2</v>
      </c>
      <c r="S620" s="1">
        <f t="shared" ca="1" si="180"/>
        <v>0.1</v>
      </c>
      <c r="T620" s="1">
        <f t="shared" ca="1" si="180"/>
        <v>0.9</v>
      </c>
      <c r="U620" s="1">
        <f t="shared" ca="1" si="180"/>
        <v>46.4</v>
      </c>
      <c r="V620" s="1">
        <f t="shared" ca="1" si="180"/>
        <v>0</v>
      </c>
      <c r="W620" s="1">
        <f t="shared" ca="1" si="180"/>
        <v>0</v>
      </c>
      <c r="X620" s="1">
        <f t="shared" ca="1" si="180"/>
        <v>0</v>
      </c>
      <c r="Y620" s="1">
        <f t="shared" ca="1" si="180"/>
        <v>54.643869516310502</v>
      </c>
      <c r="Z620" s="1">
        <f t="shared" ca="1" si="180"/>
        <v>0</v>
      </c>
      <c r="AA620" s="1">
        <f t="shared" ca="1" si="180"/>
        <v>0</v>
      </c>
      <c r="AB620" s="1">
        <f t="shared" ca="1" si="180"/>
        <v>0</v>
      </c>
      <c r="AC620" s="1">
        <f t="shared" ca="1" si="180"/>
        <v>34.0002</v>
      </c>
      <c r="AD620" s="1">
        <f t="shared" ca="1" si="180"/>
        <v>34.0002</v>
      </c>
      <c r="AE620" s="1">
        <f t="shared" ca="1" si="180"/>
        <v>34.0002</v>
      </c>
      <c r="AF620" s="1">
        <f t="shared" ca="1" si="180"/>
        <v>51.000299999999996</v>
      </c>
      <c r="AG620" s="1">
        <f t="shared" ca="1" si="180"/>
        <v>34.0002</v>
      </c>
      <c r="AH620" s="1">
        <f t="shared" ca="1" si="180"/>
        <v>34.0002</v>
      </c>
      <c r="AI620" s="1">
        <f t="shared" ca="1" si="176"/>
        <v>34.0002</v>
      </c>
    </row>
    <row r="621" spans="2:35" x14ac:dyDescent="0.15">
      <c r="B621" s="1" t="str">
        <f t="shared" si="171"/>
        <v>火系25</v>
      </c>
      <c r="C621" s="1">
        <f t="shared" si="181"/>
        <v>25</v>
      </c>
      <c r="D621" s="14" t="s">
        <v>96</v>
      </c>
      <c r="E621" s="14">
        <f t="shared" si="182"/>
        <v>7</v>
      </c>
      <c r="F621" s="1" t="str">
        <f t="shared" si="169"/>
        <v>火炎</v>
      </c>
      <c r="H621" s="1">
        <f t="shared" ca="1" si="170"/>
        <v>662.51187759749598</v>
      </c>
      <c r="I621" s="1">
        <f t="shared" ca="1" si="179"/>
        <v>150</v>
      </c>
      <c r="J621" s="1">
        <f t="shared" ca="1" si="179"/>
        <v>280.50595238095201</v>
      </c>
      <c r="K621" s="1">
        <f t="shared" ca="1" si="179"/>
        <v>35.416874999999997</v>
      </c>
      <c r="L621" s="1">
        <f t="shared" ca="1" si="179"/>
        <v>280.50595238095201</v>
      </c>
      <c r="M621" s="1">
        <f t="shared" ca="1" si="179"/>
        <v>35.416874999999997</v>
      </c>
      <c r="N621" s="1">
        <f t="shared" ca="1" si="179"/>
        <v>0.2</v>
      </c>
      <c r="O621" s="1">
        <f t="shared" ca="1" si="179"/>
        <v>0.2</v>
      </c>
      <c r="P621" s="1">
        <f t="shared" ca="1" si="179"/>
        <v>0.36</v>
      </c>
      <c r="Q621" s="1">
        <f t="shared" ca="1" si="179"/>
        <v>0.1</v>
      </c>
      <c r="R621" s="1">
        <f t="shared" ca="1" si="179"/>
        <v>2</v>
      </c>
      <c r="S621" s="1">
        <f t="shared" ca="1" si="180"/>
        <v>0.1</v>
      </c>
      <c r="T621" s="1">
        <f t="shared" ca="1" si="180"/>
        <v>0.9</v>
      </c>
      <c r="U621" s="1">
        <f t="shared" ca="1" si="180"/>
        <v>48.3333333333333</v>
      </c>
      <c r="V621" s="1">
        <f t="shared" ca="1" si="180"/>
        <v>0</v>
      </c>
      <c r="W621" s="1">
        <f t="shared" ca="1" si="180"/>
        <v>0</v>
      </c>
      <c r="X621" s="1">
        <f t="shared" ca="1" si="180"/>
        <v>0</v>
      </c>
      <c r="Y621" s="1">
        <f t="shared" ca="1" si="180"/>
        <v>60.1084183673469</v>
      </c>
      <c r="Z621" s="1">
        <f t="shared" ca="1" si="180"/>
        <v>0</v>
      </c>
      <c r="AA621" s="1">
        <f t="shared" ca="1" si="180"/>
        <v>0</v>
      </c>
      <c r="AB621" s="1">
        <f t="shared" ca="1" si="180"/>
        <v>0</v>
      </c>
      <c r="AC621" s="1">
        <f t="shared" ca="1" si="180"/>
        <v>35.416874999999997</v>
      </c>
      <c r="AD621" s="1">
        <f t="shared" ca="1" si="180"/>
        <v>35.416874999999997</v>
      </c>
      <c r="AE621" s="1">
        <f t="shared" ca="1" si="180"/>
        <v>35.416874999999997</v>
      </c>
      <c r="AF621" s="1">
        <f t="shared" ca="1" si="180"/>
        <v>53.125312499999993</v>
      </c>
      <c r="AG621" s="1">
        <f t="shared" ca="1" si="180"/>
        <v>35.416874999999997</v>
      </c>
      <c r="AH621" s="1">
        <f t="shared" ca="1" si="180"/>
        <v>35.416874999999997</v>
      </c>
      <c r="AI621" s="1">
        <f t="shared" ca="1" si="176"/>
        <v>35.416874999999997</v>
      </c>
    </row>
    <row r="622" spans="2:35" x14ac:dyDescent="0.15">
      <c r="B622" s="1" t="str">
        <f t="shared" si="171"/>
        <v>火系26</v>
      </c>
      <c r="C622" s="1">
        <f t="shared" si="181"/>
        <v>26</v>
      </c>
      <c r="D622" s="14" t="s">
        <v>96</v>
      </c>
      <c r="E622" s="14">
        <f t="shared" si="182"/>
        <v>7</v>
      </c>
      <c r="F622" s="1" t="str">
        <f t="shared" si="169"/>
        <v>火炎</v>
      </c>
      <c r="H622" s="1">
        <f t="shared" ca="1" si="170"/>
        <v>692.97219380887498</v>
      </c>
      <c r="I622" s="1">
        <f t="shared" ca="1" si="179"/>
        <v>150</v>
      </c>
      <c r="J622" s="1">
        <f t="shared" ca="1" si="179"/>
        <v>294.06</v>
      </c>
      <c r="K622" s="1">
        <f t="shared" ca="1" si="179"/>
        <v>36.833550000000002</v>
      </c>
      <c r="L622" s="1">
        <f t="shared" ca="1" si="179"/>
        <v>294.06</v>
      </c>
      <c r="M622" s="1">
        <f t="shared" ca="1" si="179"/>
        <v>36.833550000000002</v>
      </c>
      <c r="N622" s="1">
        <f t="shared" ca="1" si="179"/>
        <v>0.2</v>
      </c>
      <c r="O622" s="1">
        <f t="shared" ca="1" si="179"/>
        <v>0.2</v>
      </c>
      <c r="P622" s="1">
        <f t="shared" ca="1" si="179"/>
        <v>0.36</v>
      </c>
      <c r="Q622" s="1">
        <f t="shared" ca="1" si="179"/>
        <v>0.1</v>
      </c>
      <c r="R622" s="1">
        <f t="shared" ca="1" si="179"/>
        <v>2</v>
      </c>
      <c r="S622" s="1">
        <f t="shared" ca="1" si="180"/>
        <v>0.1</v>
      </c>
      <c r="T622" s="1">
        <f t="shared" ca="1" si="180"/>
        <v>0.9</v>
      </c>
      <c r="U622" s="1">
        <f t="shared" ca="1" si="180"/>
        <v>50.266666666666701</v>
      </c>
      <c r="V622" s="1">
        <f t="shared" ca="1" si="180"/>
        <v>0</v>
      </c>
      <c r="W622" s="1">
        <f t="shared" ca="1" si="180"/>
        <v>0</v>
      </c>
      <c r="X622" s="1">
        <f t="shared" ca="1" si="180"/>
        <v>0</v>
      </c>
      <c r="Y622" s="1">
        <f t="shared" ca="1" si="180"/>
        <v>65.91</v>
      </c>
      <c r="Z622" s="1">
        <f t="shared" ca="1" si="180"/>
        <v>0</v>
      </c>
      <c r="AA622" s="1">
        <f t="shared" ca="1" si="180"/>
        <v>0</v>
      </c>
      <c r="AB622" s="1">
        <f t="shared" ca="1" si="180"/>
        <v>0</v>
      </c>
      <c r="AC622" s="1">
        <f t="shared" ca="1" si="180"/>
        <v>36.833550000000002</v>
      </c>
      <c r="AD622" s="1">
        <f t="shared" ca="1" si="180"/>
        <v>36.833550000000002</v>
      </c>
      <c r="AE622" s="1">
        <f t="shared" ca="1" si="180"/>
        <v>36.833550000000002</v>
      </c>
      <c r="AF622" s="1">
        <f t="shared" ca="1" si="180"/>
        <v>55.250325000000004</v>
      </c>
      <c r="AG622" s="1">
        <f t="shared" ca="1" si="180"/>
        <v>36.833550000000002</v>
      </c>
      <c r="AH622" s="1">
        <f t="shared" ca="1" si="180"/>
        <v>36.833550000000002</v>
      </c>
      <c r="AI622" s="1">
        <f t="shared" ca="1" si="176"/>
        <v>36.833550000000002</v>
      </c>
    </row>
    <row r="623" spans="2:35" x14ac:dyDescent="0.15">
      <c r="B623" s="1" t="str">
        <f t="shared" si="171"/>
        <v>火系27</v>
      </c>
      <c r="C623" s="1">
        <f t="shared" si="181"/>
        <v>27</v>
      </c>
      <c r="D623" s="14" t="s">
        <v>96</v>
      </c>
      <c r="E623" s="14">
        <f t="shared" si="182"/>
        <v>7</v>
      </c>
      <c r="F623" s="1" t="str">
        <f t="shared" si="169"/>
        <v>火炎</v>
      </c>
      <c r="H623" s="1">
        <f t="shared" ca="1" si="170"/>
        <v>723.73711318236803</v>
      </c>
      <c r="I623" s="1">
        <f t="shared" ref="I623:R632" ca="1" si="183">mVlookup($C623,monsterBaseDate,I$2,FALSE)*(1+mVlookup($E623,monsterType,I$2,FALSE))</f>
        <v>150</v>
      </c>
      <c r="J623" s="1">
        <f t="shared" ca="1" si="183"/>
        <v>307.81244239631297</v>
      </c>
      <c r="K623" s="1">
        <f t="shared" ca="1" si="183"/>
        <v>38.250225</v>
      </c>
      <c r="L623" s="1">
        <f t="shared" ca="1" si="183"/>
        <v>307.81244239631297</v>
      </c>
      <c r="M623" s="1">
        <f t="shared" ca="1" si="183"/>
        <v>38.250225</v>
      </c>
      <c r="N623" s="1">
        <f t="shared" ca="1" si="183"/>
        <v>0.2</v>
      </c>
      <c r="O623" s="1">
        <f t="shared" ca="1" si="183"/>
        <v>0.2</v>
      </c>
      <c r="P623" s="1">
        <f t="shared" ca="1" si="183"/>
        <v>0.36</v>
      </c>
      <c r="Q623" s="1">
        <f t="shared" ca="1" si="183"/>
        <v>0.1</v>
      </c>
      <c r="R623" s="1">
        <f t="shared" ca="1" si="183"/>
        <v>2</v>
      </c>
      <c r="S623" s="1">
        <f t="shared" ref="S623:AH638" ca="1" si="184">mVlookup($C623,monsterBaseDate,S$2,FALSE)*(1+mVlookup($E623,monsterType,S$2,FALSE))</f>
        <v>0.1</v>
      </c>
      <c r="T623" s="1">
        <f t="shared" ca="1" si="184"/>
        <v>0.9</v>
      </c>
      <c r="U623" s="1">
        <f t="shared" ca="1" si="184"/>
        <v>52.2</v>
      </c>
      <c r="V623" s="1">
        <f t="shared" ca="1" si="184"/>
        <v>0</v>
      </c>
      <c r="W623" s="1">
        <f t="shared" ca="1" si="184"/>
        <v>0</v>
      </c>
      <c r="X623" s="1">
        <f t="shared" ca="1" si="184"/>
        <v>0</v>
      </c>
      <c r="Y623" s="1">
        <f t="shared" ca="1" si="184"/>
        <v>72.060138248847892</v>
      </c>
      <c r="Z623" s="1">
        <f t="shared" ca="1" si="184"/>
        <v>0</v>
      </c>
      <c r="AA623" s="1">
        <f t="shared" ca="1" si="184"/>
        <v>0</v>
      </c>
      <c r="AB623" s="1">
        <f t="shared" ca="1" si="180"/>
        <v>0</v>
      </c>
      <c r="AC623" s="1">
        <f t="shared" ca="1" si="184"/>
        <v>38.250225</v>
      </c>
      <c r="AD623" s="1">
        <f t="shared" ca="1" si="184"/>
        <v>38.250225</v>
      </c>
      <c r="AE623" s="1">
        <f t="shared" ca="1" si="184"/>
        <v>38.250225</v>
      </c>
      <c r="AF623" s="1">
        <f t="shared" ca="1" si="184"/>
        <v>57.375337500000001</v>
      </c>
      <c r="AG623" s="1">
        <f t="shared" ca="1" si="184"/>
        <v>38.250225</v>
      </c>
      <c r="AH623" s="1">
        <f t="shared" ca="1" si="184"/>
        <v>38.250225</v>
      </c>
      <c r="AI623" s="1">
        <f t="shared" ca="1" si="176"/>
        <v>38.250225</v>
      </c>
    </row>
    <row r="624" spans="2:35" x14ac:dyDescent="0.15">
      <c r="B624" s="1" t="str">
        <f t="shared" si="171"/>
        <v>火系28</v>
      </c>
      <c r="C624" s="1">
        <f t="shared" si="181"/>
        <v>28</v>
      </c>
      <c r="D624" s="14" t="s">
        <v>96</v>
      </c>
      <c r="E624" s="14">
        <f t="shared" si="182"/>
        <v>7</v>
      </c>
      <c r="F624" s="1" t="str">
        <f t="shared" si="169"/>
        <v>火炎</v>
      </c>
      <c r="H624" s="1">
        <f t="shared" ca="1" si="170"/>
        <v>754.80663571797402</v>
      </c>
      <c r="I624" s="1">
        <f t="shared" ca="1" si="183"/>
        <v>150</v>
      </c>
      <c r="J624" s="1">
        <f t="shared" ca="1" si="183"/>
        <v>321.76585365853703</v>
      </c>
      <c r="K624" s="1">
        <f t="shared" ca="1" si="183"/>
        <v>39.666899999999998</v>
      </c>
      <c r="L624" s="1">
        <f t="shared" ca="1" si="183"/>
        <v>321.76585365853703</v>
      </c>
      <c r="M624" s="1">
        <f t="shared" ca="1" si="183"/>
        <v>39.666899999999998</v>
      </c>
      <c r="N624" s="1">
        <f t="shared" ca="1" si="183"/>
        <v>0.2</v>
      </c>
      <c r="O624" s="1">
        <f t="shared" ca="1" si="183"/>
        <v>0.2</v>
      </c>
      <c r="P624" s="1">
        <f t="shared" ca="1" si="183"/>
        <v>0.36</v>
      </c>
      <c r="Q624" s="1">
        <f t="shared" ca="1" si="183"/>
        <v>0.1</v>
      </c>
      <c r="R624" s="1">
        <f t="shared" ca="1" si="183"/>
        <v>2</v>
      </c>
      <c r="S624" s="1">
        <f t="shared" ca="1" si="184"/>
        <v>0.1</v>
      </c>
      <c r="T624" s="1">
        <f t="shared" ca="1" si="184"/>
        <v>0.9</v>
      </c>
      <c r="U624" s="1">
        <f t="shared" ca="1" si="184"/>
        <v>54.133333333333297</v>
      </c>
      <c r="V624" s="1">
        <f t="shared" ca="1" si="184"/>
        <v>0</v>
      </c>
      <c r="W624" s="1">
        <f t="shared" ca="1" si="184"/>
        <v>0</v>
      </c>
      <c r="X624" s="1">
        <f t="shared" ca="1" si="184"/>
        <v>0</v>
      </c>
      <c r="Y624" s="1">
        <f t="shared" ca="1" si="184"/>
        <v>78.570731707317151</v>
      </c>
      <c r="Z624" s="1">
        <f t="shared" ca="1" si="184"/>
        <v>0</v>
      </c>
      <c r="AA624" s="1">
        <f t="shared" ca="1" si="184"/>
        <v>0</v>
      </c>
      <c r="AB624" s="1">
        <f t="shared" ca="1" si="180"/>
        <v>0</v>
      </c>
      <c r="AC624" s="1">
        <f t="shared" ca="1" si="184"/>
        <v>39.666899999999998</v>
      </c>
      <c r="AD624" s="1">
        <f t="shared" ca="1" si="184"/>
        <v>39.666899999999998</v>
      </c>
      <c r="AE624" s="1">
        <f t="shared" ca="1" si="184"/>
        <v>39.666899999999998</v>
      </c>
      <c r="AF624" s="1">
        <f t="shared" ca="1" si="184"/>
        <v>59.500349999999997</v>
      </c>
      <c r="AG624" s="1">
        <f t="shared" ca="1" si="184"/>
        <v>39.666899999999998</v>
      </c>
      <c r="AH624" s="1">
        <f t="shared" ca="1" si="184"/>
        <v>39.666899999999998</v>
      </c>
      <c r="AI624" s="1">
        <f t="shared" ca="1" si="176"/>
        <v>39.666899999999998</v>
      </c>
    </row>
    <row r="625" spans="2:35" x14ac:dyDescent="0.15">
      <c r="B625" s="1" t="str">
        <f t="shared" si="171"/>
        <v>火系29</v>
      </c>
      <c r="C625" s="1">
        <f t="shared" si="181"/>
        <v>29</v>
      </c>
      <c r="D625" s="14" t="s">
        <v>96</v>
      </c>
      <c r="E625" s="14">
        <f t="shared" si="182"/>
        <v>7</v>
      </c>
      <c r="F625" s="1" t="str">
        <f t="shared" si="169"/>
        <v>火炎</v>
      </c>
      <c r="H625" s="1">
        <f t="shared" ca="1" si="170"/>
        <v>786.18076141569497</v>
      </c>
      <c r="I625" s="1">
        <f t="shared" ca="1" si="183"/>
        <v>150</v>
      </c>
      <c r="J625" s="1">
        <f t="shared" ca="1" si="183"/>
        <v>335.92289227166299</v>
      </c>
      <c r="K625" s="1">
        <f t="shared" ca="1" si="183"/>
        <v>41.083575000000003</v>
      </c>
      <c r="L625" s="1">
        <f t="shared" ca="1" si="183"/>
        <v>335.92289227166299</v>
      </c>
      <c r="M625" s="1">
        <f t="shared" ca="1" si="183"/>
        <v>41.083575000000003</v>
      </c>
      <c r="N625" s="1">
        <f t="shared" ca="1" si="183"/>
        <v>0.2</v>
      </c>
      <c r="O625" s="1">
        <f t="shared" ca="1" si="183"/>
        <v>0.2</v>
      </c>
      <c r="P625" s="1">
        <f t="shared" ca="1" si="183"/>
        <v>0.36</v>
      </c>
      <c r="Q625" s="1">
        <f t="shared" ca="1" si="183"/>
        <v>0.1</v>
      </c>
      <c r="R625" s="1">
        <f t="shared" ca="1" si="183"/>
        <v>2</v>
      </c>
      <c r="S625" s="1">
        <f t="shared" ca="1" si="184"/>
        <v>0.1</v>
      </c>
      <c r="T625" s="1">
        <f t="shared" ca="1" si="184"/>
        <v>0.9</v>
      </c>
      <c r="U625" s="1">
        <f t="shared" ca="1" si="184"/>
        <v>56.066666666666698</v>
      </c>
      <c r="V625" s="1">
        <f t="shared" ca="1" si="184"/>
        <v>0</v>
      </c>
      <c r="W625" s="1">
        <f t="shared" ca="1" si="184"/>
        <v>0</v>
      </c>
      <c r="X625" s="1">
        <f t="shared" ca="1" si="184"/>
        <v>0</v>
      </c>
      <c r="Y625" s="1">
        <f t="shared" ca="1" si="184"/>
        <v>85.45406908665106</v>
      </c>
      <c r="Z625" s="1">
        <f t="shared" ca="1" si="184"/>
        <v>0</v>
      </c>
      <c r="AA625" s="1">
        <f t="shared" ca="1" si="184"/>
        <v>0</v>
      </c>
      <c r="AB625" s="1">
        <f t="shared" ca="1" si="180"/>
        <v>0</v>
      </c>
      <c r="AC625" s="1">
        <f t="shared" ca="1" si="184"/>
        <v>41.083575000000003</v>
      </c>
      <c r="AD625" s="1">
        <f t="shared" ca="1" si="184"/>
        <v>41.083575000000003</v>
      </c>
      <c r="AE625" s="1">
        <f t="shared" ca="1" si="184"/>
        <v>41.083575000000003</v>
      </c>
      <c r="AF625" s="1">
        <f t="shared" ca="1" si="184"/>
        <v>61.625362500000008</v>
      </c>
      <c r="AG625" s="1">
        <f t="shared" ca="1" si="184"/>
        <v>41.083575000000003</v>
      </c>
      <c r="AH625" s="1">
        <f t="shared" ca="1" si="184"/>
        <v>41.083575000000003</v>
      </c>
      <c r="AI625" s="1">
        <f t="shared" ca="1" si="176"/>
        <v>41.083575000000003</v>
      </c>
    </row>
    <row r="626" spans="2:35" x14ac:dyDescent="0.15">
      <c r="B626" s="1" t="str">
        <f t="shared" si="171"/>
        <v>火系30</v>
      </c>
      <c r="C626" s="1">
        <f t="shared" si="181"/>
        <v>30</v>
      </c>
      <c r="D626" s="14" t="s">
        <v>96</v>
      </c>
      <c r="E626" s="14">
        <f t="shared" si="182"/>
        <v>7</v>
      </c>
      <c r="F626" s="1" t="str">
        <f t="shared" si="169"/>
        <v>火炎</v>
      </c>
      <c r="H626" s="1">
        <f t="shared" ca="1" si="170"/>
        <v>817.85949027552897</v>
      </c>
      <c r="I626" s="1">
        <f t="shared" ca="1" si="183"/>
        <v>150</v>
      </c>
      <c r="J626" s="1">
        <f t="shared" ca="1" si="183"/>
        <v>350.28630460448602</v>
      </c>
      <c r="K626" s="1">
        <f t="shared" ca="1" si="183"/>
        <v>42.500250000000001</v>
      </c>
      <c r="L626" s="1">
        <f t="shared" ca="1" si="183"/>
        <v>350.28630460448602</v>
      </c>
      <c r="M626" s="1">
        <f t="shared" ca="1" si="183"/>
        <v>42.500250000000001</v>
      </c>
      <c r="N626" s="1">
        <f t="shared" ca="1" si="183"/>
        <v>0.2</v>
      </c>
      <c r="O626" s="1">
        <f t="shared" ca="1" si="183"/>
        <v>0.2</v>
      </c>
      <c r="P626" s="1">
        <f t="shared" ca="1" si="183"/>
        <v>0.36</v>
      </c>
      <c r="Q626" s="1">
        <f t="shared" ca="1" si="183"/>
        <v>0.1</v>
      </c>
      <c r="R626" s="1">
        <f t="shared" ca="1" si="183"/>
        <v>2</v>
      </c>
      <c r="S626" s="1">
        <f t="shared" ca="1" si="184"/>
        <v>0.1</v>
      </c>
      <c r="T626" s="1">
        <f t="shared" ca="1" si="184"/>
        <v>0.9</v>
      </c>
      <c r="U626" s="1">
        <f t="shared" ca="1" si="184"/>
        <v>58</v>
      </c>
      <c r="V626" s="1">
        <f t="shared" ca="1" si="184"/>
        <v>0</v>
      </c>
      <c r="W626" s="1">
        <f t="shared" ca="1" si="184"/>
        <v>0</v>
      </c>
      <c r="X626" s="1">
        <f t="shared" ca="1" si="184"/>
        <v>0</v>
      </c>
      <c r="Y626" s="1">
        <f t="shared" ca="1" si="184"/>
        <v>92.72284533648164</v>
      </c>
      <c r="Z626" s="1">
        <f t="shared" ca="1" si="184"/>
        <v>0</v>
      </c>
      <c r="AA626" s="1">
        <f t="shared" ca="1" si="184"/>
        <v>0</v>
      </c>
      <c r="AB626" s="1">
        <f t="shared" ca="1" si="180"/>
        <v>0</v>
      </c>
      <c r="AC626" s="1">
        <f t="shared" ca="1" si="184"/>
        <v>42.500250000000001</v>
      </c>
      <c r="AD626" s="1">
        <f t="shared" ca="1" si="184"/>
        <v>42.500250000000001</v>
      </c>
      <c r="AE626" s="1">
        <f t="shared" ca="1" si="184"/>
        <v>42.500250000000001</v>
      </c>
      <c r="AF626" s="1">
        <f t="shared" ca="1" si="184"/>
        <v>63.750375000000005</v>
      </c>
      <c r="AG626" s="1">
        <f t="shared" ca="1" si="184"/>
        <v>42.500250000000001</v>
      </c>
      <c r="AH626" s="1">
        <f t="shared" ca="1" si="184"/>
        <v>42.500250000000001</v>
      </c>
      <c r="AI626" s="1">
        <f t="shared" ca="1" si="176"/>
        <v>42.500250000000001</v>
      </c>
    </row>
    <row r="627" spans="2:35" x14ac:dyDescent="0.15">
      <c r="B627" s="1" t="str">
        <f t="shared" si="171"/>
        <v>火系31</v>
      </c>
      <c r="C627" s="1">
        <f t="shared" si="181"/>
        <v>31</v>
      </c>
      <c r="D627" s="14" t="s">
        <v>96</v>
      </c>
      <c r="E627" s="14">
        <f t="shared" si="182"/>
        <v>7</v>
      </c>
      <c r="F627" s="1" t="str">
        <f t="shared" si="169"/>
        <v>火炎</v>
      </c>
      <c r="H627" s="1">
        <f t="shared" ca="1" si="170"/>
        <v>849.84282229747703</v>
      </c>
      <c r="I627" s="1">
        <f t="shared" ca="1" si="183"/>
        <v>150</v>
      </c>
      <c r="J627" s="1">
        <f t="shared" ca="1" si="183"/>
        <v>364.85892857142898</v>
      </c>
      <c r="K627" s="1">
        <f t="shared" ca="1" si="183"/>
        <v>43.916924999999999</v>
      </c>
      <c r="L627" s="1">
        <f t="shared" ca="1" si="183"/>
        <v>364.85892857142898</v>
      </c>
      <c r="M627" s="1">
        <f t="shared" ca="1" si="183"/>
        <v>43.916924999999999</v>
      </c>
      <c r="N627" s="1">
        <f t="shared" ca="1" si="183"/>
        <v>0.2</v>
      </c>
      <c r="O627" s="1">
        <f t="shared" ca="1" si="183"/>
        <v>0.2</v>
      </c>
      <c r="P627" s="1">
        <f t="shared" ca="1" si="183"/>
        <v>0.36</v>
      </c>
      <c r="Q627" s="1">
        <f t="shared" ca="1" si="183"/>
        <v>0.1</v>
      </c>
      <c r="R627" s="1">
        <f t="shared" ca="1" si="183"/>
        <v>2</v>
      </c>
      <c r="S627" s="1">
        <f t="shared" ca="1" si="184"/>
        <v>0.1</v>
      </c>
      <c r="T627" s="1">
        <f t="shared" ca="1" si="184"/>
        <v>0.9</v>
      </c>
      <c r="U627" s="1">
        <f t="shared" ca="1" si="184"/>
        <v>59.933333333333302</v>
      </c>
      <c r="V627" s="1">
        <f t="shared" ca="1" si="184"/>
        <v>0</v>
      </c>
      <c r="W627" s="1">
        <f t="shared" ca="1" si="184"/>
        <v>0</v>
      </c>
      <c r="X627" s="1">
        <f t="shared" ca="1" si="184"/>
        <v>0</v>
      </c>
      <c r="Y627" s="1">
        <f t="shared" ca="1" si="184"/>
        <v>100.39017857142855</v>
      </c>
      <c r="Z627" s="1">
        <f t="shared" ca="1" si="184"/>
        <v>0</v>
      </c>
      <c r="AA627" s="1">
        <f t="shared" ca="1" si="184"/>
        <v>0</v>
      </c>
      <c r="AB627" s="1">
        <f t="shared" ca="1" si="180"/>
        <v>0</v>
      </c>
      <c r="AC627" s="1">
        <f t="shared" ca="1" si="184"/>
        <v>43.916924999999999</v>
      </c>
      <c r="AD627" s="1">
        <f t="shared" ca="1" si="184"/>
        <v>43.916924999999999</v>
      </c>
      <c r="AE627" s="1">
        <f t="shared" ca="1" si="184"/>
        <v>43.916924999999999</v>
      </c>
      <c r="AF627" s="1">
        <f t="shared" ca="1" si="184"/>
        <v>65.875387500000002</v>
      </c>
      <c r="AG627" s="1">
        <f t="shared" ca="1" si="184"/>
        <v>43.916924999999999</v>
      </c>
      <c r="AH627" s="1">
        <f t="shared" ca="1" si="184"/>
        <v>43.916924999999999</v>
      </c>
      <c r="AI627" s="1">
        <f t="shared" ca="1" si="176"/>
        <v>43.916924999999999</v>
      </c>
    </row>
    <row r="628" spans="2:35" x14ac:dyDescent="0.15">
      <c r="B628" s="1" t="str">
        <f t="shared" si="171"/>
        <v>火系32</v>
      </c>
      <c r="C628" s="1">
        <f t="shared" si="181"/>
        <v>32</v>
      </c>
      <c r="D628" s="14" t="s">
        <v>96</v>
      </c>
      <c r="E628" s="14">
        <f t="shared" si="182"/>
        <v>7</v>
      </c>
      <c r="F628" s="1" t="str">
        <f t="shared" si="169"/>
        <v>火炎</v>
      </c>
      <c r="H628" s="1">
        <f t="shared" ca="1" si="170"/>
        <v>882.13075748153904</v>
      </c>
      <c r="I628" s="1">
        <f t="shared" ca="1" si="183"/>
        <v>150</v>
      </c>
      <c r="J628" s="1">
        <f t="shared" ca="1" si="183"/>
        <v>379.64369747899201</v>
      </c>
      <c r="K628" s="1">
        <f t="shared" ca="1" si="183"/>
        <v>45.333599999999997</v>
      </c>
      <c r="L628" s="1">
        <f t="shared" ca="1" si="183"/>
        <v>379.64369747899201</v>
      </c>
      <c r="M628" s="1">
        <f t="shared" ca="1" si="183"/>
        <v>45.333599999999997</v>
      </c>
      <c r="N628" s="1">
        <f t="shared" ca="1" si="183"/>
        <v>0.2</v>
      </c>
      <c r="O628" s="1">
        <f t="shared" ca="1" si="183"/>
        <v>0.2</v>
      </c>
      <c r="P628" s="1">
        <f t="shared" ca="1" si="183"/>
        <v>0.36</v>
      </c>
      <c r="Q628" s="1">
        <f t="shared" ca="1" si="183"/>
        <v>0.1</v>
      </c>
      <c r="R628" s="1">
        <f t="shared" ca="1" si="183"/>
        <v>2</v>
      </c>
      <c r="S628" s="1">
        <f t="shared" ca="1" si="184"/>
        <v>0.1</v>
      </c>
      <c r="T628" s="1">
        <f t="shared" ca="1" si="184"/>
        <v>0.9</v>
      </c>
      <c r="U628" s="1">
        <f t="shared" ca="1" si="184"/>
        <v>61.866666666666703</v>
      </c>
      <c r="V628" s="1">
        <f t="shared" ca="1" si="184"/>
        <v>0</v>
      </c>
      <c r="W628" s="1">
        <f t="shared" ca="1" si="184"/>
        <v>0</v>
      </c>
      <c r="X628" s="1">
        <f t="shared" ca="1" si="184"/>
        <v>0</v>
      </c>
      <c r="Y628" s="1">
        <f t="shared" ca="1" si="184"/>
        <v>108.46962785114042</v>
      </c>
      <c r="Z628" s="1">
        <f t="shared" ca="1" si="184"/>
        <v>0</v>
      </c>
      <c r="AA628" s="1">
        <f t="shared" ca="1" si="184"/>
        <v>0</v>
      </c>
      <c r="AB628" s="1">
        <f t="shared" ca="1" si="180"/>
        <v>0</v>
      </c>
      <c r="AC628" s="1">
        <f t="shared" ca="1" si="184"/>
        <v>45.333599999999997</v>
      </c>
      <c r="AD628" s="1">
        <f t="shared" ca="1" si="184"/>
        <v>45.333599999999997</v>
      </c>
      <c r="AE628" s="1">
        <f t="shared" ca="1" si="184"/>
        <v>45.333599999999997</v>
      </c>
      <c r="AF628" s="1">
        <f t="shared" ca="1" si="184"/>
        <v>68.000399999999999</v>
      </c>
      <c r="AG628" s="1">
        <f t="shared" ca="1" si="184"/>
        <v>45.333599999999997</v>
      </c>
      <c r="AH628" s="1">
        <f t="shared" ca="1" si="184"/>
        <v>45.333599999999997</v>
      </c>
      <c r="AI628" s="1">
        <f t="shared" ca="1" si="176"/>
        <v>45.333599999999997</v>
      </c>
    </row>
    <row r="629" spans="2:35" x14ac:dyDescent="0.15">
      <c r="B629" s="1" t="str">
        <f t="shared" si="171"/>
        <v>火系33</v>
      </c>
      <c r="C629" s="1">
        <f t="shared" si="181"/>
        <v>33</v>
      </c>
      <c r="D629" s="14" t="s">
        <v>96</v>
      </c>
      <c r="E629" s="14">
        <f t="shared" si="182"/>
        <v>7</v>
      </c>
      <c r="F629" s="1" t="str">
        <f t="shared" si="169"/>
        <v>火炎</v>
      </c>
      <c r="H629" s="1">
        <f t="shared" ca="1" si="170"/>
        <v>914.72329582771499</v>
      </c>
      <c r="I629" s="1">
        <f t="shared" ca="1" si="183"/>
        <v>150</v>
      </c>
      <c r="J629" s="1">
        <f t="shared" ca="1" si="183"/>
        <v>394.64364406779703</v>
      </c>
      <c r="K629" s="1">
        <f t="shared" ca="1" si="183"/>
        <v>46.750275000000002</v>
      </c>
      <c r="L629" s="1">
        <f t="shared" ca="1" si="183"/>
        <v>394.64364406779703</v>
      </c>
      <c r="M629" s="1">
        <f t="shared" ca="1" si="183"/>
        <v>46.750275000000002</v>
      </c>
      <c r="N629" s="1">
        <f t="shared" ca="1" si="183"/>
        <v>0.2</v>
      </c>
      <c r="O629" s="1">
        <f t="shared" ca="1" si="183"/>
        <v>0.2</v>
      </c>
      <c r="P629" s="1">
        <f t="shared" ca="1" si="183"/>
        <v>0.36</v>
      </c>
      <c r="Q629" s="1">
        <f t="shared" ca="1" si="183"/>
        <v>0.1</v>
      </c>
      <c r="R629" s="1">
        <f t="shared" ca="1" si="183"/>
        <v>2</v>
      </c>
      <c r="S629" s="1">
        <f t="shared" ca="1" si="184"/>
        <v>0.1</v>
      </c>
      <c r="T629" s="1">
        <f t="shared" ca="1" si="184"/>
        <v>0.9</v>
      </c>
      <c r="U629" s="1">
        <f t="shared" ca="1" si="184"/>
        <v>63.8</v>
      </c>
      <c r="V629" s="1">
        <f t="shared" ca="1" si="184"/>
        <v>0</v>
      </c>
      <c r="W629" s="1">
        <f t="shared" ca="1" si="184"/>
        <v>0</v>
      </c>
      <c r="X629" s="1">
        <f t="shared" ca="1" si="184"/>
        <v>0</v>
      </c>
      <c r="Y629" s="1">
        <f t="shared" ca="1" si="184"/>
        <v>116.97521186440682</v>
      </c>
      <c r="Z629" s="1">
        <f t="shared" ca="1" si="184"/>
        <v>0</v>
      </c>
      <c r="AA629" s="1">
        <f t="shared" ca="1" si="184"/>
        <v>0</v>
      </c>
      <c r="AB629" s="1">
        <f t="shared" ca="1" si="184"/>
        <v>0</v>
      </c>
      <c r="AC629" s="1">
        <f t="shared" ca="1" si="184"/>
        <v>46.750275000000002</v>
      </c>
      <c r="AD629" s="1">
        <f t="shared" ca="1" si="184"/>
        <v>46.750275000000002</v>
      </c>
      <c r="AE629" s="1">
        <f t="shared" ca="1" si="184"/>
        <v>46.750275000000002</v>
      </c>
      <c r="AF629" s="1">
        <f t="shared" ca="1" si="184"/>
        <v>70.12541250000001</v>
      </c>
      <c r="AG629" s="1">
        <f t="shared" ca="1" si="184"/>
        <v>46.750275000000002</v>
      </c>
      <c r="AH629" s="1">
        <f t="shared" ca="1" si="184"/>
        <v>46.750275000000002</v>
      </c>
      <c r="AI629" s="1">
        <f t="shared" ca="1" si="176"/>
        <v>46.750275000000002</v>
      </c>
    </row>
    <row r="630" spans="2:35" x14ac:dyDescent="0.15">
      <c r="B630" s="1" t="str">
        <f t="shared" si="171"/>
        <v>火系34</v>
      </c>
      <c r="C630" s="1">
        <f t="shared" si="181"/>
        <v>34</v>
      </c>
      <c r="D630" s="14" t="s">
        <v>96</v>
      </c>
      <c r="E630" s="14">
        <f t="shared" si="182"/>
        <v>7</v>
      </c>
      <c r="F630" s="1" t="str">
        <f t="shared" si="169"/>
        <v>火炎</v>
      </c>
      <c r="H630" s="1">
        <f t="shared" ca="1" si="170"/>
        <v>983.66060335075701</v>
      </c>
      <c r="I630" s="1">
        <f t="shared" ca="1" si="183"/>
        <v>150</v>
      </c>
      <c r="J630" s="1">
        <f t="shared" ca="1" si="183"/>
        <v>409.86190476190501</v>
      </c>
      <c r="K630" s="1">
        <f t="shared" ca="1" si="183"/>
        <v>48.16695</v>
      </c>
      <c r="L630" s="1">
        <f t="shared" ca="1" si="183"/>
        <v>409.86190476190501</v>
      </c>
      <c r="M630" s="1">
        <f t="shared" ca="1" si="183"/>
        <v>48.16695</v>
      </c>
      <c r="N630" s="1">
        <f t="shared" ca="1" si="183"/>
        <v>0.2</v>
      </c>
      <c r="O630" s="1">
        <f t="shared" ca="1" si="183"/>
        <v>0.2</v>
      </c>
      <c r="P630" s="1">
        <f t="shared" ca="1" si="183"/>
        <v>0.36</v>
      </c>
      <c r="Q630" s="1">
        <f t="shared" ca="1" si="183"/>
        <v>0.1</v>
      </c>
      <c r="R630" s="1">
        <f t="shared" ca="1" si="183"/>
        <v>2</v>
      </c>
      <c r="S630" s="1">
        <f t="shared" ca="1" si="184"/>
        <v>0.1</v>
      </c>
      <c r="T630" s="1">
        <f t="shared" ca="1" si="184"/>
        <v>0.9</v>
      </c>
      <c r="U630" s="1">
        <f t="shared" ca="1" si="184"/>
        <v>65.733333333333306</v>
      </c>
      <c r="V630" s="1">
        <f t="shared" ca="1" si="184"/>
        <v>0</v>
      </c>
      <c r="W630" s="1">
        <f t="shared" ca="1" si="184"/>
        <v>0</v>
      </c>
      <c r="X630" s="1">
        <f t="shared" ca="1" si="184"/>
        <v>0</v>
      </c>
      <c r="Y630" s="1">
        <f t="shared" ca="1" si="184"/>
        <v>125.92142857142865</v>
      </c>
      <c r="Z630" s="1">
        <f t="shared" ca="1" si="184"/>
        <v>0</v>
      </c>
      <c r="AA630" s="1">
        <f t="shared" ca="1" si="184"/>
        <v>0</v>
      </c>
      <c r="AB630" s="1">
        <f t="shared" ca="1" si="184"/>
        <v>0</v>
      </c>
      <c r="AC630" s="1">
        <f t="shared" ca="1" si="184"/>
        <v>48.16695</v>
      </c>
      <c r="AD630" s="1">
        <f t="shared" ca="1" si="184"/>
        <v>48.16695</v>
      </c>
      <c r="AE630" s="1">
        <f t="shared" ca="1" si="184"/>
        <v>48.16695</v>
      </c>
      <c r="AF630" s="1">
        <f t="shared" ca="1" si="184"/>
        <v>72.250425000000007</v>
      </c>
      <c r="AG630" s="1">
        <f t="shared" ca="1" si="184"/>
        <v>48.16695</v>
      </c>
      <c r="AH630" s="1">
        <f t="shared" ca="1" si="184"/>
        <v>48.16695</v>
      </c>
      <c r="AI630" s="1">
        <f t="shared" ca="1" si="176"/>
        <v>48.16695</v>
      </c>
    </row>
    <row r="631" spans="2:35" x14ac:dyDescent="0.15">
      <c r="B631" s="1" t="str">
        <f t="shared" si="171"/>
        <v>火系35</v>
      </c>
      <c r="C631" s="1">
        <f t="shared" si="181"/>
        <v>35</v>
      </c>
      <c r="D631" s="14" t="s">
        <v>96</v>
      </c>
      <c r="E631" s="14">
        <f t="shared" si="182"/>
        <v>7</v>
      </c>
      <c r="F631" s="1" t="str">
        <f t="shared" si="169"/>
        <v>火炎</v>
      </c>
      <c r="H631" s="1">
        <f t="shared" ca="1" si="170"/>
        <v>1018.12508607825</v>
      </c>
      <c r="I631" s="1">
        <f t="shared" ca="1" si="183"/>
        <v>150</v>
      </c>
      <c r="J631" s="1">
        <f t="shared" ca="1" si="183"/>
        <v>425.30172413793099</v>
      </c>
      <c r="K631" s="1">
        <f t="shared" ca="1" si="183"/>
        <v>49.583624999999998</v>
      </c>
      <c r="L631" s="1">
        <f t="shared" ca="1" si="183"/>
        <v>425.30172413793099</v>
      </c>
      <c r="M631" s="1">
        <f t="shared" ca="1" si="183"/>
        <v>49.583624999999998</v>
      </c>
      <c r="N631" s="1">
        <f t="shared" ca="1" si="183"/>
        <v>0.2</v>
      </c>
      <c r="O631" s="1">
        <f t="shared" ca="1" si="183"/>
        <v>0.2</v>
      </c>
      <c r="P631" s="1">
        <f t="shared" ca="1" si="183"/>
        <v>0.36</v>
      </c>
      <c r="Q631" s="1">
        <f t="shared" ca="1" si="183"/>
        <v>0.1</v>
      </c>
      <c r="R631" s="1">
        <f t="shared" ca="1" si="183"/>
        <v>2</v>
      </c>
      <c r="S631" s="1">
        <f t="shared" ca="1" si="184"/>
        <v>0.1</v>
      </c>
      <c r="T631" s="1">
        <f t="shared" ca="1" si="184"/>
        <v>0.9</v>
      </c>
      <c r="U631" s="1">
        <f t="shared" ca="1" si="184"/>
        <v>67.6666666666667</v>
      </c>
      <c r="V631" s="1">
        <f t="shared" ca="1" si="184"/>
        <v>0</v>
      </c>
      <c r="W631" s="1">
        <f t="shared" ca="1" si="184"/>
        <v>0</v>
      </c>
      <c r="X631" s="1">
        <f t="shared" ca="1" si="184"/>
        <v>0</v>
      </c>
      <c r="Y631" s="1">
        <f t="shared" ca="1" si="184"/>
        <v>135.32327586206895</v>
      </c>
      <c r="Z631" s="1">
        <f t="shared" ca="1" si="184"/>
        <v>0</v>
      </c>
      <c r="AA631" s="1">
        <f t="shared" ca="1" si="184"/>
        <v>0</v>
      </c>
      <c r="AB631" s="1">
        <f t="shared" ca="1" si="184"/>
        <v>0</v>
      </c>
      <c r="AC631" s="1">
        <f t="shared" ca="1" si="184"/>
        <v>49.583624999999998</v>
      </c>
      <c r="AD631" s="1">
        <f t="shared" ca="1" si="184"/>
        <v>49.583624999999998</v>
      </c>
      <c r="AE631" s="1">
        <f t="shared" ca="1" si="184"/>
        <v>49.583624999999998</v>
      </c>
      <c r="AF631" s="1">
        <f t="shared" ca="1" si="184"/>
        <v>74.375437500000004</v>
      </c>
      <c r="AG631" s="1">
        <f t="shared" ca="1" si="184"/>
        <v>49.583624999999998</v>
      </c>
      <c r="AH631" s="1">
        <f t="shared" ca="1" si="184"/>
        <v>49.583624999999998</v>
      </c>
      <c r="AI631" s="1">
        <f t="shared" ca="1" si="176"/>
        <v>49.583624999999998</v>
      </c>
    </row>
    <row r="632" spans="2:35" x14ac:dyDescent="0.15">
      <c r="B632" s="1" t="str">
        <f t="shared" si="171"/>
        <v>火系36</v>
      </c>
      <c r="C632" s="1">
        <f t="shared" si="181"/>
        <v>36</v>
      </c>
      <c r="D632" s="14" t="s">
        <v>96</v>
      </c>
      <c r="E632" s="14">
        <f t="shared" si="182"/>
        <v>7</v>
      </c>
      <c r="F632" s="1" t="str">
        <f t="shared" si="169"/>
        <v>火炎</v>
      </c>
      <c r="H632" s="1">
        <f t="shared" ca="1" si="170"/>
        <v>1052.9057567206801</v>
      </c>
      <c r="I632" s="1">
        <f t="shared" ca="1" si="183"/>
        <v>150</v>
      </c>
      <c r="J632" s="1">
        <f t="shared" ca="1" si="183"/>
        <v>440.96645962732902</v>
      </c>
      <c r="K632" s="1">
        <f t="shared" ca="1" si="183"/>
        <v>51.000300000000003</v>
      </c>
      <c r="L632" s="1">
        <f t="shared" ca="1" si="183"/>
        <v>440.96645962732902</v>
      </c>
      <c r="M632" s="1">
        <f t="shared" ca="1" si="183"/>
        <v>51.000300000000003</v>
      </c>
      <c r="N632" s="1">
        <f t="shared" ca="1" si="183"/>
        <v>0.2</v>
      </c>
      <c r="O632" s="1">
        <f t="shared" ca="1" si="183"/>
        <v>0.2</v>
      </c>
      <c r="P632" s="1">
        <f t="shared" ca="1" si="183"/>
        <v>0.36</v>
      </c>
      <c r="Q632" s="1">
        <f t="shared" ca="1" si="183"/>
        <v>0.1</v>
      </c>
      <c r="R632" s="1">
        <f t="shared" ca="1" si="183"/>
        <v>2</v>
      </c>
      <c r="S632" s="1">
        <f t="shared" ca="1" si="184"/>
        <v>0.1</v>
      </c>
      <c r="T632" s="1">
        <f t="shared" ca="1" si="184"/>
        <v>0.9</v>
      </c>
      <c r="U632" s="1">
        <f t="shared" ca="1" si="184"/>
        <v>69.599999999999994</v>
      </c>
      <c r="V632" s="1">
        <f t="shared" ca="1" si="184"/>
        <v>0</v>
      </c>
      <c r="W632" s="1">
        <f t="shared" ca="1" si="184"/>
        <v>0</v>
      </c>
      <c r="X632" s="1">
        <f t="shared" ca="1" si="184"/>
        <v>0</v>
      </c>
      <c r="Y632" s="1">
        <f t="shared" ca="1" si="184"/>
        <v>145.19627329192545</v>
      </c>
      <c r="Z632" s="1">
        <f t="shared" ca="1" si="184"/>
        <v>0</v>
      </c>
      <c r="AA632" s="1">
        <f t="shared" ca="1" si="184"/>
        <v>0</v>
      </c>
      <c r="AB632" s="1">
        <f t="shared" ca="1" si="184"/>
        <v>0</v>
      </c>
      <c r="AC632" s="1">
        <f t="shared" ca="1" si="184"/>
        <v>51.000300000000003</v>
      </c>
      <c r="AD632" s="1">
        <f t="shared" ca="1" si="184"/>
        <v>51.000300000000003</v>
      </c>
      <c r="AE632" s="1">
        <f t="shared" ca="1" si="184"/>
        <v>51.000300000000003</v>
      </c>
      <c r="AF632" s="1">
        <f t="shared" ca="1" si="184"/>
        <v>76.500450000000001</v>
      </c>
      <c r="AG632" s="1">
        <f t="shared" ca="1" si="184"/>
        <v>51.000300000000003</v>
      </c>
      <c r="AH632" s="1">
        <f t="shared" ca="1" si="184"/>
        <v>51.000300000000003</v>
      </c>
      <c r="AI632" s="1">
        <f t="shared" ca="1" si="176"/>
        <v>51.000300000000003</v>
      </c>
    </row>
    <row r="633" spans="2:35" x14ac:dyDescent="0.15">
      <c r="B633" s="1" t="str">
        <f t="shared" si="171"/>
        <v>火系37</v>
      </c>
      <c r="C633" s="1">
        <f t="shared" si="181"/>
        <v>37</v>
      </c>
      <c r="D633" s="14" t="s">
        <v>96</v>
      </c>
      <c r="E633" s="14">
        <f t="shared" si="182"/>
        <v>7</v>
      </c>
      <c r="F633" s="1" t="str">
        <f t="shared" si="169"/>
        <v>火炎</v>
      </c>
      <c r="H633" s="1">
        <f t="shared" ca="1" si="170"/>
        <v>1088.0026152780299</v>
      </c>
      <c r="I633" s="1">
        <f t="shared" ref="I633:R642" ca="1" si="185">mVlookup($C633,monsterBaseDate,I$2,FALSE)*(1+mVlookup($E633,monsterType,I$2,FALSE))</f>
        <v>150</v>
      </c>
      <c r="J633" s="1">
        <f t="shared" ca="1" si="185"/>
        <v>456.85958646616501</v>
      </c>
      <c r="K633" s="1">
        <f t="shared" ca="1" si="185"/>
        <v>52.416975000000001</v>
      </c>
      <c r="L633" s="1">
        <f t="shared" ca="1" si="185"/>
        <v>456.85958646616501</v>
      </c>
      <c r="M633" s="1">
        <f t="shared" ca="1" si="185"/>
        <v>52.416975000000001</v>
      </c>
      <c r="N633" s="1">
        <f t="shared" ca="1" si="185"/>
        <v>0.2</v>
      </c>
      <c r="O633" s="1">
        <f t="shared" ca="1" si="185"/>
        <v>0.2</v>
      </c>
      <c r="P633" s="1">
        <f t="shared" ca="1" si="185"/>
        <v>0.36</v>
      </c>
      <c r="Q633" s="1">
        <f t="shared" ca="1" si="185"/>
        <v>0.1</v>
      </c>
      <c r="R633" s="1">
        <f t="shared" ca="1" si="185"/>
        <v>2</v>
      </c>
      <c r="S633" s="1">
        <f t="shared" ref="S633:AH648" ca="1" si="186">mVlookup($C633,monsterBaseDate,S$2,FALSE)*(1+mVlookup($E633,monsterType,S$2,FALSE))</f>
        <v>0.1</v>
      </c>
      <c r="T633" s="1">
        <f t="shared" ca="1" si="186"/>
        <v>0.9</v>
      </c>
      <c r="U633" s="1">
        <f t="shared" ca="1" si="186"/>
        <v>71.533333333333303</v>
      </c>
      <c r="V633" s="1">
        <f t="shared" ca="1" si="186"/>
        <v>0</v>
      </c>
      <c r="W633" s="1">
        <f t="shared" ca="1" si="186"/>
        <v>0</v>
      </c>
      <c r="X633" s="1">
        <f t="shared" ca="1" si="186"/>
        <v>0</v>
      </c>
      <c r="Y633" s="1">
        <f t="shared" ca="1" si="186"/>
        <v>155.5564849624065</v>
      </c>
      <c r="Z633" s="1">
        <f t="shared" ca="1" si="186"/>
        <v>0</v>
      </c>
      <c r="AA633" s="1">
        <f t="shared" ca="1" si="186"/>
        <v>0</v>
      </c>
      <c r="AB633" s="1">
        <f t="shared" ca="1" si="184"/>
        <v>0</v>
      </c>
      <c r="AC633" s="1">
        <f t="shared" ca="1" si="186"/>
        <v>52.416975000000001</v>
      </c>
      <c r="AD633" s="1">
        <f t="shared" ca="1" si="186"/>
        <v>52.416975000000001</v>
      </c>
      <c r="AE633" s="1">
        <f t="shared" ca="1" si="186"/>
        <v>52.416975000000001</v>
      </c>
      <c r="AF633" s="1">
        <f t="shared" ca="1" si="186"/>
        <v>78.625462499999998</v>
      </c>
      <c r="AG633" s="1">
        <f t="shared" ca="1" si="186"/>
        <v>52.416975000000001</v>
      </c>
      <c r="AH633" s="1">
        <f t="shared" ca="1" si="186"/>
        <v>52.416975000000001</v>
      </c>
      <c r="AI633" s="1">
        <f t="shared" ca="1" si="176"/>
        <v>52.416975000000001</v>
      </c>
    </row>
    <row r="634" spans="2:35" x14ac:dyDescent="0.15">
      <c r="B634" s="1" t="str">
        <f t="shared" si="171"/>
        <v>火系38</v>
      </c>
      <c r="C634" s="1">
        <f t="shared" si="181"/>
        <v>38</v>
      </c>
      <c r="D634" s="14" t="s">
        <v>96</v>
      </c>
      <c r="E634" s="14">
        <f t="shared" si="182"/>
        <v>7</v>
      </c>
      <c r="F634" s="1" t="str">
        <f t="shared" si="169"/>
        <v>火炎</v>
      </c>
      <c r="H634" s="1">
        <f t="shared" ca="1" si="170"/>
        <v>1123.4156617503199</v>
      </c>
      <c r="I634" s="1">
        <f t="shared" ca="1" si="185"/>
        <v>150</v>
      </c>
      <c r="J634" s="1">
        <f t="shared" ca="1" si="185"/>
        <v>472.98470290771201</v>
      </c>
      <c r="K634" s="1">
        <f t="shared" ca="1" si="185"/>
        <v>53.833649999999999</v>
      </c>
      <c r="L634" s="1">
        <f t="shared" ca="1" si="185"/>
        <v>472.98470290771201</v>
      </c>
      <c r="M634" s="1">
        <f t="shared" ca="1" si="185"/>
        <v>53.833649999999999</v>
      </c>
      <c r="N634" s="1">
        <f t="shared" ca="1" si="185"/>
        <v>0.2</v>
      </c>
      <c r="O634" s="1">
        <f t="shared" ca="1" si="185"/>
        <v>0.2</v>
      </c>
      <c r="P634" s="1">
        <f t="shared" ca="1" si="185"/>
        <v>0.36</v>
      </c>
      <c r="Q634" s="1">
        <f t="shared" ca="1" si="185"/>
        <v>0.1</v>
      </c>
      <c r="R634" s="1">
        <f t="shared" ca="1" si="185"/>
        <v>2</v>
      </c>
      <c r="S634" s="1">
        <f t="shared" ca="1" si="186"/>
        <v>0.1</v>
      </c>
      <c r="T634" s="1">
        <f t="shared" ca="1" si="186"/>
        <v>0.9</v>
      </c>
      <c r="U634" s="1">
        <f t="shared" ca="1" si="186"/>
        <v>73.466666666666697</v>
      </c>
      <c r="V634" s="1">
        <f t="shared" ca="1" si="186"/>
        <v>0</v>
      </c>
      <c r="W634" s="1">
        <f t="shared" ca="1" si="186"/>
        <v>0</v>
      </c>
      <c r="X634" s="1">
        <f t="shared" ca="1" si="186"/>
        <v>0</v>
      </c>
      <c r="Y634" s="1">
        <f t="shared" ca="1" si="186"/>
        <v>166.42054361567699</v>
      </c>
      <c r="Z634" s="1">
        <f t="shared" ca="1" si="186"/>
        <v>0</v>
      </c>
      <c r="AA634" s="1">
        <f t="shared" ca="1" si="186"/>
        <v>0</v>
      </c>
      <c r="AB634" s="1">
        <f t="shared" ca="1" si="184"/>
        <v>0</v>
      </c>
      <c r="AC634" s="1">
        <f t="shared" ca="1" si="186"/>
        <v>53.833649999999999</v>
      </c>
      <c r="AD634" s="1">
        <f t="shared" ca="1" si="186"/>
        <v>53.833649999999999</v>
      </c>
      <c r="AE634" s="1">
        <f t="shared" ca="1" si="186"/>
        <v>53.833649999999999</v>
      </c>
      <c r="AF634" s="1">
        <f t="shared" ca="1" si="186"/>
        <v>80.750474999999994</v>
      </c>
      <c r="AG634" s="1">
        <f t="shared" ca="1" si="186"/>
        <v>53.833649999999999</v>
      </c>
      <c r="AH634" s="1">
        <f t="shared" ca="1" si="186"/>
        <v>53.833649999999999</v>
      </c>
      <c r="AI634" s="1">
        <f t="shared" ca="1" si="176"/>
        <v>53.833649999999999</v>
      </c>
    </row>
    <row r="635" spans="2:35" x14ac:dyDescent="0.15">
      <c r="B635" s="1" t="str">
        <f t="shared" si="171"/>
        <v>火系39</v>
      </c>
      <c r="C635" s="1">
        <f t="shared" si="181"/>
        <v>39</v>
      </c>
      <c r="D635" s="14" t="s">
        <v>96</v>
      </c>
      <c r="E635" s="14">
        <f t="shared" si="182"/>
        <v>7</v>
      </c>
      <c r="F635" s="1" t="str">
        <f t="shared" si="169"/>
        <v>火炎</v>
      </c>
      <c r="H635" s="1">
        <f t="shared" ca="1" si="170"/>
        <v>1159.1448961375399</v>
      </c>
      <c r="I635" s="1">
        <f t="shared" ca="1" si="185"/>
        <v>150</v>
      </c>
      <c r="J635" s="1">
        <f t="shared" ca="1" si="185"/>
        <v>489.34553571428597</v>
      </c>
      <c r="K635" s="1">
        <f t="shared" ca="1" si="185"/>
        <v>55.250324999999997</v>
      </c>
      <c r="L635" s="1">
        <f t="shared" ca="1" si="185"/>
        <v>489.34553571428597</v>
      </c>
      <c r="M635" s="1">
        <f t="shared" ca="1" si="185"/>
        <v>55.250324999999997</v>
      </c>
      <c r="N635" s="1">
        <f t="shared" ca="1" si="185"/>
        <v>0.2</v>
      </c>
      <c r="O635" s="1">
        <f t="shared" ca="1" si="185"/>
        <v>0.2</v>
      </c>
      <c r="P635" s="1">
        <f t="shared" ca="1" si="185"/>
        <v>0.36</v>
      </c>
      <c r="Q635" s="1">
        <f t="shared" ca="1" si="185"/>
        <v>0.1</v>
      </c>
      <c r="R635" s="1">
        <f t="shared" ca="1" si="185"/>
        <v>2</v>
      </c>
      <c r="S635" s="1">
        <f t="shared" ca="1" si="186"/>
        <v>0.1</v>
      </c>
      <c r="T635" s="1">
        <f t="shared" ca="1" si="186"/>
        <v>0.9</v>
      </c>
      <c r="U635" s="1">
        <f t="shared" ca="1" si="186"/>
        <v>75.400000000000006</v>
      </c>
      <c r="V635" s="1">
        <f t="shared" ca="1" si="186"/>
        <v>0</v>
      </c>
      <c r="W635" s="1">
        <f t="shared" ca="1" si="186"/>
        <v>0</v>
      </c>
      <c r="X635" s="1">
        <f t="shared" ca="1" si="186"/>
        <v>0</v>
      </c>
      <c r="Y635" s="1">
        <f t="shared" ca="1" si="186"/>
        <v>177.8056760204085</v>
      </c>
      <c r="Z635" s="1">
        <f t="shared" ca="1" si="186"/>
        <v>0</v>
      </c>
      <c r="AA635" s="1">
        <f t="shared" ca="1" si="186"/>
        <v>0</v>
      </c>
      <c r="AB635" s="1">
        <f t="shared" ca="1" si="184"/>
        <v>0</v>
      </c>
      <c r="AC635" s="1">
        <f t="shared" ca="1" si="186"/>
        <v>55.250324999999997</v>
      </c>
      <c r="AD635" s="1">
        <f t="shared" ca="1" si="186"/>
        <v>55.250324999999997</v>
      </c>
      <c r="AE635" s="1">
        <f t="shared" ca="1" si="186"/>
        <v>55.250324999999997</v>
      </c>
      <c r="AF635" s="1">
        <f t="shared" ca="1" si="186"/>
        <v>82.875487499999991</v>
      </c>
      <c r="AG635" s="1">
        <f t="shared" ca="1" si="186"/>
        <v>55.250324999999997</v>
      </c>
      <c r="AH635" s="1">
        <f t="shared" ca="1" si="186"/>
        <v>55.250324999999997</v>
      </c>
      <c r="AI635" s="1">
        <f t="shared" ca="1" si="176"/>
        <v>55.250324999999997</v>
      </c>
    </row>
    <row r="636" spans="2:35" x14ac:dyDescent="0.15">
      <c r="B636" s="1" t="str">
        <f t="shared" si="171"/>
        <v>火系40</v>
      </c>
      <c r="C636" s="1">
        <f t="shared" si="181"/>
        <v>40</v>
      </c>
      <c r="D636" s="14" t="s">
        <v>96</v>
      </c>
      <c r="E636" s="14">
        <f t="shared" si="182"/>
        <v>7</v>
      </c>
      <c r="F636" s="1" t="str">
        <f t="shared" si="169"/>
        <v>火炎</v>
      </c>
      <c r="H636" s="1">
        <f t="shared" ca="1" si="170"/>
        <v>1195.1903184396899</v>
      </c>
      <c r="I636" s="1">
        <f t="shared" ca="1" si="185"/>
        <v>150</v>
      </c>
      <c r="J636" s="1">
        <f t="shared" ca="1" si="185"/>
        <v>505.94594594594599</v>
      </c>
      <c r="K636" s="1">
        <f t="shared" ca="1" si="185"/>
        <v>56.667000000000002</v>
      </c>
      <c r="L636" s="1">
        <f t="shared" ca="1" si="185"/>
        <v>505.94594594594599</v>
      </c>
      <c r="M636" s="1">
        <f t="shared" ca="1" si="185"/>
        <v>56.667000000000002</v>
      </c>
      <c r="N636" s="1">
        <f t="shared" ca="1" si="185"/>
        <v>0.2</v>
      </c>
      <c r="O636" s="1">
        <f t="shared" ca="1" si="185"/>
        <v>0.2</v>
      </c>
      <c r="P636" s="1">
        <f t="shared" ca="1" si="185"/>
        <v>0.36</v>
      </c>
      <c r="Q636" s="1">
        <f t="shared" ca="1" si="185"/>
        <v>0.1</v>
      </c>
      <c r="R636" s="1">
        <f t="shared" ca="1" si="185"/>
        <v>2</v>
      </c>
      <c r="S636" s="1">
        <f t="shared" ca="1" si="186"/>
        <v>0.1</v>
      </c>
      <c r="T636" s="1">
        <f t="shared" ca="1" si="186"/>
        <v>0.9</v>
      </c>
      <c r="U636" s="1">
        <f t="shared" ca="1" si="186"/>
        <v>77.3333333333333</v>
      </c>
      <c r="V636" s="1">
        <f t="shared" ca="1" si="186"/>
        <v>0</v>
      </c>
      <c r="W636" s="1">
        <f t="shared" ca="1" si="186"/>
        <v>0</v>
      </c>
      <c r="X636" s="1">
        <f t="shared" ca="1" si="186"/>
        <v>0</v>
      </c>
      <c r="Y636" s="1">
        <f t="shared" ca="1" si="186"/>
        <v>189.72972972973048</v>
      </c>
      <c r="Z636" s="1">
        <f t="shared" ca="1" si="186"/>
        <v>0</v>
      </c>
      <c r="AA636" s="1">
        <f t="shared" ca="1" si="186"/>
        <v>0</v>
      </c>
      <c r="AB636" s="1">
        <f t="shared" ca="1" si="184"/>
        <v>0</v>
      </c>
      <c r="AC636" s="1">
        <f t="shared" ca="1" si="186"/>
        <v>56.667000000000002</v>
      </c>
      <c r="AD636" s="1">
        <f t="shared" ca="1" si="186"/>
        <v>56.667000000000002</v>
      </c>
      <c r="AE636" s="1">
        <f t="shared" ca="1" si="186"/>
        <v>56.667000000000002</v>
      </c>
      <c r="AF636" s="1">
        <f t="shared" ca="1" si="186"/>
        <v>85.000500000000002</v>
      </c>
      <c r="AG636" s="1">
        <f t="shared" ca="1" si="186"/>
        <v>56.667000000000002</v>
      </c>
      <c r="AH636" s="1">
        <f t="shared" ca="1" si="186"/>
        <v>56.667000000000002</v>
      </c>
      <c r="AI636" s="1">
        <f t="shared" ca="1" si="176"/>
        <v>56.667000000000002</v>
      </c>
    </row>
    <row r="637" spans="2:35" x14ac:dyDescent="0.15">
      <c r="B637" s="1" t="str">
        <f t="shared" si="171"/>
        <v>火系41</v>
      </c>
      <c r="C637" s="1">
        <f t="shared" si="181"/>
        <v>41</v>
      </c>
      <c r="D637" s="14" t="s">
        <v>96</v>
      </c>
      <c r="E637" s="14">
        <f t="shared" si="182"/>
        <v>7</v>
      </c>
      <c r="F637" s="1" t="str">
        <f t="shared" si="169"/>
        <v>火炎</v>
      </c>
      <c r="H637" s="1">
        <f t="shared" ca="1" si="170"/>
        <v>1231.5519286567701</v>
      </c>
      <c r="I637" s="1">
        <f t="shared" ca="1" si="185"/>
        <v>150</v>
      </c>
      <c r="J637" s="1">
        <f t="shared" ca="1" si="185"/>
        <v>522.78993506493498</v>
      </c>
      <c r="K637" s="1">
        <f t="shared" ca="1" si="185"/>
        <v>58.083674999999999</v>
      </c>
      <c r="L637" s="1">
        <f t="shared" ca="1" si="185"/>
        <v>522.78993506493498</v>
      </c>
      <c r="M637" s="1">
        <f t="shared" ca="1" si="185"/>
        <v>58.083674999999999</v>
      </c>
      <c r="N637" s="1">
        <f t="shared" ca="1" si="185"/>
        <v>0.2</v>
      </c>
      <c r="O637" s="1">
        <f t="shared" ca="1" si="185"/>
        <v>0.2</v>
      </c>
      <c r="P637" s="1">
        <f t="shared" ca="1" si="185"/>
        <v>0.36</v>
      </c>
      <c r="Q637" s="1">
        <f t="shared" ca="1" si="185"/>
        <v>0.1</v>
      </c>
      <c r="R637" s="1">
        <f t="shared" ca="1" si="185"/>
        <v>2</v>
      </c>
      <c r="S637" s="1">
        <f t="shared" ca="1" si="186"/>
        <v>0.1</v>
      </c>
      <c r="T637" s="1">
        <f t="shared" ca="1" si="186"/>
        <v>0.9</v>
      </c>
      <c r="U637" s="1">
        <f t="shared" ca="1" si="186"/>
        <v>79.266666666666694</v>
      </c>
      <c r="V637" s="1">
        <f t="shared" ca="1" si="186"/>
        <v>0</v>
      </c>
      <c r="W637" s="1">
        <f t="shared" ca="1" si="186"/>
        <v>0</v>
      </c>
      <c r="X637" s="1">
        <f t="shared" ca="1" si="186"/>
        <v>0</v>
      </c>
      <c r="Y637" s="1">
        <f t="shared" ca="1" si="186"/>
        <v>202.21120129870201</v>
      </c>
      <c r="Z637" s="1">
        <f t="shared" ca="1" si="186"/>
        <v>0</v>
      </c>
      <c r="AA637" s="1">
        <f t="shared" ca="1" si="186"/>
        <v>0</v>
      </c>
      <c r="AB637" s="1">
        <f t="shared" ca="1" si="184"/>
        <v>0</v>
      </c>
      <c r="AC637" s="1">
        <f t="shared" ca="1" si="186"/>
        <v>58.083674999999999</v>
      </c>
      <c r="AD637" s="1">
        <f t="shared" ca="1" si="186"/>
        <v>58.083674999999999</v>
      </c>
      <c r="AE637" s="1">
        <f t="shared" ca="1" si="186"/>
        <v>58.083674999999999</v>
      </c>
      <c r="AF637" s="1">
        <f t="shared" ca="1" si="186"/>
        <v>87.125512499999999</v>
      </c>
      <c r="AG637" s="1">
        <f t="shared" ca="1" si="186"/>
        <v>58.083674999999999</v>
      </c>
      <c r="AH637" s="1">
        <f t="shared" ca="1" si="186"/>
        <v>58.083674999999999</v>
      </c>
      <c r="AI637" s="1">
        <f t="shared" ca="1" si="176"/>
        <v>58.083674999999999</v>
      </c>
    </row>
    <row r="638" spans="2:35" x14ac:dyDescent="0.15">
      <c r="B638" s="1" t="str">
        <f t="shared" si="171"/>
        <v>火系42</v>
      </c>
      <c r="C638" s="1">
        <f t="shared" si="181"/>
        <v>42</v>
      </c>
      <c r="D638" s="14" t="s">
        <v>96</v>
      </c>
      <c r="E638" s="14">
        <f t="shared" si="182"/>
        <v>7</v>
      </c>
      <c r="F638" s="1" t="str">
        <f t="shared" si="169"/>
        <v>火炎</v>
      </c>
      <c r="H638" s="1">
        <f t="shared" ca="1" si="170"/>
        <v>1268.22972678878</v>
      </c>
      <c r="I638" s="1">
        <f t="shared" ca="1" si="185"/>
        <v>150</v>
      </c>
      <c r="J638" s="1">
        <f t="shared" ca="1" si="185"/>
        <v>539.88165137614703</v>
      </c>
      <c r="K638" s="1">
        <f t="shared" ca="1" si="185"/>
        <v>59.500349999999997</v>
      </c>
      <c r="L638" s="1">
        <f t="shared" ca="1" si="185"/>
        <v>539.88165137614703</v>
      </c>
      <c r="M638" s="1">
        <f t="shared" ca="1" si="185"/>
        <v>59.500349999999997</v>
      </c>
      <c r="N638" s="1">
        <f t="shared" ca="1" si="185"/>
        <v>0.2</v>
      </c>
      <c r="O638" s="1">
        <f t="shared" ca="1" si="185"/>
        <v>0.2</v>
      </c>
      <c r="P638" s="1">
        <f t="shared" ca="1" si="185"/>
        <v>0.36</v>
      </c>
      <c r="Q638" s="1">
        <f t="shared" ca="1" si="185"/>
        <v>0.1</v>
      </c>
      <c r="R638" s="1">
        <f t="shared" ca="1" si="185"/>
        <v>2</v>
      </c>
      <c r="S638" s="1">
        <f t="shared" ca="1" si="186"/>
        <v>0.1</v>
      </c>
      <c r="T638" s="1">
        <f t="shared" ca="1" si="186"/>
        <v>0.9</v>
      </c>
      <c r="U638" s="1">
        <f t="shared" ca="1" si="186"/>
        <v>81.2</v>
      </c>
      <c r="V638" s="1">
        <f t="shared" ca="1" si="186"/>
        <v>0</v>
      </c>
      <c r="W638" s="1">
        <f t="shared" ca="1" si="186"/>
        <v>0</v>
      </c>
      <c r="X638" s="1">
        <f t="shared" ca="1" si="186"/>
        <v>0</v>
      </c>
      <c r="Y638" s="1">
        <f t="shared" ca="1" si="186"/>
        <v>215.26926605504551</v>
      </c>
      <c r="Z638" s="1">
        <f t="shared" ca="1" si="186"/>
        <v>0</v>
      </c>
      <c r="AA638" s="1">
        <f t="shared" ca="1" si="186"/>
        <v>0</v>
      </c>
      <c r="AB638" s="1">
        <f t="shared" ca="1" si="184"/>
        <v>0</v>
      </c>
      <c r="AC638" s="1">
        <f t="shared" ca="1" si="186"/>
        <v>59.500349999999997</v>
      </c>
      <c r="AD638" s="1">
        <f t="shared" ca="1" si="186"/>
        <v>59.500349999999997</v>
      </c>
      <c r="AE638" s="1">
        <f t="shared" ca="1" si="186"/>
        <v>59.500349999999997</v>
      </c>
      <c r="AF638" s="1">
        <f t="shared" ca="1" si="186"/>
        <v>89.250524999999996</v>
      </c>
      <c r="AG638" s="1">
        <f t="shared" ca="1" si="186"/>
        <v>59.500349999999997</v>
      </c>
      <c r="AH638" s="1">
        <f t="shared" ca="1" si="186"/>
        <v>59.500349999999997</v>
      </c>
      <c r="AI638" s="1">
        <f t="shared" ca="1" si="176"/>
        <v>59.500349999999997</v>
      </c>
    </row>
    <row r="639" spans="2:35" x14ac:dyDescent="0.15">
      <c r="B639" s="1" t="str">
        <f t="shared" si="171"/>
        <v>火系43</v>
      </c>
      <c r="C639" s="1">
        <f t="shared" si="181"/>
        <v>43</v>
      </c>
      <c r="D639" s="14" t="s">
        <v>96</v>
      </c>
      <c r="E639" s="14">
        <f t="shared" si="182"/>
        <v>7</v>
      </c>
      <c r="F639" s="1" t="str">
        <f t="shared" si="169"/>
        <v>火炎</v>
      </c>
      <c r="H639" s="1">
        <f t="shared" ca="1" si="170"/>
        <v>1305.2237128357201</v>
      </c>
      <c r="I639" s="1">
        <f t="shared" ca="1" si="185"/>
        <v>150</v>
      </c>
      <c r="J639" s="1">
        <f t="shared" ca="1" si="185"/>
        <v>557.22539682539696</v>
      </c>
      <c r="K639" s="1">
        <f t="shared" ca="1" si="185"/>
        <v>60.917025000000002</v>
      </c>
      <c r="L639" s="1">
        <f t="shared" ca="1" si="185"/>
        <v>557.22539682539696</v>
      </c>
      <c r="M639" s="1">
        <f t="shared" ca="1" si="185"/>
        <v>60.917025000000002</v>
      </c>
      <c r="N639" s="1">
        <f t="shared" ca="1" si="185"/>
        <v>0.2</v>
      </c>
      <c r="O639" s="1">
        <f t="shared" ca="1" si="185"/>
        <v>0.2</v>
      </c>
      <c r="P639" s="1">
        <f t="shared" ca="1" si="185"/>
        <v>0.36</v>
      </c>
      <c r="Q639" s="1">
        <f t="shared" ca="1" si="185"/>
        <v>0.1</v>
      </c>
      <c r="R639" s="1">
        <f t="shared" ca="1" si="185"/>
        <v>2</v>
      </c>
      <c r="S639" s="1">
        <f t="shared" ca="1" si="186"/>
        <v>0.1</v>
      </c>
      <c r="T639" s="1">
        <f t="shared" ca="1" si="186"/>
        <v>0.9</v>
      </c>
      <c r="U639" s="1">
        <f t="shared" ca="1" si="186"/>
        <v>83.133333333333297</v>
      </c>
      <c r="V639" s="1">
        <f t="shared" ca="1" si="186"/>
        <v>0</v>
      </c>
      <c r="W639" s="1">
        <f t="shared" ca="1" si="186"/>
        <v>0</v>
      </c>
      <c r="X639" s="1">
        <f t="shared" ca="1" si="186"/>
        <v>0</v>
      </c>
      <c r="Y639" s="1">
        <f t="shared" ca="1" si="186"/>
        <v>228.9238095238095</v>
      </c>
      <c r="Z639" s="1">
        <f t="shared" ca="1" si="186"/>
        <v>0</v>
      </c>
      <c r="AA639" s="1">
        <f t="shared" ca="1" si="186"/>
        <v>0</v>
      </c>
      <c r="AB639" s="1">
        <f t="shared" ca="1" si="186"/>
        <v>0</v>
      </c>
      <c r="AC639" s="1">
        <f t="shared" ca="1" si="186"/>
        <v>60.917025000000002</v>
      </c>
      <c r="AD639" s="1">
        <f t="shared" ca="1" si="186"/>
        <v>60.917025000000002</v>
      </c>
      <c r="AE639" s="1">
        <f t="shared" ca="1" si="186"/>
        <v>60.917025000000002</v>
      </c>
      <c r="AF639" s="1">
        <f t="shared" ca="1" si="186"/>
        <v>91.375537500000007</v>
      </c>
      <c r="AG639" s="1">
        <f t="shared" ca="1" si="186"/>
        <v>60.917025000000002</v>
      </c>
      <c r="AH639" s="1">
        <f t="shared" ca="1" si="186"/>
        <v>60.917025000000002</v>
      </c>
      <c r="AI639" s="1">
        <f t="shared" ca="1" si="176"/>
        <v>60.917025000000002</v>
      </c>
    </row>
    <row r="640" spans="2:35" x14ac:dyDescent="0.15">
      <c r="B640" s="1" t="str">
        <f t="shared" si="171"/>
        <v>火系44</v>
      </c>
      <c r="C640" s="1">
        <f t="shared" si="181"/>
        <v>44</v>
      </c>
      <c r="D640" s="14" t="s">
        <v>96</v>
      </c>
      <c r="E640" s="14">
        <f t="shared" si="182"/>
        <v>7</v>
      </c>
      <c r="F640" s="1" t="str">
        <f t="shared" si="169"/>
        <v>火炎</v>
      </c>
      <c r="H640" s="1">
        <f t="shared" ca="1" si="170"/>
        <v>1342.53388679759</v>
      </c>
      <c r="I640" s="1">
        <f t="shared" ca="1" si="185"/>
        <v>150</v>
      </c>
      <c r="J640" s="1">
        <f t="shared" ca="1" si="185"/>
        <v>574.82563417890503</v>
      </c>
      <c r="K640" s="1">
        <f t="shared" ca="1" si="185"/>
        <v>62.3337</v>
      </c>
      <c r="L640" s="1">
        <f t="shared" ca="1" si="185"/>
        <v>574.82563417890503</v>
      </c>
      <c r="M640" s="1">
        <f t="shared" ca="1" si="185"/>
        <v>62.3337</v>
      </c>
      <c r="N640" s="1">
        <f t="shared" ca="1" si="185"/>
        <v>0.2</v>
      </c>
      <c r="O640" s="1">
        <f t="shared" ca="1" si="185"/>
        <v>0.2</v>
      </c>
      <c r="P640" s="1">
        <f t="shared" ca="1" si="185"/>
        <v>0.36</v>
      </c>
      <c r="Q640" s="1">
        <f t="shared" ca="1" si="185"/>
        <v>0.1</v>
      </c>
      <c r="R640" s="1">
        <f t="shared" ca="1" si="185"/>
        <v>2</v>
      </c>
      <c r="S640" s="1">
        <f t="shared" ca="1" si="186"/>
        <v>0.1</v>
      </c>
      <c r="T640" s="1">
        <f t="shared" ca="1" si="186"/>
        <v>0.9</v>
      </c>
      <c r="U640" s="1">
        <f t="shared" ca="1" si="186"/>
        <v>85.066666666666706</v>
      </c>
      <c r="V640" s="1">
        <f t="shared" ca="1" si="186"/>
        <v>0</v>
      </c>
      <c r="W640" s="1">
        <f t="shared" ca="1" si="186"/>
        <v>0</v>
      </c>
      <c r="X640" s="1">
        <f t="shared" ca="1" si="186"/>
        <v>0</v>
      </c>
      <c r="Y640" s="1">
        <f t="shared" ca="1" si="186"/>
        <v>243.19546061415303</v>
      </c>
      <c r="Z640" s="1">
        <f t="shared" ca="1" si="186"/>
        <v>0</v>
      </c>
      <c r="AA640" s="1">
        <f t="shared" ca="1" si="186"/>
        <v>0</v>
      </c>
      <c r="AB640" s="1">
        <f t="shared" ca="1" si="186"/>
        <v>0</v>
      </c>
      <c r="AC640" s="1">
        <f t="shared" ca="1" si="186"/>
        <v>62.3337</v>
      </c>
      <c r="AD640" s="1">
        <f t="shared" ca="1" si="186"/>
        <v>62.3337</v>
      </c>
      <c r="AE640" s="1">
        <f t="shared" ca="1" si="186"/>
        <v>62.3337</v>
      </c>
      <c r="AF640" s="1">
        <f t="shared" ca="1" si="186"/>
        <v>93.500550000000004</v>
      </c>
      <c r="AG640" s="1">
        <f t="shared" ca="1" si="186"/>
        <v>62.3337</v>
      </c>
      <c r="AH640" s="1">
        <f t="shared" ca="1" si="186"/>
        <v>62.3337</v>
      </c>
      <c r="AI640" s="1">
        <f t="shared" ca="1" si="176"/>
        <v>62.3337</v>
      </c>
    </row>
    <row r="641" spans="2:35" x14ac:dyDescent="0.15">
      <c r="B641" s="1" t="str">
        <f t="shared" si="171"/>
        <v>火系45</v>
      </c>
      <c r="C641" s="1">
        <f t="shared" si="181"/>
        <v>45</v>
      </c>
      <c r="D641" s="14" t="s">
        <v>96</v>
      </c>
      <c r="E641" s="14">
        <f t="shared" si="182"/>
        <v>7</v>
      </c>
      <c r="F641" s="1" t="str">
        <f t="shared" si="169"/>
        <v>火炎</v>
      </c>
      <c r="H641" s="1">
        <f t="shared" ca="1" si="170"/>
        <v>1433.4145567624901</v>
      </c>
      <c r="I641" s="1">
        <f t="shared" ca="1" si="185"/>
        <v>150</v>
      </c>
      <c r="J641" s="1">
        <f t="shared" ca="1" si="185"/>
        <v>592.68699460916503</v>
      </c>
      <c r="K641" s="1">
        <f t="shared" ca="1" si="185"/>
        <v>63.750374999999998</v>
      </c>
      <c r="L641" s="1">
        <f t="shared" ca="1" si="185"/>
        <v>592.68699460916503</v>
      </c>
      <c r="M641" s="1">
        <f t="shared" ca="1" si="185"/>
        <v>63.750374999999998</v>
      </c>
      <c r="N641" s="1">
        <f t="shared" ca="1" si="185"/>
        <v>0.2</v>
      </c>
      <c r="O641" s="1">
        <f t="shared" ca="1" si="185"/>
        <v>0.2</v>
      </c>
      <c r="P641" s="1">
        <f t="shared" ca="1" si="185"/>
        <v>0.36</v>
      </c>
      <c r="Q641" s="1">
        <f t="shared" ca="1" si="185"/>
        <v>0.1</v>
      </c>
      <c r="R641" s="1">
        <f t="shared" ca="1" si="185"/>
        <v>2</v>
      </c>
      <c r="S641" s="1">
        <f t="shared" ca="1" si="186"/>
        <v>0.1</v>
      </c>
      <c r="T641" s="1">
        <f t="shared" ca="1" si="186"/>
        <v>0.9</v>
      </c>
      <c r="U641" s="1">
        <f t="shared" ca="1" si="186"/>
        <v>87</v>
      </c>
      <c r="V641" s="1">
        <f t="shared" ca="1" si="186"/>
        <v>0</v>
      </c>
      <c r="W641" s="1">
        <f t="shared" ca="1" si="186"/>
        <v>0</v>
      </c>
      <c r="X641" s="1">
        <f t="shared" ca="1" si="186"/>
        <v>0</v>
      </c>
      <c r="Y641" s="1">
        <f t="shared" ca="1" si="186"/>
        <v>258.105626684637</v>
      </c>
      <c r="Z641" s="1">
        <f t="shared" ca="1" si="186"/>
        <v>0</v>
      </c>
      <c r="AA641" s="1">
        <f t="shared" ca="1" si="186"/>
        <v>0</v>
      </c>
      <c r="AB641" s="1">
        <f t="shared" ca="1" si="186"/>
        <v>0</v>
      </c>
      <c r="AC641" s="1">
        <f t="shared" ca="1" si="186"/>
        <v>63.750374999999998</v>
      </c>
      <c r="AD641" s="1">
        <f t="shared" ca="1" si="186"/>
        <v>63.750374999999998</v>
      </c>
      <c r="AE641" s="1">
        <f t="shared" ca="1" si="186"/>
        <v>63.750374999999998</v>
      </c>
      <c r="AF641" s="1">
        <f t="shared" ca="1" si="186"/>
        <v>95.625562500000001</v>
      </c>
      <c r="AG641" s="1">
        <f t="shared" ca="1" si="186"/>
        <v>63.750374999999998</v>
      </c>
      <c r="AH641" s="1">
        <f t="shared" ca="1" si="186"/>
        <v>63.750374999999998</v>
      </c>
      <c r="AI641" s="1">
        <f t="shared" ca="1" si="176"/>
        <v>63.750374999999998</v>
      </c>
    </row>
    <row r="642" spans="2:35" x14ac:dyDescent="0.15">
      <c r="B642" s="1" t="str">
        <f t="shared" si="171"/>
        <v>火系46</v>
      </c>
      <c r="C642" s="1">
        <f t="shared" si="181"/>
        <v>46</v>
      </c>
      <c r="D642" s="14" t="s">
        <v>96</v>
      </c>
      <c r="E642" s="14">
        <f t="shared" si="182"/>
        <v>7</v>
      </c>
      <c r="F642" s="1" t="str">
        <f t="shared" si="169"/>
        <v>火炎</v>
      </c>
      <c r="H642" s="1">
        <f t="shared" ca="1" si="170"/>
        <v>1472.82114251541</v>
      </c>
      <c r="I642" s="1">
        <f t="shared" ca="1" si="185"/>
        <v>150</v>
      </c>
      <c r="J642" s="1">
        <f t="shared" ca="1" si="185"/>
        <v>610.81428571428603</v>
      </c>
      <c r="K642" s="1">
        <f t="shared" ca="1" si="185"/>
        <v>65.167050000000003</v>
      </c>
      <c r="L642" s="1">
        <f t="shared" ca="1" si="185"/>
        <v>610.81428571428603</v>
      </c>
      <c r="M642" s="1">
        <f t="shared" ca="1" si="185"/>
        <v>65.167050000000003</v>
      </c>
      <c r="N642" s="1">
        <f t="shared" ca="1" si="185"/>
        <v>0.2</v>
      </c>
      <c r="O642" s="1">
        <f t="shared" ca="1" si="185"/>
        <v>0.2</v>
      </c>
      <c r="P642" s="1">
        <f t="shared" ca="1" si="185"/>
        <v>0.36</v>
      </c>
      <c r="Q642" s="1">
        <f t="shared" ca="1" si="185"/>
        <v>0.1</v>
      </c>
      <c r="R642" s="1">
        <f t="shared" ca="1" si="185"/>
        <v>2</v>
      </c>
      <c r="S642" s="1">
        <f t="shared" ca="1" si="186"/>
        <v>0.1</v>
      </c>
      <c r="T642" s="1">
        <f t="shared" ca="1" si="186"/>
        <v>0.9</v>
      </c>
      <c r="U642" s="1">
        <f t="shared" ca="1" si="186"/>
        <v>88.933333333333294</v>
      </c>
      <c r="V642" s="1">
        <f t="shared" ca="1" si="186"/>
        <v>0</v>
      </c>
      <c r="W642" s="1">
        <f t="shared" ca="1" si="186"/>
        <v>0</v>
      </c>
      <c r="X642" s="1">
        <f t="shared" ca="1" si="186"/>
        <v>0</v>
      </c>
      <c r="Y642" s="1">
        <f t="shared" ca="1" si="186"/>
        <v>273.67653061224451</v>
      </c>
      <c r="Z642" s="1">
        <f t="shared" ca="1" si="186"/>
        <v>0</v>
      </c>
      <c r="AA642" s="1">
        <f t="shared" ca="1" si="186"/>
        <v>0</v>
      </c>
      <c r="AB642" s="1">
        <f t="shared" ca="1" si="186"/>
        <v>0</v>
      </c>
      <c r="AC642" s="1">
        <f t="shared" ca="1" si="186"/>
        <v>65.167050000000003</v>
      </c>
      <c r="AD642" s="1">
        <f t="shared" ca="1" si="186"/>
        <v>65.167050000000003</v>
      </c>
      <c r="AE642" s="1">
        <f t="shared" ca="1" si="186"/>
        <v>65.167050000000003</v>
      </c>
      <c r="AF642" s="1">
        <f t="shared" ca="1" si="186"/>
        <v>97.750574999999998</v>
      </c>
      <c r="AG642" s="1">
        <f t="shared" ca="1" si="186"/>
        <v>65.167050000000003</v>
      </c>
      <c r="AH642" s="1">
        <f t="shared" ca="1" si="186"/>
        <v>65.167050000000003</v>
      </c>
      <c r="AI642" s="1">
        <f t="shared" ca="1" si="176"/>
        <v>65.167050000000003</v>
      </c>
    </row>
    <row r="643" spans="2:35" x14ac:dyDescent="0.15">
      <c r="B643" s="1" t="str">
        <f t="shared" si="171"/>
        <v>火系47</v>
      </c>
      <c r="C643" s="1">
        <f t="shared" si="181"/>
        <v>47</v>
      </c>
      <c r="D643" s="14" t="s">
        <v>96</v>
      </c>
      <c r="E643" s="14">
        <f t="shared" si="182"/>
        <v>7</v>
      </c>
      <c r="F643" s="1" t="str">
        <f t="shared" ref="F643:F706" si="187">VLOOKUP(E643,monsterType,4,FALSE)</f>
        <v>火炎</v>
      </c>
      <c r="H643" s="1">
        <f t="shared" ref="H643:H706" ca="1" si="188">mVlookup(C643,monsterBaseDate,H$2,FALSE)*(1+mVlookup(E643,monsterType,H$2,FALSE))*(1+mVlookup(C643,monsterHpRevise,D643,FALSE))</f>
        <v>1512.5561164829401</v>
      </c>
      <c r="I643" s="1">
        <f t="shared" ref="I643:R652" ca="1" si="189">mVlookup($C643,monsterBaseDate,I$2,FALSE)*(1+mVlookup($E643,monsterType,I$2,FALSE))</f>
        <v>150</v>
      </c>
      <c r="J643" s="1">
        <f t="shared" ca="1" si="189"/>
        <v>629.21249999999998</v>
      </c>
      <c r="K643" s="1">
        <f t="shared" ca="1" si="189"/>
        <v>66.583725000000001</v>
      </c>
      <c r="L643" s="1">
        <f t="shared" ca="1" si="189"/>
        <v>629.21249999999998</v>
      </c>
      <c r="M643" s="1">
        <f t="shared" ca="1" si="189"/>
        <v>66.583725000000001</v>
      </c>
      <c r="N643" s="1">
        <f t="shared" ca="1" si="189"/>
        <v>0.2</v>
      </c>
      <c r="O643" s="1">
        <f t="shared" ca="1" si="189"/>
        <v>0.2</v>
      </c>
      <c r="P643" s="1">
        <f t="shared" ca="1" si="189"/>
        <v>0.36</v>
      </c>
      <c r="Q643" s="1">
        <f t="shared" ca="1" si="189"/>
        <v>0.1</v>
      </c>
      <c r="R643" s="1">
        <f t="shared" ca="1" si="189"/>
        <v>2</v>
      </c>
      <c r="S643" s="1">
        <f t="shared" ref="S643:AH658" ca="1" si="190">mVlookup($C643,monsterBaseDate,S$2,FALSE)*(1+mVlookup($E643,monsterType,S$2,FALSE))</f>
        <v>0.1</v>
      </c>
      <c r="T643" s="1">
        <f t="shared" ca="1" si="190"/>
        <v>0.9</v>
      </c>
      <c r="U643" s="1">
        <f t="shared" ca="1" si="190"/>
        <v>90.866666666666703</v>
      </c>
      <c r="V643" s="1">
        <f t="shared" ca="1" si="190"/>
        <v>0</v>
      </c>
      <c r="W643" s="1">
        <f t="shared" ca="1" si="190"/>
        <v>0</v>
      </c>
      <c r="X643" s="1">
        <f t="shared" ca="1" si="190"/>
        <v>0</v>
      </c>
      <c r="Y643" s="1">
        <f t="shared" ca="1" si="190"/>
        <v>289.93124999999998</v>
      </c>
      <c r="Z643" s="1">
        <f t="shared" ca="1" si="190"/>
        <v>0</v>
      </c>
      <c r="AA643" s="1">
        <f t="shared" ca="1" si="190"/>
        <v>0</v>
      </c>
      <c r="AB643" s="1">
        <f t="shared" ca="1" si="186"/>
        <v>0</v>
      </c>
      <c r="AC643" s="1">
        <f t="shared" ca="1" si="190"/>
        <v>66.583725000000001</v>
      </c>
      <c r="AD643" s="1">
        <f t="shared" ca="1" si="190"/>
        <v>66.583725000000001</v>
      </c>
      <c r="AE643" s="1">
        <f t="shared" ca="1" si="190"/>
        <v>66.583725000000001</v>
      </c>
      <c r="AF643" s="1">
        <f t="shared" ca="1" si="190"/>
        <v>99.875587499999995</v>
      </c>
      <c r="AG643" s="1">
        <f t="shared" ca="1" si="190"/>
        <v>66.583725000000001</v>
      </c>
      <c r="AH643" s="1">
        <f t="shared" ca="1" si="190"/>
        <v>66.583725000000001</v>
      </c>
      <c r="AI643" s="1">
        <f t="shared" ca="1" si="176"/>
        <v>66.583725000000001</v>
      </c>
    </row>
    <row r="644" spans="2:35" x14ac:dyDescent="0.15">
      <c r="B644" s="1" t="str">
        <f t="shared" ref="B644:B707" si="191">D644&amp;C644</f>
        <v>火系48</v>
      </c>
      <c r="C644" s="1">
        <f t="shared" si="181"/>
        <v>48</v>
      </c>
      <c r="D644" s="14" t="s">
        <v>96</v>
      </c>
      <c r="E644" s="14">
        <f t="shared" si="182"/>
        <v>7</v>
      </c>
      <c r="F644" s="1" t="str">
        <f t="shared" si="187"/>
        <v>火炎</v>
      </c>
      <c r="H644" s="1">
        <f t="shared" ca="1" si="188"/>
        <v>1552.6194786650699</v>
      </c>
      <c r="I644" s="1">
        <f t="shared" ca="1" si="189"/>
        <v>150</v>
      </c>
      <c r="J644" s="1">
        <f t="shared" ca="1" si="189"/>
        <v>647.88682385575601</v>
      </c>
      <c r="K644" s="1">
        <f t="shared" ca="1" si="189"/>
        <v>68.000399999999999</v>
      </c>
      <c r="L644" s="1">
        <f t="shared" ca="1" si="189"/>
        <v>647.88682385575601</v>
      </c>
      <c r="M644" s="1">
        <f t="shared" ca="1" si="189"/>
        <v>68.000399999999999</v>
      </c>
      <c r="N644" s="1">
        <f t="shared" ca="1" si="189"/>
        <v>0.2</v>
      </c>
      <c r="O644" s="1">
        <f t="shared" ca="1" si="189"/>
        <v>0.2</v>
      </c>
      <c r="P644" s="1">
        <f t="shared" ca="1" si="189"/>
        <v>0.36</v>
      </c>
      <c r="Q644" s="1">
        <f t="shared" ca="1" si="189"/>
        <v>0.1</v>
      </c>
      <c r="R644" s="1">
        <f t="shared" ca="1" si="189"/>
        <v>2</v>
      </c>
      <c r="S644" s="1">
        <f t="shared" ca="1" si="190"/>
        <v>0.1</v>
      </c>
      <c r="T644" s="1">
        <f t="shared" ca="1" si="190"/>
        <v>0.9</v>
      </c>
      <c r="U644" s="1">
        <f t="shared" ca="1" si="190"/>
        <v>92.8</v>
      </c>
      <c r="V644" s="1">
        <f t="shared" ca="1" si="190"/>
        <v>0</v>
      </c>
      <c r="W644" s="1">
        <f t="shared" ca="1" si="190"/>
        <v>0</v>
      </c>
      <c r="X644" s="1">
        <f t="shared" ca="1" si="190"/>
        <v>0</v>
      </c>
      <c r="Y644" s="1">
        <f t="shared" ca="1" si="190"/>
        <v>306.893758668516</v>
      </c>
      <c r="Z644" s="1">
        <f t="shared" ca="1" si="190"/>
        <v>0</v>
      </c>
      <c r="AA644" s="1">
        <f t="shared" ca="1" si="190"/>
        <v>0</v>
      </c>
      <c r="AB644" s="1">
        <f t="shared" ca="1" si="186"/>
        <v>0</v>
      </c>
      <c r="AC644" s="1">
        <f t="shared" ca="1" si="190"/>
        <v>68.000399999999999</v>
      </c>
      <c r="AD644" s="1">
        <f t="shared" ca="1" si="190"/>
        <v>68.000399999999999</v>
      </c>
      <c r="AE644" s="1">
        <f t="shared" ca="1" si="190"/>
        <v>68.000399999999999</v>
      </c>
      <c r="AF644" s="1">
        <f t="shared" ca="1" si="190"/>
        <v>102.00059999999999</v>
      </c>
      <c r="AG644" s="1">
        <f t="shared" ca="1" si="190"/>
        <v>68.000399999999999</v>
      </c>
      <c r="AH644" s="1">
        <f t="shared" ca="1" si="190"/>
        <v>68.000399999999999</v>
      </c>
      <c r="AI644" s="1">
        <f t="shared" ca="1" si="176"/>
        <v>68.000399999999999</v>
      </c>
    </row>
    <row r="645" spans="2:35" x14ac:dyDescent="0.15">
      <c r="B645" s="1" t="str">
        <f t="shared" si="191"/>
        <v>火系49</v>
      </c>
      <c r="C645" s="1">
        <f t="shared" si="181"/>
        <v>49</v>
      </c>
      <c r="D645" s="14" t="s">
        <v>96</v>
      </c>
      <c r="E645" s="14">
        <f t="shared" si="182"/>
        <v>7</v>
      </c>
      <c r="F645" s="1" t="str">
        <f t="shared" si="187"/>
        <v>火炎</v>
      </c>
      <c r="H645" s="1">
        <f t="shared" ca="1" si="188"/>
        <v>1593.0112290618199</v>
      </c>
      <c r="I645" s="1">
        <f t="shared" ca="1" si="189"/>
        <v>150</v>
      </c>
      <c r="J645" s="1">
        <f t="shared" ca="1" si="189"/>
        <v>666.84264705882401</v>
      </c>
      <c r="K645" s="1">
        <f t="shared" ca="1" si="189"/>
        <v>69.417074999999997</v>
      </c>
      <c r="L645" s="1">
        <f t="shared" ca="1" si="189"/>
        <v>666.84264705882401</v>
      </c>
      <c r="M645" s="1">
        <f t="shared" ca="1" si="189"/>
        <v>69.417074999999997</v>
      </c>
      <c r="N645" s="1">
        <f t="shared" ca="1" si="189"/>
        <v>0.2</v>
      </c>
      <c r="O645" s="1">
        <f t="shared" ca="1" si="189"/>
        <v>0.2</v>
      </c>
      <c r="P645" s="1">
        <f t="shared" ca="1" si="189"/>
        <v>0.36</v>
      </c>
      <c r="Q645" s="1">
        <f t="shared" ca="1" si="189"/>
        <v>0.1</v>
      </c>
      <c r="R645" s="1">
        <f t="shared" ca="1" si="189"/>
        <v>2</v>
      </c>
      <c r="S645" s="1">
        <f t="shared" ca="1" si="190"/>
        <v>0.1</v>
      </c>
      <c r="T645" s="1">
        <f t="shared" ca="1" si="190"/>
        <v>0.9</v>
      </c>
      <c r="U645" s="1">
        <f t="shared" ca="1" si="190"/>
        <v>94.733333333333306</v>
      </c>
      <c r="V645" s="1">
        <f t="shared" ca="1" si="190"/>
        <v>0</v>
      </c>
      <c r="W645" s="1">
        <f t="shared" ca="1" si="190"/>
        <v>0</v>
      </c>
      <c r="X645" s="1">
        <f t="shared" ca="1" si="190"/>
        <v>0</v>
      </c>
      <c r="Y645" s="1">
        <f t="shared" ca="1" si="190"/>
        <v>324.58897058823601</v>
      </c>
      <c r="Z645" s="1">
        <f t="shared" ca="1" si="190"/>
        <v>0</v>
      </c>
      <c r="AA645" s="1">
        <f t="shared" ca="1" si="190"/>
        <v>0</v>
      </c>
      <c r="AB645" s="1">
        <f t="shared" ca="1" si="186"/>
        <v>0</v>
      </c>
      <c r="AC645" s="1">
        <f t="shared" ca="1" si="190"/>
        <v>69.417074999999997</v>
      </c>
      <c r="AD645" s="1">
        <f t="shared" ca="1" si="190"/>
        <v>69.417074999999997</v>
      </c>
      <c r="AE645" s="1">
        <f t="shared" ca="1" si="190"/>
        <v>69.417074999999997</v>
      </c>
      <c r="AF645" s="1">
        <f t="shared" ca="1" si="190"/>
        <v>104.12561249999999</v>
      </c>
      <c r="AG645" s="1">
        <f t="shared" ca="1" si="190"/>
        <v>69.417074999999997</v>
      </c>
      <c r="AH645" s="1">
        <f t="shared" ca="1" si="190"/>
        <v>69.417074999999997</v>
      </c>
      <c r="AI645" s="1">
        <f t="shared" ca="1" si="176"/>
        <v>69.417074999999997</v>
      </c>
    </row>
    <row r="646" spans="2:35" x14ac:dyDescent="0.15">
      <c r="B646" s="1" t="str">
        <f t="shared" si="191"/>
        <v>火系50</v>
      </c>
      <c r="C646" s="1">
        <f t="shared" si="181"/>
        <v>50</v>
      </c>
      <c r="D646" s="14" t="s">
        <v>96</v>
      </c>
      <c r="E646" s="14">
        <f t="shared" si="182"/>
        <v>7</v>
      </c>
      <c r="F646" s="1" t="str">
        <f t="shared" si="187"/>
        <v>火炎</v>
      </c>
      <c r="H646" s="1">
        <f t="shared" ca="1" si="188"/>
        <v>1633.7313676731701</v>
      </c>
      <c r="I646" s="1">
        <f t="shared" ca="1" si="189"/>
        <v>150</v>
      </c>
      <c r="J646" s="1">
        <f t="shared" ca="1" si="189"/>
        <v>686.085572842999</v>
      </c>
      <c r="K646" s="1">
        <f t="shared" ca="1" si="189"/>
        <v>70.833749999999995</v>
      </c>
      <c r="L646" s="1">
        <f t="shared" ca="1" si="189"/>
        <v>686.085572842999</v>
      </c>
      <c r="M646" s="1">
        <f t="shared" ca="1" si="189"/>
        <v>70.833749999999995</v>
      </c>
      <c r="N646" s="1">
        <f t="shared" ca="1" si="189"/>
        <v>0.2</v>
      </c>
      <c r="O646" s="1">
        <f t="shared" ca="1" si="189"/>
        <v>0.2</v>
      </c>
      <c r="P646" s="1">
        <f t="shared" ca="1" si="189"/>
        <v>0.36</v>
      </c>
      <c r="Q646" s="1">
        <f t="shared" ca="1" si="189"/>
        <v>0.1</v>
      </c>
      <c r="R646" s="1">
        <f t="shared" ca="1" si="189"/>
        <v>2</v>
      </c>
      <c r="S646" s="1">
        <f t="shared" ca="1" si="190"/>
        <v>0.1</v>
      </c>
      <c r="T646" s="1">
        <f t="shared" ca="1" si="190"/>
        <v>0.9</v>
      </c>
      <c r="U646" s="1">
        <f t="shared" ca="1" si="190"/>
        <v>96.6666666666667</v>
      </c>
      <c r="V646" s="1">
        <f t="shared" ca="1" si="190"/>
        <v>0</v>
      </c>
      <c r="W646" s="1">
        <f t="shared" ca="1" si="190"/>
        <v>0</v>
      </c>
      <c r="X646" s="1">
        <f t="shared" ca="1" si="190"/>
        <v>0</v>
      </c>
      <c r="Y646" s="1">
        <f t="shared" ca="1" si="190"/>
        <v>343.04278642149899</v>
      </c>
      <c r="Z646" s="1">
        <f t="shared" ca="1" si="190"/>
        <v>0</v>
      </c>
      <c r="AA646" s="1">
        <f t="shared" ca="1" si="190"/>
        <v>0</v>
      </c>
      <c r="AB646" s="1">
        <f t="shared" ca="1" si="186"/>
        <v>0</v>
      </c>
      <c r="AC646" s="1">
        <f t="shared" ca="1" si="190"/>
        <v>70.833749999999995</v>
      </c>
      <c r="AD646" s="1">
        <f t="shared" ca="1" si="190"/>
        <v>70.833749999999995</v>
      </c>
      <c r="AE646" s="1">
        <f t="shared" ca="1" si="190"/>
        <v>70.833749999999995</v>
      </c>
      <c r="AF646" s="1">
        <f t="shared" ca="1" si="190"/>
        <v>106.25062499999999</v>
      </c>
      <c r="AG646" s="1">
        <f t="shared" ca="1" si="190"/>
        <v>70.833749999999995</v>
      </c>
      <c r="AH646" s="1">
        <f t="shared" ca="1" si="190"/>
        <v>70.833749999999995</v>
      </c>
      <c r="AI646" s="1">
        <f t="shared" ca="1" si="176"/>
        <v>70.833749999999995</v>
      </c>
    </row>
    <row r="647" spans="2:35" x14ac:dyDescent="0.15">
      <c r="B647" s="1" t="str">
        <f t="shared" si="191"/>
        <v>火系51</v>
      </c>
      <c r="C647" s="1">
        <f t="shared" si="181"/>
        <v>51</v>
      </c>
      <c r="D647" s="14" t="s">
        <v>96</v>
      </c>
      <c r="E647" s="14">
        <f t="shared" si="182"/>
        <v>7</v>
      </c>
      <c r="F647" s="1" t="str">
        <f t="shared" si="187"/>
        <v>火炎</v>
      </c>
      <c r="H647" s="1">
        <f t="shared" ca="1" si="188"/>
        <v>1674.77989449913</v>
      </c>
      <c r="I647" s="1">
        <f t="shared" ca="1" si="189"/>
        <v>150</v>
      </c>
      <c r="J647" s="1">
        <f t="shared" ca="1" si="189"/>
        <v>705.62142857142896</v>
      </c>
      <c r="K647" s="1">
        <f t="shared" ca="1" si="189"/>
        <v>72.250425000000007</v>
      </c>
      <c r="L647" s="1">
        <f t="shared" ca="1" si="189"/>
        <v>705.62142857142896</v>
      </c>
      <c r="M647" s="1">
        <f t="shared" ca="1" si="189"/>
        <v>72.250425000000007</v>
      </c>
      <c r="N647" s="1">
        <f t="shared" ca="1" si="189"/>
        <v>0.2</v>
      </c>
      <c r="O647" s="1">
        <f t="shared" ca="1" si="189"/>
        <v>0.2</v>
      </c>
      <c r="P647" s="1">
        <f t="shared" ca="1" si="189"/>
        <v>0.36</v>
      </c>
      <c r="Q647" s="1">
        <f t="shared" ca="1" si="189"/>
        <v>0.1</v>
      </c>
      <c r="R647" s="1">
        <f t="shared" ca="1" si="189"/>
        <v>2</v>
      </c>
      <c r="S647" s="1">
        <f t="shared" ca="1" si="190"/>
        <v>0.1</v>
      </c>
      <c r="T647" s="1">
        <f t="shared" ca="1" si="190"/>
        <v>0.9</v>
      </c>
      <c r="U647" s="1">
        <f t="shared" ca="1" si="190"/>
        <v>98.6</v>
      </c>
      <c r="V647" s="1">
        <f t="shared" ca="1" si="190"/>
        <v>0</v>
      </c>
      <c r="W647" s="1">
        <f t="shared" ca="1" si="190"/>
        <v>0</v>
      </c>
      <c r="X647" s="1">
        <f t="shared" ca="1" si="190"/>
        <v>0</v>
      </c>
      <c r="Y647" s="1">
        <f t="shared" ca="1" si="190"/>
        <v>362.28214285714353</v>
      </c>
      <c r="Z647" s="1">
        <f t="shared" ca="1" si="190"/>
        <v>0</v>
      </c>
      <c r="AA647" s="1">
        <f t="shared" ca="1" si="190"/>
        <v>0</v>
      </c>
      <c r="AB647" s="1">
        <f t="shared" ca="1" si="186"/>
        <v>0</v>
      </c>
      <c r="AC647" s="1">
        <f t="shared" ca="1" si="190"/>
        <v>72.250425000000007</v>
      </c>
      <c r="AD647" s="1">
        <f t="shared" ca="1" si="190"/>
        <v>72.250425000000007</v>
      </c>
      <c r="AE647" s="1">
        <f t="shared" ca="1" si="190"/>
        <v>72.250425000000007</v>
      </c>
      <c r="AF647" s="1">
        <f t="shared" ca="1" si="190"/>
        <v>108.37563750000001</v>
      </c>
      <c r="AG647" s="1">
        <f t="shared" ca="1" si="190"/>
        <v>72.250425000000007</v>
      </c>
      <c r="AH647" s="1">
        <f t="shared" ca="1" si="190"/>
        <v>72.250425000000007</v>
      </c>
      <c r="AI647" s="1">
        <f t="shared" ca="1" si="176"/>
        <v>72.250425000000007</v>
      </c>
    </row>
    <row r="648" spans="2:35" x14ac:dyDescent="0.15">
      <c r="B648" s="1" t="str">
        <f t="shared" si="191"/>
        <v>火系52</v>
      </c>
      <c r="C648" s="1">
        <f t="shared" si="181"/>
        <v>52</v>
      </c>
      <c r="D648" s="14" t="s">
        <v>96</v>
      </c>
      <c r="E648" s="14">
        <f t="shared" si="182"/>
        <v>7</v>
      </c>
      <c r="F648" s="1" t="str">
        <f t="shared" si="187"/>
        <v>火炎</v>
      </c>
      <c r="H648" s="1">
        <f t="shared" ca="1" si="188"/>
        <v>1716.1568095396899</v>
      </c>
      <c r="I648" s="1">
        <f t="shared" ca="1" si="189"/>
        <v>150</v>
      </c>
      <c r="J648" s="1">
        <f t="shared" ca="1" si="189"/>
        <v>725.45627705627703</v>
      </c>
      <c r="K648" s="1">
        <f t="shared" ca="1" si="189"/>
        <v>73.667100000000005</v>
      </c>
      <c r="L648" s="1">
        <f t="shared" ca="1" si="189"/>
        <v>725.45627705627703</v>
      </c>
      <c r="M648" s="1">
        <f t="shared" ca="1" si="189"/>
        <v>73.667100000000005</v>
      </c>
      <c r="N648" s="1">
        <f t="shared" ca="1" si="189"/>
        <v>0.2</v>
      </c>
      <c r="O648" s="1">
        <f t="shared" ca="1" si="189"/>
        <v>0.2</v>
      </c>
      <c r="P648" s="1">
        <f t="shared" ca="1" si="189"/>
        <v>0.36</v>
      </c>
      <c r="Q648" s="1">
        <f t="shared" ca="1" si="189"/>
        <v>0.1</v>
      </c>
      <c r="R648" s="1">
        <f t="shared" ca="1" si="189"/>
        <v>2</v>
      </c>
      <c r="S648" s="1">
        <f t="shared" ca="1" si="190"/>
        <v>0.1</v>
      </c>
      <c r="T648" s="1">
        <f t="shared" ca="1" si="190"/>
        <v>0.9</v>
      </c>
      <c r="U648" s="1">
        <f t="shared" ca="1" si="190"/>
        <v>100.533333333333</v>
      </c>
      <c r="V648" s="1">
        <f t="shared" ca="1" si="190"/>
        <v>0</v>
      </c>
      <c r="W648" s="1">
        <f t="shared" ca="1" si="190"/>
        <v>0</v>
      </c>
      <c r="X648" s="1">
        <f t="shared" ca="1" si="190"/>
        <v>0</v>
      </c>
      <c r="Y648" s="1">
        <f t="shared" ca="1" si="190"/>
        <v>382.33506493506451</v>
      </c>
      <c r="Z648" s="1">
        <f t="shared" ca="1" si="190"/>
        <v>0</v>
      </c>
      <c r="AA648" s="1">
        <f t="shared" ca="1" si="190"/>
        <v>0</v>
      </c>
      <c r="AB648" s="1">
        <f t="shared" ca="1" si="186"/>
        <v>0</v>
      </c>
      <c r="AC648" s="1">
        <f t="shared" ca="1" si="190"/>
        <v>73.667100000000005</v>
      </c>
      <c r="AD648" s="1">
        <f t="shared" ca="1" si="190"/>
        <v>73.667100000000005</v>
      </c>
      <c r="AE648" s="1">
        <f t="shared" ca="1" si="190"/>
        <v>73.667100000000005</v>
      </c>
      <c r="AF648" s="1">
        <f t="shared" ca="1" si="190"/>
        <v>110.50065000000001</v>
      </c>
      <c r="AG648" s="1">
        <f t="shared" ca="1" si="190"/>
        <v>73.667100000000005</v>
      </c>
      <c r="AH648" s="1">
        <f t="shared" ca="1" si="190"/>
        <v>73.667100000000005</v>
      </c>
      <c r="AI648" s="1">
        <f t="shared" ca="1" si="176"/>
        <v>73.667100000000005</v>
      </c>
    </row>
    <row r="649" spans="2:35" x14ac:dyDescent="0.15">
      <c r="B649" s="1" t="str">
        <f t="shared" si="191"/>
        <v>火系53</v>
      </c>
      <c r="C649" s="1">
        <f t="shared" si="181"/>
        <v>53</v>
      </c>
      <c r="D649" s="14" t="s">
        <v>96</v>
      </c>
      <c r="E649" s="14">
        <f t="shared" si="182"/>
        <v>7</v>
      </c>
      <c r="F649" s="1" t="str">
        <f t="shared" si="187"/>
        <v>火炎</v>
      </c>
      <c r="H649" s="1">
        <f t="shared" ca="1" si="188"/>
        <v>1757.86211279487</v>
      </c>
      <c r="I649" s="1">
        <f t="shared" ca="1" si="189"/>
        <v>150</v>
      </c>
      <c r="J649" s="1">
        <f t="shared" ca="1" si="189"/>
        <v>745.59642857142899</v>
      </c>
      <c r="K649" s="1">
        <f t="shared" ca="1" si="189"/>
        <v>75.083775000000003</v>
      </c>
      <c r="L649" s="1">
        <f t="shared" ca="1" si="189"/>
        <v>745.59642857142899</v>
      </c>
      <c r="M649" s="1">
        <f t="shared" ca="1" si="189"/>
        <v>75.083775000000003</v>
      </c>
      <c r="N649" s="1">
        <f t="shared" ca="1" si="189"/>
        <v>0.2</v>
      </c>
      <c r="O649" s="1">
        <f t="shared" ca="1" si="189"/>
        <v>0.2</v>
      </c>
      <c r="P649" s="1">
        <f t="shared" ca="1" si="189"/>
        <v>0.36</v>
      </c>
      <c r="Q649" s="1">
        <f t="shared" ca="1" si="189"/>
        <v>0.1</v>
      </c>
      <c r="R649" s="1">
        <f t="shared" ca="1" si="189"/>
        <v>2</v>
      </c>
      <c r="S649" s="1">
        <f t="shared" ca="1" si="190"/>
        <v>0.1</v>
      </c>
      <c r="T649" s="1">
        <f t="shared" ca="1" si="190"/>
        <v>0.9</v>
      </c>
      <c r="U649" s="1">
        <f t="shared" ca="1" si="190"/>
        <v>102.466666666667</v>
      </c>
      <c r="V649" s="1">
        <f t="shared" ca="1" si="190"/>
        <v>0</v>
      </c>
      <c r="W649" s="1">
        <f t="shared" ca="1" si="190"/>
        <v>0</v>
      </c>
      <c r="X649" s="1">
        <f t="shared" ca="1" si="190"/>
        <v>0</v>
      </c>
      <c r="Y649" s="1">
        <f t="shared" ca="1" si="190"/>
        <v>403.2307215743445</v>
      </c>
      <c r="Z649" s="1">
        <f t="shared" ca="1" si="190"/>
        <v>0</v>
      </c>
      <c r="AA649" s="1">
        <f t="shared" ca="1" si="190"/>
        <v>0</v>
      </c>
      <c r="AB649" s="1">
        <f t="shared" ca="1" si="190"/>
        <v>0</v>
      </c>
      <c r="AC649" s="1">
        <f t="shared" ca="1" si="190"/>
        <v>75.083775000000003</v>
      </c>
      <c r="AD649" s="1">
        <f t="shared" ca="1" si="190"/>
        <v>75.083775000000003</v>
      </c>
      <c r="AE649" s="1">
        <f t="shared" ca="1" si="190"/>
        <v>75.083775000000003</v>
      </c>
      <c r="AF649" s="1">
        <f t="shared" ca="1" si="190"/>
        <v>112.6256625</v>
      </c>
      <c r="AG649" s="1">
        <f t="shared" ca="1" si="190"/>
        <v>75.083775000000003</v>
      </c>
      <c r="AH649" s="1">
        <f t="shared" ca="1" si="190"/>
        <v>75.083775000000003</v>
      </c>
      <c r="AI649" s="1">
        <f t="shared" ca="1" si="176"/>
        <v>75.083775000000003</v>
      </c>
    </row>
    <row r="650" spans="2:35" x14ac:dyDescent="0.15">
      <c r="B650" s="1" t="str">
        <f t="shared" si="191"/>
        <v>火系54</v>
      </c>
      <c r="C650" s="1">
        <f t="shared" si="181"/>
        <v>54</v>
      </c>
      <c r="D650" s="14" t="s">
        <v>96</v>
      </c>
      <c r="E650" s="14">
        <f t="shared" si="182"/>
        <v>7</v>
      </c>
      <c r="F650" s="1" t="str">
        <f t="shared" si="187"/>
        <v>火炎</v>
      </c>
      <c r="H650" s="1">
        <f t="shared" ca="1" si="188"/>
        <v>1799.89580426465</v>
      </c>
      <c r="I650" s="1">
        <f t="shared" ca="1" si="189"/>
        <v>150</v>
      </c>
      <c r="J650" s="1">
        <f t="shared" ca="1" si="189"/>
        <v>766.048453608248</v>
      </c>
      <c r="K650" s="1">
        <f t="shared" ca="1" si="189"/>
        <v>76.500450000000001</v>
      </c>
      <c r="L650" s="1">
        <f t="shared" ca="1" si="189"/>
        <v>766.048453608248</v>
      </c>
      <c r="M650" s="1">
        <f t="shared" ca="1" si="189"/>
        <v>76.500450000000001</v>
      </c>
      <c r="N650" s="1">
        <f t="shared" ca="1" si="189"/>
        <v>0.2</v>
      </c>
      <c r="O650" s="1">
        <f t="shared" ca="1" si="189"/>
        <v>0.2</v>
      </c>
      <c r="P650" s="1">
        <f t="shared" ca="1" si="189"/>
        <v>0.36</v>
      </c>
      <c r="Q650" s="1">
        <f t="shared" ca="1" si="189"/>
        <v>0.1</v>
      </c>
      <c r="R650" s="1">
        <f t="shared" ca="1" si="189"/>
        <v>2</v>
      </c>
      <c r="S650" s="1">
        <f t="shared" ca="1" si="190"/>
        <v>0.1</v>
      </c>
      <c r="T650" s="1">
        <f t="shared" ca="1" si="190"/>
        <v>0.9</v>
      </c>
      <c r="U650" s="1">
        <f t="shared" ca="1" si="190"/>
        <v>104.4</v>
      </c>
      <c r="V650" s="1">
        <f t="shared" ca="1" si="190"/>
        <v>0</v>
      </c>
      <c r="W650" s="1">
        <f t="shared" ca="1" si="190"/>
        <v>0</v>
      </c>
      <c r="X650" s="1">
        <f t="shared" ca="1" si="190"/>
        <v>0</v>
      </c>
      <c r="Y650" s="1">
        <f t="shared" ca="1" si="190"/>
        <v>424.999484536083</v>
      </c>
      <c r="Z650" s="1">
        <f t="shared" ca="1" si="190"/>
        <v>0</v>
      </c>
      <c r="AA650" s="1">
        <f t="shared" ca="1" si="190"/>
        <v>0</v>
      </c>
      <c r="AB650" s="1">
        <f t="shared" ca="1" si="190"/>
        <v>0</v>
      </c>
      <c r="AC650" s="1">
        <f t="shared" ca="1" si="190"/>
        <v>76.500450000000001</v>
      </c>
      <c r="AD650" s="1">
        <f t="shared" ca="1" si="190"/>
        <v>76.500450000000001</v>
      </c>
      <c r="AE650" s="1">
        <f t="shared" ca="1" si="190"/>
        <v>76.500450000000001</v>
      </c>
      <c r="AF650" s="1">
        <f t="shared" ca="1" si="190"/>
        <v>114.750675</v>
      </c>
      <c r="AG650" s="1">
        <f t="shared" ca="1" si="190"/>
        <v>76.500450000000001</v>
      </c>
      <c r="AH650" s="1">
        <f t="shared" ca="1" si="190"/>
        <v>76.500450000000001</v>
      </c>
      <c r="AI650" s="1">
        <f t="shared" ca="1" si="176"/>
        <v>76.500450000000001</v>
      </c>
    </row>
    <row r="651" spans="2:35" x14ac:dyDescent="0.15">
      <c r="B651" s="1" t="str">
        <f t="shared" si="191"/>
        <v>火系55</v>
      </c>
      <c r="C651" s="1">
        <f t="shared" si="181"/>
        <v>55</v>
      </c>
      <c r="D651" s="14" t="s">
        <v>96</v>
      </c>
      <c r="E651" s="14">
        <f t="shared" si="182"/>
        <v>7</v>
      </c>
      <c r="F651" s="1" t="str">
        <f t="shared" si="187"/>
        <v>火炎</v>
      </c>
      <c r="H651" s="1">
        <f t="shared" ca="1" si="188"/>
        <v>1842.25788394904</v>
      </c>
      <c r="I651" s="1">
        <f t="shared" ca="1" si="189"/>
        <v>150</v>
      </c>
      <c r="J651" s="1">
        <f t="shared" ca="1" si="189"/>
        <v>786.81919642857201</v>
      </c>
      <c r="K651" s="1">
        <f t="shared" ca="1" si="189"/>
        <v>77.917124999999999</v>
      </c>
      <c r="L651" s="1">
        <f t="shared" ca="1" si="189"/>
        <v>786.81919642857201</v>
      </c>
      <c r="M651" s="1">
        <f t="shared" ca="1" si="189"/>
        <v>77.917124999999999</v>
      </c>
      <c r="N651" s="1">
        <f t="shared" ca="1" si="189"/>
        <v>0.2</v>
      </c>
      <c r="O651" s="1">
        <f t="shared" ca="1" si="189"/>
        <v>0.2</v>
      </c>
      <c r="P651" s="1">
        <f t="shared" ca="1" si="189"/>
        <v>0.36</v>
      </c>
      <c r="Q651" s="1">
        <f t="shared" ca="1" si="189"/>
        <v>0.1</v>
      </c>
      <c r="R651" s="1">
        <f t="shared" ca="1" si="189"/>
        <v>2</v>
      </c>
      <c r="S651" s="1">
        <f t="shared" ca="1" si="190"/>
        <v>0.1</v>
      </c>
      <c r="T651" s="1">
        <f t="shared" ca="1" si="190"/>
        <v>0.9</v>
      </c>
      <c r="U651" s="1">
        <f t="shared" ca="1" si="190"/>
        <v>106.333333333333</v>
      </c>
      <c r="V651" s="1">
        <f t="shared" ca="1" si="190"/>
        <v>0</v>
      </c>
      <c r="W651" s="1">
        <f t="shared" ca="1" si="190"/>
        <v>0</v>
      </c>
      <c r="X651" s="1">
        <f t="shared" ca="1" si="190"/>
        <v>0</v>
      </c>
      <c r="Y651" s="1">
        <f t="shared" ca="1" si="190"/>
        <v>447.67299107142901</v>
      </c>
      <c r="Z651" s="1">
        <f t="shared" ca="1" si="190"/>
        <v>0</v>
      </c>
      <c r="AA651" s="1">
        <f t="shared" ca="1" si="190"/>
        <v>0</v>
      </c>
      <c r="AB651" s="1">
        <f t="shared" ca="1" si="190"/>
        <v>0</v>
      </c>
      <c r="AC651" s="1">
        <f t="shared" ca="1" si="190"/>
        <v>77.917124999999999</v>
      </c>
      <c r="AD651" s="1">
        <f t="shared" ca="1" si="190"/>
        <v>77.917124999999999</v>
      </c>
      <c r="AE651" s="1">
        <f t="shared" ca="1" si="190"/>
        <v>77.917124999999999</v>
      </c>
      <c r="AF651" s="1">
        <f t="shared" ca="1" si="190"/>
        <v>116.8756875</v>
      </c>
      <c r="AG651" s="1">
        <f t="shared" ca="1" si="190"/>
        <v>77.917124999999999</v>
      </c>
      <c r="AH651" s="1">
        <f t="shared" ca="1" si="190"/>
        <v>77.917124999999999</v>
      </c>
      <c r="AI651" s="1">
        <f t="shared" ca="1" si="176"/>
        <v>77.917124999999999</v>
      </c>
    </row>
    <row r="652" spans="2:35" x14ac:dyDescent="0.15">
      <c r="B652" s="1" t="str">
        <f t="shared" si="191"/>
        <v>火系56</v>
      </c>
      <c r="C652" s="1">
        <f t="shared" si="181"/>
        <v>56</v>
      </c>
      <c r="D652" s="14" t="s">
        <v>96</v>
      </c>
      <c r="E652" s="14">
        <f t="shared" si="182"/>
        <v>7</v>
      </c>
      <c r="F652" s="1" t="str">
        <f t="shared" si="187"/>
        <v>火炎</v>
      </c>
      <c r="H652" s="1">
        <f t="shared" ca="1" si="188"/>
        <v>1958.58059015868</v>
      </c>
      <c r="I652" s="1">
        <f t="shared" ca="1" si="189"/>
        <v>150</v>
      </c>
      <c r="J652" s="1">
        <f t="shared" ca="1" si="189"/>
        <v>807.91578947368498</v>
      </c>
      <c r="K652" s="1">
        <f t="shared" ca="1" si="189"/>
        <v>79.333799999999997</v>
      </c>
      <c r="L652" s="1">
        <f t="shared" ca="1" si="189"/>
        <v>807.91578947368498</v>
      </c>
      <c r="M652" s="1">
        <f t="shared" ca="1" si="189"/>
        <v>79.333799999999997</v>
      </c>
      <c r="N652" s="1">
        <f t="shared" ca="1" si="189"/>
        <v>0.2</v>
      </c>
      <c r="O652" s="1">
        <f t="shared" ca="1" si="189"/>
        <v>0.2</v>
      </c>
      <c r="P652" s="1">
        <f t="shared" ca="1" si="189"/>
        <v>0.36</v>
      </c>
      <c r="Q652" s="1">
        <f t="shared" ca="1" si="189"/>
        <v>0.1</v>
      </c>
      <c r="R652" s="1">
        <f t="shared" ca="1" si="189"/>
        <v>2</v>
      </c>
      <c r="S652" s="1">
        <f t="shared" ca="1" si="190"/>
        <v>0.1</v>
      </c>
      <c r="T652" s="1">
        <f t="shared" ca="1" si="190"/>
        <v>0.9</v>
      </c>
      <c r="U652" s="1">
        <f t="shared" ca="1" si="190"/>
        <v>108.26666666666701</v>
      </c>
      <c r="V652" s="1">
        <f t="shared" ca="1" si="190"/>
        <v>0</v>
      </c>
      <c r="W652" s="1">
        <f t="shared" ca="1" si="190"/>
        <v>0</v>
      </c>
      <c r="X652" s="1">
        <f t="shared" ca="1" si="190"/>
        <v>0</v>
      </c>
      <c r="Y652" s="1">
        <f t="shared" ca="1" si="190"/>
        <v>471.28421052631654</v>
      </c>
      <c r="Z652" s="1">
        <f t="shared" ca="1" si="190"/>
        <v>0</v>
      </c>
      <c r="AA652" s="1">
        <f t="shared" ca="1" si="190"/>
        <v>0</v>
      </c>
      <c r="AB652" s="1">
        <f t="shared" ca="1" si="190"/>
        <v>0</v>
      </c>
      <c r="AC652" s="1">
        <f t="shared" ca="1" si="190"/>
        <v>79.333799999999997</v>
      </c>
      <c r="AD652" s="1">
        <f t="shared" ca="1" si="190"/>
        <v>79.333799999999997</v>
      </c>
      <c r="AE652" s="1">
        <f t="shared" ca="1" si="190"/>
        <v>79.333799999999997</v>
      </c>
      <c r="AF652" s="1">
        <f t="shared" ca="1" si="190"/>
        <v>119.00069999999999</v>
      </c>
      <c r="AG652" s="1">
        <f t="shared" ca="1" si="190"/>
        <v>79.333799999999997</v>
      </c>
      <c r="AH652" s="1">
        <f t="shared" ca="1" si="190"/>
        <v>79.333799999999997</v>
      </c>
      <c r="AI652" s="1">
        <f t="shared" ca="1" si="176"/>
        <v>79.333799999999997</v>
      </c>
    </row>
    <row r="653" spans="2:35" x14ac:dyDescent="0.15">
      <c r="B653" s="1" t="str">
        <f t="shared" si="191"/>
        <v>火系57</v>
      </c>
      <c r="C653" s="1">
        <f t="shared" si="181"/>
        <v>57</v>
      </c>
      <c r="D653" s="14" t="s">
        <v>96</v>
      </c>
      <c r="E653" s="14">
        <f t="shared" si="182"/>
        <v>7</v>
      </c>
      <c r="F653" s="1" t="str">
        <f t="shared" si="187"/>
        <v>火炎</v>
      </c>
      <c r="H653" s="1">
        <f t="shared" ca="1" si="188"/>
        <v>2003.2799032790199</v>
      </c>
      <c r="I653" s="1">
        <f t="shared" ref="I653:R662" ca="1" si="192">mVlookup($C653,monsterBaseDate,I$2,FALSE)*(1+mVlookup($E653,monsterType,I$2,FALSE))</f>
        <v>150</v>
      </c>
      <c r="J653" s="1">
        <f t="shared" ca="1" si="192"/>
        <v>829.34566869301</v>
      </c>
      <c r="K653" s="1">
        <f t="shared" ca="1" si="192"/>
        <v>80.750474999999994</v>
      </c>
      <c r="L653" s="1">
        <f t="shared" ca="1" si="192"/>
        <v>829.34566869301</v>
      </c>
      <c r="M653" s="1">
        <f t="shared" ca="1" si="192"/>
        <v>80.750474999999994</v>
      </c>
      <c r="N653" s="1">
        <f t="shared" ca="1" si="192"/>
        <v>0.2</v>
      </c>
      <c r="O653" s="1">
        <f t="shared" ca="1" si="192"/>
        <v>0.2</v>
      </c>
      <c r="P653" s="1">
        <f t="shared" ca="1" si="192"/>
        <v>0.36</v>
      </c>
      <c r="Q653" s="1">
        <f t="shared" ca="1" si="192"/>
        <v>0.1</v>
      </c>
      <c r="R653" s="1">
        <f t="shared" ca="1" si="192"/>
        <v>2</v>
      </c>
      <c r="S653" s="1">
        <f t="shared" ref="S653:AH668" ca="1" si="193">mVlookup($C653,monsterBaseDate,S$2,FALSE)*(1+mVlookup($E653,monsterType,S$2,FALSE))</f>
        <v>0.1</v>
      </c>
      <c r="T653" s="1">
        <f t="shared" ca="1" si="193"/>
        <v>0.9</v>
      </c>
      <c r="U653" s="1">
        <f t="shared" ca="1" si="193"/>
        <v>110.2</v>
      </c>
      <c r="V653" s="1">
        <f t="shared" ca="1" si="193"/>
        <v>0</v>
      </c>
      <c r="W653" s="1">
        <f t="shared" ca="1" si="193"/>
        <v>0</v>
      </c>
      <c r="X653" s="1">
        <f t="shared" ca="1" si="193"/>
        <v>0</v>
      </c>
      <c r="Y653" s="1">
        <f t="shared" ca="1" si="193"/>
        <v>495.86751519756899</v>
      </c>
      <c r="Z653" s="1">
        <f t="shared" ca="1" si="193"/>
        <v>0</v>
      </c>
      <c r="AA653" s="1">
        <f t="shared" ca="1" si="193"/>
        <v>0</v>
      </c>
      <c r="AB653" s="1">
        <f t="shared" ca="1" si="190"/>
        <v>0</v>
      </c>
      <c r="AC653" s="1">
        <f t="shared" ca="1" si="193"/>
        <v>80.750474999999994</v>
      </c>
      <c r="AD653" s="1">
        <f t="shared" ca="1" si="193"/>
        <v>80.750474999999994</v>
      </c>
      <c r="AE653" s="1">
        <f t="shared" ca="1" si="193"/>
        <v>80.750474999999994</v>
      </c>
      <c r="AF653" s="1">
        <f t="shared" ca="1" si="193"/>
        <v>121.12571249999999</v>
      </c>
      <c r="AG653" s="1">
        <f t="shared" ca="1" si="193"/>
        <v>80.750474999999994</v>
      </c>
      <c r="AH653" s="1">
        <f t="shared" ca="1" si="193"/>
        <v>80.750474999999994</v>
      </c>
      <c r="AI653" s="1">
        <f t="shared" ca="1" si="176"/>
        <v>80.750474999999994</v>
      </c>
    </row>
    <row r="654" spans="2:35" x14ac:dyDescent="0.15">
      <c r="B654" s="1" t="str">
        <f t="shared" si="191"/>
        <v>火系58</v>
      </c>
      <c r="C654" s="1">
        <f t="shared" si="181"/>
        <v>58</v>
      </c>
      <c r="D654" s="14" t="s">
        <v>96</v>
      </c>
      <c r="E654" s="14">
        <f t="shared" si="182"/>
        <v>7</v>
      </c>
      <c r="F654" s="1" t="str">
        <f t="shared" si="187"/>
        <v>火炎</v>
      </c>
      <c r="H654" s="1">
        <f t="shared" ca="1" si="188"/>
        <v>2048.3204325300599</v>
      </c>
      <c r="I654" s="1">
        <f t="shared" ca="1" si="192"/>
        <v>150</v>
      </c>
      <c r="J654" s="1">
        <f t="shared" ca="1" si="192"/>
        <v>851.116589861752</v>
      </c>
      <c r="K654" s="1">
        <f t="shared" ca="1" si="192"/>
        <v>82.167150000000007</v>
      </c>
      <c r="L654" s="1">
        <f t="shared" ca="1" si="192"/>
        <v>851.116589861752</v>
      </c>
      <c r="M654" s="1">
        <f t="shared" ca="1" si="192"/>
        <v>82.167150000000007</v>
      </c>
      <c r="N654" s="1">
        <f t="shared" ca="1" si="192"/>
        <v>0.2</v>
      </c>
      <c r="O654" s="1">
        <f t="shared" ca="1" si="192"/>
        <v>0.2</v>
      </c>
      <c r="P654" s="1">
        <f t="shared" ca="1" si="192"/>
        <v>0.36</v>
      </c>
      <c r="Q654" s="1">
        <f t="shared" ca="1" si="192"/>
        <v>0.1</v>
      </c>
      <c r="R654" s="1">
        <f t="shared" ca="1" si="192"/>
        <v>2</v>
      </c>
      <c r="S654" s="1">
        <f t="shared" ca="1" si="193"/>
        <v>0.1</v>
      </c>
      <c r="T654" s="1">
        <f t="shared" ca="1" si="193"/>
        <v>0.9</v>
      </c>
      <c r="U654" s="1">
        <f t="shared" ca="1" si="193"/>
        <v>112.133333333333</v>
      </c>
      <c r="V654" s="1">
        <f t="shared" ca="1" si="193"/>
        <v>0</v>
      </c>
      <c r="W654" s="1">
        <f t="shared" ca="1" si="193"/>
        <v>0</v>
      </c>
      <c r="X654" s="1">
        <f t="shared" ca="1" si="193"/>
        <v>0</v>
      </c>
      <c r="Y654" s="1">
        <f t="shared" ca="1" si="193"/>
        <v>521.45875576036951</v>
      </c>
      <c r="Z654" s="1">
        <f t="shared" ca="1" si="193"/>
        <v>0</v>
      </c>
      <c r="AA654" s="1">
        <f t="shared" ca="1" si="193"/>
        <v>0</v>
      </c>
      <c r="AB654" s="1">
        <f t="shared" ca="1" si="190"/>
        <v>0</v>
      </c>
      <c r="AC654" s="1">
        <f t="shared" ca="1" si="193"/>
        <v>82.167150000000007</v>
      </c>
      <c r="AD654" s="1">
        <f t="shared" ca="1" si="193"/>
        <v>82.167150000000007</v>
      </c>
      <c r="AE654" s="1">
        <f t="shared" ca="1" si="193"/>
        <v>82.167150000000007</v>
      </c>
      <c r="AF654" s="1">
        <f t="shared" ca="1" si="193"/>
        <v>123.25072500000002</v>
      </c>
      <c r="AG654" s="1">
        <f t="shared" ca="1" si="193"/>
        <v>82.167150000000007</v>
      </c>
      <c r="AH654" s="1">
        <f t="shared" ca="1" si="193"/>
        <v>82.167150000000007</v>
      </c>
      <c r="AI654" s="1">
        <f t="shared" ca="1" si="176"/>
        <v>82.167150000000007</v>
      </c>
    </row>
    <row r="655" spans="2:35" x14ac:dyDescent="0.15">
      <c r="B655" s="1" t="str">
        <f t="shared" si="191"/>
        <v>火系59</v>
      </c>
      <c r="C655" s="1">
        <f t="shared" si="181"/>
        <v>59</v>
      </c>
      <c r="D655" s="14" t="s">
        <v>96</v>
      </c>
      <c r="E655" s="14">
        <f t="shared" si="182"/>
        <v>7</v>
      </c>
      <c r="F655" s="1" t="str">
        <f t="shared" si="187"/>
        <v>火炎</v>
      </c>
      <c r="H655" s="1">
        <f t="shared" ca="1" si="188"/>
        <v>2093.7021779117799</v>
      </c>
      <c r="I655" s="1">
        <f t="shared" ca="1" si="192"/>
        <v>150</v>
      </c>
      <c r="J655" s="1">
        <f t="shared" ca="1" si="192"/>
        <v>873.23664596273295</v>
      </c>
      <c r="K655" s="1">
        <f t="shared" ca="1" si="192"/>
        <v>83.583825000000004</v>
      </c>
      <c r="L655" s="1">
        <f t="shared" ca="1" si="192"/>
        <v>873.23664596273295</v>
      </c>
      <c r="M655" s="1">
        <f t="shared" ca="1" si="192"/>
        <v>83.583825000000004</v>
      </c>
      <c r="N655" s="1">
        <f t="shared" ca="1" si="192"/>
        <v>0.2</v>
      </c>
      <c r="O655" s="1">
        <f t="shared" ca="1" si="192"/>
        <v>0.2</v>
      </c>
      <c r="P655" s="1">
        <f t="shared" ca="1" si="192"/>
        <v>0.36</v>
      </c>
      <c r="Q655" s="1">
        <f t="shared" ca="1" si="192"/>
        <v>0.1</v>
      </c>
      <c r="R655" s="1">
        <f t="shared" ca="1" si="192"/>
        <v>2</v>
      </c>
      <c r="S655" s="1">
        <f t="shared" ca="1" si="193"/>
        <v>0.1</v>
      </c>
      <c r="T655" s="1">
        <f t="shared" ca="1" si="193"/>
        <v>0.9</v>
      </c>
      <c r="U655" s="1">
        <f t="shared" ca="1" si="193"/>
        <v>114.066666666667</v>
      </c>
      <c r="V655" s="1">
        <f t="shared" ca="1" si="193"/>
        <v>0</v>
      </c>
      <c r="W655" s="1">
        <f t="shared" ca="1" si="193"/>
        <v>0</v>
      </c>
      <c r="X655" s="1">
        <f t="shared" ca="1" si="193"/>
        <v>0</v>
      </c>
      <c r="Y655" s="1">
        <f t="shared" ca="1" si="193"/>
        <v>548.09534161490706</v>
      </c>
      <c r="Z655" s="1">
        <f t="shared" ca="1" si="193"/>
        <v>0</v>
      </c>
      <c r="AA655" s="1">
        <f t="shared" ca="1" si="193"/>
        <v>0</v>
      </c>
      <c r="AB655" s="1">
        <f t="shared" ca="1" si="190"/>
        <v>0</v>
      </c>
      <c r="AC655" s="1">
        <f t="shared" ca="1" si="193"/>
        <v>83.583825000000004</v>
      </c>
      <c r="AD655" s="1">
        <f t="shared" ca="1" si="193"/>
        <v>83.583825000000004</v>
      </c>
      <c r="AE655" s="1">
        <f t="shared" ca="1" si="193"/>
        <v>83.583825000000004</v>
      </c>
      <c r="AF655" s="1">
        <f t="shared" ca="1" si="193"/>
        <v>125.37573750000001</v>
      </c>
      <c r="AG655" s="1">
        <f t="shared" ca="1" si="193"/>
        <v>83.583825000000004</v>
      </c>
      <c r="AH655" s="1">
        <f t="shared" ca="1" si="193"/>
        <v>83.583825000000004</v>
      </c>
      <c r="AI655" s="1">
        <f t="shared" ca="1" si="176"/>
        <v>83.583825000000004</v>
      </c>
    </row>
    <row r="656" spans="2:35" x14ac:dyDescent="0.15">
      <c r="B656" s="1" t="str">
        <f t="shared" si="191"/>
        <v>火系60</v>
      </c>
      <c r="C656" s="1">
        <f t="shared" si="181"/>
        <v>60</v>
      </c>
      <c r="D656" s="14" t="s">
        <v>96</v>
      </c>
      <c r="E656" s="14">
        <f t="shared" si="182"/>
        <v>7</v>
      </c>
      <c r="F656" s="1" t="str">
        <f t="shared" si="187"/>
        <v>火炎</v>
      </c>
      <c r="H656" s="1">
        <f t="shared" ca="1" si="188"/>
        <v>2139.4251394242001</v>
      </c>
      <c r="I656" s="1">
        <f t="shared" ca="1" si="192"/>
        <v>150</v>
      </c>
      <c r="J656" s="1">
        <f t="shared" ca="1" si="192"/>
        <v>895.71428571428601</v>
      </c>
      <c r="K656" s="1">
        <f t="shared" ca="1" si="192"/>
        <v>85.000500000000002</v>
      </c>
      <c r="L656" s="1">
        <f t="shared" ca="1" si="192"/>
        <v>895.71428571428601</v>
      </c>
      <c r="M656" s="1">
        <f t="shared" ca="1" si="192"/>
        <v>85.000500000000002</v>
      </c>
      <c r="N656" s="1">
        <f t="shared" ca="1" si="192"/>
        <v>0.2</v>
      </c>
      <c r="O656" s="1">
        <f t="shared" ca="1" si="192"/>
        <v>0.2</v>
      </c>
      <c r="P656" s="1">
        <f t="shared" ca="1" si="192"/>
        <v>0.36</v>
      </c>
      <c r="Q656" s="1">
        <f t="shared" ca="1" si="192"/>
        <v>0.1</v>
      </c>
      <c r="R656" s="1">
        <f t="shared" ca="1" si="192"/>
        <v>2</v>
      </c>
      <c r="S656" s="1">
        <f t="shared" ca="1" si="193"/>
        <v>0.1</v>
      </c>
      <c r="T656" s="1">
        <f t="shared" ca="1" si="193"/>
        <v>0.9</v>
      </c>
      <c r="U656" s="1">
        <f t="shared" ca="1" si="193"/>
        <v>116</v>
      </c>
      <c r="V656" s="1">
        <f t="shared" ca="1" si="193"/>
        <v>0</v>
      </c>
      <c r="W656" s="1">
        <f t="shared" ca="1" si="193"/>
        <v>0</v>
      </c>
      <c r="X656" s="1">
        <f t="shared" ca="1" si="193"/>
        <v>0</v>
      </c>
      <c r="Y656" s="1">
        <f t="shared" ca="1" si="193"/>
        <v>575.81632653061206</v>
      </c>
      <c r="Z656" s="1">
        <f t="shared" ca="1" si="193"/>
        <v>0</v>
      </c>
      <c r="AA656" s="1">
        <f t="shared" ca="1" si="193"/>
        <v>0</v>
      </c>
      <c r="AB656" s="1">
        <f t="shared" ca="1" si="190"/>
        <v>0</v>
      </c>
      <c r="AC656" s="1">
        <f t="shared" ca="1" si="193"/>
        <v>85.000500000000002</v>
      </c>
      <c r="AD656" s="1">
        <f t="shared" ca="1" si="193"/>
        <v>85.000500000000002</v>
      </c>
      <c r="AE656" s="1">
        <f t="shared" ca="1" si="193"/>
        <v>85.000500000000002</v>
      </c>
      <c r="AF656" s="1">
        <f t="shared" ca="1" si="193"/>
        <v>127.50075000000001</v>
      </c>
      <c r="AG656" s="1">
        <f t="shared" ca="1" si="193"/>
        <v>85.000500000000002</v>
      </c>
      <c r="AH656" s="1">
        <f t="shared" ca="1" si="193"/>
        <v>85.000500000000002</v>
      </c>
      <c r="AI656" s="1">
        <f t="shared" ca="1" si="176"/>
        <v>85.000500000000002</v>
      </c>
    </row>
    <row r="657" spans="2:35" x14ac:dyDescent="0.15">
      <c r="B657" s="1" t="str">
        <f t="shared" si="191"/>
        <v>火系61</v>
      </c>
      <c r="C657" s="1">
        <f t="shared" si="181"/>
        <v>61</v>
      </c>
      <c r="D657" s="14" t="s">
        <v>96</v>
      </c>
      <c r="E657" s="14">
        <f t="shared" si="182"/>
        <v>7</v>
      </c>
      <c r="F657" s="1" t="str">
        <f t="shared" si="187"/>
        <v>火炎</v>
      </c>
      <c r="H657" s="1">
        <f t="shared" ca="1" si="188"/>
        <v>2185.4893170672999</v>
      </c>
      <c r="I657" s="1">
        <f t="shared" ca="1" si="192"/>
        <v>150</v>
      </c>
      <c r="J657" s="1">
        <f t="shared" ca="1" si="192"/>
        <v>918.55833333333396</v>
      </c>
      <c r="K657" s="1">
        <f t="shared" ca="1" si="192"/>
        <v>86.417175</v>
      </c>
      <c r="L657" s="1">
        <f t="shared" ca="1" si="192"/>
        <v>918.55833333333396</v>
      </c>
      <c r="M657" s="1">
        <f t="shared" ca="1" si="192"/>
        <v>86.417175</v>
      </c>
      <c r="N657" s="1">
        <f t="shared" ca="1" si="192"/>
        <v>0.2</v>
      </c>
      <c r="O657" s="1">
        <f t="shared" ca="1" si="192"/>
        <v>0.2</v>
      </c>
      <c r="P657" s="1">
        <f t="shared" ca="1" si="192"/>
        <v>0.36</v>
      </c>
      <c r="Q657" s="1">
        <f t="shared" ca="1" si="192"/>
        <v>0.1</v>
      </c>
      <c r="R657" s="1">
        <f t="shared" ca="1" si="192"/>
        <v>2</v>
      </c>
      <c r="S657" s="1">
        <f t="shared" ca="1" si="193"/>
        <v>0.1</v>
      </c>
      <c r="T657" s="1">
        <f t="shared" ca="1" si="193"/>
        <v>0.9</v>
      </c>
      <c r="U657" s="1">
        <f t="shared" ca="1" si="193"/>
        <v>117.933333333333</v>
      </c>
      <c r="V657" s="1">
        <f t="shared" ca="1" si="193"/>
        <v>0</v>
      </c>
      <c r="W657" s="1">
        <f t="shared" ca="1" si="193"/>
        <v>0</v>
      </c>
      <c r="X657" s="1">
        <f t="shared" ca="1" si="193"/>
        <v>0</v>
      </c>
      <c r="Y657" s="1">
        <f t="shared" ca="1" si="193"/>
        <v>604.66250000000093</v>
      </c>
      <c r="Z657" s="1">
        <f t="shared" ca="1" si="193"/>
        <v>0</v>
      </c>
      <c r="AA657" s="1">
        <f t="shared" ca="1" si="193"/>
        <v>0</v>
      </c>
      <c r="AB657" s="1">
        <f t="shared" ca="1" si="190"/>
        <v>0</v>
      </c>
      <c r="AC657" s="1">
        <f t="shared" ca="1" si="193"/>
        <v>86.417175</v>
      </c>
      <c r="AD657" s="1">
        <f t="shared" ca="1" si="193"/>
        <v>86.417175</v>
      </c>
      <c r="AE657" s="1">
        <f t="shared" ca="1" si="193"/>
        <v>86.417175</v>
      </c>
      <c r="AF657" s="1">
        <f t="shared" ca="1" si="193"/>
        <v>129.62576250000001</v>
      </c>
      <c r="AG657" s="1">
        <f t="shared" ca="1" si="193"/>
        <v>86.417175</v>
      </c>
      <c r="AH657" s="1">
        <f t="shared" ca="1" si="193"/>
        <v>86.417175</v>
      </c>
      <c r="AI657" s="1">
        <f t="shared" ca="1" si="176"/>
        <v>86.417175</v>
      </c>
    </row>
    <row r="658" spans="2:35" x14ac:dyDescent="0.15">
      <c r="B658" s="1" t="str">
        <f t="shared" si="191"/>
        <v>火系62</v>
      </c>
      <c r="C658" s="1">
        <f t="shared" si="181"/>
        <v>62</v>
      </c>
      <c r="D658" s="14" t="s">
        <v>96</v>
      </c>
      <c r="E658" s="14">
        <f t="shared" si="182"/>
        <v>7</v>
      </c>
      <c r="F658" s="1" t="str">
        <f t="shared" si="187"/>
        <v>火炎</v>
      </c>
      <c r="H658" s="1">
        <f t="shared" ca="1" si="188"/>
        <v>2231.8947108410998</v>
      </c>
      <c r="I658" s="1">
        <f t="shared" ca="1" si="192"/>
        <v>150</v>
      </c>
      <c r="J658" s="1">
        <f t="shared" ca="1" si="192"/>
        <v>941.77800963081904</v>
      </c>
      <c r="K658" s="1">
        <f t="shared" ca="1" si="192"/>
        <v>87.833849999999998</v>
      </c>
      <c r="L658" s="1">
        <f t="shared" ca="1" si="192"/>
        <v>941.77800963081904</v>
      </c>
      <c r="M658" s="1">
        <f t="shared" ca="1" si="192"/>
        <v>87.833849999999998</v>
      </c>
      <c r="N658" s="1">
        <f t="shared" ca="1" si="192"/>
        <v>0.2</v>
      </c>
      <c r="O658" s="1">
        <f t="shared" ca="1" si="192"/>
        <v>0.2</v>
      </c>
      <c r="P658" s="1">
        <f t="shared" ca="1" si="192"/>
        <v>0.36</v>
      </c>
      <c r="Q658" s="1">
        <f t="shared" ca="1" si="192"/>
        <v>0.1</v>
      </c>
      <c r="R658" s="1">
        <f t="shared" ca="1" si="192"/>
        <v>2</v>
      </c>
      <c r="S658" s="1">
        <f t="shared" ca="1" si="193"/>
        <v>0.1</v>
      </c>
      <c r="T658" s="1">
        <f t="shared" ca="1" si="193"/>
        <v>0.9</v>
      </c>
      <c r="U658" s="1">
        <f t="shared" ca="1" si="193"/>
        <v>119.866666666667</v>
      </c>
      <c r="V658" s="1">
        <f t="shared" ca="1" si="193"/>
        <v>0</v>
      </c>
      <c r="W658" s="1">
        <f t="shared" ca="1" si="193"/>
        <v>0</v>
      </c>
      <c r="X658" s="1">
        <f t="shared" ca="1" si="193"/>
        <v>0</v>
      </c>
      <c r="Y658" s="1">
        <f t="shared" ca="1" si="193"/>
        <v>634.6764847512045</v>
      </c>
      <c r="Z658" s="1">
        <f t="shared" ca="1" si="193"/>
        <v>0</v>
      </c>
      <c r="AA658" s="1">
        <f t="shared" ca="1" si="193"/>
        <v>0</v>
      </c>
      <c r="AB658" s="1">
        <f t="shared" ca="1" si="190"/>
        <v>0</v>
      </c>
      <c r="AC658" s="1">
        <f t="shared" ca="1" si="193"/>
        <v>87.833849999999998</v>
      </c>
      <c r="AD658" s="1">
        <f t="shared" ca="1" si="193"/>
        <v>87.833849999999998</v>
      </c>
      <c r="AE658" s="1">
        <f t="shared" ca="1" si="193"/>
        <v>87.833849999999998</v>
      </c>
      <c r="AF658" s="1">
        <f t="shared" ca="1" si="193"/>
        <v>131.750775</v>
      </c>
      <c r="AG658" s="1">
        <f t="shared" ca="1" si="193"/>
        <v>87.833849999999998</v>
      </c>
      <c r="AH658" s="1">
        <f t="shared" ca="1" si="193"/>
        <v>87.833849999999998</v>
      </c>
      <c r="AI658" s="1">
        <f t="shared" ca="1" si="176"/>
        <v>87.833849999999998</v>
      </c>
    </row>
    <row r="659" spans="2:35" x14ac:dyDescent="0.15">
      <c r="B659" s="1" t="str">
        <f t="shared" si="191"/>
        <v>火系63</v>
      </c>
      <c r="C659" s="1">
        <f t="shared" si="181"/>
        <v>63</v>
      </c>
      <c r="D659" s="14" t="s">
        <v>96</v>
      </c>
      <c r="E659" s="14">
        <f t="shared" si="182"/>
        <v>7</v>
      </c>
      <c r="F659" s="1" t="str">
        <f t="shared" si="187"/>
        <v>火炎</v>
      </c>
      <c r="H659" s="1">
        <f t="shared" ca="1" si="188"/>
        <v>2278.6413207455798</v>
      </c>
      <c r="I659" s="1">
        <f t="shared" ca="1" si="192"/>
        <v>150</v>
      </c>
      <c r="J659" s="1">
        <f t="shared" ca="1" si="192"/>
        <v>965.38295454545505</v>
      </c>
      <c r="K659" s="1">
        <f t="shared" ca="1" si="192"/>
        <v>89.250524999999996</v>
      </c>
      <c r="L659" s="1">
        <f t="shared" ca="1" si="192"/>
        <v>965.38295454545505</v>
      </c>
      <c r="M659" s="1">
        <f t="shared" ca="1" si="192"/>
        <v>89.250524999999996</v>
      </c>
      <c r="N659" s="1">
        <f t="shared" ca="1" si="192"/>
        <v>0.2</v>
      </c>
      <c r="O659" s="1">
        <f t="shared" ca="1" si="192"/>
        <v>0.2</v>
      </c>
      <c r="P659" s="1">
        <f t="shared" ca="1" si="192"/>
        <v>0.36</v>
      </c>
      <c r="Q659" s="1">
        <f t="shared" ca="1" si="192"/>
        <v>0.1</v>
      </c>
      <c r="R659" s="1">
        <f t="shared" ca="1" si="192"/>
        <v>2</v>
      </c>
      <c r="S659" s="1">
        <f t="shared" ca="1" si="193"/>
        <v>0.1</v>
      </c>
      <c r="T659" s="1">
        <f t="shared" ca="1" si="193"/>
        <v>0.9</v>
      </c>
      <c r="U659" s="1">
        <f t="shared" ca="1" si="193"/>
        <v>121.8</v>
      </c>
      <c r="V659" s="1">
        <f t="shared" ca="1" si="193"/>
        <v>0</v>
      </c>
      <c r="W659" s="1">
        <f t="shared" ca="1" si="193"/>
        <v>0</v>
      </c>
      <c r="X659" s="1">
        <f t="shared" ca="1" si="193"/>
        <v>0</v>
      </c>
      <c r="Y659" s="1">
        <f t="shared" ca="1" si="193"/>
        <v>665.90284090909199</v>
      </c>
      <c r="Z659" s="1">
        <f t="shared" ca="1" si="193"/>
        <v>0</v>
      </c>
      <c r="AA659" s="1">
        <f t="shared" ca="1" si="193"/>
        <v>0</v>
      </c>
      <c r="AB659" s="1">
        <f t="shared" ca="1" si="193"/>
        <v>0</v>
      </c>
      <c r="AC659" s="1">
        <f t="shared" ca="1" si="193"/>
        <v>89.250524999999996</v>
      </c>
      <c r="AD659" s="1">
        <f t="shared" ca="1" si="193"/>
        <v>89.250524999999996</v>
      </c>
      <c r="AE659" s="1">
        <f t="shared" ca="1" si="193"/>
        <v>89.250524999999996</v>
      </c>
      <c r="AF659" s="1">
        <f t="shared" ca="1" si="193"/>
        <v>133.8757875</v>
      </c>
      <c r="AG659" s="1">
        <f t="shared" ca="1" si="193"/>
        <v>89.250524999999996</v>
      </c>
      <c r="AH659" s="1">
        <f t="shared" ca="1" si="193"/>
        <v>89.250524999999996</v>
      </c>
      <c r="AI659" s="1">
        <f t="shared" ref="AI659:AI722" ca="1" si="194">mVlookup($C659,monsterBaseDate,AI$2,FALSE)*(1+mVlookup($E659,monsterType,AI$2,FALSE))</f>
        <v>89.250524999999996</v>
      </c>
    </row>
    <row r="660" spans="2:35" x14ac:dyDescent="0.15">
      <c r="B660" s="1" t="str">
        <f t="shared" si="191"/>
        <v>火系64</v>
      </c>
      <c r="C660" s="1">
        <f t="shared" si="181"/>
        <v>64</v>
      </c>
      <c r="D660" s="14" t="s">
        <v>96</v>
      </c>
      <c r="E660" s="14">
        <f t="shared" si="182"/>
        <v>7</v>
      </c>
      <c r="F660" s="1" t="str">
        <f t="shared" si="187"/>
        <v>火炎</v>
      </c>
      <c r="H660" s="1">
        <f t="shared" ca="1" si="188"/>
        <v>2325.7291467807499</v>
      </c>
      <c r="I660" s="1">
        <f t="shared" ca="1" si="192"/>
        <v>150</v>
      </c>
      <c r="J660" s="1">
        <f t="shared" ca="1" si="192"/>
        <v>989.38325123152799</v>
      </c>
      <c r="K660" s="1">
        <f t="shared" ca="1" si="192"/>
        <v>90.667199999999994</v>
      </c>
      <c r="L660" s="1">
        <f t="shared" ca="1" si="192"/>
        <v>989.38325123152799</v>
      </c>
      <c r="M660" s="1">
        <f t="shared" ca="1" si="192"/>
        <v>90.667199999999994</v>
      </c>
      <c r="N660" s="1">
        <f t="shared" ca="1" si="192"/>
        <v>0.2</v>
      </c>
      <c r="O660" s="1">
        <f t="shared" ca="1" si="192"/>
        <v>0.2</v>
      </c>
      <c r="P660" s="1">
        <f t="shared" ca="1" si="192"/>
        <v>0.36</v>
      </c>
      <c r="Q660" s="1">
        <f t="shared" ca="1" si="192"/>
        <v>0.1</v>
      </c>
      <c r="R660" s="1">
        <f t="shared" ca="1" si="192"/>
        <v>2</v>
      </c>
      <c r="S660" s="1">
        <f t="shared" ca="1" si="193"/>
        <v>0.1</v>
      </c>
      <c r="T660" s="1">
        <f t="shared" ca="1" si="193"/>
        <v>0.9</v>
      </c>
      <c r="U660" s="1">
        <f t="shared" ca="1" si="193"/>
        <v>123.73333333333299</v>
      </c>
      <c r="V660" s="1">
        <f t="shared" ca="1" si="193"/>
        <v>0</v>
      </c>
      <c r="W660" s="1">
        <f t="shared" ca="1" si="193"/>
        <v>0</v>
      </c>
      <c r="X660" s="1">
        <f t="shared" ca="1" si="193"/>
        <v>0</v>
      </c>
      <c r="Y660" s="1">
        <f t="shared" ca="1" si="193"/>
        <v>698.3881773399014</v>
      </c>
      <c r="Z660" s="1">
        <f t="shared" ca="1" si="193"/>
        <v>0</v>
      </c>
      <c r="AA660" s="1">
        <f t="shared" ca="1" si="193"/>
        <v>0</v>
      </c>
      <c r="AB660" s="1">
        <f t="shared" ca="1" si="193"/>
        <v>0</v>
      </c>
      <c r="AC660" s="1">
        <f t="shared" ca="1" si="193"/>
        <v>90.667199999999994</v>
      </c>
      <c r="AD660" s="1">
        <f t="shared" ca="1" si="193"/>
        <v>90.667199999999994</v>
      </c>
      <c r="AE660" s="1">
        <f t="shared" ca="1" si="193"/>
        <v>90.667199999999994</v>
      </c>
      <c r="AF660" s="1">
        <f t="shared" ca="1" si="193"/>
        <v>136.0008</v>
      </c>
      <c r="AG660" s="1">
        <f t="shared" ca="1" si="193"/>
        <v>90.667199999999994</v>
      </c>
      <c r="AH660" s="1">
        <f t="shared" ca="1" si="193"/>
        <v>90.667199999999994</v>
      </c>
      <c r="AI660" s="1">
        <f t="shared" ca="1" si="194"/>
        <v>90.667199999999994</v>
      </c>
    </row>
    <row r="661" spans="2:35" x14ac:dyDescent="0.15">
      <c r="B661" s="1" t="str">
        <f t="shared" si="191"/>
        <v>火系65</v>
      </c>
      <c r="C661" s="1">
        <f t="shared" si="181"/>
        <v>65</v>
      </c>
      <c r="D661" s="14" t="s">
        <v>96</v>
      </c>
      <c r="E661" s="14">
        <f t="shared" si="182"/>
        <v>7</v>
      </c>
      <c r="F661" s="1" t="str">
        <f t="shared" si="187"/>
        <v>火炎</v>
      </c>
      <c r="H661" s="1">
        <f t="shared" ca="1" si="188"/>
        <v>2373.1581889466202</v>
      </c>
      <c r="I661" s="1">
        <f t="shared" ca="1" si="192"/>
        <v>150</v>
      </c>
      <c r="J661" s="1">
        <f t="shared" ca="1" si="192"/>
        <v>1013.78945182724</v>
      </c>
      <c r="K661" s="1">
        <f t="shared" ca="1" si="192"/>
        <v>92.083875000000006</v>
      </c>
      <c r="L661" s="1">
        <f t="shared" ca="1" si="192"/>
        <v>1013.78945182724</v>
      </c>
      <c r="M661" s="1">
        <f t="shared" ca="1" si="192"/>
        <v>92.083875000000006</v>
      </c>
      <c r="N661" s="1">
        <f t="shared" ca="1" si="192"/>
        <v>0.2</v>
      </c>
      <c r="O661" s="1">
        <f t="shared" ca="1" si="192"/>
        <v>0.2</v>
      </c>
      <c r="P661" s="1">
        <f t="shared" ca="1" si="192"/>
        <v>0.36</v>
      </c>
      <c r="Q661" s="1">
        <f t="shared" ca="1" si="192"/>
        <v>0.1</v>
      </c>
      <c r="R661" s="1">
        <f t="shared" ca="1" si="192"/>
        <v>2</v>
      </c>
      <c r="S661" s="1">
        <f t="shared" ca="1" si="193"/>
        <v>0.1</v>
      </c>
      <c r="T661" s="1">
        <f t="shared" ca="1" si="193"/>
        <v>0.9</v>
      </c>
      <c r="U661" s="1">
        <f t="shared" ca="1" si="193"/>
        <v>125.666666666667</v>
      </c>
      <c r="V661" s="1">
        <f t="shared" ca="1" si="193"/>
        <v>0</v>
      </c>
      <c r="W661" s="1">
        <f t="shared" ca="1" si="193"/>
        <v>0</v>
      </c>
      <c r="X661" s="1">
        <f t="shared" ca="1" si="193"/>
        <v>0</v>
      </c>
      <c r="Y661" s="1">
        <f t="shared" ca="1" si="193"/>
        <v>732.18127076411997</v>
      </c>
      <c r="Z661" s="1">
        <f t="shared" ca="1" si="193"/>
        <v>0</v>
      </c>
      <c r="AA661" s="1">
        <f t="shared" ca="1" si="193"/>
        <v>0</v>
      </c>
      <c r="AB661" s="1">
        <f t="shared" ca="1" si="193"/>
        <v>0</v>
      </c>
      <c r="AC661" s="1">
        <f t="shared" ca="1" si="193"/>
        <v>92.083875000000006</v>
      </c>
      <c r="AD661" s="1">
        <f t="shared" ca="1" si="193"/>
        <v>92.083875000000006</v>
      </c>
      <c r="AE661" s="1">
        <f t="shared" ca="1" si="193"/>
        <v>92.083875000000006</v>
      </c>
      <c r="AF661" s="1">
        <f t="shared" ca="1" si="193"/>
        <v>138.12581249999999</v>
      </c>
      <c r="AG661" s="1">
        <f t="shared" ca="1" si="193"/>
        <v>92.083875000000006</v>
      </c>
      <c r="AH661" s="1">
        <f t="shared" ca="1" si="193"/>
        <v>92.083875000000006</v>
      </c>
      <c r="AI661" s="1">
        <f t="shared" ca="1" si="194"/>
        <v>92.083875000000006</v>
      </c>
    </row>
    <row r="662" spans="2:35" x14ac:dyDescent="0.15">
      <c r="B662" s="1" t="str">
        <f t="shared" si="191"/>
        <v>火系66</v>
      </c>
      <c r="C662" s="1">
        <f t="shared" si="181"/>
        <v>66</v>
      </c>
      <c r="D662" s="14" t="s">
        <v>96</v>
      </c>
      <c r="E662" s="14">
        <f t="shared" si="182"/>
        <v>7</v>
      </c>
      <c r="F662" s="1" t="str">
        <f t="shared" si="187"/>
        <v>火炎</v>
      </c>
      <c r="H662" s="1">
        <f t="shared" ca="1" si="188"/>
        <v>2420.92844724317</v>
      </c>
      <c r="I662" s="1">
        <f t="shared" ca="1" si="192"/>
        <v>150</v>
      </c>
      <c r="J662" s="1">
        <f t="shared" ca="1" si="192"/>
        <v>1038.61260504202</v>
      </c>
      <c r="K662" s="1">
        <f t="shared" ca="1" si="192"/>
        <v>93.500550000000004</v>
      </c>
      <c r="L662" s="1">
        <f t="shared" ca="1" si="192"/>
        <v>1038.61260504202</v>
      </c>
      <c r="M662" s="1">
        <f t="shared" ca="1" si="192"/>
        <v>93.500550000000004</v>
      </c>
      <c r="N662" s="1">
        <f t="shared" ca="1" si="192"/>
        <v>0.2</v>
      </c>
      <c r="O662" s="1">
        <f t="shared" ca="1" si="192"/>
        <v>0.2</v>
      </c>
      <c r="P662" s="1">
        <f t="shared" ca="1" si="192"/>
        <v>0.36</v>
      </c>
      <c r="Q662" s="1">
        <f t="shared" ca="1" si="192"/>
        <v>0.1</v>
      </c>
      <c r="R662" s="1">
        <f t="shared" ca="1" si="192"/>
        <v>2</v>
      </c>
      <c r="S662" s="1">
        <f t="shared" ca="1" si="193"/>
        <v>0.1</v>
      </c>
      <c r="T662" s="1">
        <f t="shared" ca="1" si="193"/>
        <v>0.9</v>
      </c>
      <c r="U662" s="1">
        <f t="shared" ca="1" si="193"/>
        <v>127.6</v>
      </c>
      <c r="V662" s="1">
        <f t="shared" ca="1" si="193"/>
        <v>0</v>
      </c>
      <c r="W662" s="1">
        <f t="shared" ca="1" si="193"/>
        <v>0</v>
      </c>
      <c r="X662" s="1">
        <f t="shared" ca="1" si="193"/>
        <v>0</v>
      </c>
      <c r="Y662" s="1">
        <f t="shared" ca="1" si="193"/>
        <v>767.33319327731101</v>
      </c>
      <c r="Z662" s="1">
        <f t="shared" ca="1" si="193"/>
        <v>0</v>
      </c>
      <c r="AA662" s="1">
        <f t="shared" ca="1" si="193"/>
        <v>0</v>
      </c>
      <c r="AB662" s="1">
        <f t="shared" ca="1" si="193"/>
        <v>0</v>
      </c>
      <c r="AC662" s="1">
        <f t="shared" ca="1" si="193"/>
        <v>93.500550000000004</v>
      </c>
      <c r="AD662" s="1">
        <f t="shared" ca="1" si="193"/>
        <v>93.500550000000004</v>
      </c>
      <c r="AE662" s="1">
        <f t="shared" ca="1" si="193"/>
        <v>93.500550000000004</v>
      </c>
      <c r="AF662" s="1">
        <f t="shared" ca="1" si="193"/>
        <v>140.25082500000002</v>
      </c>
      <c r="AG662" s="1">
        <f t="shared" ca="1" si="193"/>
        <v>93.500550000000004</v>
      </c>
      <c r="AH662" s="1">
        <f t="shared" ca="1" si="193"/>
        <v>93.500550000000004</v>
      </c>
      <c r="AI662" s="1">
        <f t="shared" ca="1" si="194"/>
        <v>93.500550000000004</v>
      </c>
    </row>
    <row r="663" spans="2:35" x14ac:dyDescent="0.15">
      <c r="B663" s="1" t="str">
        <f t="shared" si="191"/>
        <v>火系67</v>
      </c>
      <c r="C663" s="1">
        <f t="shared" si="181"/>
        <v>67</v>
      </c>
      <c r="D663" s="14" t="s">
        <v>96</v>
      </c>
      <c r="E663" s="14">
        <f t="shared" si="182"/>
        <v>7</v>
      </c>
      <c r="F663" s="1" t="str">
        <f t="shared" si="187"/>
        <v>火炎</v>
      </c>
      <c r="H663" s="1">
        <f t="shared" ca="1" si="188"/>
        <v>2566.4914899863102</v>
      </c>
      <c r="I663" s="1">
        <f t="shared" ref="I663:R672" ca="1" si="195">mVlookup($C663,monsterBaseDate,I$2,FALSE)*(1+mVlookup($E663,monsterType,I$2,FALSE))</f>
        <v>150</v>
      </c>
      <c r="J663" s="1">
        <f t="shared" ca="1" si="195"/>
        <v>1063.86428571429</v>
      </c>
      <c r="K663" s="1">
        <f t="shared" ca="1" si="195"/>
        <v>94.917225000000002</v>
      </c>
      <c r="L663" s="1">
        <f t="shared" ca="1" si="195"/>
        <v>1063.86428571429</v>
      </c>
      <c r="M663" s="1">
        <f t="shared" ca="1" si="195"/>
        <v>94.917225000000002</v>
      </c>
      <c r="N663" s="1">
        <f t="shared" ca="1" si="195"/>
        <v>0.2</v>
      </c>
      <c r="O663" s="1">
        <f t="shared" ca="1" si="195"/>
        <v>0.2</v>
      </c>
      <c r="P663" s="1">
        <f t="shared" ca="1" si="195"/>
        <v>0.36</v>
      </c>
      <c r="Q663" s="1">
        <f t="shared" ca="1" si="195"/>
        <v>0.1</v>
      </c>
      <c r="R663" s="1">
        <f t="shared" ca="1" si="195"/>
        <v>2</v>
      </c>
      <c r="S663" s="1">
        <f t="shared" ref="S663:AH678" ca="1" si="196">mVlookup($C663,monsterBaseDate,S$2,FALSE)*(1+mVlookup($E663,monsterType,S$2,FALSE))</f>
        <v>0.1</v>
      </c>
      <c r="T663" s="1">
        <f t="shared" ca="1" si="196"/>
        <v>0.9</v>
      </c>
      <c r="U663" s="1">
        <f t="shared" ca="1" si="196"/>
        <v>129.53333333333299</v>
      </c>
      <c r="V663" s="1">
        <f t="shared" ca="1" si="196"/>
        <v>0</v>
      </c>
      <c r="W663" s="1">
        <f t="shared" ca="1" si="196"/>
        <v>0</v>
      </c>
      <c r="X663" s="1">
        <f t="shared" ca="1" si="196"/>
        <v>0</v>
      </c>
      <c r="Y663" s="1">
        <f t="shared" ca="1" si="196"/>
        <v>803.89744897959304</v>
      </c>
      <c r="Z663" s="1">
        <f t="shared" ca="1" si="196"/>
        <v>0</v>
      </c>
      <c r="AA663" s="1">
        <f t="shared" ca="1" si="196"/>
        <v>0</v>
      </c>
      <c r="AB663" s="1">
        <f t="shared" ca="1" si="193"/>
        <v>0</v>
      </c>
      <c r="AC663" s="1">
        <f t="shared" ca="1" si="196"/>
        <v>94.917225000000002</v>
      </c>
      <c r="AD663" s="1">
        <f t="shared" ca="1" si="196"/>
        <v>94.917225000000002</v>
      </c>
      <c r="AE663" s="1">
        <f t="shared" ca="1" si="196"/>
        <v>94.917225000000002</v>
      </c>
      <c r="AF663" s="1">
        <f t="shared" ca="1" si="196"/>
        <v>142.37583749999999</v>
      </c>
      <c r="AG663" s="1">
        <f t="shared" ca="1" si="196"/>
        <v>94.917225000000002</v>
      </c>
      <c r="AH663" s="1">
        <f t="shared" ca="1" si="196"/>
        <v>94.917225000000002</v>
      </c>
      <c r="AI663" s="1">
        <f t="shared" ca="1" si="194"/>
        <v>94.917225000000002</v>
      </c>
    </row>
    <row r="664" spans="2:35" x14ac:dyDescent="0.15">
      <c r="B664" s="1" t="str">
        <f t="shared" si="191"/>
        <v>火系68</v>
      </c>
      <c r="C664" s="1">
        <f t="shared" si="181"/>
        <v>68</v>
      </c>
      <c r="D664" s="14" t="s">
        <v>96</v>
      </c>
      <c r="E664" s="14">
        <f t="shared" si="182"/>
        <v>7</v>
      </c>
      <c r="F664" s="1" t="str">
        <f t="shared" si="187"/>
        <v>火炎</v>
      </c>
      <c r="H664" s="1">
        <f t="shared" ca="1" si="188"/>
        <v>2616.8565800330298</v>
      </c>
      <c r="I664" s="1">
        <f t="shared" ca="1" si="195"/>
        <v>150</v>
      </c>
      <c r="J664" s="1">
        <f t="shared" ca="1" si="195"/>
        <v>1089.5566265060199</v>
      </c>
      <c r="K664" s="1">
        <f t="shared" ca="1" si="195"/>
        <v>96.3339</v>
      </c>
      <c r="L664" s="1">
        <f t="shared" ca="1" si="195"/>
        <v>1089.5566265060199</v>
      </c>
      <c r="M664" s="1">
        <f t="shared" ca="1" si="195"/>
        <v>96.3339</v>
      </c>
      <c r="N664" s="1">
        <f t="shared" ca="1" si="195"/>
        <v>0.2</v>
      </c>
      <c r="O664" s="1">
        <f t="shared" ca="1" si="195"/>
        <v>0.2</v>
      </c>
      <c r="P664" s="1">
        <f t="shared" ca="1" si="195"/>
        <v>0.36</v>
      </c>
      <c r="Q664" s="1">
        <f t="shared" ca="1" si="195"/>
        <v>0.1</v>
      </c>
      <c r="R664" s="1">
        <f t="shared" ca="1" si="195"/>
        <v>2</v>
      </c>
      <c r="S664" s="1">
        <f t="shared" ca="1" si="196"/>
        <v>0.1</v>
      </c>
      <c r="T664" s="1">
        <f t="shared" ca="1" si="196"/>
        <v>0.9</v>
      </c>
      <c r="U664" s="1">
        <f t="shared" ca="1" si="196"/>
        <v>131.46666666666701</v>
      </c>
      <c r="V664" s="1">
        <f t="shared" ca="1" si="196"/>
        <v>0</v>
      </c>
      <c r="W664" s="1">
        <f t="shared" ca="1" si="196"/>
        <v>0</v>
      </c>
      <c r="X664" s="1">
        <f t="shared" ca="1" si="196"/>
        <v>0</v>
      </c>
      <c r="Y664" s="1">
        <f t="shared" ca="1" si="196"/>
        <v>841.93012048192804</v>
      </c>
      <c r="Z664" s="1">
        <f t="shared" ca="1" si="196"/>
        <v>0</v>
      </c>
      <c r="AA664" s="1">
        <f t="shared" ca="1" si="196"/>
        <v>0</v>
      </c>
      <c r="AB664" s="1">
        <f t="shared" ca="1" si="193"/>
        <v>0</v>
      </c>
      <c r="AC664" s="1">
        <f t="shared" ca="1" si="196"/>
        <v>96.3339</v>
      </c>
      <c r="AD664" s="1">
        <f t="shared" ca="1" si="196"/>
        <v>96.3339</v>
      </c>
      <c r="AE664" s="1">
        <f t="shared" ca="1" si="196"/>
        <v>96.3339</v>
      </c>
      <c r="AF664" s="1">
        <f t="shared" ca="1" si="196"/>
        <v>144.50085000000001</v>
      </c>
      <c r="AG664" s="1">
        <f t="shared" ca="1" si="196"/>
        <v>96.3339</v>
      </c>
      <c r="AH664" s="1">
        <f t="shared" ca="1" si="196"/>
        <v>96.3339</v>
      </c>
      <c r="AI664" s="1">
        <f t="shared" ca="1" si="194"/>
        <v>96.3339</v>
      </c>
    </row>
    <row r="665" spans="2:35" x14ac:dyDescent="0.15">
      <c r="B665" s="1" t="str">
        <f t="shared" si="191"/>
        <v>火系69</v>
      </c>
      <c r="C665" s="1">
        <f t="shared" si="181"/>
        <v>69</v>
      </c>
      <c r="D665" s="14" t="s">
        <v>96</v>
      </c>
      <c r="E665" s="14">
        <f t="shared" si="182"/>
        <v>7</v>
      </c>
      <c r="F665" s="1" t="str">
        <f t="shared" si="187"/>
        <v>火炎</v>
      </c>
      <c r="H665" s="1">
        <f t="shared" ca="1" si="188"/>
        <v>2667.5763538124702</v>
      </c>
      <c r="I665" s="1">
        <f t="shared" ca="1" si="195"/>
        <v>150</v>
      </c>
      <c r="J665" s="1">
        <f t="shared" ca="1" si="195"/>
        <v>1115.7023519163799</v>
      </c>
      <c r="K665" s="1">
        <f t="shared" ca="1" si="195"/>
        <v>97.750574999999998</v>
      </c>
      <c r="L665" s="1">
        <f t="shared" ca="1" si="195"/>
        <v>1115.7023519163799</v>
      </c>
      <c r="M665" s="1">
        <f t="shared" ca="1" si="195"/>
        <v>97.750574999999998</v>
      </c>
      <c r="N665" s="1">
        <f t="shared" ca="1" si="195"/>
        <v>0.2</v>
      </c>
      <c r="O665" s="1">
        <f t="shared" ca="1" si="195"/>
        <v>0.2</v>
      </c>
      <c r="P665" s="1">
        <f t="shared" ca="1" si="195"/>
        <v>0.36</v>
      </c>
      <c r="Q665" s="1">
        <f t="shared" ca="1" si="195"/>
        <v>0.1</v>
      </c>
      <c r="R665" s="1">
        <f t="shared" ca="1" si="195"/>
        <v>2</v>
      </c>
      <c r="S665" s="1">
        <f t="shared" ca="1" si="196"/>
        <v>0.1</v>
      </c>
      <c r="T665" s="1">
        <f t="shared" ca="1" si="196"/>
        <v>0.9</v>
      </c>
      <c r="U665" s="1">
        <f t="shared" ca="1" si="196"/>
        <v>133.4</v>
      </c>
      <c r="V665" s="1">
        <f t="shared" ca="1" si="196"/>
        <v>0</v>
      </c>
      <c r="W665" s="1">
        <f t="shared" ca="1" si="196"/>
        <v>0</v>
      </c>
      <c r="X665" s="1">
        <f t="shared" ca="1" si="196"/>
        <v>0</v>
      </c>
      <c r="Y665" s="1">
        <f t="shared" ca="1" si="196"/>
        <v>881.49002613240452</v>
      </c>
      <c r="Z665" s="1">
        <f t="shared" ca="1" si="196"/>
        <v>0</v>
      </c>
      <c r="AA665" s="1">
        <f t="shared" ca="1" si="196"/>
        <v>0</v>
      </c>
      <c r="AB665" s="1">
        <f t="shared" ca="1" si="193"/>
        <v>0</v>
      </c>
      <c r="AC665" s="1">
        <f t="shared" ca="1" si="196"/>
        <v>97.750574999999998</v>
      </c>
      <c r="AD665" s="1">
        <f t="shared" ca="1" si="196"/>
        <v>97.750574999999998</v>
      </c>
      <c r="AE665" s="1">
        <f t="shared" ca="1" si="196"/>
        <v>97.750574999999998</v>
      </c>
      <c r="AF665" s="1">
        <f t="shared" ca="1" si="196"/>
        <v>146.62586249999998</v>
      </c>
      <c r="AG665" s="1">
        <f t="shared" ca="1" si="196"/>
        <v>97.750574999999998</v>
      </c>
      <c r="AH665" s="1">
        <f t="shared" ca="1" si="196"/>
        <v>97.750574999999998</v>
      </c>
      <c r="AI665" s="1">
        <f t="shared" ca="1" si="194"/>
        <v>97.750574999999998</v>
      </c>
    </row>
    <row r="666" spans="2:35" x14ac:dyDescent="0.15">
      <c r="B666" s="1" t="str">
        <f t="shared" si="191"/>
        <v>火系70</v>
      </c>
      <c r="C666" s="1">
        <f t="shared" si="181"/>
        <v>70</v>
      </c>
      <c r="D666" s="14" t="s">
        <v>96</v>
      </c>
      <c r="E666" s="14">
        <f t="shared" si="182"/>
        <v>7</v>
      </c>
      <c r="F666" s="1" t="str">
        <f t="shared" si="187"/>
        <v>火炎</v>
      </c>
      <c r="H666" s="1">
        <f t="shared" ca="1" si="188"/>
        <v>2718.65081132463</v>
      </c>
      <c r="I666" s="1">
        <f t="shared" ca="1" si="195"/>
        <v>150</v>
      </c>
      <c r="J666" s="1">
        <f t="shared" ca="1" si="195"/>
        <v>1142.31481481482</v>
      </c>
      <c r="K666" s="1">
        <f t="shared" ca="1" si="195"/>
        <v>99.167249999999996</v>
      </c>
      <c r="L666" s="1">
        <f t="shared" ca="1" si="195"/>
        <v>1142.31481481482</v>
      </c>
      <c r="M666" s="1">
        <f t="shared" ca="1" si="195"/>
        <v>99.167249999999996</v>
      </c>
      <c r="N666" s="1">
        <f t="shared" ca="1" si="195"/>
        <v>0.2</v>
      </c>
      <c r="O666" s="1">
        <f t="shared" ca="1" si="195"/>
        <v>0.2</v>
      </c>
      <c r="P666" s="1">
        <f t="shared" ca="1" si="195"/>
        <v>0.36</v>
      </c>
      <c r="Q666" s="1">
        <f t="shared" ca="1" si="195"/>
        <v>0.1</v>
      </c>
      <c r="R666" s="1">
        <f t="shared" ca="1" si="195"/>
        <v>2</v>
      </c>
      <c r="S666" s="1">
        <f t="shared" ca="1" si="196"/>
        <v>0.1</v>
      </c>
      <c r="T666" s="1">
        <f t="shared" ca="1" si="196"/>
        <v>0.9</v>
      </c>
      <c r="U666" s="1">
        <f t="shared" ca="1" si="196"/>
        <v>135.333333333333</v>
      </c>
      <c r="V666" s="1">
        <f t="shared" ca="1" si="196"/>
        <v>0</v>
      </c>
      <c r="W666" s="1">
        <f t="shared" ca="1" si="196"/>
        <v>0</v>
      </c>
      <c r="X666" s="1">
        <f t="shared" ca="1" si="196"/>
        <v>0</v>
      </c>
      <c r="Y666" s="1">
        <f t="shared" ca="1" si="196"/>
        <v>922.63888888888937</v>
      </c>
      <c r="Z666" s="1">
        <f t="shared" ca="1" si="196"/>
        <v>0</v>
      </c>
      <c r="AA666" s="1">
        <f t="shared" ca="1" si="196"/>
        <v>0</v>
      </c>
      <c r="AB666" s="1">
        <f t="shared" ca="1" si="193"/>
        <v>0</v>
      </c>
      <c r="AC666" s="1">
        <f t="shared" ca="1" si="196"/>
        <v>99.167249999999996</v>
      </c>
      <c r="AD666" s="1">
        <f t="shared" ca="1" si="196"/>
        <v>99.167249999999996</v>
      </c>
      <c r="AE666" s="1">
        <f t="shared" ca="1" si="196"/>
        <v>99.167249999999996</v>
      </c>
      <c r="AF666" s="1">
        <f t="shared" ca="1" si="196"/>
        <v>148.75087500000001</v>
      </c>
      <c r="AG666" s="1">
        <f t="shared" ca="1" si="196"/>
        <v>99.167249999999996</v>
      </c>
      <c r="AH666" s="1">
        <f t="shared" ca="1" si="196"/>
        <v>99.167249999999996</v>
      </c>
      <c r="AI666" s="1">
        <f t="shared" ca="1" si="194"/>
        <v>99.167249999999996</v>
      </c>
    </row>
    <row r="667" spans="2:35" x14ac:dyDescent="0.15">
      <c r="B667" s="1" t="str">
        <f t="shared" si="191"/>
        <v>火系71</v>
      </c>
      <c r="C667" s="1">
        <f t="shared" si="181"/>
        <v>71</v>
      </c>
      <c r="D667" s="14" t="s">
        <v>96</v>
      </c>
      <c r="E667" s="14">
        <f t="shared" si="182"/>
        <v>7</v>
      </c>
      <c r="F667" s="1" t="str">
        <f t="shared" si="187"/>
        <v>火炎</v>
      </c>
      <c r="H667" s="1">
        <f t="shared" ca="1" si="188"/>
        <v>2770.0799525695202</v>
      </c>
      <c r="I667" s="1">
        <f t="shared" ca="1" si="195"/>
        <v>150</v>
      </c>
      <c r="J667" s="1">
        <f t="shared" ca="1" si="195"/>
        <v>1169.40803571429</v>
      </c>
      <c r="K667" s="1">
        <f t="shared" ca="1" si="195"/>
        <v>100.58392499999999</v>
      </c>
      <c r="L667" s="1">
        <f t="shared" ca="1" si="195"/>
        <v>1169.40803571429</v>
      </c>
      <c r="M667" s="1">
        <f t="shared" ca="1" si="195"/>
        <v>100.58392499999999</v>
      </c>
      <c r="N667" s="1">
        <f t="shared" ca="1" si="195"/>
        <v>0.2</v>
      </c>
      <c r="O667" s="1">
        <f t="shared" ca="1" si="195"/>
        <v>0.2</v>
      </c>
      <c r="P667" s="1">
        <f t="shared" ca="1" si="195"/>
        <v>0.36</v>
      </c>
      <c r="Q667" s="1">
        <f t="shared" ca="1" si="195"/>
        <v>0.1</v>
      </c>
      <c r="R667" s="1">
        <f t="shared" ca="1" si="195"/>
        <v>2</v>
      </c>
      <c r="S667" s="1">
        <f t="shared" ca="1" si="196"/>
        <v>0.1</v>
      </c>
      <c r="T667" s="1">
        <f t="shared" ca="1" si="196"/>
        <v>0.9</v>
      </c>
      <c r="U667" s="1">
        <f t="shared" ca="1" si="196"/>
        <v>137.26666666666699</v>
      </c>
      <c r="V667" s="1">
        <f t="shared" ca="1" si="196"/>
        <v>0</v>
      </c>
      <c r="W667" s="1">
        <f t="shared" ca="1" si="196"/>
        <v>0</v>
      </c>
      <c r="X667" s="1">
        <f t="shared" ca="1" si="196"/>
        <v>0</v>
      </c>
      <c r="Y667" s="1">
        <f t="shared" ca="1" si="196"/>
        <v>965.44151785714348</v>
      </c>
      <c r="Z667" s="1">
        <f t="shared" ca="1" si="196"/>
        <v>0</v>
      </c>
      <c r="AA667" s="1">
        <f t="shared" ca="1" si="196"/>
        <v>0</v>
      </c>
      <c r="AB667" s="1">
        <f t="shared" ca="1" si="193"/>
        <v>0</v>
      </c>
      <c r="AC667" s="1">
        <f t="shared" ca="1" si="196"/>
        <v>100.58392499999999</v>
      </c>
      <c r="AD667" s="1">
        <f t="shared" ca="1" si="196"/>
        <v>100.58392499999999</v>
      </c>
      <c r="AE667" s="1">
        <f t="shared" ca="1" si="196"/>
        <v>100.58392499999999</v>
      </c>
      <c r="AF667" s="1">
        <f t="shared" ca="1" si="196"/>
        <v>150.87588749999998</v>
      </c>
      <c r="AG667" s="1">
        <f t="shared" ca="1" si="196"/>
        <v>100.58392499999999</v>
      </c>
      <c r="AH667" s="1">
        <f t="shared" ca="1" si="196"/>
        <v>100.58392499999999</v>
      </c>
      <c r="AI667" s="1">
        <f t="shared" ca="1" si="194"/>
        <v>100.58392499999999</v>
      </c>
    </row>
    <row r="668" spans="2:35" x14ac:dyDescent="0.15">
      <c r="B668" s="1" t="str">
        <f t="shared" si="191"/>
        <v>火系72</v>
      </c>
      <c r="C668" s="1">
        <f t="shared" si="181"/>
        <v>72</v>
      </c>
      <c r="D668" s="14" t="s">
        <v>96</v>
      </c>
      <c r="E668" s="14">
        <f t="shared" si="182"/>
        <v>7</v>
      </c>
      <c r="F668" s="1" t="str">
        <f t="shared" si="187"/>
        <v>火炎</v>
      </c>
      <c r="H668" s="1">
        <f t="shared" ca="1" si="188"/>
        <v>2821.8637775471302</v>
      </c>
      <c r="I668" s="1">
        <f t="shared" ca="1" si="195"/>
        <v>150</v>
      </c>
      <c r="J668" s="1">
        <f t="shared" ca="1" si="195"/>
        <v>1196.9967450271299</v>
      </c>
      <c r="K668" s="1">
        <f t="shared" ca="1" si="195"/>
        <v>102.00060000000001</v>
      </c>
      <c r="L668" s="1">
        <f t="shared" ca="1" si="195"/>
        <v>1196.9967450271299</v>
      </c>
      <c r="M668" s="1">
        <f t="shared" ca="1" si="195"/>
        <v>102.00060000000001</v>
      </c>
      <c r="N668" s="1">
        <f t="shared" ca="1" si="195"/>
        <v>0.2</v>
      </c>
      <c r="O668" s="1">
        <f t="shared" ca="1" si="195"/>
        <v>0.2</v>
      </c>
      <c r="P668" s="1">
        <f t="shared" ca="1" si="195"/>
        <v>0.36</v>
      </c>
      <c r="Q668" s="1">
        <f t="shared" ca="1" si="195"/>
        <v>0.1</v>
      </c>
      <c r="R668" s="1">
        <f t="shared" ca="1" si="195"/>
        <v>2</v>
      </c>
      <c r="S668" s="1">
        <f t="shared" ca="1" si="196"/>
        <v>0.1</v>
      </c>
      <c r="T668" s="1">
        <f t="shared" ca="1" si="196"/>
        <v>0.9</v>
      </c>
      <c r="U668" s="1">
        <f t="shared" ca="1" si="196"/>
        <v>139.19999999999999</v>
      </c>
      <c r="V668" s="1">
        <f t="shared" ca="1" si="196"/>
        <v>0</v>
      </c>
      <c r="W668" s="1">
        <f t="shared" ca="1" si="196"/>
        <v>0</v>
      </c>
      <c r="X668" s="1">
        <f t="shared" ca="1" si="196"/>
        <v>0</v>
      </c>
      <c r="Y668" s="1">
        <f t="shared" ca="1" si="196"/>
        <v>1009.966003616637</v>
      </c>
      <c r="Z668" s="1">
        <f t="shared" ca="1" si="196"/>
        <v>0</v>
      </c>
      <c r="AA668" s="1">
        <f t="shared" ca="1" si="196"/>
        <v>0</v>
      </c>
      <c r="AB668" s="1">
        <f t="shared" ca="1" si="193"/>
        <v>0</v>
      </c>
      <c r="AC668" s="1">
        <f t="shared" ca="1" si="196"/>
        <v>102.00060000000001</v>
      </c>
      <c r="AD668" s="1">
        <f t="shared" ca="1" si="196"/>
        <v>102.00060000000001</v>
      </c>
      <c r="AE668" s="1">
        <f t="shared" ca="1" si="196"/>
        <v>102.00060000000001</v>
      </c>
      <c r="AF668" s="1">
        <f t="shared" ca="1" si="196"/>
        <v>153.0009</v>
      </c>
      <c r="AG668" s="1">
        <f t="shared" ca="1" si="196"/>
        <v>102.00060000000001</v>
      </c>
      <c r="AH668" s="1">
        <f t="shared" ca="1" si="196"/>
        <v>102.00060000000001</v>
      </c>
      <c r="AI668" s="1">
        <f t="shared" ca="1" si="194"/>
        <v>102.00060000000001</v>
      </c>
    </row>
    <row r="669" spans="2:35" x14ac:dyDescent="0.15">
      <c r="B669" s="1" t="str">
        <f t="shared" si="191"/>
        <v>火系73</v>
      </c>
      <c r="C669" s="1">
        <f t="shared" si="181"/>
        <v>73</v>
      </c>
      <c r="D669" s="14" t="s">
        <v>96</v>
      </c>
      <c r="E669" s="14">
        <f t="shared" si="182"/>
        <v>7</v>
      </c>
      <c r="F669" s="1" t="str">
        <f t="shared" si="187"/>
        <v>火炎</v>
      </c>
      <c r="H669" s="1">
        <f t="shared" ca="1" si="188"/>
        <v>2874.0022862574701</v>
      </c>
      <c r="I669" s="1">
        <f t="shared" ca="1" si="195"/>
        <v>150</v>
      </c>
      <c r="J669" s="1">
        <f t="shared" ca="1" si="195"/>
        <v>1225.0964285714299</v>
      </c>
      <c r="K669" s="1">
        <f t="shared" ca="1" si="195"/>
        <v>103.417275</v>
      </c>
      <c r="L669" s="1">
        <f t="shared" ca="1" si="195"/>
        <v>1225.0964285714299</v>
      </c>
      <c r="M669" s="1">
        <f t="shared" ca="1" si="195"/>
        <v>103.417275</v>
      </c>
      <c r="N669" s="1">
        <f t="shared" ca="1" si="195"/>
        <v>0.2</v>
      </c>
      <c r="O669" s="1">
        <f t="shared" ca="1" si="195"/>
        <v>0.2</v>
      </c>
      <c r="P669" s="1">
        <f t="shared" ca="1" si="195"/>
        <v>0.36</v>
      </c>
      <c r="Q669" s="1">
        <f t="shared" ca="1" si="195"/>
        <v>0.1</v>
      </c>
      <c r="R669" s="1">
        <f t="shared" ca="1" si="195"/>
        <v>2</v>
      </c>
      <c r="S669" s="1">
        <f t="shared" ca="1" si="196"/>
        <v>0.1</v>
      </c>
      <c r="T669" s="1">
        <f t="shared" ca="1" si="196"/>
        <v>0.9</v>
      </c>
      <c r="U669" s="1">
        <f t="shared" ca="1" si="196"/>
        <v>141.13333333333301</v>
      </c>
      <c r="V669" s="1">
        <f t="shared" ca="1" si="196"/>
        <v>0</v>
      </c>
      <c r="W669" s="1">
        <f t="shared" ca="1" si="196"/>
        <v>0</v>
      </c>
      <c r="X669" s="1">
        <f t="shared" ca="1" si="196"/>
        <v>0</v>
      </c>
      <c r="Y669" s="1">
        <f t="shared" ca="1" si="196"/>
        <v>1056.283928571429</v>
      </c>
      <c r="Z669" s="1">
        <f t="shared" ca="1" si="196"/>
        <v>0</v>
      </c>
      <c r="AA669" s="1">
        <f t="shared" ca="1" si="196"/>
        <v>0</v>
      </c>
      <c r="AB669" s="1">
        <f t="shared" ca="1" si="196"/>
        <v>0</v>
      </c>
      <c r="AC669" s="1">
        <f t="shared" ca="1" si="196"/>
        <v>103.417275</v>
      </c>
      <c r="AD669" s="1">
        <f t="shared" ca="1" si="196"/>
        <v>103.417275</v>
      </c>
      <c r="AE669" s="1">
        <f t="shared" ca="1" si="196"/>
        <v>103.417275</v>
      </c>
      <c r="AF669" s="1">
        <f t="shared" ca="1" si="196"/>
        <v>155.1259125</v>
      </c>
      <c r="AG669" s="1">
        <f t="shared" ca="1" si="196"/>
        <v>103.417275</v>
      </c>
      <c r="AH669" s="1">
        <f t="shared" ca="1" si="196"/>
        <v>103.417275</v>
      </c>
      <c r="AI669" s="1">
        <f t="shared" ca="1" si="194"/>
        <v>103.417275</v>
      </c>
    </row>
    <row r="670" spans="2:35" x14ac:dyDescent="0.15">
      <c r="B670" s="1" t="str">
        <f t="shared" si="191"/>
        <v>火系74</v>
      </c>
      <c r="C670" s="1">
        <f t="shared" si="181"/>
        <v>74</v>
      </c>
      <c r="D670" s="14" t="s">
        <v>96</v>
      </c>
      <c r="E670" s="14">
        <f t="shared" si="182"/>
        <v>7</v>
      </c>
      <c r="F670" s="1" t="str">
        <f t="shared" si="187"/>
        <v>火炎</v>
      </c>
      <c r="H670" s="1">
        <f t="shared" ca="1" si="188"/>
        <v>2926.4954787005299</v>
      </c>
      <c r="I670" s="1">
        <f t="shared" ca="1" si="195"/>
        <v>150</v>
      </c>
      <c r="J670" s="1">
        <f t="shared" ca="1" si="195"/>
        <v>1253.7233766233801</v>
      </c>
      <c r="K670" s="1">
        <f t="shared" ca="1" si="195"/>
        <v>104.83395</v>
      </c>
      <c r="L670" s="1">
        <f t="shared" ca="1" si="195"/>
        <v>1253.7233766233801</v>
      </c>
      <c r="M670" s="1">
        <f t="shared" ca="1" si="195"/>
        <v>104.83395</v>
      </c>
      <c r="N670" s="1">
        <f t="shared" ca="1" si="195"/>
        <v>0.2</v>
      </c>
      <c r="O670" s="1">
        <f t="shared" ca="1" si="195"/>
        <v>0.2</v>
      </c>
      <c r="P670" s="1">
        <f t="shared" ca="1" si="195"/>
        <v>0.36</v>
      </c>
      <c r="Q670" s="1">
        <f t="shared" ca="1" si="195"/>
        <v>0.1</v>
      </c>
      <c r="R670" s="1">
        <f t="shared" ca="1" si="195"/>
        <v>2</v>
      </c>
      <c r="S670" s="1">
        <f t="shared" ca="1" si="196"/>
        <v>0.1</v>
      </c>
      <c r="T670" s="1">
        <f t="shared" ca="1" si="196"/>
        <v>0.9</v>
      </c>
      <c r="U670" s="1">
        <f t="shared" ca="1" si="196"/>
        <v>143.066666666667</v>
      </c>
      <c r="V670" s="1">
        <f t="shared" ca="1" si="196"/>
        <v>0</v>
      </c>
      <c r="W670" s="1">
        <f t="shared" ca="1" si="196"/>
        <v>0</v>
      </c>
      <c r="X670" s="1">
        <f t="shared" ca="1" si="196"/>
        <v>0</v>
      </c>
      <c r="Y670" s="1">
        <f t="shared" ca="1" si="196"/>
        <v>1104.4705936920241</v>
      </c>
      <c r="Z670" s="1">
        <f t="shared" ca="1" si="196"/>
        <v>0</v>
      </c>
      <c r="AA670" s="1">
        <f t="shared" ca="1" si="196"/>
        <v>0</v>
      </c>
      <c r="AB670" s="1">
        <f t="shared" ca="1" si="196"/>
        <v>0</v>
      </c>
      <c r="AC670" s="1">
        <f t="shared" ca="1" si="196"/>
        <v>104.83395</v>
      </c>
      <c r="AD670" s="1">
        <f t="shared" ca="1" si="196"/>
        <v>104.83395</v>
      </c>
      <c r="AE670" s="1">
        <f t="shared" ca="1" si="196"/>
        <v>104.83395</v>
      </c>
      <c r="AF670" s="1">
        <f t="shared" ca="1" si="196"/>
        <v>157.250925</v>
      </c>
      <c r="AG670" s="1">
        <f t="shared" ca="1" si="196"/>
        <v>104.83395</v>
      </c>
      <c r="AH670" s="1">
        <f t="shared" ca="1" si="196"/>
        <v>104.83395</v>
      </c>
      <c r="AI670" s="1">
        <f t="shared" ca="1" si="194"/>
        <v>104.83395</v>
      </c>
    </row>
    <row r="671" spans="2:35" x14ac:dyDescent="0.15">
      <c r="B671" s="1" t="str">
        <f t="shared" si="191"/>
        <v>火系75</v>
      </c>
      <c r="C671" s="1">
        <f t="shared" si="181"/>
        <v>75</v>
      </c>
      <c r="D671" s="14" t="s">
        <v>96</v>
      </c>
      <c r="E671" s="14">
        <f t="shared" si="182"/>
        <v>7</v>
      </c>
      <c r="F671" s="1" t="str">
        <f t="shared" si="187"/>
        <v>火炎</v>
      </c>
      <c r="H671" s="1">
        <f t="shared" ca="1" si="188"/>
        <v>2979.3433548763101</v>
      </c>
      <c r="I671" s="1">
        <f t="shared" ca="1" si="195"/>
        <v>150</v>
      </c>
      <c r="J671" s="1">
        <f t="shared" ca="1" si="195"/>
        <v>1282.89473684211</v>
      </c>
      <c r="K671" s="1">
        <f t="shared" ca="1" si="195"/>
        <v>106.250625</v>
      </c>
      <c r="L671" s="1">
        <f t="shared" ca="1" si="195"/>
        <v>1282.89473684211</v>
      </c>
      <c r="M671" s="1">
        <f t="shared" ca="1" si="195"/>
        <v>106.250625</v>
      </c>
      <c r="N671" s="1">
        <f t="shared" ca="1" si="195"/>
        <v>0.2</v>
      </c>
      <c r="O671" s="1">
        <f t="shared" ca="1" si="195"/>
        <v>0.2</v>
      </c>
      <c r="P671" s="1">
        <f t="shared" ca="1" si="195"/>
        <v>0.36</v>
      </c>
      <c r="Q671" s="1">
        <f t="shared" ca="1" si="195"/>
        <v>0.1</v>
      </c>
      <c r="R671" s="1">
        <f t="shared" ca="1" si="195"/>
        <v>2</v>
      </c>
      <c r="S671" s="1">
        <f t="shared" ca="1" si="196"/>
        <v>0.1</v>
      </c>
      <c r="T671" s="1">
        <f t="shared" ca="1" si="196"/>
        <v>0.9</v>
      </c>
      <c r="U671" s="1">
        <f t="shared" ca="1" si="196"/>
        <v>145</v>
      </c>
      <c r="V671" s="1">
        <f t="shared" ca="1" si="196"/>
        <v>0</v>
      </c>
      <c r="W671" s="1">
        <f t="shared" ca="1" si="196"/>
        <v>0</v>
      </c>
      <c r="X671" s="1">
        <f t="shared" ca="1" si="196"/>
        <v>0</v>
      </c>
      <c r="Y671" s="1">
        <f t="shared" ca="1" si="196"/>
        <v>1154.6052631578959</v>
      </c>
      <c r="Z671" s="1">
        <f t="shared" ca="1" si="196"/>
        <v>0</v>
      </c>
      <c r="AA671" s="1">
        <f t="shared" ca="1" si="196"/>
        <v>0</v>
      </c>
      <c r="AB671" s="1">
        <f t="shared" ca="1" si="196"/>
        <v>0</v>
      </c>
      <c r="AC671" s="1">
        <f t="shared" ca="1" si="196"/>
        <v>106.250625</v>
      </c>
      <c r="AD671" s="1">
        <f t="shared" ca="1" si="196"/>
        <v>106.250625</v>
      </c>
      <c r="AE671" s="1">
        <f t="shared" ca="1" si="196"/>
        <v>106.250625</v>
      </c>
      <c r="AF671" s="1">
        <f t="shared" ca="1" si="196"/>
        <v>159.37593749999999</v>
      </c>
      <c r="AG671" s="1">
        <f t="shared" ca="1" si="196"/>
        <v>106.250625</v>
      </c>
      <c r="AH671" s="1">
        <f t="shared" ca="1" si="196"/>
        <v>106.250625</v>
      </c>
      <c r="AI671" s="1">
        <f t="shared" ca="1" si="194"/>
        <v>106.250625</v>
      </c>
    </row>
    <row r="672" spans="2:35" x14ac:dyDescent="0.15">
      <c r="B672" s="1" t="str">
        <f t="shared" si="191"/>
        <v>火系76</v>
      </c>
      <c r="C672" s="1">
        <f t="shared" si="181"/>
        <v>76</v>
      </c>
      <c r="D672" s="14" t="s">
        <v>96</v>
      </c>
      <c r="E672" s="14">
        <f t="shared" si="182"/>
        <v>7</v>
      </c>
      <c r="F672" s="1" t="str">
        <f t="shared" si="187"/>
        <v>火炎</v>
      </c>
      <c r="H672" s="1">
        <f t="shared" ca="1" si="188"/>
        <v>3032.5459147848201</v>
      </c>
      <c r="I672" s="1">
        <f t="shared" ca="1" si="195"/>
        <v>150</v>
      </c>
      <c r="J672" s="1">
        <f t="shared" ca="1" si="195"/>
        <v>1312.62857142857</v>
      </c>
      <c r="K672" s="1">
        <f t="shared" ca="1" si="195"/>
        <v>107.6673</v>
      </c>
      <c r="L672" s="1">
        <f t="shared" ca="1" si="195"/>
        <v>1312.62857142857</v>
      </c>
      <c r="M672" s="1">
        <f t="shared" ca="1" si="195"/>
        <v>107.6673</v>
      </c>
      <c r="N672" s="1">
        <f t="shared" ca="1" si="195"/>
        <v>0.2</v>
      </c>
      <c r="O672" s="1">
        <f t="shared" ca="1" si="195"/>
        <v>0.2</v>
      </c>
      <c r="P672" s="1">
        <f t="shared" ca="1" si="195"/>
        <v>0.36</v>
      </c>
      <c r="Q672" s="1">
        <f t="shared" ca="1" si="195"/>
        <v>0.1</v>
      </c>
      <c r="R672" s="1">
        <f t="shared" ca="1" si="195"/>
        <v>2</v>
      </c>
      <c r="S672" s="1">
        <f t="shared" ca="1" si="196"/>
        <v>0.1</v>
      </c>
      <c r="T672" s="1">
        <f t="shared" ca="1" si="196"/>
        <v>0.9</v>
      </c>
      <c r="U672" s="1">
        <f t="shared" ca="1" si="196"/>
        <v>146.933333333333</v>
      </c>
      <c r="V672" s="1">
        <f t="shared" ca="1" si="196"/>
        <v>0</v>
      </c>
      <c r="W672" s="1">
        <f t="shared" ca="1" si="196"/>
        <v>0</v>
      </c>
      <c r="X672" s="1">
        <f t="shared" ca="1" si="196"/>
        <v>0</v>
      </c>
      <c r="Y672" s="1">
        <f t="shared" ca="1" si="196"/>
        <v>1206.7714285714289</v>
      </c>
      <c r="Z672" s="1">
        <f t="shared" ca="1" si="196"/>
        <v>0</v>
      </c>
      <c r="AA672" s="1">
        <f t="shared" ca="1" si="196"/>
        <v>0</v>
      </c>
      <c r="AB672" s="1">
        <f t="shared" ca="1" si="196"/>
        <v>0</v>
      </c>
      <c r="AC672" s="1">
        <f t="shared" ca="1" si="196"/>
        <v>107.6673</v>
      </c>
      <c r="AD672" s="1">
        <f t="shared" ca="1" si="196"/>
        <v>107.6673</v>
      </c>
      <c r="AE672" s="1">
        <f t="shared" ca="1" si="196"/>
        <v>107.6673</v>
      </c>
      <c r="AF672" s="1">
        <f t="shared" ca="1" si="196"/>
        <v>161.50094999999999</v>
      </c>
      <c r="AG672" s="1">
        <f t="shared" ca="1" si="196"/>
        <v>107.6673</v>
      </c>
      <c r="AH672" s="1">
        <f t="shared" ca="1" si="196"/>
        <v>107.6673</v>
      </c>
      <c r="AI672" s="1">
        <f t="shared" ca="1" si="194"/>
        <v>107.6673</v>
      </c>
    </row>
    <row r="673" spans="2:35" x14ac:dyDescent="0.15">
      <c r="B673" s="1" t="str">
        <f t="shared" si="191"/>
        <v>火系77</v>
      </c>
      <c r="C673" s="1">
        <f t="shared" si="181"/>
        <v>77</v>
      </c>
      <c r="D673" s="14" t="s">
        <v>96</v>
      </c>
      <c r="E673" s="14">
        <f t="shared" si="182"/>
        <v>7</v>
      </c>
      <c r="F673" s="1" t="str">
        <f t="shared" si="187"/>
        <v>火炎</v>
      </c>
      <c r="H673" s="1">
        <f t="shared" ca="1" si="188"/>
        <v>3086.10315842605</v>
      </c>
      <c r="I673" s="1">
        <f t="shared" ref="I673:R682" ca="1" si="197">mVlookup($C673,monsterBaseDate,I$2,FALSE)*(1+mVlookup($E673,monsterType,I$2,FALSE))</f>
        <v>150</v>
      </c>
      <c r="J673" s="1">
        <f t="shared" ca="1" si="197"/>
        <v>1342.94391891892</v>
      </c>
      <c r="K673" s="1">
        <f t="shared" ca="1" si="197"/>
        <v>109.083975</v>
      </c>
      <c r="L673" s="1">
        <f t="shared" ca="1" si="197"/>
        <v>1342.94391891892</v>
      </c>
      <c r="M673" s="1">
        <f t="shared" ca="1" si="197"/>
        <v>109.083975</v>
      </c>
      <c r="N673" s="1">
        <f t="shared" ca="1" si="197"/>
        <v>0.2</v>
      </c>
      <c r="O673" s="1">
        <f t="shared" ca="1" si="197"/>
        <v>0.2</v>
      </c>
      <c r="P673" s="1">
        <f t="shared" ca="1" si="197"/>
        <v>0.36</v>
      </c>
      <c r="Q673" s="1">
        <f t="shared" ca="1" si="197"/>
        <v>0.1</v>
      </c>
      <c r="R673" s="1">
        <f t="shared" ca="1" si="197"/>
        <v>2</v>
      </c>
      <c r="S673" s="1">
        <f t="shared" ref="S673:AH688" ca="1" si="198">mVlookup($C673,monsterBaseDate,S$2,FALSE)*(1+mVlookup($E673,monsterType,S$2,FALSE))</f>
        <v>0.1</v>
      </c>
      <c r="T673" s="1">
        <f t="shared" ca="1" si="198"/>
        <v>0.9</v>
      </c>
      <c r="U673" s="1">
        <f t="shared" ca="1" si="198"/>
        <v>148.86666666666699</v>
      </c>
      <c r="V673" s="1">
        <f t="shared" ca="1" si="198"/>
        <v>0</v>
      </c>
      <c r="W673" s="1">
        <f t="shared" ca="1" si="198"/>
        <v>0</v>
      </c>
      <c r="X673" s="1">
        <f t="shared" ca="1" si="198"/>
        <v>0</v>
      </c>
      <c r="Y673" s="1">
        <f t="shared" ca="1" si="198"/>
        <v>1261.0570945945965</v>
      </c>
      <c r="Z673" s="1">
        <f t="shared" ca="1" si="198"/>
        <v>0</v>
      </c>
      <c r="AA673" s="1">
        <f t="shared" ca="1" si="198"/>
        <v>0</v>
      </c>
      <c r="AB673" s="1">
        <f t="shared" ca="1" si="196"/>
        <v>0</v>
      </c>
      <c r="AC673" s="1">
        <f t="shared" ca="1" si="198"/>
        <v>109.083975</v>
      </c>
      <c r="AD673" s="1">
        <f t="shared" ca="1" si="198"/>
        <v>109.083975</v>
      </c>
      <c r="AE673" s="1">
        <f t="shared" ca="1" si="198"/>
        <v>109.083975</v>
      </c>
      <c r="AF673" s="1">
        <f t="shared" ca="1" si="198"/>
        <v>163.62596249999999</v>
      </c>
      <c r="AG673" s="1">
        <f t="shared" ca="1" si="198"/>
        <v>109.083975</v>
      </c>
      <c r="AH673" s="1">
        <f t="shared" ca="1" si="198"/>
        <v>109.083975</v>
      </c>
      <c r="AI673" s="1">
        <f t="shared" ca="1" si="194"/>
        <v>109.083975</v>
      </c>
    </row>
    <row r="674" spans="2:35" x14ac:dyDescent="0.15">
      <c r="B674" s="1" t="str">
        <f t="shared" si="191"/>
        <v>火系78</v>
      </c>
      <c r="C674" s="1">
        <f t="shared" si="181"/>
        <v>78</v>
      </c>
      <c r="D674" s="14" t="s">
        <v>96</v>
      </c>
      <c r="E674" s="14">
        <f t="shared" si="182"/>
        <v>7</v>
      </c>
      <c r="F674" s="1" t="str">
        <f t="shared" si="187"/>
        <v>火炎</v>
      </c>
      <c r="H674" s="1">
        <f t="shared" ca="1" si="188"/>
        <v>3265.0137580279402</v>
      </c>
      <c r="I674" s="1">
        <f t="shared" ca="1" si="197"/>
        <v>150</v>
      </c>
      <c r="J674" s="1">
        <f t="shared" ca="1" si="197"/>
        <v>1373.8608610567501</v>
      </c>
      <c r="K674" s="1">
        <f t="shared" ca="1" si="197"/>
        <v>110.50064999999999</v>
      </c>
      <c r="L674" s="1">
        <f t="shared" ca="1" si="197"/>
        <v>1373.8608610567501</v>
      </c>
      <c r="M674" s="1">
        <f t="shared" ca="1" si="197"/>
        <v>110.50064999999999</v>
      </c>
      <c r="N674" s="1">
        <f t="shared" ca="1" si="197"/>
        <v>0.2</v>
      </c>
      <c r="O674" s="1">
        <f t="shared" ca="1" si="197"/>
        <v>0.2</v>
      </c>
      <c r="P674" s="1">
        <f t="shared" ca="1" si="197"/>
        <v>0.36</v>
      </c>
      <c r="Q674" s="1">
        <f t="shared" ca="1" si="197"/>
        <v>0.1</v>
      </c>
      <c r="R674" s="1">
        <f t="shared" ca="1" si="197"/>
        <v>2</v>
      </c>
      <c r="S674" s="1">
        <f t="shared" ca="1" si="198"/>
        <v>0.1</v>
      </c>
      <c r="T674" s="1">
        <f t="shared" ca="1" si="198"/>
        <v>0.9</v>
      </c>
      <c r="U674" s="1">
        <f t="shared" ca="1" si="198"/>
        <v>150.80000000000001</v>
      </c>
      <c r="V674" s="1">
        <f t="shared" ca="1" si="198"/>
        <v>0</v>
      </c>
      <c r="W674" s="1">
        <f t="shared" ca="1" si="198"/>
        <v>0</v>
      </c>
      <c r="X674" s="1">
        <f t="shared" ca="1" si="198"/>
        <v>0</v>
      </c>
      <c r="Y674" s="1">
        <f t="shared" ca="1" si="198"/>
        <v>1317.555088062624</v>
      </c>
      <c r="Z674" s="1">
        <f t="shared" ca="1" si="198"/>
        <v>0</v>
      </c>
      <c r="AA674" s="1">
        <f t="shared" ca="1" si="198"/>
        <v>0</v>
      </c>
      <c r="AB674" s="1">
        <f t="shared" ca="1" si="196"/>
        <v>0</v>
      </c>
      <c r="AC674" s="1">
        <f t="shared" ca="1" si="198"/>
        <v>110.50064999999999</v>
      </c>
      <c r="AD674" s="1">
        <f t="shared" ca="1" si="198"/>
        <v>110.50064999999999</v>
      </c>
      <c r="AE674" s="1">
        <f t="shared" ca="1" si="198"/>
        <v>110.50064999999999</v>
      </c>
      <c r="AF674" s="1">
        <f t="shared" ca="1" si="198"/>
        <v>165.75097499999998</v>
      </c>
      <c r="AG674" s="1">
        <f t="shared" ca="1" si="198"/>
        <v>110.50064999999999</v>
      </c>
      <c r="AH674" s="1">
        <f t="shared" ca="1" si="198"/>
        <v>110.50064999999999</v>
      </c>
      <c r="AI674" s="1">
        <f t="shared" ca="1" si="194"/>
        <v>110.50064999999999</v>
      </c>
    </row>
    <row r="675" spans="2:35" x14ac:dyDescent="0.15">
      <c r="B675" s="1" t="str">
        <f t="shared" si="191"/>
        <v>火系79</v>
      </c>
      <c r="C675" s="1">
        <f t="shared" si="181"/>
        <v>79</v>
      </c>
      <c r="D675" s="14" t="s">
        <v>96</v>
      </c>
      <c r="E675" s="14">
        <f t="shared" si="182"/>
        <v>7</v>
      </c>
      <c r="F675" s="1" t="str">
        <f t="shared" si="187"/>
        <v>火炎</v>
      </c>
      <c r="H675" s="1">
        <f t="shared" ca="1" si="188"/>
        <v>3321.4406308369598</v>
      </c>
      <c r="I675" s="1">
        <f t="shared" ca="1" si="197"/>
        <v>150</v>
      </c>
      <c r="J675" s="1">
        <f t="shared" ca="1" si="197"/>
        <v>1405.4005952381001</v>
      </c>
      <c r="K675" s="1">
        <f t="shared" ca="1" si="197"/>
        <v>111.91732500000001</v>
      </c>
      <c r="L675" s="1">
        <f t="shared" ca="1" si="197"/>
        <v>1405.4005952381001</v>
      </c>
      <c r="M675" s="1">
        <f t="shared" ca="1" si="197"/>
        <v>111.91732500000001</v>
      </c>
      <c r="N675" s="1">
        <f t="shared" ca="1" si="197"/>
        <v>0.2</v>
      </c>
      <c r="O675" s="1">
        <f t="shared" ca="1" si="197"/>
        <v>0.2</v>
      </c>
      <c r="P675" s="1">
        <f t="shared" ca="1" si="197"/>
        <v>0.36</v>
      </c>
      <c r="Q675" s="1">
        <f t="shared" ca="1" si="197"/>
        <v>0.1</v>
      </c>
      <c r="R675" s="1">
        <f t="shared" ca="1" si="197"/>
        <v>2</v>
      </c>
      <c r="S675" s="1">
        <f t="shared" ca="1" si="198"/>
        <v>0.1</v>
      </c>
      <c r="T675" s="1">
        <f t="shared" ca="1" si="198"/>
        <v>0.9</v>
      </c>
      <c r="U675" s="1">
        <f t="shared" ca="1" si="198"/>
        <v>152.73333333333301</v>
      </c>
      <c r="V675" s="1">
        <f t="shared" ca="1" si="198"/>
        <v>0</v>
      </c>
      <c r="W675" s="1">
        <f t="shared" ca="1" si="198"/>
        <v>0</v>
      </c>
      <c r="X675" s="1">
        <f t="shared" ca="1" si="198"/>
        <v>0</v>
      </c>
      <c r="Y675" s="1">
        <f t="shared" ca="1" si="198"/>
        <v>1376.3633928571439</v>
      </c>
      <c r="Z675" s="1">
        <f t="shared" ca="1" si="198"/>
        <v>0</v>
      </c>
      <c r="AA675" s="1">
        <f t="shared" ca="1" si="198"/>
        <v>0</v>
      </c>
      <c r="AB675" s="1">
        <f t="shared" ca="1" si="196"/>
        <v>0</v>
      </c>
      <c r="AC675" s="1">
        <f t="shared" ca="1" si="198"/>
        <v>111.91732500000001</v>
      </c>
      <c r="AD675" s="1">
        <f t="shared" ca="1" si="198"/>
        <v>111.91732500000001</v>
      </c>
      <c r="AE675" s="1">
        <f t="shared" ca="1" si="198"/>
        <v>111.91732500000001</v>
      </c>
      <c r="AF675" s="1">
        <f t="shared" ca="1" si="198"/>
        <v>167.87598750000001</v>
      </c>
      <c r="AG675" s="1">
        <f t="shared" ca="1" si="198"/>
        <v>111.91732500000001</v>
      </c>
      <c r="AH675" s="1">
        <f t="shared" ca="1" si="198"/>
        <v>111.91732500000001</v>
      </c>
      <c r="AI675" s="1">
        <f t="shared" ca="1" si="194"/>
        <v>111.91732500000001</v>
      </c>
    </row>
    <row r="676" spans="2:35" x14ac:dyDescent="0.15">
      <c r="B676" s="1" t="str">
        <f t="shared" si="191"/>
        <v>火系80</v>
      </c>
      <c r="C676" s="1">
        <f t="shared" si="181"/>
        <v>80</v>
      </c>
      <c r="D676" s="14" t="s">
        <v>96</v>
      </c>
      <c r="E676" s="14">
        <f t="shared" si="182"/>
        <v>7</v>
      </c>
      <c r="F676" s="1" t="str">
        <f t="shared" si="187"/>
        <v>火炎</v>
      </c>
      <c r="H676" s="1">
        <f t="shared" ca="1" si="188"/>
        <v>3378.2363067362398</v>
      </c>
      <c r="I676" s="1">
        <f t="shared" ca="1" si="197"/>
        <v>150</v>
      </c>
      <c r="J676" s="1">
        <f t="shared" ca="1" si="197"/>
        <v>1437.5855130784701</v>
      </c>
      <c r="K676" s="1">
        <f t="shared" ca="1" si="197"/>
        <v>113.334</v>
      </c>
      <c r="L676" s="1">
        <f t="shared" ca="1" si="197"/>
        <v>1437.5855130784701</v>
      </c>
      <c r="M676" s="1">
        <f t="shared" ca="1" si="197"/>
        <v>113.334</v>
      </c>
      <c r="N676" s="1">
        <f t="shared" ca="1" si="197"/>
        <v>0.2</v>
      </c>
      <c r="O676" s="1">
        <f t="shared" ca="1" si="197"/>
        <v>0.2</v>
      </c>
      <c r="P676" s="1">
        <f t="shared" ca="1" si="197"/>
        <v>0.36</v>
      </c>
      <c r="Q676" s="1">
        <f t="shared" ca="1" si="197"/>
        <v>0.1</v>
      </c>
      <c r="R676" s="1">
        <f t="shared" ca="1" si="197"/>
        <v>2</v>
      </c>
      <c r="S676" s="1">
        <f t="shared" ca="1" si="198"/>
        <v>0.1</v>
      </c>
      <c r="T676" s="1">
        <f t="shared" ca="1" si="198"/>
        <v>0.9</v>
      </c>
      <c r="U676" s="1">
        <f t="shared" ca="1" si="198"/>
        <v>154.666666666667</v>
      </c>
      <c r="V676" s="1">
        <f t="shared" ca="1" si="198"/>
        <v>0</v>
      </c>
      <c r="W676" s="1">
        <f t="shared" ca="1" si="198"/>
        <v>0</v>
      </c>
      <c r="X676" s="1">
        <f t="shared" ca="1" si="198"/>
        <v>0</v>
      </c>
      <c r="Y676" s="1">
        <f t="shared" ca="1" si="198"/>
        <v>1437.5855130784726</v>
      </c>
      <c r="Z676" s="1">
        <f t="shared" ca="1" si="198"/>
        <v>0</v>
      </c>
      <c r="AA676" s="1">
        <f t="shared" ca="1" si="198"/>
        <v>0</v>
      </c>
      <c r="AB676" s="1">
        <f t="shared" ca="1" si="196"/>
        <v>0</v>
      </c>
      <c r="AC676" s="1">
        <f t="shared" ca="1" si="198"/>
        <v>113.334</v>
      </c>
      <c r="AD676" s="1">
        <f t="shared" ca="1" si="198"/>
        <v>113.334</v>
      </c>
      <c r="AE676" s="1">
        <f t="shared" ca="1" si="198"/>
        <v>113.334</v>
      </c>
      <c r="AF676" s="1">
        <f t="shared" ca="1" si="198"/>
        <v>170.001</v>
      </c>
      <c r="AG676" s="1">
        <f t="shared" ca="1" si="198"/>
        <v>113.334</v>
      </c>
      <c r="AH676" s="1">
        <f t="shared" ca="1" si="198"/>
        <v>113.334</v>
      </c>
      <c r="AI676" s="1">
        <f t="shared" ca="1" si="194"/>
        <v>113.334</v>
      </c>
    </row>
    <row r="677" spans="2:35" x14ac:dyDescent="0.15">
      <c r="B677" s="1" t="str">
        <f t="shared" si="191"/>
        <v>火系81</v>
      </c>
      <c r="C677" s="1">
        <f t="shared" si="181"/>
        <v>81</v>
      </c>
      <c r="D677" s="14" t="s">
        <v>96</v>
      </c>
      <c r="E677" s="14">
        <f t="shared" si="182"/>
        <v>7</v>
      </c>
      <c r="F677" s="1" t="str">
        <f t="shared" si="187"/>
        <v>火炎</v>
      </c>
      <c r="H677" s="1">
        <f t="shared" ca="1" si="188"/>
        <v>3435.4007857257702</v>
      </c>
      <c r="I677" s="1">
        <f t="shared" ca="1" si="197"/>
        <v>150</v>
      </c>
      <c r="J677" s="1">
        <f t="shared" ca="1" si="197"/>
        <v>1470.43928571429</v>
      </c>
      <c r="K677" s="1">
        <f t="shared" ca="1" si="197"/>
        <v>114.750675</v>
      </c>
      <c r="L677" s="1">
        <f t="shared" ca="1" si="197"/>
        <v>1470.43928571429</v>
      </c>
      <c r="M677" s="1">
        <f t="shared" ca="1" si="197"/>
        <v>114.750675</v>
      </c>
      <c r="N677" s="1">
        <f t="shared" ca="1" si="197"/>
        <v>0.2</v>
      </c>
      <c r="O677" s="1">
        <f t="shared" ca="1" si="197"/>
        <v>0.2</v>
      </c>
      <c r="P677" s="1">
        <f t="shared" ca="1" si="197"/>
        <v>0.36</v>
      </c>
      <c r="Q677" s="1">
        <f t="shared" ca="1" si="197"/>
        <v>0.1</v>
      </c>
      <c r="R677" s="1">
        <f t="shared" ca="1" si="197"/>
        <v>2</v>
      </c>
      <c r="S677" s="1">
        <f t="shared" ca="1" si="198"/>
        <v>0.1</v>
      </c>
      <c r="T677" s="1">
        <f t="shared" ca="1" si="198"/>
        <v>0.9</v>
      </c>
      <c r="U677" s="1">
        <f t="shared" ca="1" si="198"/>
        <v>156.6</v>
      </c>
      <c r="V677" s="1">
        <f t="shared" ca="1" si="198"/>
        <v>0</v>
      </c>
      <c r="W677" s="1">
        <f t="shared" ca="1" si="198"/>
        <v>0</v>
      </c>
      <c r="X677" s="1">
        <f t="shared" ca="1" si="198"/>
        <v>0</v>
      </c>
      <c r="Y677" s="1">
        <f t="shared" ca="1" si="198"/>
        <v>1501.3308673469401</v>
      </c>
      <c r="Z677" s="1">
        <f t="shared" ca="1" si="198"/>
        <v>0</v>
      </c>
      <c r="AA677" s="1">
        <f t="shared" ca="1" si="198"/>
        <v>0</v>
      </c>
      <c r="AB677" s="1">
        <f t="shared" ca="1" si="196"/>
        <v>0</v>
      </c>
      <c r="AC677" s="1">
        <f t="shared" ca="1" si="198"/>
        <v>114.750675</v>
      </c>
      <c r="AD677" s="1">
        <f t="shared" ca="1" si="198"/>
        <v>114.750675</v>
      </c>
      <c r="AE677" s="1">
        <f t="shared" ca="1" si="198"/>
        <v>114.750675</v>
      </c>
      <c r="AF677" s="1">
        <f t="shared" ca="1" si="198"/>
        <v>172.1260125</v>
      </c>
      <c r="AG677" s="1">
        <f t="shared" ca="1" si="198"/>
        <v>114.750675</v>
      </c>
      <c r="AH677" s="1">
        <f t="shared" ca="1" si="198"/>
        <v>114.750675</v>
      </c>
      <c r="AI677" s="1">
        <f t="shared" ca="1" si="194"/>
        <v>114.750675</v>
      </c>
    </row>
    <row r="678" spans="2:35" x14ac:dyDescent="0.15">
      <c r="B678" s="1" t="str">
        <f t="shared" si="191"/>
        <v>火系82</v>
      </c>
      <c r="C678" s="1">
        <f t="shared" si="181"/>
        <v>82</v>
      </c>
      <c r="D678" s="14" t="s">
        <v>96</v>
      </c>
      <c r="E678" s="14">
        <f t="shared" si="182"/>
        <v>7</v>
      </c>
      <c r="F678" s="1" t="str">
        <f t="shared" si="187"/>
        <v>火炎</v>
      </c>
      <c r="H678" s="1">
        <f t="shared" ca="1" si="188"/>
        <v>3492.9340678055601</v>
      </c>
      <c r="I678" s="1">
        <f t="shared" ca="1" si="197"/>
        <v>150</v>
      </c>
      <c r="J678" s="1">
        <f t="shared" ca="1" si="197"/>
        <v>1503.98695652174</v>
      </c>
      <c r="K678" s="1">
        <f t="shared" ca="1" si="197"/>
        <v>116.16735</v>
      </c>
      <c r="L678" s="1">
        <f t="shared" ca="1" si="197"/>
        <v>1503.98695652174</v>
      </c>
      <c r="M678" s="1">
        <f t="shared" ca="1" si="197"/>
        <v>116.16735</v>
      </c>
      <c r="N678" s="1">
        <f t="shared" ca="1" si="197"/>
        <v>0.2</v>
      </c>
      <c r="O678" s="1">
        <f t="shared" ca="1" si="197"/>
        <v>0.2</v>
      </c>
      <c r="P678" s="1">
        <f t="shared" ca="1" si="197"/>
        <v>0.36</v>
      </c>
      <c r="Q678" s="1">
        <f t="shared" ca="1" si="197"/>
        <v>0.1</v>
      </c>
      <c r="R678" s="1">
        <f t="shared" ca="1" si="197"/>
        <v>2</v>
      </c>
      <c r="S678" s="1">
        <f t="shared" ca="1" si="198"/>
        <v>0.1</v>
      </c>
      <c r="T678" s="1">
        <f t="shared" ca="1" si="198"/>
        <v>0.9</v>
      </c>
      <c r="U678" s="1">
        <f t="shared" ca="1" si="198"/>
        <v>158.53333333333299</v>
      </c>
      <c r="V678" s="1">
        <f t="shared" ca="1" si="198"/>
        <v>0</v>
      </c>
      <c r="W678" s="1">
        <f t="shared" ca="1" si="198"/>
        <v>0</v>
      </c>
      <c r="X678" s="1">
        <f t="shared" ca="1" si="198"/>
        <v>0</v>
      </c>
      <c r="Y678" s="1">
        <f t="shared" ca="1" si="198"/>
        <v>1567.715217391305</v>
      </c>
      <c r="Z678" s="1">
        <f t="shared" ca="1" si="198"/>
        <v>0</v>
      </c>
      <c r="AA678" s="1">
        <f t="shared" ca="1" si="198"/>
        <v>0</v>
      </c>
      <c r="AB678" s="1">
        <f t="shared" ca="1" si="196"/>
        <v>0</v>
      </c>
      <c r="AC678" s="1">
        <f t="shared" ca="1" si="198"/>
        <v>116.16735</v>
      </c>
      <c r="AD678" s="1">
        <f t="shared" ca="1" si="198"/>
        <v>116.16735</v>
      </c>
      <c r="AE678" s="1">
        <f t="shared" ca="1" si="198"/>
        <v>116.16735</v>
      </c>
      <c r="AF678" s="1">
        <f t="shared" ca="1" si="198"/>
        <v>174.251025</v>
      </c>
      <c r="AG678" s="1">
        <f t="shared" ca="1" si="198"/>
        <v>116.16735</v>
      </c>
      <c r="AH678" s="1">
        <f t="shared" ca="1" si="198"/>
        <v>116.16735</v>
      </c>
      <c r="AI678" s="1">
        <f t="shared" ca="1" si="194"/>
        <v>116.16735</v>
      </c>
    </row>
    <row r="679" spans="2:35" x14ac:dyDescent="0.15">
      <c r="B679" s="1" t="str">
        <f t="shared" si="191"/>
        <v>火系83</v>
      </c>
      <c r="C679" s="1">
        <f t="shared" ref="C679:C742" si="199">C580</f>
        <v>83</v>
      </c>
      <c r="D679" s="14" t="s">
        <v>96</v>
      </c>
      <c r="E679" s="14">
        <f t="shared" ref="E679:E742" si="200">E580+1</f>
        <v>7</v>
      </c>
      <c r="F679" s="1" t="str">
        <f t="shared" si="187"/>
        <v>火炎</v>
      </c>
      <c r="H679" s="1">
        <f t="shared" ca="1" si="188"/>
        <v>3550.8361529755998</v>
      </c>
      <c r="I679" s="1">
        <f t="shared" ca="1" si="197"/>
        <v>150</v>
      </c>
      <c r="J679" s="1">
        <f t="shared" ca="1" si="197"/>
        <v>1538.25504201681</v>
      </c>
      <c r="K679" s="1">
        <f t="shared" ca="1" si="197"/>
        <v>117.584025</v>
      </c>
      <c r="L679" s="1">
        <f t="shared" ca="1" si="197"/>
        <v>1538.25504201681</v>
      </c>
      <c r="M679" s="1">
        <f t="shared" ca="1" si="197"/>
        <v>117.584025</v>
      </c>
      <c r="N679" s="1">
        <f t="shared" ca="1" si="197"/>
        <v>0.2</v>
      </c>
      <c r="O679" s="1">
        <f t="shared" ca="1" si="197"/>
        <v>0.2</v>
      </c>
      <c r="P679" s="1">
        <f t="shared" ca="1" si="197"/>
        <v>0.36</v>
      </c>
      <c r="Q679" s="1">
        <f t="shared" ca="1" si="197"/>
        <v>0.1</v>
      </c>
      <c r="R679" s="1">
        <f t="shared" ca="1" si="197"/>
        <v>2</v>
      </c>
      <c r="S679" s="1">
        <f t="shared" ca="1" si="198"/>
        <v>0.1</v>
      </c>
      <c r="T679" s="1">
        <f t="shared" ca="1" si="198"/>
        <v>0.9</v>
      </c>
      <c r="U679" s="1">
        <f t="shared" ca="1" si="198"/>
        <v>160.46666666666701</v>
      </c>
      <c r="V679" s="1">
        <f t="shared" ca="1" si="198"/>
        <v>0</v>
      </c>
      <c r="W679" s="1">
        <f t="shared" ca="1" si="198"/>
        <v>0</v>
      </c>
      <c r="X679" s="1">
        <f t="shared" ca="1" si="198"/>
        <v>0</v>
      </c>
      <c r="Y679" s="1">
        <f t="shared" ca="1" si="198"/>
        <v>1636.8611344537799</v>
      </c>
      <c r="Z679" s="1">
        <f t="shared" ca="1" si="198"/>
        <v>0</v>
      </c>
      <c r="AA679" s="1">
        <f t="shared" ca="1" si="198"/>
        <v>0</v>
      </c>
      <c r="AB679" s="1">
        <f t="shared" ca="1" si="198"/>
        <v>0</v>
      </c>
      <c r="AC679" s="1">
        <f t="shared" ca="1" si="198"/>
        <v>117.584025</v>
      </c>
      <c r="AD679" s="1">
        <f t="shared" ca="1" si="198"/>
        <v>117.584025</v>
      </c>
      <c r="AE679" s="1">
        <f t="shared" ca="1" si="198"/>
        <v>117.584025</v>
      </c>
      <c r="AF679" s="1">
        <f t="shared" ca="1" si="198"/>
        <v>176.3760375</v>
      </c>
      <c r="AG679" s="1">
        <f t="shared" ca="1" si="198"/>
        <v>117.584025</v>
      </c>
      <c r="AH679" s="1">
        <f t="shared" ca="1" si="198"/>
        <v>117.584025</v>
      </c>
      <c r="AI679" s="1">
        <f t="shared" ca="1" si="194"/>
        <v>117.584025</v>
      </c>
    </row>
    <row r="680" spans="2:35" x14ac:dyDescent="0.15">
      <c r="B680" s="1" t="str">
        <f t="shared" si="191"/>
        <v>火系84</v>
      </c>
      <c r="C680" s="1">
        <f t="shared" si="199"/>
        <v>84</v>
      </c>
      <c r="D680" s="14" t="s">
        <v>96</v>
      </c>
      <c r="E680" s="14">
        <f t="shared" si="200"/>
        <v>7</v>
      </c>
      <c r="F680" s="1" t="str">
        <f t="shared" si="187"/>
        <v>火炎</v>
      </c>
      <c r="H680" s="1">
        <f t="shared" ca="1" si="188"/>
        <v>3609.1070412358999</v>
      </c>
      <c r="I680" s="1">
        <f t="shared" ca="1" si="197"/>
        <v>150</v>
      </c>
      <c r="J680" s="1">
        <f t="shared" ca="1" si="197"/>
        <v>1573.2716417910499</v>
      </c>
      <c r="K680" s="1">
        <f t="shared" ca="1" si="197"/>
        <v>119.00069999999999</v>
      </c>
      <c r="L680" s="1">
        <f t="shared" ca="1" si="197"/>
        <v>1573.2716417910499</v>
      </c>
      <c r="M680" s="1">
        <f t="shared" ca="1" si="197"/>
        <v>119.00069999999999</v>
      </c>
      <c r="N680" s="1">
        <f t="shared" ca="1" si="197"/>
        <v>0.2</v>
      </c>
      <c r="O680" s="1">
        <f t="shared" ca="1" si="197"/>
        <v>0.2</v>
      </c>
      <c r="P680" s="1">
        <f t="shared" ca="1" si="197"/>
        <v>0.36</v>
      </c>
      <c r="Q680" s="1">
        <f t="shared" ca="1" si="197"/>
        <v>0.1</v>
      </c>
      <c r="R680" s="1">
        <f t="shared" ca="1" si="197"/>
        <v>2</v>
      </c>
      <c r="S680" s="1">
        <f t="shared" ca="1" si="198"/>
        <v>0.1</v>
      </c>
      <c r="T680" s="1">
        <f t="shared" ca="1" si="198"/>
        <v>0.9</v>
      </c>
      <c r="U680" s="1">
        <f t="shared" ca="1" si="198"/>
        <v>162.4</v>
      </c>
      <c r="V680" s="1">
        <f t="shared" ca="1" si="198"/>
        <v>0</v>
      </c>
      <c r="W680" s="1">
        <f t="shared" ca="1" si="198"/>
        <v>0</v>
      </c>
      <c r="X680" s="1">
        <f t="shared" ca="1" si="198"/>
        <v>0</v>
      </c>
      <c r="Y680" s="1">
        <f t="shared" ca="1" si="198"/>
        <v>1708.8985074626851</v>
      </c>
      <c r="Z680" s="1">
        <f t="shared" ca="1" si="198"/>
        <v>0</v>
      </c>
      <c r="AA680" s="1">
        <f t="shared" ca="1" si="198"/>
        <v>0</v>
      </c>
      <c r="AB680" s="1">
        <f t="shared" ca="1" si="198"/>
        <v>0</v>
      </c>
      <c r="AC680" s="1">
        <f t="shared" ca="1" si="198"/>
        <v>119.00069999999999</v>
      </c>
      <c r="AD680" s="1">
        <f t="shared" ca="1" si="198"/>
        <v>119.00069999999999</v>
      </c>
      <c r="AE680" s="1">
        <f t="shared" ca="1" si="198"/>
        <v>119.00069999999999</v>
      </c>
      <c r="AF680" s="1">
        <f t="shared" ca="1" si="198"/>
        <v>178.50104999999999</v>
      </c>
      <c r="AG680" s="1">
        <f t="shared" ca="1" si="198"/>
        <v>119.00069999999999</v>
      </c>
      <c r="AH680" s="1">
        <f t="shared" ca="1" si="198"/>
        <v>119.00069999999999</v>
      </c>
      <c r="AI680" s="1">
        <f t="shared" ca="1" si="194"/>
        <v>119.00069999999999</v>
      </c>
    </row>
    <row r="681" spans="2:35" x14ac:dyDescent="0.15">
      <c r="B681" s="1" t="str">
        <f t="shared" si="191"/>
        <v>火系85</v>
      </c>
      <c r="C681" s="1">
        <f t="shared" si="199"/>
        <v>85</v>
      </c>
      <c r="D681" s="14" t="s">
        <v>96</v>
      </c>
      <c r="E681" s="14">
        <f t="shared" si="200"/>
        <v>7</v>
      </c>
      <c r="F681" s="1" t="str">
        <f t="shared" si="187"/>
        <v>火炎</v>
      </c>
      <c r="H681" s="1">
        <f t="shared" ca="1" si="188"/>
        <v>3667.74673258645</v>
      </c>
      <c r="I681" s="1">
        <f t="shared" ca="1" si="197"/>
        <v>150</v>
      </c>
      <c r="J681" s="1">
        <f t="shared" ca="1" si="197"/>
        <v>1609.0665584415599</v>
      </c>
      <c r="K681" s="1">
        <f t="shared" ca="1" si="197"/>
        <v>120.41737500000001</v>
      </c>
      <c r="L681" s="1">
        <f t="shared" ca="1" si="197"/>
        <v>1609.0665584415599</v>
      </c>
      <c r="M681" s="1">
        <f t="shared" ca="1" si="197"/>
        <v>120.41737500000001</v>
      </c>
      <c r="N681" s="1">
        <f t="shared" ca="1" si="197"/>
        <v>0.2</v>
      </c>
      <c r="O681" s="1">
        <f t="shared" ca="1" si="197"/>
        <v>0.2</v>
      </c>
      <c r="P681" s="1">
        <f t="shared" ca="1" si="197"/>
        <v>0.36</v>
      </c>
      <c r="Q681" s="1">
        <f t="shared" ca="1" si="197"/>
        <v>0.1</v>
      </c>
      <c r="R681" s="1">
        <f t="shared" ca="1" si="197"/>
        <v>2</v>
      </c>
      <c r="S681" s="1">
        <f t="shared" ca="1" si="198"/>
        <v>0.1</v>
      </c>
      <c r="T681" s="1">
        <f t="shared" ca="1" si="198"/>
        <v>0.9</v>
      </c>
      <c r="U681" s="1">
        <f t="shared" ca="1" si="198"/>
        <v>164.333333333333</v>
      </c>
      <c r="V681" s="1">
        <f t="shared" ca="1" si="198"/>
        <v>0</v>
      </c>
      <c r="W681" s="1">
        <f t="shared" ca="1" si="198"/>
        <v>0</v>
      </c>
      <c r="X681" s="1">
        <f t="shared" ca="1" si="198"/>
        <v>0</v>
      </c>
      <c r="Y681" s="1">
        <f t="shared" ca="1" si="198"/>
        <v>1783.9650974026049</v>
      </c>
      <c r="Z681" s="1">
        <f t="shared" ca="1" si="198"/>
        <v>0</v>
      </c>
      <c r="AA681" s="1">
        <f t="shared" ca="1" si="198"/>
        <v>0</v>
      </c>
      <c r="AB681" s="1">
        <f t="shared" ca="1" si="198"/>
        <v>0</v>
      </c>
      <c r="AC681" s="1">
        <f t="shared" ca="1" si="198"/>
        <v>120.41737500000001</v>
      </c>
      <c r="AD681" s="1">
        <f t="shared" ca="1" si="198"/>
        <v>120.41737500000001</v>
      </c>
      <c r="AE681" s="1">
        <f t="shared" ca="1" si="198"/>
        <v>120.41737500000001</v>
      </c>
      <c r="AF681" s="1">
        <f t="shared" ca="1" si="198"/>
        <v>180.62606250000002</v>
      </c>
      <c r="AG681" s="1">
        <f t="shared" ca="1" si="198"/>
        <v>120.41737500000001</v>
      </c>
      <c r="AH681" s="1">
        <f t="shared" ca="1" si="198"/>
        <v>120.41737500000001</v>
      </c>
      <c r="AI681" s="1">
        <f t="shared" ca="1" si="194"/>
        <v>120.41737500000001</v>
      </c>
    </row>
    <row r="682" spans="2:35" x14ac:dyDescent="0.15">
      <c r="B682" s="1" t="str">
        <f t="shared" si="191"/>
        <v>火系86</v>
      </c>
      <c r="C682" s="1">
        <f t="shared" si="199"/>
        <v>86</v>
      </c>
      <c r="D682" s="14" t="s">
        <v>96</v>
      </c>
      <c r="E682" s="14">
        <f t="shared" si="200"/>
        <v>7</v>
      </c>
      <c r="F682" s="1" t="str">
        <f t="shared" si="187"/>
        <v>火炎</v>
      </c>
      <c r="H682" s="1">
        <f t="shared" ca="1" si="188"/>
        <v>3726.7552270272599</v>
      </c>
      <c r="I682" s="1">
        <f t="shared" ca="1" si="197"/>
        <v>150</v>
      </c>
      <c r="J682" s="1">
        <f t="shared" ca="1" si="197"/>
        <v>1645.6714285714299</v>
      </c>
      <c r="K682" s="1">
        <f t="shared" ca="1" si="197"/>
        <v>121.83405</v>
      </c>
      <c r="L682" s="1">
        <f t="shared" ca="1" si="197"/>
        <v>1645.6714285714299</v>
      </c>
      <c r="M682" s="1">
        <f t="shared" ca="1" si="197"/>
        <v>121.83405</v>
      </c>
      <c r="N682" s="1">
        <f t="shared" ca="1" si="197"/>
        <v>0.2</v>
      </c>
      <c r="O682" s="1">
        <f t="shared" ca="1" si="197"/>
        <v>0.2</v>
      </c>
      <c r="P682" s="1">
        <f t="shared" ca="1" si="197"/>
        <v>0.36</v>
      </c>
      <c r="Q682" s="1">
        <f t="shared" ca="1" si="197"/>
        <v>0.1</v>
      </c>
      <c r="R682" s="1">
        <f t="shared" ca="1" si="197"/>
        <v>2</v>
      </c>
      <c r="S682" s="1">
        <f t="shared" ca="1" si="198"/>
        <v>0.1</v>
      </c>
      <c r="T682" s="1">
        <f t="shared" ca="1" si="198"/>
        <v>0.9</v>
      </c>
      <c r="U682" s="1">
        <f t="shared" ca="1" si="198"/>
        <v>166.26666666666699</v>
      </c>
      <c r="V682" s="1">
        <f t="shared" ca="1" si="198"/>
        <v>0</v>
      </c>
      <c r="W682" s="1">
        <f t="shared" ca="1" si="198"/>
        <v>0</v>
      </c>
      <c r="X682" s="1">
        <f t="shared" ca="1" si="198"/>
        <v>0</v>
      </c>
      <c r="Y682" s="1">
        <f t="shared" ca="1" si="198"/>
        <v>1862.2071428571448</v>
      </c>
      <c r="Z682" s="1">
        <f t="shared" ca="1" si="198"/>
        <v>0</v>
      </c>
      <c r="AA682" s="1">
        <f t="shared" ca="1" si="198"/>
        <v>0</v>
      </c>
      <c r="AB682" s="1">
        <f t="shared" ca="1" si="198"/>
        <v>0</v>
      </c>
      <c r="AC682" s="1">
        <f t="shared" ca="1" si="198"/>
        <v>121.83405</v>
      </c>
      <c r="AD682" s="1">
        <f t="shared" ca="1" si="198"/>
        <v>121.83405</v>
      </c>
      <c r="AE682" s="1">
        <f t="shared" ca="1" si="198"/>
        <v>121.83405</v>
      </c>
      <c r="AF682" s="1">
        <f t="shared" ca="1" si="198"/>
        <v>182.75107500000001</v>
      </c>
      <c r="AG682" s="1">
        <f t="shared" ca="1" si="198"/>
        <v>121.83405</v>
      </c>
      <c r="AH682" s="1">
        <f t="shared" ca="1" si="198"/>
        <v>121.83405</v>
      </c>
      <c r="AI682" s="1">
        <f t="shared" ca="1" si="194"/>
        <v>121.83405</v>
      </c>
    </row>
    <row r="683" spans="2:35" x14ac:dyDescent="0.15">
      <c r="B683" s="1" t="str">
        <f t="shared" si="191"/>
        <v>火系87</v>
      </c>
      <c r="C683" s="1">
        <f t="shared" si="199"/>
        <v>87</v>
      </c>
      <c r="D683" s="14" t="s">
        <v>96</v>
      </c>
      <c r="E683" s="14">
        <f t="shared" si="200"/>
        <v>7</v>
      </c>
      <c r="F683" s="1" t="str">
        <f t="shared" si="187"/>
        <v>火炎</v>
      </c>
      <c r="H683" s="1">
        <f t="shared" ca="1" si="188"/>
        <v>3786.1325245583198</v>
      </c>
      <c r="I683" s="1">
        <f t="shared" ref="I683:R692" ca="1" si="201">mVlookup($C683,monsterBaseDate,I$2,FALSE)*(1+mVlookup($E683,monsterType,I$2,FALSE))</f>
        <v>150</v>
      </c>
      <c r="J683" s="1">
        <f t="shared" ca="1" si="201"/>
        <v>1683.1198660714299</v>
      </c>
      <c r="K683" s="1">
        <f t="shared" ca="1" si="201"/>
        <v>123.250725</v>
      </c>
      <c r="L683" s="1">
        <f t="shared" ca="1" si="201"/>
        <v>1683.1198660714299</v>
      </c>
      <c r="M683" s="1">
        <f t="shared" ca="1" si="201"/>
        <v>123.250725</v>
      </c>
      <c r="N683" s="1">
        <f t="shared" ca="1" si="201"/>
        <v>0.2</v>
      </c>
      <c r="O683" s="1">
        <f t="shared" ca="1" si="201"/>
        <v>0.2</v>
      </c>
      <c r="P683" s="1">
        <f t="shared" ca="1" si="201"/>
        <v>0.36</v>
      </c>
      <c r="Q683" s="1">
        <f t="shared" ca="1" si="201"/>
        <v>0.1</v>
      </c>
      <c r="R683" s="1">
        <f t="shared" ca="1" si="201"/>
        <v>2</v>
      </c>
      <c r="S683" s="1">
        <f t="shared" ref="S683:AH698" ca="1" si="202">mVlookup($C683,monsterBaseDate,S$2,FALSE)*(1+mVlookup($E683,monsterType,S$2,FALSE))</f>
        <v>0.1</v>
      </c>
      <c r="T683" s="1">
        <f t="shared" ca="1" si="202"/>
        <v>0.9</v>
      </c>
      <c r="U683" s="1">
        <f t="shared" ca="1" si="202"/>
        <v>168.2</v>
      </c>
      <c r="V683" s="1">
        <f t="shared" ca="1" si="202"/>
        <v>0</v>
      </c>
      <c r="W683" s="1">
        <f t="shared" ca="1" si="202"/>
        <v>0</v>
      </c>
      <c r="X683" s="1">
        <f t="shared" ca="1" si="202"/>
        <v>0</v>
      </c>
      <c r="Y683" s="1">
        <f t="shared" ca="1" si="202"/>
        <v>1943.7800223214349</v>
      </c>
      <c r="Z683" s="1">
        <f t="shared" ca="1" si="202"/>
        <v>0</v>
      </c>
      <c r="AA683" s="1">
        <f t="shared" ca="1" si="202"/>
        <v>0</v>
      </c>
      <c r="AB683" s="1">
        <f t="shared" ca="1" si="198"/>
        <v>0</v>
      </c>
      <c r="AC683" s="1">
        <f t="shared" ca="1" si="202"/>
        <v>123.250725</v>
      </c>
      <c r="AD683" s="1">
        <f t="shared" ca="1" si="202"/>
        <v>123.250725</v>
      </c>
      <c r="AE683" s="1">
        <f t="shared" ca="1" si="202"/>
        <v>123.250725</v>
      </c>
      <c r="AF683" s="1">
        <f t="shared" ca="1" si="202"/>
        <v>184.87608750000001</v>
      </c>
      <c r="AG683" s="1">
        <f t="shared" ca="1" si="202"/>
        <v>123.250725</v>
      </c>
      <c r="AH683" s="1">
        <f t="shared" ca="1" si="202"/>
        <v>123.250725</v>
      </c>
      <c r="AI683" s="1">
        <f t="shared" ca="1" si="194"/>
        <v>123.250725</v>
      </c>
    </row>
    <row r="684" spans="2:35" x14ac:dyDescent="0.15">
      <c r="B684" s="1" t="str">
        <f t="shared" si="191"/>
        <v>火系88</v>
      </c>
      <c r="C684" s="1">
        <f t="shared" si="199"/>
        <v>88</v>
      </c>
      <c r="D684" s="14" t="s">
        <v>96</v>
      </c>
      <c r="E684" s="14">
        <f t="shared" si="200"/>
        <v>7</v>
      </c>
      <c r="F684" s="1" t="str">
        <f t="shared" si="187"/>
        <v>火炎</v>
      </c>
      <c r="H684" s="1">
        <f t="shared" ca="1" si="188"/>
        <v>3845.87862517964</v>
      </c>
      <c r="I684" s="1">
        <f t="shared" ca="1" si="201"/>
        <v>150</v>
      </c>
      <c r="J684" s="1">
        <f t="shared" ca="1" si="201"/>
        <v>1721.44761904762</v>
      </c>
      <c r="K684" s="1">
        <f t="shared" ca="1" si="201"/>
        <v>124.6674</v>
      </c>
      <c r="L684" s="1">
        <f t="shared" ca="1" si="201"/>
        <v>1721.44761904762</v>
      </c>
      <c r="M684" s="1">
        <f t="shared" ca="1" si="201"/>
        <v>124.6674</v>
      </c>
      <c r="N684" s="1">
        <f t="shared" ca="1" si="201"/>
        <v>0.2</v>
      </c>
      <c r="O684" s="1">
        <f t="shared" ca="1" si="201"/>
        <v>0.2</v>
      </c>
      <c r="P684" s="1">
        <f t="shared" ca="1" si="201"/>
        <v>0.36</v>
      </c>
      <c r="Q684" s="1">
        <f t="shared" ca="1" si="201"/>
        <v>0.1</v>
      </c>
      <c r="R684" s="1">
        <f t="shared" ca="1" si="201"/>
        <v>2</v>
      </c>
      <c r="S684" s="1">
        <f t="shared" ca="1" si="202"/>
        <v>0.1</v>
      </c>
      <c r="T684" s="1">
        <f t="shared" ca="1" si="202"/>
        <v>0.9</v>
      </c>
      <c r="U684" s="1">
        <f t="shared" ca="1" si="202"/>
        <v>170.13333333333301</v>
      </c>
      <c r="V684" s="1">
        <f t="shared" ca="1" si="202"/>
        <v>0</v>
      </c>
      <c r="W684" s="1">
        <f t="shared" ca="1" si="202"/>
        <v>0</v>
      </c>
      <c r="X684" s="1">
        <f t="shared" ca="1" si="202"/>
        <v>0</v>
      </c>
      <c r="Y684" s="1">
        <f t="shared" ca="1" si="202"/>
        <v>2028.8489795918399</v>
      </c>
      <c r="Z684" s="1">
        <f t="shared" ca="1" si="202"/>
        <v>0</v>
      </c>
      <c r="AA684" s="1">
        <f t="shared" ca="1" si="202"/>
        <v>0</v>
      </c>
      <c r="AB684" s="1">
        <f t="shared" ca="1" si="198"/>
        <v>0</v>
      </c>
      <c r="AC684" s="1">
        <f t="shared" ca="1" si="202"/>
        <v>124.6674</v>
      </c>
      <c r="AD684" s="1">
        <f t="shared" ca="1" si="202"/>
        <v>124.6674</v>
      </c>
      <c r="AE684" s="1">
        <f t="shared" ca="1" si="202"/>
        <v>124.6674</v>
      </c>
      <c r="AF684" s="1">
        <f t="shared" ca="1" si="202"/>
        <v>187.00110000000001</v>
      </c>
      <c r="AG684" s="1">
        <f t="shared" ca="1" si="202"/>
        <v>124.6674</v>
      </c>
      <c r="AH684" s="1">
        <f t="shared" ca="1" si="202"/>
        <v>124.6674</v>
      </c>
      <c r="AI684" s="1">
        <f t="shared" ca="1" si="194"/>
        <v>124.6674</v>
      </c>
    </row>
    <row r="685" spans="2:35" x14ac:dyDescent="0.15">
      <c r="B685" s="1" t="str">
        <f t="shared" si="191"/>
        <v>火系89</v>
      </c>
      <c r="C685" s="1">
        <f t="shared" si="199"/>
        <v>89</v>
      </c>
      <c r="D685" s="14" t="s">
        <v>96</v>
      </c>
      <c r="E685" s="14">
        <f t="shared" si="200"/>
        <v>7</v>
      </c>
      <c r="F685" s="1" t="str">
        <f t="shared" si="187"/>
        <v>火炎</v>
      </c>
      <c r="H685" s="1">
        <f t="shared" ca="1" si="188"/>
        <v>4062.5622155526498</v>
      </c>
      <c r="I685" s="1">
        <f t="shared" ca="1" si="201"/>
        <v>150</v>
      </c>
      <c r="J685" s="1">
        <f t="shared" ca="1" si="201"/>
        <v>1760.6927419354899</v>
      </c>
      <c r="K685" s="1">
        <f t="shared" ca="1" si="201"/>
        <v>126.084075</v>
      </c>
      <c r="L685" s="1">
        <f t="shared" ca="1" si="201"/>
        <v>1760.6927419354899</v>
      </c>
      <c r="M685" s="1">
        <f t="shared" ca="1" si="201"/>
        <v>126.084075</v>
      </c>
      <c r="N685" s="1">
        <f t="shared" ca="1" si="201"/>
        <v>0.2</v>
      </c>
      <c r="O685" s="1">
        <f t="shared" ca="1" si="201"/>
        <v>0.2</v>
      </c>
      <c r="P685" s="1">
        <f t="shared" ca="1" si="201"/>
        <v>0.36</v>
      </c>
      <c r="Q685" s="1">
        <f t="shared" ca="1" si="201"/>
        <v>0.1</v>
      </c>
      <c r="R685" s="1">
        <f t="shared" ca="1" si="201"/>
        <v>2</v>
      </c>
      <c r="S685" s="1">
        <f t="shared" ca="1" si="202"/>
        <v>0.1</v>
      </c>
      <c r="T685" s="1">
        <f t="shared" ca="1" si="202"/>
        <v>0.9</v>
      </c>
      <c r="U685" s="1">
        <f t="shared" ca="1" si="202"/>
        <v>172.066666666667</v>
      </c>
      <c r="V685" s="1">
        <f t="shared" ca="1" si="202"/>
        <v>0</v>
      </c>
      <c r="W685" s="1">
        <f t="shared" ca="1" si="202"/>
        <v>0</v>
      </c>
      <c r="X685" s="1">
        <f t="shared" ca="1" si="202"/>
        <v>0</v>
      </c>
      <c r="Y685" s="1">
        <f t="shared" ca="1" si="202"/>
        <v>2117.5899193548448</v>
      </c>
      <c r="Z685" s="1">
        <f t="shared" ca="1" si="202"/>
        <v>0</v>
      </c>
      <c r="AA685" s="1">
        <f t="shared" ca="1" si="202"/>
        <v>0</v>
      </c>
      <c r="AB685" s="1">
        <f t="shared" ca="1" si="198"/>
        <v>0</v>
      </c>
      <c r="AC685" s="1">
        <f t="shared" ca="1" si="202"/>
        <v>126.084075</v>
      </c>
      <c r="AD685" s="1">
        <f t="shared" ca="1" si="202"/>
        <v>126.084075</v>
      </c>
      <c r="AE685" s="1">
        <f t="shared" ca="1" si="202"/>
        <v>126.084075</v>
      </c>
      <c r="AF685" s="1">
        <f t="shared" ca="1" si="202"/>
        <v>189.1261125</v>
      </c>
      <c r="AG685" s="1">
        <f t="shared" ca="1" si="202"/>
        <v>126.084075</v>
      </c>
      <c r="AH685" s="1">
        <f t="shared" ca="1" si="202"/>
        <v>126.084075</v>
      </c>
      <c r="AI685" s="1">
        <f t="shared" ca="1" si="194"/>
        <v>126.084075</v>
      </c>
    </row>
    <row r="686" spans="2:35" x14ac:dyDescent="0.15">
      <c r="B686" s="1" t="str">
        <f t="shared" si="191"/>
        <v>火系90</v>
      </c>
      <c r="C686" s="1">
        <f t="shared" si="199"/>
        <v>90</v>
      </c>
      <c r="D686" s="14" t="s">
        <v>96</v>
      </c>
      <c r="E686" s="14">
        <f t="shared" si="200"/>
        <v>7</v>
      </c>
      <c r="F686" s="1" t="str">
        <f t="shared" si="187"/>
        <v>火炎</v>
      </c>
      <c r="H686" s="1">
        <f t="shared" ca="1" si="188"/>
        <v>4125.4703642969298</v>
      </c>
      <c r="I686" s="1">
        <f t="shared" ca="1" si="201"/>
        <v>150</v>
      </c>
      <c r="J686" s="1">
        <f t="shared" ca="1" si="201"/>
        <v>1800.8957845433299</v>
      </c>
      <c r="K686" s="1">
        <f t="shared" ca="1" si="201"/>
        <v>127.50075</v>
      </c>
      <c r="L686" s="1">
        <f t="shared" ca="1" si="201"/>
        <v>1800.8957845433299</v>
      </c>
      <c r="M686" s="1">
        <f t="shared" ca="1" si="201"/>
        <v>127.50075</v>
      </c>
      <c r="N686" s="1">
        <f t="shared" ca="1" si="201"/>
        <v>0.2</v>
      </c>
      <c r="O686" s="1">
        <f t="shared" ca="1" si="201"/>
        <v>0.2</v>
      </c>
      <c r="P686" s="1">
        <f t="shared" ca="1" si="201"/>
        <v>0.36</v>
      </c>
      <c r="Q686" s="1">
        <f t="shared" ca="1" si="201"/>
        <v>0.1</v>
      </c>
      <c r="R686" s="1">
        <f t="shared" ca="1" si="201"/>
        <v>2</v>
      </c>
      <c r="S686" s="1">
        <f t="shared" ca="1" si="202"/>
        <v>0.1</v>
      </c>
      <c r="T686" s="1">
        <f t="shared" ca="1" si="202"/>
        <v>0.9</v>
      </c>
      <c r="U686" s="1">
        <f t="shared" ca="1" si="202"/>
        <v>174</v>
      </c>
      <c r="V686" s="1">
        <f t="shared" ca="1" si="202"/>
        <v>0</v>
      </c>
      <c r="W686" s="1">
        <f t="shared" ca="1" si="202"/>
        <v>0</v>
      </c>
      <c r="X686" s="1">
        <f t="shared" ca="1" si="202"/>
        <v>0</v>
      </c>
      <c r="Y686" s="1">
        <f t="shared" ca="1" si="202"/>
        <v>2210.190281030445</v>
      </c>
      <c r="Z686" s="1">
        <f t="shared" ca="1" si="202"/>
        <v>0</v>
      </c>
      <c r="AA686" s="1">
        <f t="shared" ca="1" si="202"/>
        <v>0</v>
      </c>
      <c r="AB686" s="1">
        <f t="shared" ca="1" si="198"/>
        <v>0</v>
      </c>
      <c r="AC686" s="1">
        <f t="shared" ca="1" si="202"/>
        <v>127.50075</v>
      </c>
      <c r="AD686" s="1">
        <f t="shared" ca="1" si="202"/>
        <v>127.50075</v>
      </c>
      <c r="AE686" s="1">
        <f t="shared" ca="1" si="202"/>
        <v>127.50075</v>
      </c>
      <c r="AF686" s="1">
        <f t="shared" ca="1" si="202"/>
        <v>191.251125</v>
      </c>
      <c r="AG686" s="1">
        <f t="shared" ca="1" si="202"/>
        <v>127.50075</v>
      </c>
      <c r="AH686" s="1">
        <f t="shared" ca="1" si="202"/>
        <v>127.50075</v>
      </c>
      <c r="AI686" s="1">
        <f t="shared" ca="1" si="194"/>
        <v>127.50075</v>
      </c>
    </row>
    <row r="687" spans="2:35" x14ac:dyDescent="0.15">
      <c r="B687" s="1" t="str">
        <f t="shared" si="191"/>
        <v>火系91</v>
      </c>
      <c r="C687" s="1">
        <f t="shared" si="199"/>
        <v>91</v>
      </c>
      <c r="D687" s="14" t="s">
        <v>96</v>
      </c>
      <c r="E687" s="14">
        <f t="shared" si="200"/>
        <v>7</v>
      </c>
      <c r="F687" s="1" t="str">
        <f t="shared" si="187"/>
        <v>火炎</v>
      </c>
      <c r="H687" s="1">
        <f t="shared" ca="1" si="188"/>
        <v>4188.7620993140299</v>
      </c>
      <c r="I687" s="1">
        <f t="shared" ca="1" si="201"/>
        <v>150</v>
      </c>
      <c r="J687" s="1">
        <f t="shared" ca="1" si="201"/>
        <v>1842.1</v>
      </c>
      <c r="K687" s="1">
        <f t="shared" ca="1" si="201"/>
        <v>128.91742500000001</v>
      </c>
      <c r="L687" s="1">
        <f t="shared" ca="1" si="201"/>
        <v>1842.1</v>
      </c>
      <c r="M687" s="1">
        <f t="shared" ca="1" si="201"/>
        <v>128.91742500000001</v>
      </c>
      <c r="N687" s="1">
        <f t="shared" ca="1" si="201"/>
        <v>0.2</v>
      </c>
      <c r="O687" s="1">
        <f t="shared" ca="1" si="201"/>
        <v>0.2</v>
      </c>
      <c r="P687" s="1">
        <f t="shared" ca="1" si="201"/>
        <v>0.36</v>
      </c>
      <c r="Q687" s="1">
        <f t="shared" ca="1" si="201"/>
        <v>0.1</v>
      </c>
      <c r="R687" s="1">
        <f t="shared" ca="1" si="201"/>
        <v>2</v>
      </c>
      <c r="S687" s="1">
        <f t="shared" ca="1" si="202"/>
        <v>0.1</v>
      </c>
      <c r="T687" s="1">
        <f t="shared" ca="1" si="202"/>
        <v>0.9</v>
      </c>
      <c r="U687" s="1">
        <f t="shared" ca="1" si="202"/>
        <v>175.933333333333</v>
      </c>
      <c r="V687" s="1">
        <f t="shared" ca="1" si="202"/>
        <v>0</v>
      </c>
      <c r="W687" s="1">
        <f t="shared" ca="1" si="202"/>
        <v>0</v>
      </c>
      <c r="X687" s="1">
        <f t="shared" ca="1" si="202"/>
        <v>0</v>
      </c>
      <c r="Y687" s="1">
        <f t="shared" ca="1" si="202"/>
        <v>2306.8500000000004</v>
      </c>
      <c r="Z687" s="1">
        <f t="shared" ca="1" si="202"/>
        <v>0</v>
      </c>
      <c r="AA687" s="1">
        <f t="shared" ca="1" si="202"/>
        <v>0</v>
      </c>
      <c r="AB687" s="1">
        <f t="shared" ca="1" si="198"/>
        <v>0</v>
      </c>
      <c r="AC687" s="1">
        <f t="shared" ca="1" si="202"/>
        <v>128.91742500000001</v>
      </c>
      <c r="AD687" s="1">
        <f t="shared" ca="1" si="202"/>
        <v>128.91742500000001</v>
      </c>
      <c r="AE687" s="1">
        <f t="shared" ca="1" si="202"/>
        <v>128.91742500000001</v>
      </c>
      <c r="AF687" s="1">
        <f t="shared" ca="1" si="202"/>
        <v>193.37613750000003</v>
      </c>
      <c r="AG687" s="1">
        <f t="shared" ca="1" si="202"/>
        <v>128.91742500000001</v>
      </c>
      <c r="AH687" s="1">
        <f t="shared" ca="1" si="202"/>
        <v>128.91742500000001</v>
      </c>
      <c r="AI687" s="1">
        <f t="shared" ca="1" si="194"/>
        <v>128.91742500000001</v>
      </c>
    </row>
    <row r="688" spans="2:35" x14ac:dyDescent="0.15">
      <c r="B688" s="1" t="str">
        <f t="shared" si="191"/>
        <v>火系92</v>
      </c>
      <c r="C688" s="1">
        <f t="shared" si="199"/>
        <v>92</v>
      </c>
      <c r="D688" s="14" t="s">
        <v>96</v>
      </c>
      <c r="E688" s="14">
        <f t="shared" si="200"/>
        <v>7</v>
      </c>
      <c r="F688" s="1" t="str">
        <f t="shared" si="187"/>
        <v>火炎</v>
      </c>
      <c r="H688" s="1">
        <f t="shared" ca="1" si="188"/>
        <v>4252.4374206039702</v>
      </c>
      <c r="I688" s="1">
        <f t="shared" ca="1" si="201"/>
        <v>150</v>
      </c>
      <c r="J688" s="1">
        <f t="shared" ca="1" si="201"/>
        <v>1884.35157384988</v>
      </c>
      <c r="K688" s="1">
        <f t="shared" ca="1" si="201"/>
        <v>130.33410000000001</v>
      </c>
      <c r="L688" s="1">
        <f t="shared" ca="1" si="201"/>
        <v>1884.35157384988</v>
      </c>
      <c r="M688" s="1">
        <f t="shared" ca="1" si="201"/>
        <v>130.33410000000001</v>
      </c>
      <c r="N688" s="1">
        <f t="shared" ca="1" si="201"/>
        <v>0.2</v>
      </c>
      <c r="O688" s="1">
        <f t="shared" ca="1" si="201"/>
        <v>0.2</v>
      </c>
      <c r="P688" s="1">
        <f t="shared" ca="1" si="201"/>
        <v>0.36</v>
      </c>
      <c r="Q688" s="1">
        <f t="shared" ca="1" si="201"/>
        <v>0.1</v>
      </c>
      <c r="R688" s="1">
        <f t="shared" ca="1" si="201"/>
        <v>2</v>
      </c>
      <c r="S688" s="1">
        <f t="shared" ca="1" si="202"/>
        <v>0.1</v>
      </c>
      <c r="T688" s="1">
        <f t="shared" ca="1" si="202"/>
        <v>0.9</v>
      </c>
      <c r="U688" s="1">
        <f t="shared" ca="1" si="202"/>
        <v>177.86666666666699</v>
      </c>
      <c r="V688" s="1">
        <f t="shared" ca="1" si="202"/>
        <v>0</v>
      </c>
      <c r="W688" s="1">
        <f t="shared" ca="1" si="202"/>
        <v>0</v>
      </c>
      <c r="X688" s="1">
        <f t="shared" ca="1" si="202"/>
        <v>0</v>
      </c>
      <c r="Y688" s="1">
        <f t="shared" ca="1" si="202"/>
        <v>2407.782566585955</v>
      </c>
      <c r="Z688" s="1">
        <f t="shared" ca="1" si="202"/>
        <v>0</v>
      </c>
      <c r="AA688" s="1">
        <f t="shared" ca="1" si="202"/>
        <v>0</v>
      </c>
      <c r="AB688" s="1">
        <f t="shared" ca="1" si="198"/>
        <v>0</v>
      </c>
      <c r="AC688" s="1">
        <f t="shared" ca="1" si="202"/>
        <v>130.33410000000001</v>
      </c>
      <c r="AD688" s="1">
        <f t="shared" ca="1" si="202"/>
        <v>130.33410000000001</v>
      </c>
      <c r="AE688" s="1">
        <f t="shared" ca="1" si="202"/>
        <v>130.33410000000001</v>
      </c>
      <c r="AF688" s="1">
        <f t="shared" ca="1" si="202"/>
        <v>195.50115</v>
      </c>
      <c r="AG688" s="1">
        <f t="shared" ca="1" si="202"/>
        <v>130.33410000000001</v>
      </c>
      <c r="AH688" s="1">
        <f t="shared" ca="1" si="202"/>
        <v>130.33410000000001</v>
      </c>
      <c r="AI688" s="1">
        <f t="shared" ca="1" si="194"/>
        <v>130.33410000000001</v>
      </c>
    </row>
    <row r="689" spans="2:35" x14ac:dyDescent="0.15">
      <c r="B689" s="1" t="str">
        <f t="shared" si="191"/>
        <v>火系93</v>
      </c>
      <c r="C689" s="1">
        <f t="shared" si="199"/>
        <v>93</v>
      </c>
      <c r="D689" s="14" t="s">
        <v>96</v>
      </c>
      <c r="E689" s="14">
        <f t="shared" si="200"/>
        <v>7</v>
      </c>
      <c r="F689" s="1" t="str">
        <f t="shared" si="187"/>
        <v>火炎</v>
      </c>
      <c r="H689" s="1">
        <f t="shared" ca="1" si="188"/>
        <v>4316.4963281667397</v>
      </c>
      <c r="I689" s="1">
        <f t="shared" ca="1" si="201"/>
        <v>150</v>
      </c>
      <c r="J689" s="1">
        <f t="shared" ca="1" si="201"/>
        <v>1927.6998768472899</v>
      </c>
      <c r="K689" s="1">
        <f t="shared" ca="1" si="201"/>
        <v>131.750775</v>
      </c>
      <c r="L689" s="1">
        <f t="shared" ca="1" si="201"/>
        <v>1927.6998768472899</v>
      </c>
      <c r="M689" s="1">
        <f t="shared" ca="1" si="201"/>
        <v>131.750775</v>
      </c>
      <c r="N689" s="1">
        <f t="shared" ca="1" si="201"/>
        <v>0.2</v>
      </c>
      <c r="O689" s="1">
        <f t="shared" ca="1" si="201"/>
        <v>0.2</v>
      </c>
      <c r="P689" s="1">
        <f t="shared" ca="1" si="201"/>
        <v>0.36</v>
      </c>
      <c r="Q689" s="1">
        <f t="shared" ca="1" si="201"/>
        <v>0.1</v>
      </c>
      <c r="R689" s="1">
        <f t="shared" ca="1" si="201"/>
        <v>2</v>
      </c>
      <c r="S689" s="1">
        <f t="shared" ca="1" si="202"/>
        <v>0.1</v>
      </c>
      <c r="T689" s="1">
        <f t="shared" ca="1" si="202"/>
        <v>0.9</v>
      </c>
      <c r="U689" s="1">
        <f t="shared" ca="1" si="202"/>
        <v>179.8</v>
      </c>
      <c r="V689" s="1">
        <f t="shared" ca="1" si="202"/>
        <v>0</v>
      </c>
      <c r="W689" s="1">
        <f t="shared" ca="1" si="202"/>
        <v>0</v>
      </c>
      <c r="X689" s="1">
        <f t="shared" ca="1" si="202"/>
        <v>0</v>
      </c>
      <c r="Y689" s="1">
        <f t="shared" ca="1" si="202"/>
        <v>2513.216194581285</v>
      </c>
      <c r="Z689" s="1">
        <f t="shared" ca="1" si="202"/>
        <v>0</v>
      </c>
      <c r="AA689" s="1">
        <f t="shared" ca="1" si="202"/>
        <v>0</v>
      </c>
      <c r="AB689" s="1">
        <f t="shared" ca="1" si="202"/>
        <v>0</v>
      </c>
      <c r="AC689" s="1">
        <f t="shared" ca="1" si="202"/>
        <v>131.750775</v>
      </c>
      <c r="AD689" s="1">
        <f t="shared" ca="1" si="202"/>
        <v>131.750775</v>
      </c>
      <c r="AE689" s="1">
        <f t="shared" ca="1" si="202"/>
        <v>131.750775</v>
      </c>
      <c r="AF689" s="1">
        <f t="shared" ca="1" si="202"/>
        <v>197.62616250000002</v>
      </c>
      <c r="AG689" s="1">
        <f t="shared" ca="1" si="202"/>
        <v>131.750775</v>
      </c>
      <c r="AH689" s="1">
        <f t="shared" ca="1" si="202"/>
        <v>131.750775</v>
      </c>
      <c r="AI689" s="1">
        <f t="shared" ca="1" si="194"/>
        <v>131.750775</v>
      </c>
    </row>
    <row r="690" spans="2:35" x14ac:dyDescent="0.15">
      <c r="B690" s="1" t="str">
        <f t="shared" si="191"/>
        <v>火系94</v>
      </c>
      <c r="C690" s="1">
        <f t="shared" si="199"/>
        <v>94</v>
      </c>
      <c r="D690" s="14" t="s">
        <v>96</v>
      </c>
      <c r="E690" s="14">
        <f t="shared" si="200"/>
        <v>7</v>
      </c>
      <c r="F690" s="1" t="str">
        <f t="shared" si="187"/>
        <v>火炎</v>
      </c>
      <c r="H690" s="1">
        <f t="shared" ca="1" si="188"/>
        <v>4380.9388220023402</v>
      </c>
      <c r="I690" s="1">
        <f t="shared" ca="1" si="201"/>
        <v>150</v>
      </c>
      <c r="J690" s="1">
        <f t="shared" ca="1" si="201"/>
        <v>1972.1977443609101</v>
      </c>
      <c r="K690" s="1">
        <f t="shared" ca="1" si="201"/>
        <v>133.16745</v>
      </c>
      <c r="L690" s="1">
        <f t="shared" ca="1" si="201"/>
        <v>1972.1977443609101</v>
      </c>
      <c r="M690" s="1">
        <f t="shared" ca="1" si="201"/>
        <v>133.16745</v>
      </c>
      <c r="N690" s="1">
        <f t="shared" ca="1" si="201"/>
        <v>0.2</v>
      </c>
      <c r="O690" s="1">
        <f t="shared" ca="1" si="201"/>
        <v>0.2</v>
      </c>
      <c r="P690" s="1">
        <f t="shared" ca="1" si="201"/>
        <v>0.36</v>
      </c>
      <c r="Q690" s="1">
        <f t="shared" ca="1" si="201"/>
        <v>0.1</v>
      </c>
      <c r="R690" s="1">
        <f t="shared" ca="1" si="201"/>
        <v>2</v>
      </c>
      <c r="S690" s="1">
        <f t="shared" ca="1" si="202"/>
        <v>0.1</v>
      </c>
      <c r="T690" s="1">
        <f t="shared" ca="1" si="202"/>
        <v>0.9</v>
      </c>
      <c r="U690" s="1">
        <f t="shared" ca="1" si="202"/>
        <v>181.73333333333301</v>
      </c>
      <c r="V690" s="1">
        <f t="shared" ca="1" si="202"/>
        <v>0</v>
      </c>
      <c r="W690" s="1">
        <f t="shared" ca="1" si="202"/>
        <v>0</v>
      </c>
      <c r="X690" s="1">
        <f t="shared" ca="1" si="202"/>
        <v>0</v>
      </c>
      <c r="Y690" s="1">
        <f t="shared" ca="1" si="202"/>
        <v>2623.395112781955</v>
      </c>
      <c r="Z690" s="1">
        <f t="shared" ca="1" si="202"/>
        <v>0</v>
      </c>
      <c r="AA690" s="1">
        <f t="shared" ca="1" si="202"/>
        <v>0</v>
      </c>
      <c r="AB690" s="1">
        <f t="shared" ca="1" si="202"/>
        <v>0</v>
      </c>
      <c r="AC690" s="1">
        <f t="shared" ca="1" si="202"/>
        <v>133.16745</v>
      </c>
      <c r="AD690" s="1">
        <f t="shared" ca="1" si="202"/>
        <v>133.16745</v>
      </c>
      <c r="AE690" s="1">
        <f t="shared" ca="1" si="202"/>
        <v>133.16745</v>
      </c>
      <c r="AF690" s="1">
        <f t="shared" ca="1" si="202"/>
        <v>199.75117499999999</v>
      </c>
      <c r="AG690" s="1">
        <f t="shared" ca="1" si="202"/>
        <v>133.16745</v>
      </c>
      <c r="AH690" s="1">
        <f t="shared" ca="1" si="202"/>
        <v>133.16745</v>
      </c>
      <c r="AI690" s="1">
        <f t="shared" ca="1" si="194"/>
        <v>133.16745</v>
      </c>
    </row>
    <row r="691" spans="2:35" x14ac:dyDescent="0.15">
      <c r="B691" s="1" t="str">
        <f t="shared" si="191"/>
        <v>火系95</v>
      </c>
      <c r="C691" s="1">
        <f t="shared" si="199"/>
        <v>95</v>
      </c>
      <c r="D691" s="14" t="s">
        <v>96</v>
      </c>
      <c r="E691" s="14">
        <f t="shared" si="200"/>
        <v>7</v>
      </c>
      <c r="F691" s="1" t="str">
        <f t="shared" si="187"/>
        <v>火炎</v>
      </c>
      <c r="H691" s="1">
        <f t="shared" ca="1" si="188"/>
        <v>4445.76490211077</v>
      </c>
      <c r="I691" s="1">
        <f t="shared" ca="1" si="201"/>
        <v>150</v>
      </c>
      <c r="J691" s="1">
        <f t="shared" ca="1" si="201"/>
        <v>2017.9017857142901</v>
      </c>
      <c r="K691" s="1">
        <f t="shared" ca="1" si="201"/>
        <v>134.584125</v>
      </c>
      <c r="L691" s="1">
        <f t="shared" ca="1" si="201"/>
        <v>2017.9017857142901</v>
      </c>
      <c r="M691" s="1">
        <f t="shared" ca="1" si="201"/>
        <v>134.584125</v>
      </c>
      <c r="N691" s="1">
        <f t="shared" ca="1" si="201"/>
        <v>0.2</v>
      </c>
      <c r="O691" s="1">
        <f t="shared" ca="1" si="201"/>
        <v>0.2</v>
      </c>
      <c r="P691" s="1">
        <f t="shared" ca="1" si="201"/>
        <v>0.36</v>
      </c>
      <c r="Q691" s="1">
        <f t="shared" ca="1" si="201"/>
        <v>0.1</v>
      </c>
      <c r="R691" s="1">
        <f t="shared" ca="1" si="201"/>
        <v>2</v>
      </c>
      <c r="S691" s="1">
        <f t="shared" ca="1" si="202"/>
        <v>0.1</v>
      </c>
      <c r="T691" s="1">
        <f t="shared" ca="1" si="202"/>
        <v>0.9</v>
      </c>
      <c r="U691" s="1">
        <f t="shared" ca="1" si="202"/>
        <v>183.666666666667</v>
      </c>
      <c r="V691" s="1">
        <f t="shared" ca="1" si="202"/>
        <v>0</v>
      </c>
      <c r="W691" s="1">
        <f t="shared" ca="1" si="202"/>
        <v>0</v>
      </c>
      <c r="X691" s="1">
        <f t="shared" ca="1" si="202"/>
        <v>0</v>
      </c>
      <c r="Y691" s="1">
        <f t="shared" ca="1" si="202"/>
        <v>2738.580994897965</v>
      </c>
      <c r="Z691" s="1">
        <f t="shared" ca="1" si="202"/>
        <v>0</v>
      </c>
      <c r="AA691" s="1">
        <f t="shared" ca="1" si="202"/>
        <v>0</v>
      </c>
      <c r="AB691" s="1">
        <f t="shared" ca="1" si="202"/>
        <v>0</v>
      </c>
      <c r="AC691" s="1">
        <f t="shared" ca="1" si="202"/>
        <v>134.584125</v>
      </c>
      <c r="AD691" s="1">
        <f t="shared" ca="1" si="202"/>
        <v>134.584125</v>
      </c>
      <c r="AE691" s="1">
        <f t="shared" ca="1" si="202"/>
        <v>134.584125</v>
      </c>
      <c r="AF691" s="1">
        <f t="shared" ca="1" si="202"/>
        <v>201.87618750000001</v>
      </c>
      <c r="AG691" s="1">
        <f t="shared" ca="1" si="202"/>
        <v>134.584125</v>
      </c>
      <c r="AH691" s="1">
        <f t="shared" ca="1" si="202"/>
        <v>134.584125</v>
      </c>
      <c r="AI691" s="1">
        <f t="shared" ca="1" si="194"/>
        <v>134.584125</v>
      </c>
    </row>
    <row r="692" spans="2:35" x14ac:dyDescent="0.15">
      <c r="B692" s="1" t="str">
        <f t="shared" si="191"/>
        <v>火系96</v>
      </c>
      <c r="C692" s="1">
        <f t="shared" si="199"/>
        <v>96</v>
      </c>
      <c r="D692" s="14" t="s">
        <v>96</v>
      </c>
      <c r="E692" s="14">
        <f t="shared" si="200"/>
        <v>7</v>
      </c>
      <c r="F692" s="1" t="str">
        <f t="shared" si="187"/>
        <v>火炎</v>
      </c>
      <c r="H692" s="1">
        <f t="shared" ca="1" si="188"/>
        <v>4510.9745684920399</v>
      </c>
      <c r="I692" s="1">
        <f t="shared" ca="1" si="201"/>
        <v>150</v>
      </c>
      <c r="J692" s="1">
        <f t="shared" ca="1" si="201"/>
        <v>2064.8727272727301</v>
      </c>
      <c r="K692" s="1">
        <f t="shared" ca="1" si="201"/>
        <v>136.0008</v>
      </c>
      <c r="L692" s="1">
        <f t="shared" ca="1" si="201"/>
        <v>2064.8727272727301</v>
      </c>
      <c r="M692" s="1">
        <f t="shared" ca="1" si="201"/>
        <v>136.0008</v>
      </c>
      <c r="N692" s="1">
        <f t="shared" ca="1" si="201"/>
        <v>0.2</v>
      </c>
      <c r="O692" s="1">
        <f t="shared" ca="1" si="201"/>
        <v>0.2</v>
      </c>
      <c r="P692" s="1">
        <f t="shared" ca="1" si="201"/>
        <v>0.36</v>
      </c>
      <c r="Q692" s="1">
        <f t="shared" ca="1" si="201"/>
        <v>0.1</v>
      </c>
      <c r="R692" s="1">
        <f t="shared" ca="1" si="201"/>
        <v>2</v>
      </c>
      <c r="S692" s="1">
        <f t="shared" ca="1" si="202"/>
        <v>0.1</v>
      </c>
      <c r="T692" s="1">
        <f t="shared" ca="1" si="202"/>
        <v>0.9</v>
      </c>
      <c r="U692" s="1">
        <f t="shared" ca="1" si="202"/>
        <v>185.6</v>
      </c>
      <c r="V692" s="1">
        <f t="shared" ca="1" si="202"/>
        <v>0</v>
      </c>
      <c r="W692" s="1">
        <f t="shared" ca="1" si="202"/>
        <v>0</v>
      </c>
      <c r="X692" s="1">
        <f t="shared" ca="1" si="202"/>
        <v>0</v>
      </c>
      <c r="Y692" s="1">
        <f t="shared" ca="1" si="202"/>
        <v>2859.054545454555</v>
      </c>
      <c r="Z692" s="1">
        <f t="shared" ca="1" si="202"/>
        <v>0</v>
      </c>
      <c r="AA692" s="1">
        <f t="shared" ca="1" si="202"/>
        <v>0</v>
      </c>
      <c r="AB692" s="1">
        <f t="shared" ca="1" si="202"/>
        <v>0</v>
      </c>
      <c r="AC692" s="1">
        <f t="shared" ca="1" si="202"/>
        <v>136.0008</v>
      </c>
      <c r="AD692" s="1">
        <f t="shared" ca="1" si="202"/>
        <v>136.0008</v>
      </c>
      <c r="AE692" s="1">
        <f t="shared" ca="1" si="202"/>
        <v>136.0008</v>
      </c>
      <c r="AF692" s="1">
        <f t="shared" ca="1" si="202"/>
        <v>204.00119999999998</v>
      </c>
      <c r="AG692" s="1">
        <f t="shared" ca="1" si="202"/>
        <v>136.0008</v>
      </c>
      <c r="AH692" s="1">
        <f t="shared" ca="1" si="202"/>
        <v>136.0008</v>
      </c>
      <c r="AI692" s="1">
        <f t="shared" ca="1" si="194"/>
        <v>136.0008</v>
      </c>
    </row>
    <row r="693" spans="2:35" x14ac:dyDescent="0.15">
      <c r="B693" s="1" t="str">
        <f t="shared" si="191"/>
        <v>火系97</v>
      </c>
      <c r="C693" s="1">
        <f t="shared" si="199"/>
        <v>97</v>
      </c>
      <c r="D693" s="14" t="s">
        <v>96</v>
      </c>
      <c r="E693" s="14">
        <f t="shared" si="200"/>
        <v>7</v>
      </c>
      <c r="F693" s="1" t="str">
        <f t="shared" si="187"/>
        <v>火炎</v>
      </c>
      <c r="H693" s="1">
        <f t="shared" ca="1" si="188"/>
        <v>4576.56782114613</v>
      </c>
      <c r="I693" s="1">
        <f t="shared" ref="I693:R702" ca="1" si="203">mVlookup($C693,monsterBaseDate,I$2,FALSE)*(1+mVlookup($E693,monsterType,I$2,FALSE))</f>
        <v>150</v>
      </c>
      <c r="J693" s="1">
        <f t="shared" ca="1" si="203"/>
        <v>2113.1757936508002</v>
      </c>
      <c r="K693" s="1">
        <f t="shared" ca="1" si="203"/>
        <v>137.417475</v>
      </c>
      <c r="L693" s="1">
        <f t="shared" ca="1" si="203"/>
        <v>2113.1757936508002</v>
      </c>
      <c r="M693" s="1">
        <f t="shared" ca="1" si="203"/>
        <v>137.417475</v>
      </c>
      <c r="N693" s="1">
        <f t="shared" ca="1" si="203"/>
        <v>0.2</v>
      </c>
      <c r="O693" s="1">
        <f t="shared" ca="1" si="203"/>
        <v>0.2</v>
      </c>
      <c r="P693" s="1">
        <f t="shared" ca="1" si="203"/>
        <v>0.36</v>
      </c>
      <c r="Q693" s="1">
        <f t="shared" ca="1" si="203"/>
        <v>0.1</v>
      </c>
      <c r="R693" s="1">
        <f t="shared" ca="1" si="203"/>
        <v>2</v>
      </c>
      <c r="S693" s="1">
        <f t="shared" ref="S693:AH708" ca="1" si="204">mVlookup($C693,monsterBaseDate,S$2,FALSE)*(1+mVlookup($E693,monsterType,S$2,FALSE))</f>
        <v>0.1</v>
      </c>
      <c r="T693" s="1">
        <f t="shared" ca="1" si="204"/>
        <v>0.9</v>
      </c>
      <c r="U693" s="1">
        <f t="shared" ca="1" si="204"/>
        <v>187.53333333333299</v>
      </c>
      <c r="V693" s="1">
        <f t="shared" ca="1" si="204"/>
        <v>0</v>
      </c>
      <c r="W693" s="1">
        <f t="shared" ca="1" si="204"/>
        <v>0</v>
      </c>
      <c r="X693" s="1">
        <f t="shared" ca="1" si="204"/>
        <v>0</v>
      </c>
      <c r="Y693" s="1">
        <f t="shared" ca="1" si="204"/>
        <v>2985.1172619047702</v>
      </c>
      <c r="Z693" s="1">
        <f t="shared" ca="1" si="204"/>
        <v>0</v>
      </c>
      <c r="AA693" s="1">
        <f t="shared" ca="1" si="204"/>
        <v>0</v>
      </c>
      <c r="AB693" s="1">
        <f t="shared" ca="1" si="202"/>
        <v>0</v>
      </c>
      <c r="AC693" s="1">
        <f t="shared" ca="1" si="204"/>
        <v>137.417475</v>
      </c>
      <c r="AD693" s="1">
        <f t="shared" ca="1" si="204"/>
        <v>137.417475</v>
      </c>
      <c r="AE693" s="1">
        <f t="shared" ca="1" si="204"/>
        <v>137.417475</v>
      </c>
      <c r="AF693" s="1">
        <f t="shared" ca="1" si="204"/>
        <v>206.12621250000001</v>
      </c>
      <c r="AG693" s="1">
        <f t="shared" ca="1" si="204"/>
        <v>137.417475</v>
      </c>
      <c r="AH693" s="1">
        <f t="shared" ca="1" si="204"/>
        <v>137.417475</v>
      </c>
      <c r="AI693" s="1">
        <f t="shared" ca="1" si="194"/>
        <v>137.417475</v>
      </c>
    </row>
    <row r="694" spans="2:35" x14ac:dyDescent="0.15">
      <c r="B694" s="1" t="str">
        <f t="shared" si="191"/>
        <v>火系98</v>
      </c>
      <c r="C694" s="1">
        <f t="shared" si="199"/>
        <v>98</v>
      </c>
      <c r="D694" s="14" t="s">
        <v>96</v>
      </c>
      <c r="E694" s="14">
        <f t="shared" si="200"/>
        <v>7</v>
      </c>
      <c r="F694" s="1" t="str">
        <f t="shared" si="187"/>
        <v>火炎</v>
      </c>
      <c r="H694" s="1">
        <f t="shared" ca="1" si="188"/>
        <v>4642.5446600730502</v>
      </c>
      <c r="I694" s="1">
        <f t="shared" ca="1" si="203"/>
        <v>150</v>
      </c>
      <c r="J694" s="1">
        <f t="shared" ca="1" si="203"/>
        <v>2162.8811320754799</v>
      </c>
      <c r="K694" s="1">
        <f t="shared" ca="1" si="203"/>
        <v>138.83414999999999</v>
      </c>
      <c r="L694" s="1">
        <f t="shared" ca="1" si="203"/>
        <v>2162.8811320754799</v>
      </c>
      <c r="M694" s="1">
        <f t="shared" ca="1" si="203"/>
        <v>138.83414999999999</v>
      </c>
      <c r="N694" s="1">
        <f t="shared" ca="1" si="203"/>
        <v>0.2</v>
      </c>
      <c r="O694" s="1">
        <f t="shared" ca="1" si="203"/>
        <v>0.2</v>
      </c>
      <c r="P694" s="1">
        <f t="shared" ca="1" si="203"/>
        <v>0.36</v>
      </c>
      <c r="Q694" s="1">
        <f t="shared" ca="1" si="203"/>
        <v>0.1</v>
      </c>
      <c r="R694" s="1">
        <f t="shared" ca="1" si="203"/>
        <v>2</v>
      </c>
      <c r="S694" s="1">
        <f t="shared" ca="1" si="204"/>
        <v>0.1</v>
      </c>
      <c r="T694" s="1">
        <f t="shared" ca="1" si="204"/>
        <v>0.9</v>
      </c>
      <c r="U694" s="1">
        <f t="shared" ca="1" si="204"/>
        <v>189.46666666666701</v>
      </c>
      <c r="V694" s="1">
        <f t="shared" ca="1" si="204"/>
        <v>0</v>
      </c>
      <c r="W694" s="1">
        <f t="shared" ca="1" si="204"/>
        <v>0</v>
      </c>
      <c r="X694" s="1">
        <f t="shared" ca="1" si="204"/>
        <v>0</v>
      </c>
      <c r="Y694" s="1">
        <f t="shared" ca="1" si="204"/>
        <v>3117.0933962264248</v>
      </c>
      <c r="Z694" s="1">
        <f t="shared" ca="1" si="204"/>
        <v>0</v>
      </c>
      <c r="AA694" s="1">
        <f t="shared" ca="1" si="204"/>
        <v>0</v>
      </c>
      <c r="AB694" s="1">
        <f t="shared" ca="1" si="202"/>
        <v>0</v>
      </c>
      <c r="AC694" s="1">
        <f t="shared" ca="1" si="204"/>
        <v>138.83414999999999</v>
      </c>
      <c r="AD694" s="1">
        <f t="shared" ca="1" si="204"/>
        <v>138.83414999999999</v>
      </c>
      <c r="AE694" s="1">
        <f t="shared" ca="1" si="204"/>
        <v>138.83414999999999</v>
      </c>
      <c r="AF694" s="1">
        <f t="shared" ca="1" si="204"/>
        <v>208.25122499999998</v>
      </c>
      <c r="AG694" s="1">
        <f t="shared" ca="1" si="204"/>
        <v>138.83414999999999</v>
      </c>
      <c r="AH694" s="1">
        <f t="shared" ca="1" si="204"/>
        <v>138.83414999999999</v>
      </c>
      <c r="AI694" s="1">
        <f t="shared" ca="1" si="194"/>
        <v>138.83414999999999</v>
      </c>
    </row>
    <row r="695" spans="2:35" x14ac:dyDescent="0.15">
      <c r="B695" s="1" t="str">
        <f t="shared" si="191"/>
        <v>火系99</v>
      </c>
      <c r="C695" s="1">
        <f t="shared" si="199"/>
        <v>99</v>
      </c>
      <c r="D695" s="14" t="s">
        <v>96</v>
      </c>
      <c r="E695" s="14">
        <f t="shared" si="200"/>
        <v>7</v>
      </c>
      <c r="F695" s="1" t="str">
        <f t="shared" si="187"/>
        <v>火炎</v>
      </c>
      <c r="H695" s="1">
        <f t="shared" ca="1" si="188"/>
        <v>4708.9050852728096</v>
      </c>
      <c r="I695" s="1">
        <f t="shared" ca="1" si="203"/>
        <v>150</v>
      </c>
      <c r="J695" s="1">
        <f t="shared" ca="1" si="203"/>
        <v>2214.0642857142898</v>
      </c>
      <c r="K695" s="1">
        <f t="shared" ca="1" si="203"/>
        <v>140.25082499999999</v>
      </c>
      <c r="L695" s="1">
        <f t="shared" ca="1" si="203"/>
        <v>2214.0642857142898</v>
      </c>
      <c r="M695" s="1">
        <f t="shared" ca="1" si="203"/>
        <v>140.25082499999999</v>
      </c>
      <c r="N695" s="1">
        <f t="shared" ca="1" si="203"/>
        <v>0.2</v>
      </c>
      <c r="O695" s="1">
        <f t="shared" ca="1" si="203"/>
        <v>0.2</v>
      </c>
      <c r="P695" s="1">
        <f t="shared" ca="1" si="203"/>
        <v>0.36</v>
      </c>
      <c r="Q695" s="1">
        <f t="shared" ca="1" si="203"/>
        <v>0.1</v>
      </c>
      <c r="R695" s="1">
        <f t="shared" ca="1" si="203"/>
        <v>2</v>
      </c>
      <c r="S695" s="1">
        <f t="shared" ca="1" si="204"/>
        <v>0.1</v>
      </c>
      <c r="T695" s="1">
        <f t="shared" ca="1" si="204"/>
        <v>0.9</v>
      </c>
      <c r="U695" s="1">
        <f t="shared" ca="1" si="204"/>
        <v>191.4</v>
      </c>
      <c r="V695" s="1">
        <f t="shared" ca="1" si="204"/>
        <v>0</v>
      </c>
      <c r="W695" s="1">
        <f t="shared" ca="1" si="204"/>
        <v>0</v>
      </c>
      <c r="X695" s="1">
        <f t="shared" ca="1" si="204"/>
        <v>0</v>
      </c>
      <c r="Y695" s="1">
        <f t="shared" ca="1" si="204"/>
        <v>3255.3321428571448</v>
      </c>
      <c r="Z695" s="1">
        <f t="shared" ca="1" si="204"/>
        <v>0</v>
      </c>
      <c r="AA695" s="1">
        <f t="shared" ca="1" si="204"/>
        <v>0</v>
      </c>
      <c r="AB695" s="1">
        <f t="shared" ca="1" si="202"/>
        <v>0</v>
      </c>
      <c r="AC695" s="1">
        <f t="shared" ca="1" si="204"/>
        <v>140.25082499999999</v>
      </c>
      <c r="AD695" s="1">
        <f t="shared" ca="1" si="204"/>
        <v>140.25082499999999</v>
      </c>
      <c r="AE695" s="1">
        <f t="shared" ca="1" si="204"/>
        <v>140.25082499999999</v>
      </c>
      <c r="AF695" s="1">
        <f t="shared" ca="1" si="204"/>
        <v>210.3762375</v>
      </c>
      <c r="AG695" s="1">
        <f t="shared" ca="1" si="204"/>
        <v>140.25082499999999</v>
      </c>
      <c r="AH695" s="1">
        <f t="shared" ca="1" si="204"/>
        <v>140.25082499999999</v>
      </c>
      <c r="AI695" s="1">
        <f t="shared" ca="1" si="194"/>
        <v>140.25082499999999</v>
      </c>
    </row>
    <row r="696" spans="2:35" x14ac:dyDescent="0.15">
      <c r="B696" s="1" t="str">
        <f t="shared" si="191"/>
        <v>光系1</v>
      </c>
      <c r="C696" s="1">
        <f t="shared" si="199"/>
        <v>1</v>
      </c>
      <c r="D696" s="14" t="s">
        <v>97</v>
      </c>
      <c r="E696" s="14">
        <f t="shared" si="200"/>
        <v>8</v>
      </c>
      <c r="F696" s="1" t="str">
        <f t="shared" si="187"/>
        <v>神圣</v>
      </c>
      <c r="H696" s="1">
        <f t="shared" ca="1" si="188"/>
        <v>11.6833207784558</v>
      </c>
      <c r="I696" s="1">
        <f t="shared" ca="1" si="203"/>
        <v>150</v>
      </c>
      <c r="J696" s="1">
        <f t="shared" ca="1" si="203"/>
        <v>8.0843749999999996</v>
      </c>
      <c r="K696" s="1">
        <f t="shared" ca="1" si="203"/>
        <v>1.4166749999999999</v>
      </c>
      <c r="L696" s="1">
        <f t="shared" ca="1" si="203"/>
        <v>8.0843749999999996</v>
      </c>
      <c r="M696" s="1">
        <f t="shared" ca="1" si="203"/>
        <v>1.4166749999999999</v>
      </c>
      <c r="N696" s="1">
        <f t="shared" ca="1" si="203"/>
        <v>0.2</v>
      </c>
      <c r="O696" s="1">
        <f t="shared" ca="1" si="203"/>
        <v>0.2</v>
      </c>
      <c r="P696" s="1">
        <f t="shared" ca="1" si="203"/>
        <v>0.36</v>
      </c>
      <c r="Q696" s="1">
        <f t="shared" ca="1" si="203"/>
        <v>0.1</v>
      </c>
      <c r="R696" s="1">
        <f t="shared" ca="1" si="203"/>
        <v>2</v>
      </c>
      <c r="S696" s="1">
        <f t="shared" ca="1" si="204"/>
        <v>0.1</v>
      </c>
      <c r="T696" s="1">
        <f t="shared" ca="1" si="204"/>
        <v>0.9</v>
      </c>
      <c r="U696" s="1">
        <f t="shared" ca="1" si="204"/>
        <v>1.93333333333333</v>
      </c>
      <c r="V696" s="1">
        <f t="shared" ca="1" si="204"/>
        <v>0</v>
      </c>
      <c r="W696" s="1">
        <f t="shared" ca="1" si="204"/>
        <v>0</v>
      </c>
      <c r="X696" s="1">
        <f t="shared" ca="1" si="204"/>
        <v>0</v>
      </c>
      <c r="Y696" s="1">
        <f t="shared" ca="1" si="204"/>
        <v>0</v>
      </c>
      <c r="Z696" s="1">
        <f t="shared" ca="1" si="204"/>
        <v>6.0937500000000006E-2</v>
      </c>
      <c r="AA696" s="1">
        <f t="shared" ca="1" si="204"/>
        <v>0</v>
      </c>
      <c r="AB696" s="1">
        <f t="shared" ca="1" si="202"/>
        <v>0</v>
      </c>
      <c r="AC696" s="1">
        <f t="shared" ca="1" si="204"/>
        <v>1.4166749999999999</v>
      </c>
      <c r="AD696" s="1">
        <f t="shared" ca="1" si="204"/>
        <v>1.4166749999999999</v>
      </c>
      <c r="AE696" s="1">
        <f t="shared" ca="1" si="204"/>
        <v>1.4166749999999999</v>
      </c>
      <c r="AF696" s="1">
        <f t="shared" ca="1" si="204"/>
        <v>1.4166749999999999</v>
      </c>
      <c r="AG696" s="1">
        <f t="shared" ca="1" si="204"/>
        <v>2.1250125</v>
      </c>
      <c r="AH696" s="1">
        <f t="shared" ca="1" si="204"/>
        <v>1.4166749999999999</v>
      </c>
      <c r="AI696" s="1">
        <f t="shared" ca="1" si="194"/>
        <v>1.4166749999999999</v>
      </c>
    </row>
    <row r="697" spans="2:35" x14ac:dyDescent="0.15">
      <c r="B697" s="1" t="str">
        <f t="shared" si="191"/>
        <v>光系2</v>
      </c>
      <c r="C697" s="1">
        <f t="shared" si="199"/>
        <v>2</v>
      </c>
      <c r="D697" s="14" t="s">
        <v>97</v>
      </c>
      <c r="E697" s="14">
        <f t="shared" si="200"/>
        <v>8</v>
      </c>
      <c r="F697" s="1" t="str">
        <f t="shared" si="187"/>
        <v>神圣</v>
      </c>
      <c r="H697" s="1">
        <f t="shared" ca="1" si="188"/>
        <v>25.660820909772099</v>
      </c>
      <c r="I697" s="1">
        <f t="shared" ca="1" si="203"/>
        <v>150</v>
      </c>
      <c r="J697" s="1">
        <f t="shared" ca="1" si="203"/>
        <v>16.721476510067099</v>
      </c>
      <c r="K697" s="1">
        <f t="shared" ca="1" si="203"/>
        <v>2.8333499999999998</v>
      </c>
      <c r="L697" s="1">
        <f t="shared" ca="1" si="203"/>
        <v>16.721476510067099</v>
      </c>
      <c r="M697" s="1">
        <f t="shared" ca="1" si="203"/>
        <v>2.8333499999999998</v>
      </c>
      <c r="N697" s="1">
        <f t="shared" ca="1" si="203"/>
        <v>0.2</v>
      </c>
      <c r="O697" s="1">
        <f t="shared" ca="1" si="203"/>
        <v>0.2</v>
      </c>
      <c r="P697" s="1">
        <f t="shared" ca="1" si="203"/>
        <v>0.36</v>
      </c>
      <c r="Q697" s="1">
        <f t="shared" ca="1" si="203"/>
        <v>0.1</v>
      </c>
      <c r="R697" s="1">
        <f t="shared" ca="1" si="203"/>
        <v>2</v>
      </c>
      <c r="S697" s="1">
        <f t="shared" ca="1" si="204"/>
        <v>0.1</v>
      </c>
      <c r="T697" s="1">
        <f t="shared" ca="1" si="204"/>
        <v>0.9</v>
      </c>
      <c r="U697" s="1">
        <f t="shared" ca="1" si="204"/>
        <v>3.8666666666666698</v>
      </c>
      <c r="V697" s="1">
        <f t="shared" ca="1" si="204"/>
        <v>0</v>
      </c>
      <c r="W697" s="1">
        <f t="shared" ca="1" si="204"/>
        <v>0</v>
      </c>
      <c r="X697" s="1">
        <f t="shared" ca="1" si="204"/>
        <v>0</v>
      </c>
      <c r="Y697" s="1">
        <f t="shared" ca="1" si="204"/>
        <v>0</v>
      </c>
      <c r="Z697" s="1">
        <f t="shared" ca="1" si="204"/>
        <v>0.25335570469798652</v>
      </c>
      <c r="AA697" s="1">
        <f t="shared" ca="1" si="204"/>
        <v>0</v>
      </c>
      <c r="AB697" s="1">
        <f t="shared" ca="1" si="202"/>
        <v>0</v>
      </c>
      <c r="AC697" s="1">
        <f t="shared" ca="1" si="204"/>
        <v>2.8333499999999998</v>
      </c>
      <c r="AD697" s="1">
        <f t="shared" ca="1" si="204"/>
        <v>2.8333499999999998</v>
      </c>
      <c r="AE697" s="1">
        <f t="shared" ca="1" si="204"/>
        <v>2.8333499999999998</v>
      </c>
      <c r="AF697" s="1">
        <f t="shared" ca="1" si="204"/>
        <v>2.8333499999999998</v>
      </c>
      <c r="AG697" s="1">
        <f t="shared" ca="1" si="204"/>
        <v>4.2500249999999999</v>
      </c>
      <c r="AH697" s="1">
        <f t="shared" ca="1" si="204"/>
        <v>2.8333499999999998</v>
      </c>
      <c r="AI697" s="1">
        <f t="shared" ca="1" si="194"/>
        <v>2.8333499999999998</v>
      </c>
    </row>
    <row r="698" spans="2:35" x14ac:dyDescent="0.15">
      <c r="B698" s="1" t="str">
        <f t="shared" si="191"/>
        <v>光系3</v>
      </c>
      <c r="C698" s="1">
        <f t="shared" si="199"/>
        <v>3</v>
      </c>
      <c r="D698" s="14" t="s">
        <v>97</v>
      </c>
      <c r="E698" s="14">
        <f t="shared" si="200"/>
        <v>8</v>
      </c>
      <c r="F698" s="1" t="str">
        <f t="shared" si="187"/>
        <v>神圣</v>
      </c>
      <c r="H698" s="1">
        <f t="shared" ca="1" si="188"/>
        <v>41.974985196779599</v>
      </c>
      <c r="I698" s="1">
        <f t="shared" ca="1" si="203"/>
        <v>150</v>
      </c>
      <c r="J698" s="1">
        <f t="shared" ca="1" si="203"/>
        <v>25.956081081081098</v>
      </c>
      <c r="K698" s="1">
        <f t="shared" ca="1" si="203"/>
        <v>4.2500249999999999</v>
      </c>
      <c r="L698" s="1">
        <f t="shared" ca="1" si="203"/>
        <v>25.956081081081098</v>
      </c>
      <c r="M698" s="1">
        <f t="shared" ca="1" si="203"/>
        <v>4.2500249999999999</v>
      </c>
      <c r="N698" s="1">
        <f t="shared" ca="1" si="203"/>
        <v>0.2</v>
      </c>
      <c r="O698" s="1">
        <f t="shared" ca="1" si="203"/>
        <v>0.2</v>
      </c>
      <c r="P698" s="1">
        <f t="shared" ca="1" si="203"/>
        <v>0.36</v>
      </c>
      <c r="Q698" s="1">
        <f t="shared" ca="1" si="203"/>
        <v>0.1</v>
      </c>
      <c r="R698" s="1">
        <f t="shared" ca="1" si="203"/>
        <v>2</v>
      </c>
      <c r="S698" s="1">
        <f t="shared" ca="1" si="204"/>
        <v>0.1</v>
      </c>
      <c r="T698" s="1">
        <f t="shared" ca="1" si="204"/>
        <v>0.9</v>
      </c>
      <c r="U698" s="1">
        <f t="shared" ca="1" si="204"/>
        <v>5.8</v>
      </c>
      <c r="V698" s="1">
        <f t="shared" ca="1" si="204"/>
        <v>0</v>
      </c>
      <c r="W698" s="1">
        <f t="shared" ca="1" si="204"/>
        <v>0</v>
      </c>
      <c r="X698" s="1">
        <f t="shared" ca="1" si="204"/>
        <v>0</v>
      </c>
      <c r="Y698" s="1">
        <f t="shared" ca="1" si="204"/>
        <v>0</v>
      </c>
      <c r="Z698" s="1">
        <f t="shared" ca="1" si="204"/>
        <v>0.59290540540540504</v>
      </c>
      <c r="AA698" s="1">
        <f t="shared" ca="1" si="204"/>
        <v>0</v>
      </c>
      <c r="AB698" s="1">
        <f t="shared" ca="1" si="202"/>
        <v>0</v>
      </c>
      <c r="AC698" s="1">
        <f t="shared" ca="1" si="204"/>
        <v>4.2500249999999999</v>
      </c>
      <c r="AD698" s="1">
        <f t="shared" ca="1" si="204"/>
        <v>4.2500249999999999</v>
      </c>
      <c r="AE698" s="1">
        <f t="shared" ca="1" si="204"/>
        <v>4.2500249999999999</v>
      </c>
      <c r="AF698" s="1">
        <f t="shared" ca="1" si="204"/>
        <v>4.2500249999999999</v>
      </c>
      <c r="AG698" s="1">
        <f t="shared" ca="1" si="204"/>
        <v>6.3750374999999995</v>
      </c>
      <c r="AH698" s="1">
        <f t="shared" ca="1" si="204"/>
        <v>4.2500249999999999</v>
      </c>
      <c r="AI698" s="1">
        <f t="shared" ca="1" si="194"/>
        <v>4.2500249999999999</v>
      </c>
    </row>
    <row r="699" spans="2:35" x14ac:dyDescent="0.15">
      <c r="B699" s="1" t="str">
        <f t="shared" si="191"/>
        <v>光系4</v>
      </c>
      <c r="C699" s="1">
        <f t="shared" si="199"/>
        <v>4</v>
      </c>
      <c r="D699" s="14" t="s">
        <v>97</v>
      </c>
      <c r="E699" s="14">
        <f t="shared" si="200"/>
        <v>8</v>
      </c>
      <c r="F699" s="1" t="str">
        <f t="shared" si="187"/>
        <v>神圣</v>
      </c>
      <c r="H699" s="1">
        <f t="shared" ca="1" si="188"/>
        <v>60.668298442308902</v>
      </c>
      <c r="I699" s="1">
        <f t="shared" ca="1" si="203"/>
        <v>150</v>
      </c>
      <c r="J699" s="1">
        <f t="shared" ca="1" si="203"/>
        <v>35.837837837837803</v>
      </c>
      <c r="K699" s="1">
        <f t="shared" ca="1" si="203"/>
        <v>5.6666999999999996</v>
      </c>
      <c r="L699" s="1">
        <f t="shared" ca="1" si="203"/>
        <v>35.837837837837803</v>
      </c>
      <c r="M699" s="1">
        <f t="shared" ca="1" si="203"/>
        <v>5.6666999999999996</v>
      </c>
      <c r="N699" s="1">
        <f t="shared" ca="1" si="203"/>
        <v>0.2</v>
      </c>
      <c r="O699" s="1">
        <f t="shared" ca="1" si="203"/>
        <v>0.2</v>
      </c>
      <c r="P699" s="1">
        <f t="shared" ca="1" si="203"/>
        <v>0.36</v>
      </c>
      <c r="Q699" s="1">
        <f t="shared" ca="1" si="203"/>
        <v>0.1</v>
      </c>
      <c r="R699" s="1">
        <f t="shared" ca="1" si="203"/>
        <v>2</v>
      </c>
      <c r="S699" s="1">
        <f t="shared" ca="1" si="204"/>
        <v>0.1</v>
      </c>
      <c r="T699" s="1">
        <f t="shared" ca="1" si="204"/>
        <v>0.9</v>
      </c>
      <c r="U699" s="1">
        <f t="shared" ca="1" si="204"/>
        <v>7.7333333333333298</v>
      </c>
      <c r="V699" s="1">
        <f t="shared" ca="1" si="204"/>
        <v>0</v>
      </c>
      <c r="W699" s="1">
        <f t="shared" ca="1" si="204"/>
        <v>0</v>
      </c>
      <c r="X699" s="1">
        <f t="shared" ca="1" si="204"/>
        <v>0</v>
      </c>
      <c r="Y699" s="1">
        <f t="shared" ca="1" si="204"/>
        <v>0</v>
      </c>
      <c r="Z699" s="1">
        <f t="shared" ca="1" si="204"/>
        <v>1.09707666850524</v>
      </c>
      <c r="AA699" s="1">
        <f t="shared" ca="1" si="204"/>
        <v>0</v>
      </c>
      <c r="AB699" s="1">
        <f t="shared" ca="1" si="204"/>
        <v>0</v>
      </c>
      <c r="AC699" s="1">
        <f t="shared" ca="1" si="204"/>
        <v>5.6666999999999996</v>
      </c>
      <c r="AD699" s="1">
        <f t="shared" ca="1" si="204"/>
        <v>5.6666999999999996</v>
      </c>
      <c r="AE699" s="1">
        <f t="shared" ca="1" si="204"/>
        <v>5.6666999999999996</v>
      </c>
      <c r="AF699" s="1">
        <f t="shared" ca="1" si="204"/>
        <v>5.6666999999999996</v>
      </c>
      <c r="AG699" s="1">
        <f t="shared" ca="1" si="204"/>
        <v>8.5000499999999999</v>
      </c>
      <c r="AH699" s="1">
        <f t="shared" ca="1" si="204"/>
        <v>5.6666999999999996</v>
      </c>
      <c r="AI699" s="1">
        <f t="shared" ca="1" si="194"/>
        <v>5.6666999999999996</v>
      </c>
    </row>
    <row r="700" spans="2:35" x14ac:dyDescent="0.15">
      <c r="B700" s="1" t="str">
        <f t="shared" si="191"/>
        <v>光系5</v>
      </c>
      <c r="C700" s="1">
        <f t="shared" si="199"/>
        <v>5</v>
      </c>
      <c r="D700" s="14" t="s">
        <v>97</v>
      </c>
      <c r="E700" s="14">
        <f t="shared" si="200"/>
        <v>8</v>
      </c>
      <c r="F700" s="1" t="str">
        <f t="shared" si="187"/>
        <v>神圣</v>
      </c>
      <c r="H700" s="1">
        <f t="shared" ca="1" si="188"/>
        <v>81.783245449191</v>
      </c>
      <c r="I700" s="1">
        <f t="shared" ca="1" si="203"/>
        <v>150</v>
      </c>
      <c r="J700" s="1">
        <f t="shared" ca="1" si="203"/>
        <v>46.421946347031998</v>
      </c>
      <c r="K700" s="1">
        <f t="shared" ca="1" si="203"/>
        <v>7.0833750000000002</v>
      </c>
      <c r="L700" s="1">
        <f t="shared" ca="1" si="203"/>
        <v>46.421946347031998</v>
      </c>
      <c r="M700" s="1">
        <f t="shared" ca="1" si="203"/>
        <v>7.0833750000000002</v>
      </c>
      <c r="N700" s="1">
        <f t="shared" ca="1" si="203"/>
        <v>0.2</v>
      </c>
      <c r="O700" s="1">
        <f t="shared" ca="1" si="203"/>
        <v>0.2</v>
      </c>
      <c r="P700" s="1">
        <f t="shared" ca="1" si="203"/>
        <v>0.36</v>
      </c>
      <c r="Q700" s="1">
        <f t="shared" ca="1" si="203"/>
        <v>0.1</v>
      </c>
      <c r="R700" s="1">
        <f t="shared" ca="1" si="203"/>
        <v>2</v>
      </c>
      <c r="S700" s="1">
        <f t="shared" ca="1" si="204"/>
        <v>0.1</v>
      </c>
      <c r="T700" s="1">
        <f t="shared" ca="1" si="204"/>
        <v>0.9</v>
      </c>
      <c r="U700" s="1">
        <f t="shared" ca="1" si="204"/>
        <v>9.6666666666666696</v>
      </c>
      <c r="V700" s="1">
        <f t="shared" ca="1" si="204"/>
        <v>0</v>
      </c>
      <c r="W700" s="1">
        <f t="shared" ca="1" si="204"/>
        <v>0</v>
      </c>
      <c r="X700" s="1">
        <f t="shared" ca="1" si="204"/>
        <v>0</v>
      </c>
      <c r="Y700" s="1">
        <f t="shared" ca="1" si="204"/>
        <v>0</v>
      </c>
      <c r="Z700" s="1">
        <f t="shared" ca="1" si="204"/>
        <v>1.7854594748858401</v>
      </c>
      <c r="AA700" s="1">
        <f t="shared" ca="1" si="204"/>
        <v>0</v>
      </c>
      <c r="AB700" s="1">
        <f t="shared" ca="1" si="204"/>
        <v>0</v>
      </c>
      <c r="AC700" s="1">
        <f t="shared" ca="1" si="204"/>
        <v>7.0833750000000002</v>
      </c>
      <c r="AD700" s="1">
        <f t="shared" ca="1" si="204"/>
        <v>7.0833750000000002</v>
      </c>
      <c r="AE700" s="1">
        <f t="shared" ca="1" si="204"/>
        <v>7.0833750000000002</v>
      </c>
      <c r="AF700" s="1">
        <f t="shared" ca="1" si="204"/>
        <v>7.0833750000000002</v>
      </c>
      <c r="AG700" s="1">
        <f t="shared" ca="1" si="204"/>
        <v>10.6250625</v>
      </c>
      <c r="AH700" s="1">
        <f t="shared" ca="1" si="204"/>
        <v>7.0833750000000002</v>
      </c>
      <c r="AI700" s="1">
        <f t="shared" ca="1" si="194"/>
        <v>7.0833750000000002</v>
      </c>
    </row>
    <row r="701" spans="2:35" x14ac:dyDescent="0.15">
      <c r="B701" s="1" t="str">
        <f t="shared" si="191"/>
        <v>光系6</v>
      </c>
      <c r="C701" s="1">
        <f t="shared" si="199"/>
        <v>6</v>
      </c>
      <c r="D701" s="14" t="s">
        <v>97</v>
      </c>
      <c r="E701" s="14">
        <f t="shared" si="200"/>
        <v>8</v>
      </c>
      <c r="F701" s="1" t="str">
        <f t="shared" si="187"/>
        <v>神圣</v>
      </c>
      <c r="H701" s="1">
        <f t="shared" ca="1" si="188"/>
        <v>105.362311020256</v>
      </c>
      <c r="I701" s="1">
        <f t="shared" ca="1" si="203"/>
        <v>150</v>
      </c>
      <c r="J701" s="1">
        <f t="shared" ca="1" si="203"/>
        <v>57.7699507389163</v>
      </c>
      <c r="K701" s="1">
        <f t="shared" ca="1" si="203"/>
        <v>8.5000499999999999</v>
      </c>
      <c r="L701" s="1">
        <f t="shared" ca="1" si="203"/>
        <v>57.7699507389163</v>
      </c>
      <c r="M701" s="1">
        <f t="shared" ca="1" si="203"/>
        <v>8.5000499999999999</v>
      </c>
      <c r="N701" s="1">
        <f t="shared" ca="1" si="203"/>
        <v>0.2</v>
      </c>
      <c r="O701" s="1">
        <f t="shared" ca="1" si="203"/>
        <v>0.2</v>
      </c>
      <c r="P701" s="1">
        <f t="shared" ca="1" si="203"/>
        <v>0.36</v>
      </c>
      <c r="Q701" s="1">
        <f t="shared" ca="1" si="203"/>
        <v>0.1</v>
      </c>
      <c r="R701" s="1">
        <f t="shared" ca="1" si="203"/>
        <v>2</v>
      </c>
      <c r="S701" s="1">
        <f t="shared" ca="1" si="204"/>
        <v>0.1</v>
      </c>
      <c r="T701" s="1">
        <f t="shared" ca="1" si="204"/>
        <v>0.9</v>
      </c>
      <c r="U701" s="1">
        <f t="shared" ca="1" si="204"/>
        <v>11.6</v>
      </c>
      <c r="V701" s="1">
        <f t="shared" ca="1" si="204"/>
        <v>0</v>
      </c>
      <c r="W701" s="1">
        <f t="shared" ca="1" si="204"/>
        <v>0</v>
      </c>
      <c r="X701" s="1">
        <f t="shared" ca="1" si="204"/>
        <v>0</v>
      </c>
      <c r="Y701" s="1">
        <f t="shared" ca="1" si="204"/>
        <v>0</v>
      </c>
      <c r="Z701" s="1">
        <f t="shared" ca="1" si="204"/>
        <v>2.6800492610837399</v>
      </c>
      <c r="AA701" s="1">
        <f t="shared" ca="1" si="204"/>
        <v>0</v>
      </c>
      <c r="AB701" s="1">
        <f t="shared" ca="1" si="204"/>
        <v>0</v>
      </c>
      <c r="AC701" s="1">
        <f t="shared" ca="1" si="204"/>
        <v>8.5000499999999999</v>
      </c>
      <c r="AD701" s="1">
        <f t="shared" ca="1" si="204"/>
        <v>8.5000499999999999</v>
      </c>
      <c r="AE701" s="1">
        <f t="shared" ca="1" si="204"/>
        <v>8.5000499999999999</v>
      </c>
      <c r="AF701" s="1">
        <f t="shared" ca="1" si="204"/>
        <v>8.5000499999999999</v>
      </c>
      <c r="AG701" s="1">
        <f t="shared" ca="1" si="204"/>
        <v>12.750074999999999</v>
      </c>
      <c r="AH701" s="1">
        <f t="shared" ca="1" si="204"/>
        <v>8.5000499999999999</v>
      </c>
      <c r="AI701" s="1">
        <f t="shared" ca="1" si="194"/>
        <v>8.5000499999999999</v>
      </c>
    </row>
    <row r="702" spans="2:35" x14ac:dyDescent="0.15">
      <c r="B702" s="1" t="str">
        <f t="shared" si="191"/>
        <v>光系7</v>
      </c>
      <c r="C702" s="1">
        <f t="shared" si="199"/>
        <v>7</v>
      </c>
      <c r="D702" s="14" t="s">
        <v>97</v>
      </c>
      <c r="E702" s="14">
        <f t="shared" si="200"/>
        <v>8</v>
      </c>
      <c r="F702" s="1" t="str">
        <f t="shared" si="187"/>
        <v>神圣</v>
      </c>
      <c r="H702" s="1">
        <f t="shared" ca="1" si="188"/>
        <v>131.44797995833599</v>
      </c>
      <c r="I702" s="1">
        <f t="shared" ca="1" si="203"/>
        <v>150</v>
      </c>
      <c r="J702" s="1">
        <f t="shared" ca="1" si="203"/>
        <v>67.952083333333306</v>
      </c>
      <c r="K702" s="1">
        <f t="shared" ca="1" si="203"/>
        <v>9.9167249999999996</v>
      </c>
      <c r="L702" s="1">
        <f t="shared" ca="1" si="203"/>
        <v>67.952083333333306</v>
      </c>
      <c r="M702" s="1">
        <f t="shared" ca="1" si="203"/>
        <v>9.9167249999999996</v>
      </c>
      <c r="N702" s="1">
        <f t="shared" ca="1" si="203"/>
        <v>0.2</v>
      </c>
      <c r="O702" s="1">
        <f t="shared" ca="1" si="203"/>
        <v>0.2</v>
      </c>
      <c r="P702" s="1">
        <f t="shared" ca="1" si="203"/>
        <v>0.36</v>
      </c>
      <c r="Q702" s="1">
        <f t="shared" ca="1" si="203"/>
        <v>0.1</v>
      </c>
      <c r="R702" s="1">
        <f t="shared" ca="1" si="203"/>
        <v>2</v>
      </c>
      <c r="S702" s="1">
        <f t="shared" ca="1" si="204"/>
        <v>0.1</v>
      </c>
      <c r="T702" s="1">
        <f t="shared" ca="1" si="204"/>
        <v>0.9</v>
      </c>
      <c r="U702" s="1">
        <f t="shared" ca="1" si="204"/>
        <v>13.533333333333299</v>
      </c>
      <c r="V702" s="1">
        <f t="shared" ca="1" si="204"/>
        <v>0</v>
      </c>
      <c r="W702" s="1">
        <f t="shared" ca="1" si="204"/>
        <v>0</v>
      </c>
      <c r="X702" s="1">
        <f t="shared" ca="1" si="204"/>
        <v>0</v>
      </c>
      <c r="Y702" s="1">
        <f t="shared" ca="1" si="204"/>
        <v>0</v>
      </c>
      <c r="Z702" s="1">
        <f t="shared" ca="1" si="204"/>
        <v>3.696874999999995</v>
      </c>
      <c r="AA702" s="1">
        <f t="shared" ca="1" si="204"/>
        <v>0</v>
      </c>
      <c r="AB702" s="1">
        <f t="shared" ca="1" si="204"/>
        <v>0</v>
      </c>
      <c r="AC702" s="1">
        <f t="shared" ca="1" si="204"/>
        <v>9.9167249999999996</v>
      </c>
      <c r="AD702" s="1">
        <f t="shared" ca="1" si="204"/>
        <v>9.9167249999999996</v>
      </c>
      <c r="AE702" s="1">
        <f t="shared" ca="1" si="204"/>
        <v>9.9167249999999996</v>
      </c>
      <c r="AF702" s="1">
        <f t="shared" ca="1" si="204"/>
        <v>9.9167249999999996</v>
      </c>
      <c r="AG702" s="1">
        <f t="shared" ca="1" si="204"/>
        <v>14.875087499999999</v>
      </c>
      <c r="AH702" s="1">
        <f t="shared" ca="1" si="204"/>
        <v>9.9167249999999996</v>
      </c>
      <c r="AI702" s="1">
        <f t="shared" ca="1" si="194"/>
        <v>9.9167249999999996</v>
      </c>
    </row>
    <row r="703" spans="2:35" x14ac:dyDescent="0.15">
      <c r="B703" s="1" t="str">
        <f t="shared" si="191"/>
        <v>光系8</v>
      </c>
      <c r="C703" s="1">
        <f t="shared" si="199"/>
        <v>8</v>
      </c>
      <c r="D703" s="14" t="s">
        <v>97</v>
      </c>
      <c r="E703" s="14">
        <f t="shared" si="200"/>
        <v>8</v>
      </c>
      <c r="F703" s="1" t="str">
        <f t="shared" si="187"/>
        <v>神圣</v>
      </c>
      <c r="H703" s="1">
        <f t="shared" ca="1" si="188"/>
        <v>160.08273706626099</v>
      </c>
      <c r="I703" s="1">
        <f t="shared" ref="I703:R712" ca="1" si="205">mVlookup($C703,monsterBaseDate,I$2,FALSE)*(1+mVlookup($E703,monsterType,I$2,FALSE))</f>
        <v>150</v>
      </c>
      <c r="J703" s="1">
        <f t="shared" ca="1" si="205"/>
        <v>78.296103896103901</v>
      </c>
      <c r="K703" s="1">
        <f t="shared" ca="1" si="205"/>
        <v>11.333399999999999</v>
      </c>
      <c r="L703" s="1">
        <f t="shared" ca="1" si="205"/>
        <v>78.296103896103901</v>
      </c>
      <c r="M703" s="1">
        <f t="shared" ca="1" si="205"/>
        <v>11.333399999999999</v>
      </c>
      <c r="N703" s="1">
        <f t="shared" ca="1" si="205"/>
        <v>0.2</v>
      </c>
      <c r="O703" s="1">
        <f t="shared" ca="1" si="205"/>
        <v>0.2</v>
      </c>
      <c r="P703" s="1">
        <f t="shared" ca="1" si="205"/>
        <v>0.36</v>
      </c>
      <c r="Q703" s="1">
        <f t="shared" ca="1" si="205"/>
        <v>0.1</v>
      </c>
      <c r="R703" s="1">
        <f t="shared" ca="1" si="205"/>
        <v>2</v>
      </c>
      <c r="S703" s="1">
        <f t="shared" ref="S703:AH718" ca="1" si="206">mVlookup($C703,monsterBaseDate,S$2,FALSE)*(1+mVlookup($E703,monsterType,S$2,FALSE))</f>
        <v>0.1</v>
      </c>
      <c r="T703" s="1">
        <f t="shared" ca="1" si="206"/>
        <v>0.9</v>
      </c>
      <c r="U703" s="1">
        <f t="shared" ca="1" si="206"/>
        <v>15.466666666666701</v>
      </c>
      <c r="V703" s="1">
        <f t="shared" ca="1" si="206"/>
        <v>0</v>
      </c>
      <c r="W703" s="1">
        <f t="shared" ca="1" si="206"/>
        <v>0</v>
      </c>
      <c r="X703" s="1">
        <f t="shared" ca="1" si="206"/>
        <v>0</v>
      </c>
      <c r="Y703" s="1">
        <f t="shared" ca="1" si="206"/>
        <v>0</v>
      </c>
      <c r="Z703" s="1">
        <f t="shared" ca="1" si="206"/>
        <v>4.8935064935064894</v>
      </c>
      <c r="AA703" s="1">
        <f t="shared" ca="1" si="206"/>
        <v>0</v>
      </c>
      <c r="AB703" s="1">
        <f t="shared" ca="1" si="204"/>
        <v>0</v>
      </c>
      <c r="AC703" s="1">
        <f t="shared" ca="1" si="206"/>
        <v>11.333399999999999</v>
      </c>
      <c r="AD703" s="1">
        <f t="shared" ca="1" si="206"/>
        <v>11.333399999999999</v>
      </c>
      <c r="AE703" s="1">
        <f t="shared" ca="1" si="206"/>
        <v>11.333399999999999</v>
      </c>
      <c r="AF703" s="1">
        <f t="shared" ca="1" si="206"/>
        <v>11.333399999999999</v>
      </c>
      <c r="AG703" s="1">
        <f t="shared" ca="1" si="206"/>
        <v>17.0001</v>
      </c>
      <c r="AH703" s="1">
        <f t="shared" ca="1" si="206"/>
        <v>11.333399999999999</v>
      </c>
      <c r="AI703" s="1">
        <f t="shared" ca="1" si="194"/>
        <v>11.333399999999999</v>
      </c>
    </row>
    <row r="704" spans="2:35" x14ac:dyDescent="0.15">
      <c r="B704" s="1" t="str">
        <f t="shared" si="191"/>
        <v>光系9</v>
      </c>
      <c r="C704" s="1">
        <f t="shared" si="199"/>
        <v>9</v>
      </c>
      <c r="D704" s="14" t="s">
        <v>97</v>
      </c>
      <c r="E704" s="14">
        <f t="shared" si="200"/>
        <v>8</v>
      </c>
      <c r="F704" s="1" t="str">
        <f t="shared" si="187"/>
        <v>神圣</v>
      </c>
      <c r="H704" s="1">
        <f t="shared" ca="1" si="188"/>
        <v>191.309067146861</v>
      </c>
      <c r="I704" s="1">
        <f t="shared" ca="1" si="205"/>
        <v>150</v>
      </c>
      <c r="J704" s="1">
        <f t="shared" ca="1" si="205"/>
        <v>88.803470824949699</v>
      </c>
      <c r="K704" s="1">
        <f t="shared" ca="1" si="205"/>
        <v>12.750075000000001</v>
      </c>
      <c r="L704" s="1">
        <f t="shared" ca="1" si="205"/>
        <v>88.803470824949699</v>
      </c>
      <c r="M704" s="1">
        <f t="shared" ca="1" si="205"/>
        <v>12.750075000000001</v>
      </c>
      <c r="N704" s="1">
        <f t="shared" ca="1" si="205"/>
        <v>0.2</v>
      </c>
      <c r="O704" s="1">
        <f t="shared" ca="1" si="205"/>
        <v>0.2</v>
      </c>
      <c r="P704" s="1">
        <f t="shared" ca="1" si="205"/>
        <v>0.36</v>
      </c>
      <c r="Q704" s="1">
        <f t="shared" ca="1" si="205"/>
        <v>0.1</v>
      </c>
      <c r="R704" s="1">
        <f t="shared" ca="1" si="205"/>
        <v>2</v>
      </c>
      <c r="S704" s="1">
        <f t="shared" ca="1" si="206"/>
        <v>0.1</v>
      </c>
      <c r="T704" s="1">
        <f t="shared" ca="1" si="206"/>
        <v>0.9</v>
      </c>
      <c r="U704" s="1">
        <f t="shared" ca="1" si="206"/>
        <v>17.399999999999999</v>
      </c>
      <c r="V704" s="1">
        <f t="shared" ca="1" si="206"/>
        <v>0</v>
      </c>
      <c r="W704" s="1">
        <f t="shared" ca="1" si="206"/>
        <v>0</v>
      </c>
      <c r="X704" s="1">
        <f t="shared" ca="1" si="206"/>
        <v>0</v>
      </c>
      <c r="Y704" s="1">
        <f t="shared" ca="1" si="206"/>
        <v>0</v>
      </c>
      <c r="Z704" s="1">
        <f t="shared" ca="1" si="206"/>
        <v>6.2766851106639905</v>
      </c>
      <c r="AA704" s="1">
        <f t="shared" ca="1" si="206"/>
        <v>0</v>
      </c>
      <c r="AB704" s="1">
        <f t="shared" ca="1" si="204"/>
        <v>0</v>
      </c>
      <c r="AC704" s="1">
        <f t="shared" ca="1" si="206"/>
        <v>12.750075000000001</v>
      </c>
      <c r="AD704" s="1">
        <f t="shared" ca="1" si="206"/>
        <v>12.750075000000001</v>
      </c>
      <c r="AE704" s="1">
        <f t="shared" ca="1" si="206"/>
        <v>12.750075000000001</v>
      </c>
      <c r="AF704" s="1">
        <f t="shared" ca="1" si="206"/>
        <v>12.750075000000001</v>
      </c>
      <c r="AG704" s="1">
        <f t="shared" ca="1" si="206"/>
        <v>19.1251125</v>
      </c>
      <c r="AH704" s="1">
        <f t="shared" ca="1" si="206"/>
        <v>12.750075000000001</v>
      </c>
      <c r="AI704" s="1">
        <f t="shared" ca="1" si="194"/>
        <v>12.750075000000001</v>
      </c>
    </row>
    <row r="705" spans="2:35" x14ac:dyDescent="0.15">
      <c r="B705" s="1" t="str">
        <f t="shared" si="191"/>
        <v>光系10</v>
      </c>
      <c r="C705" s="1">
        <f t="shared" si="199"/>
        <v>10</v>
      </c>
      <c r="D705" s="14" t="s">
        <v>97</v>
      </c>
      <c r="E705" s="14">
        <f t="shared" si="200"/>
        <v>8</v>
      </c>
      <c r="F705" s="1" t="str">
        <f t="shared" si="187"/>
        <v>神圣</v>
      </c>
      <c r="H705" s="1">
        <f t="shared" ca="1" si="188"/>
        <v>225.169455002967</v>
      </c>
      <c r="I705" s="1">
        <f t="shared" ca="1" si="205"/>
        <v>150</v>
      </c>
      <c r="J705" s="1">
        <f t="shared" ca="1" si="205"/>
        <v>99.4756838905775</v>
      </c>
      <c r="K705" s="1">
        <f t="shared" ca="1" si="205"/>
        <v>14.16675</v>
      </c>
      <c r="L705" s="1">
        <f t="shared" ca="1" si="205"/>
        <v>99.4756838905775</v>
      </c>
      <c r="M705" s="1">
        <f t="shared" ca="1" si="205"/>
        <v>14.16675</v>
      </c>
      <c r="N705" s="1">
        <f t="shared" ca="1" si="205"/>
        <v>0.2</v>
      </c>
      <c r="O705" s="1">
        <f t="shared" ca="1" si="205"/>
        <v>0.2</v>
      </c>
      <c r="P705" s="1">
        <f t="shared" ca="1" si="205"/>
        <v>0.36</v>
      </c>
      <c r="Q705" s="1">
        <f t="shared" ca="1" si="205"/>
        <v>0.1</v>
      </c>
      <c r="R705" s="1">
        <f t="shared" ca="1" si="205"/>
        <v>2</v>
      </c>
      <c r="S705" s="1">
        <f t="shared" ca="1" si="206"/>
        <v>0.1</v>
      </c>
      <c r="T705" s="1">
        <f t="shared" ca="1" si="206"/>
        <v>0.9</v>
      </c>
      <c r="U705" s="1">
        <f t="shared" ca="1" si="206"/>
        <v>19.3333333333333</v>
      </c>
      <c r="V705" s="1">
        <f t="shared" ca="1" si="206"/>
        <v>0</v>
      </c>
      <c r="W705" s="1">
        <f t="shared" ca="1" si="206"/>
        <v>0</v>
      </c>
      <c r="X705" s="1">
        <f t="shared" ca="1" si="206"/>
        <v>0</v>
      </c>
      <c r="Y705" s="1">
        <f t="shared" ca="1" si="206"/>
        <v>0</v>
      </c>
      <c r="Z705" s="1">
        <f t="shared" ca="1" si="206"/>
        <v>7.8533434650456009</v>
      </c>
      <c r="AA705" s="1">
        <f t="shared" ca="1" si="206"/>
        <v>0</v>
      </c>
      <c r="AB705" s="1">
        <f t="shared" ca="1" si="204"/>
        <v>0</v>
      </c>
      <c r="AC705" s="1">
        <f t="shared" ca="1" si="206"/>
        <v>14.16675</v>
      </c>
      <c r="AD705" s="1">
        <f t="shared" ca="1" si="206"/>
        <v>14.16675</v>
      </c>
      <c r="AE705" s="1">
        <f t="shared" ca="1" si="206"/>
        <v>14.16675</v>
      </c>
      <c r="AF705" s="1">
        <f t="shared" ca="1" si="206"/>
        <v>14.16675</v>
      </c>
      <c r="AG705" s="1">
        <f t="shared" ca="1" si="206"/>
        <v>21.250125000000001</v>
      </c>
      <c r="AH705" s="1">
        <f t="shared" ca="1" si="206"/>
        <v>14.16675</v>
      </c>
      <c r="AI705" s="1">
        <f t="shared" ca="1" si="194"/>
        <v>14.16675</v>
      </c>
    </row>
    <row r="706" spans="2:35" x14ac:dyDescent="0.15">
      <c r="B706" s="1" t="str">
        <f t="shared" si="191"/>
        <v>光系11</v>
      </c>
      <c r="C706" s="1">
        <f t="shared" si="199"/>
        <v>11</v>
      </c>
      <c r="D706" s="14" t="s">
        <v>97</v>
      </c>
      <c r="E706" s="14">
        <f t="shared" si="200"/>
        <v>8</v>
      </c>
      <c r="F706" s="1" t="str">
        <f t="shared" si="187"/>
        <v>神圣</v>
      </c>
      <c r="H706" s="1">
        <f t="shared" ca="1" si="188"/>
        <v>249.24417660705799</v>
      </c>
      <c r="I706" s="1">
        <f t="shared" ca="1" si="205"/>
        <v>150</v>
      </c>
      <c r="J706" s="1">
        <f t="shared" ca="1" si="205"/>
        <v>110.314285714286</v>
      </c>
      <c r="K706" s="1">
        <f t="shared" ca="1" si="205"/>
        <v>15.583425</v>
      </c>
      <c r="L706" s="1">
        <f t="shared" ca="1" si="205"/>
        <v>110.314285714286</v>
      </c>
      <c r="M706" s="1">
        <f t="shared" ca="1" si="205"/>
        <v>15.583425</v>
      </c>
      <c r="N706" s="1">
        <f t="shared" ca="1" si="205"/>
        <v>0.2</v>
      </c>
      <c r="O706" s="1">
        <f t="shared" ca="1" si="205"/>
        <v>0.2</v>
      </c>
      <c r="P706" s="1">
        <f t="shared" ca="1" si="205"/>
        <v>0.36</v>
      </c>
      <c r="Q706" s="1">
        <f t="shared" ca="1" si="205"/>
        <v>0.1</v>
      </c>
      <c r="R706" s="1">
        <f t="shared" ca="1" si="205"/>
        <v>2</v>
      </c>
      <c r="S706" s="1">
        <f t="shared" ca="1" si="206"/>
        <v>0.1</v>
      </c>
      <c r="T706" s="1">
        <f t="shared" ca="1" si="206"/>
        <v>0.9</v>
      </c>
      <c r="U706" s="1">
        <f t="shared" ca="1" si="206"/>
        <v>21.266666666666701</v>
      </c>
      <c r="V706" s="1">
        <f t="shared" ca="1" si="206"/>
        <v>0</v>
      </c>
      <c r="W706" s="1">
        <f t="shared" ca="1" si="206"/>
        <v>0</v>
      </c>
      <c r="X706" s="1">
        <f t="shared" ca="1" si="206"/>
        <v>0</v>
      </c>
      <c r="Y706" s="1">
        <f t="shared" ca="1" si="206"/>
        <v>0</v>
      </c>
      <c r="Z706" s="1">
        <f t="shared" ca="1" si="206"/>
        <v>9.6306122448979643</v>
      </c>
      <c r="AA706" s="1">
        <f t="shared" ca="1" si="206"/>
        <v>0</v>
      </c>
      <c r="AB706" s="1">
        <f t="shared" ca="1" si="204"/>
        <v>0</v>
      </c>
      <c r="AC706" s="1">
        <f t="shared" ca="1" si="206"/>
        <v>15.583425</v>
      </c>
      <c r="AD706" s="1">
        <f t="shared" ca="1" si="206"/>
        <v>15.583425</v>
      </c>
      <c r="AE706" s="1">
        <f t="shared" ca="1" si="206"/>
        <v>15.583425</v>
      </c>
      <c r="AF706" s="1">
        <f t="shared" ca="1" si="206"/>
        <v>15.583425</v>
      </c>
      <c r="AG706" s="1">
        <f t="shared" ca="1" si="206"/>
        <v>23.375137500000001</v>
      </c>
      <c r="AH706" s="1">
        <f t="shared" ca="1" si="206"/>
        <v>15.583425</v>
      </c>
      <c r="AI706" s="1">
        <f t="shared" ca="1" si="194"/>
        <v>15.583425</v>
      </c>
    </row>
    <row r="707" spans="2:35" x14ac:dyDescent="0.15">
      <c r="B707" s="1" t="str">
        <f t="shared" si="191"/>
        <v>光系12</v>
      </c>
      <c r="C707" s="1">
        <f t="shared" si="199"/>
        <v>12</v>
      </c>
      <c r="D707" s="14" t="s">
        <v>97</v>
      </c>
      <c r="E707" s="14">
        <f t="shared" si="200"/>
        <v>8</v>
      </c>
      <c r="F707" s="1" t="str">
        <f t="shared" ref="F707:F770" si="207">VLOOKUP(E707,monsterType,4,FALSE)</f>
        <v>神圣</v>
      </c>
      <c r="H707" s="1">
        <f t="shared" ref="H707:H770" ca="1" si="208">mVlookup(C707,monsterBaseDate,H$2,FALSE)*(1+mVlookup(E707,monsterType,H$2,FALSE))*(1+mVlookup(C707,monsterHpRevise,D707,FALSE))</f>
        <v>283.638742464666</v>
      </c>
      <c r="I707" s="1">
        <f t="shared" ca="1" si="205"/>
        <v>150</v>
      </c>
      <c r="J707" s="1">
        <f t="shared" ca="1" si="205"/>
        <v>121.320863309353</v>
      </c>
      <c r="K707" s="1">
        <f t="shared" ca="1" si="205"/>
        <v>17.0001</v>
      </c>
      <c r="L707" s="1">
        <f t="shared" ca="1" si="205"/>
        <v>121.320863309353</v>
      </c>
      <c r="M707" s="1">
        <f t="shared" ca="1" si="205"/>
        <v>17.0001</v>
      </c>
      <c r="N707" s="1">
        <f t="shared" ca="1" si="205"/>
        <v>0.2</v>
      </c>
      <c r="O707" s="1">
        <f t="shared" ca="1" si="205"/>
        <v>0.2</v>
      </c>
      <c r="P707" s="1">
        <f t="shared" ca="1" si="205"/>
        <v>0.36</v>
      </c>
      <c r="Q707" s="1">
        <f t="shared" ca="1" si="205"/>
        <v>0.1</v>
      </c>
      <c r="R707" s="1">
        <f t="shared" ca="1" si="205"/>
        <v>2</v>
      </c>
      <c r="S707" s="1">
        <f t="shared" ca="1" si="206"/>
        <v>0.1</v>
      </c>
      <c r="T707" s="1">
        <f t="shared" ca="1" si="206"/>
        <v>0.9</v>
      </c>
      <c r="U707" s="1">
        <f t="shared" ca="1" si="206"/>
        <v>23.2</v>
      </c>
      <c r="V707" s="1">
        <f t="shared" ca="1" si="206"/>
        <v>0</v>
      </c>
      <c r="W707" s="1">
        <f t="shared" ca="1" si="206"/>
        <v>0</v>
      </c>
      <c r="X707" s="1">
        <f t="shared" ca="1" si="206"/>
        <v>0</v>
      </c>
      <c r="Y707" s="1">
        <f t="shared" ca="1" si="206"/>
        <v>0</v>
      </c>
      <c r="Z707" s="1">
        <f t="shared" ca="1" si="206"/>
        <v>11.615827338129495</v>
      </c>
      <c r="AA707" s="1">
        <f t="shared" ca="1" si="206"/>
        <v>0</v>
      </c>
      <c r="AB707" s="1">
        <f t="shared" ca="1" si="204"/>
        <v>0</v>
      </c>
      <c r="AC707" s="1">
        <f t="shared" ca="1" si="206"/>
        <v>17.0001</v>
      </c>
      <c r="AD707" s="1">
        <f t="shared" ca="1" si="206"/>
        <v>17.0001</v>
      </c>
      <c r="AE707" s="1">
        <f t="shared" ca="1" si="206"/>
        <v>17.0001</v>
      </c>
      <c r="AF707" s="1">
        <f t="shared" ca="1" si="206"/>
        <v>17.0001</v>
      </c>
      <c r="AG707" s="1">
        <f t="shared" ca="1" si="206"/>
        <v>25.500149999999998</v>
      </c>
      <c r="AH707" s="1">
        <f t="shared" ca="1" si="206"/>
        <v>17.0001</v>
      </c>
      <c r="AI707" s="1">
        <f t="shared" ca="1" si="194"/>
        <v>17.0001</v>
      </c>
    </row>
    <row r="708" spans="2:35" x14ac:dyDescent="0.15">
      <c r="B708" s="1" t="str">
        <f t="shared" ref="B708:B771" si="209">D708&amp;C708</f>
        <v>光系13</v>
      </c>
      <c r="C708" s="1">
        <f t="shared" si="199"/>
        <v>13</v>
      </c>
      <c r="D708" s="14" t="s">
        <v>97</v>
      </c>
      <c r="E708" s="14">
        <f t="shared" si="200"/>
        <v>8</v>
      </c>
      <c r="F708" s="1" t="str">
        <f t="shared" si="207"/>
        <v>神圣</v>
      </c>
      <c r="H708" s="1">
        <f t="shared" ca="1" si="208"/>
        <v>309.183846599682</v>
      </c>
      <c r="I708" s="1">
        <f t="shared" ca="1" si="205"/>
        <v>150</v>
      </c>
      <c r="J708" s="1">
        <f t="shared" ca="1" si="205"/>
        <v>132.49704968944101</v>
      </c>
      <c r="K708" s="1">
        <f t="shared" ca="1" si="205"/>
        <v>18.416775000000001</v>
      </c>
      <c r="L708" s="1">
        <f t="shared" ca="1" si="205"/>
        <v>132.49704968944101</v>
      </c>
      <c r="M708" s="1">
        <f t="shared" ca="1" si="205"/>
        <v>18.416775000000001</v>
      </c>
      <c r="N708" s="1">
        <f t="shared" ca="1" si="205"/>
        <v>0.2</v>
      </c>
      <c r="O708" s="1">
        <f t="shared" ca="1" si="205"/>
        <v>0.2</v>
      </c>
      <c r="P708" s="1">
        <f t="shared" ca="1" si="205"/>
        <v>0.36</v>
      </c>
      <c r="Q708" s="1">
        <f t="shared" ca="1" si="205"/>
        <v>0.1</v>
      </c>
      <c r="R708" s="1">
        <f t="shared" ca="1" si="205"/>
        <v>2</v>
      </c>
      <c r="S708" s="1">
        <f t="shared" ca="1" si="206"/>
        <v>0.1</v>
      </c>
      <c r="T708" s="1">
        <f t="shared" ca="1" si="206"/>
        <v>0.9</v>
      </c>
      <c r="U708" s="1">
        <f t="shared" ca="1" si="206"/>
        <v>25.133333333333301</v>
      </c>
      <c r="V708" s="1">
        <f t="shared" ca="1" si="206"/>
        <v>0</v>
      </c>
      <c r="W708" s="1">
        <f t="shared" ca="1" si="206"/>
        <v>0</v>
      </c>
      <c r="X708" s="1">
        <f t="shared" ca="1" si="206"/>
        <v>0</v>
      </c>
      <c r="Y708" s="1">
        <f t="shared" ca="1" si="206"/>
        <v>0</v>
      </c>
      <c r="Z708" s="1">
        <f t="shared" ca="1" si="206"/>
        <v>13.816537267080751</v>
      </c>
      <c r="AA708" s="1">
        <f t="shared" ca="1" si="206"/>
        <v>0</v>
      </c>
      <c r="AB708" s="1">
        <f t="shared" ca="1" si="204"/>
        <v>0</v>
      </c>
      <c r="AC708" s="1">
        <f t="shared" ca="1" si="206"/>
        <v>18.416775000000001</v>
      </c>
      <c r="AD708" s="1">
        <f t="shared" ca="1" si="206"/>
        <v>18.416775000000001</v>
      </c>
      <c r="AE708" s="1">
        <f t="shared" ca="1" si="206"/>
        <v>18.416775000000001</v>
      </c>
      <c r="AF708" s="1">
        <f t="shared" ca="1" si="206"/>
        <v>18.416775000000001</v>
      </c>
      <c r="AG708" s="1">
        <f t="shared" ca="1" si="206"/>
        <v>27.625162500000002</v>
      </c>
      <c r="AH708" s="1">
        <f t="shared" ca="1" si="206"/>
        <v>18.416775000000001</v>
      </c>
      <c r="AI708" s="1">
        <f t="shared" ca="1" si="194"/>
        <v>18.416775000000001</v>
      </c>
    </row>
    <row r="709" spans="2:35" x14ac:dyDescent="0.15">
      <c r="B709" s="1" t="str">
        <f t="shared" si="209"/>
        <v>光系14</v>
      </c>
      <c r="C709" s="1">
        <f t="shared" si="199"/>
        <v>14</v>
      </c>
      <c r="D709" s="14" t="s">
        <v>97</v>
      </c>
      <c r="E709" s="14">
        <f t="shared" si="200"/>
        <v>8</v>
      </c>
      <c r="F709" s="1" t="str">
        <f t="shared" si="207"/>
        <v>神圣</v>
      </c>
      <c r="H709" s="1">
        <f t="shared" ca="1" si="208"/>
        <v>335.02257262130797</v>
      </c>
      <c r="I709" s="1">
        <f t="shared" ca="1" si="205"/>
        <v>150</v>
      </c>
      <c r="J709" s="1">
        <f t="shared" ca="1" si="205"/>
        <v>143.84452554744499</v>
      </c>
      <c r="K709" s="1">
        <f t="shared" ca="1" si="205"/>
        <v>19.833449999999999</v>
      </c>
      <c r="L709" s="1">
        <f t="shared" ca="1" si="205"/>
        <v>143.84452554744499</v>
      </c>
      <c r="M709" s="1">
        <f t="shared" ca="1" si="205"/>
        <v>19.833449999999999</v>
      </c>
      <c r="N709" s="1">
        <f t="shared" ca="1" si="205"/>
        <v>0.2</v>
      </c>
      <c r="O709" s="1">
        <f t="shared" ca="1" si="205"/>
        <v>0.2</v>
      </c>
      <c r="P709" s="1">
        <f t="shared" ca="1" si="205"/>
        <v>0.36</v>
      </c>
      <c r="Q709" s="1">
        <f t="shared" ca="1" si="205"/>
        <v>0.1</v>
      </c>
      <c r="R709" s="1">
        <f t="shared" ca="1" si="205"/>
        <v>2</v>
      </c>
      <c r="S709" s="1">
        <f t="shared" ca="1" si="206"/>
        <v>0.1</v>
      </c>
      <c r="T709" s="1">
        <f t="shared" ca="1" si="206"/>
        <v>0.9</v>
      </c>
      <c r="U709" s="1">
        <f t="shared" ca="1" si="206"/>
        <v>27.066666666666698</v>
      </c>
      <c r="V709" s="1">
        <f t="shared" ca="1" si="206"/>
        <v>0</v>
      </c>
      <c r="W709" s="1">
        <f t="shared" ca="1" si="206"/>
        <v>0</v>
      </c>
      <c r="X709" s="1">
        <f t="shared" ca="1" si="206"/>
        <v>0</v>
      </c>
      <c r="Y709" s="1">
        <f t="shared" ca="1" si="206"/>
        <v>0</v>
      </c>
      <c r="Z709" s="1">
        <f t="shared" ca="1" si="206"/>
        <v>16.24051094890515</v>
      </c>
      <c r="AA709" s="1">
        <f t="shared" ca="1" si="206"/>
        <v>0</v>
      </c>
      <c r="AB709" s="1">
        <f t="shared" ca="1" si="206"/>
        <v>0</v>
      </c>
      <c r="AC709" s="1">
        <f t="shared" ca="1" si="206"/>
        <v>19.833449999999999</v>
      </c>
      <c r="AD709" s="1">
        <f t="shared" ca="1" si="206"/>
        <v>19.833449999999999</v>
      </c>
      <c r="AE709" s="1">
        <f t="shared" ca="1" si="206"/>
        <v>19.833449999999999</v>
      </c>
      <c r="AF709" s="1">
        <f t="shared" ca="1" si="206"/>
        <v>19.833449999999999</v>
      </c>
      <c r="AG709" s="1">
        <f t="shared" ca="1" si="206"/>
        <v>29.750174999999999</v>
      </c>
      <c r="AH709" s="1">
        <f t="shared" ca="1" si="206"/>
        <v>19.833449999999999</v>
      </c>
      <c r="AI709" s="1">
        <f t="shared" ca="1" si="194"/>
        <v>19.833449999999999</v>
      </c>
    </row>
    <row r="710" spans="2:35" x14ac:dyDescent="0.15">
      <c r="B710" s="1" t="str">
        <f t="shared" si="209"/>
        <v>光系15</v>
      </c>
      <c r="C710" s="1">
        <f t="shared" si="199"/>
        <v>15</v>
      </c>
      <c r="D710" s="14" t="s">
        <v>97</v>
      </c>
      <c r="E710" s="14">
        <f t="shared" si="200"/>
        <v>8</v>
      </c>
      <c r="F710" s="1" t="str">
        <f t="shared" si="207"/>
        <v>神圣</v>
      </c>
      <c r="H710" s="1">
        <f t="shared" ca="1" si="208"/>
        <v>361.15492052954301</v>
      </c>
      <c r="I710" s="1">
        <f t="shared" ca="1" si="205"/>
        <v>150</v>
      </c>
      <c r="J710" s="1">
        <f t="shared" ca="1" si="205"/>
        <v>155.365021008403</v>
      </c>
      <c r="K710" s="1">
        <f t="shared" ca="1" si="205"/>
        <v>21.250125000000001</v>
      </c>
      <c r="L710" s="1">
        <f t="shared" ca="1" si="205"/>
        <v>155.365021008403</v>
      </c>
      <c r="M710" s="1">
        <f t="shared" ca="1" si="205"/>
        <v>21.250125000000001</v>
      </c>
      <c r="N710" s="1">
        <f t="shared" ca="1" si="205"/>
        <v>0.2</v>
      </c>
      <c r="O710" s="1">
        <f t="shared" ca="1" si="205"/>
        <v>0.2</v>
      </c>
      <c r="P710" s="1">
        <f t="shared" ca="1" si="205"/>
        <v>0.36</v>
      </c>
      <c r="Q710" s="1">
        <f t="shared" ca="1" si="205"/>
        <v>0.1</v>
      </c>
      <c r="R710" s="1">
        <f t="shared" ca="1" si="205"/>
        <v>2</v>
      </c>
      <c r="S710" s="1">
        <f t="shared" ca="1" si="206"/>
        <v>0.1</v>
      </c>
      <c r="T710" s="1">
        <f t="shared" ca="1" si="206"/>
        <v>0.9</v>
      </c>
      <c r="U710" s="1">
        <f t="shared" ca="1" si="206"/>
        <v>29</v>
      </c>
      <c r="V710" s="1">
        <f t="shared" ca="1" si="206"/>
        <v>0</v>
      </c>
      <c r="W710" s="1">
        <f t="shared" ca="1" si="206"/>
        <v>0</v>
      </c>
      <c r="X710" s="1">
        <f t="shared" ca="1" si="206"/>
        <v>0</v>
      </c>
      <c r="Y710" s="1">
        <f t="shared" ca="1" si="206"/>
        <v>0</v>
      </c>
      <c r="Z710" s="1">
        <f t="shared" ca="1" si="206"/>
        <v>18.8957457983193</v>
      </c>
      <c r="AA710" s="1">
        <f t="shared" ca="1" si="206"/>
        <v>0</v>
      </c>
      <c r="AB710" s="1">
        <f t="shared" ca="1" si="206"/>
        <v>0</v>
      </c>
      <c r="AC710" s="1">
        <f t="shared" ca="1" si="206"/>
        <v>21.250125000000001</v>
      </c>
      <c r="AD710" s="1">
        <f t="shared" ca="1" si="206"/>
        <v>21.250125000000001</v>
      </c>
      <c r="AE710" s="1">
        <f t="shared" ca="1" si="206"/>
        <v>21.250125000000001</v>
      </c>
      <c r="AF710" s="1">
        <f t="shared" ca="1" si="206"/>
        <v>21.250125000000001</v>
      </c>
      <c r="AG710" s="1">
        <f t="shared" ca="1" si="206"/>
        <v>31.875187500000003</v>
      </c>
      <c r="AH710" s="1">
        <f t="shared" ca="1" si="206"/>
        <v>21.250125000000001</v>
      </c>
      <c r="AI710" s="1">
        <f t="shared" ca="1" si="194"/>
        <v>21.250125000000001</v>
      </c>
    </row>
    <row r="711" spans="2:35" x14ac:dyDescent="0.15">
      <c r="B711" s="1" t="str">
        <f t="shared" si="209"/>
        <v>光系16</v>
      </c>
      <c r="C711" s="1">
        <f t="shared" si="199"/>
        <v>16</v>
      </c>
      <c r="D711" s="14" t="s">
        <v>97</v>
      </c>
      <c r="E711" s="14">
        <f t="shared" si="200"/>
        <v>8</v>
      </c>
      <c r="F711" s="1" t="str">
        <f t="shared" si="207"/>
        <v>神圣</v>
      </c>
      <c r="H711" s="1">
        <f t="shared" ca="1" si="208"/>
        <v>387.58089032438801</v>
      </c>
      <c r="I711" s="1">
        <f t="shared" ca="1" si="205"/>
        <v>150</v>
      </c>
      <c r="J711" s="1">
        <f t="shared" ca="1" si="205"/>
        <v>167.06031746031701</v>
      </c>
      <c r="K711" s="1">
        <f t="shared" ca="1" si="205"/>
        <v>22.666799999999999</v>
      </c>
      <c r="L711" s="1">
        <f t="shared" ca="1" si="205"/>
        <v>167.06031746031701</v>
      </c>
      <c r="M711" s="1">
        <f t="shared" ca="1" si="205"/>
        <v>22.666799999999999</v>
      </c>
      <c r="N711" s="1">
        <f t="shared" ca="1" si="205"/>
        <v>0.2</v>
      </c>
      <c r="O711" s="1">
        <f t="shared" ca="1" si="205"/>
        <v>0.2</v>
      </c>
      <c r="P711" s="1">
        <f t="shared" ca="1" si="205"/>
        <v>0.36</v>
      </c>
      <c r="Q711" s="1">
        <f t="shared" ca="1" si="205"/>
        <v>0.1</v>
      </c>
      <c r="R711" s="1">
        <f t="shared" ca="1" si="205"/>
        <v>2</v>
      </c>
      <c r="S711" s="1">
        <f t="shared" ca="1" si="206"/>
        <v>0.1</v>
      </c>
      <c r="T711" s="1">
        <f t="shared" ca="1" si="206"/>
        <v>0.9</v>
      </c>
      <c r="U711" s="1">
        <f t="shared" ca="1" si="206"/>
        <v>30.933333333333302</v>
      </c>
      <c r="V711" s="1">
        <f t="shared" ca="1" si="206"/>
        <v>0</v>
      </c>
      <c r="W711" s="1">
        <f t="shared" ca="1" si="206"/>
        <v>0</v>
      </c>
      <c r="X711" s="1">
        <f t="shared" ca="1" si="206"/>
        <v>0</v>
      </c>
      <c r="Y711" s="1">
        <f t="shared" ca="1" si="206"/>
        <v>0</v>
      </c>
      <c r="Z711" s="1">
        <f t="shared" ca="1" si="206"/>
        <v>21.790476190476149</v>
      </c>
      <c r="AA711" s="1">
        <f t="shared" ca="1" si="206"/>
        <v>0</v>
      </c>
      <c r="AB711" s="1">
        <f t="shared" ca="1" si="206"/>
        <v>0</v>
      </c>
      <c r="AC711" s="1">
        <f t="shared" ca="1" si="206"/>
        <v>22.666799999999999</v>
      </c>
      <c r="AD711" s="1">
        <f t="shared" ca="1" si="206"/>
        <v>22.666799999999999</v>
      </c>
      <c r="AE711" s="1">
        <f t="shared" ca="1" si="206"/>
        <v>22.666799999999999</v>
      </c>
      <c r="AF711" s="1">
        <f t="shared" ca="1" si="206"/>
        <v>22.666799999999999</v>
      </c>
      <c r="AG711" s="1">
        <f t="shared" ca="1" si="206"/>
        <v>34.0002</v>
      </c>
      <c r="AH711" s="1">
        <f t="shared" ca="1" si="206"/>
        <v>22.666799999999999</v>
      </c>
      <c r="AI711" s="1">
        <f t="shared" ca="1" si="194"/>
        <v>22.666799999999999</v>
      </c>
    </row>
    <row r="712" spans="2:35" x14ac:dyDescent="0.15">
      <c r="B712" s="1" t="str">
        <f t="shared" si="209"/>
        <v>光系17</v>
      </c>
      <c r="C712" s="1">
        <f t="shared" si="199"/>
        <v>17</v>
      </c>
      <c r="D712" s="14" t="s">
        <v>97</v>
      </c>
      <c r="E712" s="14">
        <f t="shared" si="200"/>
        <v>8</v>
      </c>
      <c r="F712" s="1" t="str">
        <f t="shared" si="207"/>
        <v>神圣</v>
      </c>
      <c r="H712" s="1">
        <f t="shared" ca="1" si="208"/>
        <v>414.30048200584201</v>
      </c>
      <c r="I712" s="1">
        <f t="shared" ca="1" si="205"/>
        <v>150</v>
      </c>
      <c r="J712" s="1">
        <f t="shared" ca="1" si="205"/>
        <v>178.93224946695099</v>
      </c>
      <c r="K712" s="1">
        <f t="shared" ca="1" si="205"/>
        <v>24.083475</v>
      </c>
      <c r="L712" s="1">
        <f t="shared" ca="1" si="205"/>
        <v>178.93224946695099</v>
      </c>
      <c r="M712" s="1">
        <f t="shared" ca="1" si="205"/>
        <v>24.083475</v>
      </c>
      <c r="N712" s="1">
        <f t="shared" ca="1" si="205"/>
        <v>0.2</v>
      </c>
      <c r="O712" s="1">
        <f t="shared" ca="1" si="205"/>
        <v>0.2</v>
      </c>
      <c r="P712" s="1">
        <f t="shared" ca="1" si="205"/>
        <v>0.36</v>
      </c>
      <c r="Q712" s="1">
        <f t="shared" ca="1" si="205"/>
        <v>0.1</v>
      </c>
      <c r="R712" s="1">
        <f t="shared" ca="1" si="205"/>
        <v>2</v>
      </c>
      <c r="S712" s="1">
        <f t="shared" ca="1" si="206"/>
        <v>0.1</v>
      </c>
      <c r="T712" s="1">
        <f t="shared" ca="1" si="206"/>
        <v>0.9</v>
      </c>
      <c r="U712" s="1">
        <f t="shared" ca="1" si="206"/>
        <v>32.866666666666703</v>
      </c>
      <c r="V712" s="1">
        <f t="shared" ca="1" si="206"/>
        <v>0</v>
      </c>
      <c r="W712" s="1">
        <f t="shared" ca="1" si="206"/>
        <v>0</v>
      </c>
      <c r="X712" s="1">
        <f t="shared" ca="1" si="206"/>
        <v>0</v>
      </c>
      <c r="Y712" s="1">
        <f t="shared" ca="1" si="206"/>
        <v>0</v>
      </c>
      <c r="Z712" s="1">
        <f t="shared" ca="1" si="206"/>
        <v>24.933182302771801</v>
      </c>
      <c r="AA712" s="1">
        <f t="shared" ca="1" si="206"/>
        <v>0</v>
      </c>
      <c r="AB712" s="1">
        <f t="shared" ca="1" si="206"/>
        <v>0</v>
      </c>
      <c r="AC712" s="1">
        <f t="shared" ca="1" si="206"/>
        <v>24.083475</v>
      </c>
      <c r="AD712" s="1">
        <f t="shared" ca="1" si="206"/>
        <v>24.083475</v>
      </c>
      <c r="AE712" s="1">
        <f t="shared" ca="1" si="206"/>
        <v>24.083475</v>
      </c>
      <c r="AF712" s="1">
        <f t="shared" ca="1" si="206"/>
        <v>24.083475</v>
      </c>
      <c r="AG712" s="1">
        <f t="shared" ca="1" si="206"/>
        <v>36.125212500000004</v>
      </c>
      <c r="AH712" s="1">
        <f t="shared" ca="1" si="206"/>
        <v>24.083475</v>
      </c>
      <c r="AI712" s="1">
        <f t="shared" ca="1" si="194"/>
        <v>24.083475</v>
      </c>
    </row>
    <row r="713" spans="2:35" x14ac:dyDescent="0.15">
      <c r="B713" s="1" t="str">
        <f t="shared" si="209"/>
        <v>光系18</v>
      </c>
      <c r="C713" s="1">
        <f t="shared" si="199"/>
        <v>18</v>
      </c>
      <c r="D713" s="14" t="s">
        <v>97</v>
      </c>
      <c r="E713" s="14">
        <f t="shared" si="200"/>
        <v>8</v>
      </c>
      <c r="F713" s="1" t="str">
        <f t="shared" si="207"/>
        <v>神圣</v>
      </c>
      <c r="H713" s="1">
        <f t="shared" ca="1" si="208"/>
        <v>441.31369557390599</v>
      </c>
      <c r="I713" s="1">
        <f t="shared" ref="I713:R722" ca="1" si="210">mVlookup($C713,monsterBaseDate,I$2,FALSE)*(1+mVlookup($E713,monsterType,I$2,FALSE))</f>
        <v>150</v>
      </c>
      <c r="J713" s="1">
        <f t="shared" ca="1" si="210"/>
        <v>190.982706766917</v>
      </c>
      <c r="K713" s="1">
        <f t="shared" ca="1" si="210"/>
        <v>25.500150000000001</v>
      </c>
      <c r="L713" s="1">
        <f t="shared" ca="1" si="210"/>
        <v>190.982706766917</v>
      </c>
      <c r="M713" s="1">
        <f t="shared" ca="1" si="210"/>
        <v>25.500150000000001</v>
      </c>
      <c r="N713" s="1">
        <f t="shared" ca="1" si="210"/>
        <v>0.2</v>
      </c>
      <c r="O713" s="1">
        <f t="shared" ca="1" si="210"/>
        <v>0.2</v>
      </c>
      <c r="P713" s="1">
        <f t="shared" ca="1" si="210"/>
        <v>0.36</v>
      </c>
      <c r="Q713" s="1">
        <f t="shared" ca="1" si="210"/>
        <v>0.1</v>
      </c>
      <c r="R713" s="1">
        <f t="shared" ca="1" si="210"/>
        <v>2</v>
      </c>
      <c r="S713" s="1">
        <f t="shared" ref="S713:AH728" ca="1" si="211">mVlookup($C713,monsterBaseDate,S$2,FALSE)*(1+mVlookup($E713,monsterType,S$2,FALSE))</f>
        <v>0.1</v>
      </c>
      <c r="T713" s="1">
        <f t="shared" ca="1" si="211"/>
        <v>0.9</v>
      </c>
      <c r="U713" s="1">
        <f t="shared" ca="1" si="211"/>
        <v>34.799999999999997</v>
      </c>
      <c r="V713" s="1">
        <f t="shared" ca="1" si="211"/>
        <v>0</v>
      </c>
      <c r="W713" s="1">
        <f t="shared" ca="1" si="211"/>
        <v>0</v>
      </c>
      <c r="X713" s="1">
        <f t="shared" ca="1" si="211"/>
        <v>0</v>
      </c>
      <c r="Y713" s="1">
        <f t="shared" ca="1" si="211"/>
        <v>0</v>
      </c>
      <c r="Z713" s="1">
        <f t="shared" ca="1" si="211"/>
        <v>28.332599355531752</v>
      </c>
      <c r="AA713" s="1">
        <f t="shared" ca="1" si="211"/>
        <v>0</v>
      </c>
      <c r="AB713" s="1">
        <f t="shared" ca="1" si="206"/>
        <v>0</v>
      </c>
      <c r="AC713" s="1">
        <f t="shared" ca="1" si="211"/>
        <v>25.500150000000001</v>
      </c>
      <c r="AD713" s="1">
        <f t="shared" ca="1" si="211"/>
        <v>25.500150000000001</v>
      </c>
      <c r="AE713" s="1">
        <f t="shared" ca="1" si="211"/>
        <v>25.500150000000001</v>
      </c>
      <c r="AF713" s="1">
        <f t="shared" ca="1" si="211"/>
        <v>25.500150000000001</v>
      </c>
      <c r="AG713" s="1">
        <f t="shared" ca="1" si="211"/>
        <v>38.250225</v>
      </c>
      <c r="AH713" s="1">
        <f t="shared" ca="1" si="211"/>
        <v>25.500150000000001</v>
      </c>
      <c r="AI713" s="1">
        <f t="shared" ca="1" si="194"/>
        <v>25.500150000000001</v>
      </c>
    </row>
    <row r="714" spans="2:35" x14ac:dyDescent="0.15">
      <c r="B714" s="1" t="str">
        <f t="shared" si="209"/>
        <v>光系19</v>
      </c>
      <c r="C714" s="1">
        <f t="shared" si="199"/>
        <v>19</v>
      </c>
      <c r="D714" s="14" t="s">
        <v>97</v>
      </c>
      <c r="E714" s="14">
        <f t="shared" si="200"/>
        <v>8</v>
      </c>
      <c r="F714" s="1" t="str">
        <f t="shared" si="207"/>
        <v>神圣</v>
      </c>
      <c r="H714" s="1">
        <f t="shared" ca="1" si="208"/>
        <v>468.620531028578</v>
      </c>
      <c r="I714" s="1">
        <f t="shared" ca="1" si="210"/>
        <v>150</v>
      </c>
      <c r="J714" s="1">
        <f t="shared" ca="1" si="210"/>
        <v>203.213636363636</v>
      </c>
      <c r="K714" s="1">
        <f t="shared" ca="1" si="210"/>
        <v>26.916824999999999</v>
      </c>
      <c r="L714" s="1">
        <f t="shared" ca="1" si="210"/>
        <v>203.213636363636</v>
      </c>
      <c r="M714" s="1">
        <f t="shared" ca="1" si="210"/>
        <v>26.916824999999999</v>
      </c>
      <c r="N714" s="1">
        <f t="shared" ca="1" si="210"/>
        <v>0.2</v>
      </c>
      <c r="O714" s="1">
        <f t="shared" ca="1" si="210"/>
        <v>0.2</v>
      </c>
      <c r="P714" s="1">
        <f t="shared" ca="1" si="210"/>
        <v>0.36</v>
      </c>
      <c r="Q714" s="1">
        <f t="shared" ca="1" si="210"/>
        <v>0.1</v>
      </c>
      <c r="R714" s="1">
        <f t="shared" ca="1" si="210"/>
        <v>2</v>
      </c>
      <c r="S714" s="1">
        <f t="shared" ca="1" si="211"/>
        <v>0.1</v>
      </c>
      <c r="T714" s="1">
        <f t="shared" ca="1" si="211"/>
        <v>0.9</v>
      </c>
      <c r="U714" s="1">
        <f t="shared" ca="1" si="211"/>
        <v>36.733333333333299</v>
      </c>
      <c r="V714" s="1">
        <f t="shared" ca="1" si="211"/>
        <v>0</v>
      </c>
      <c r="W714" s="1">
        <f t="shared" ca="1" si="211"/>
        <v>0</v>
      </c>
      <c r="X714" s="1">
        <f t="shared" ca="1" si="211"/>
        <v>0</v>
      </c>
      <c r="Y714" s="1">
        <f t="shared" ca="1" si="211"/>
        <v>0</v>
      </c>
      <c r="Z714" s="1">
        <f t="shared" ca="1" si="211"/>
        <v>31.9977272727273</v>
      </c>
      <c r="AA714" s="1">
        <f t="shared" ca="1" si="211"/>
        <v>0</v>
      </c>
      <c r="AB714" s="1">
        <f t="shared" ca="1" si="206"/>
        <v>0</v>
      </c>
      <c r="AC714" s="1">
        <f t="shared" ca="1" si="211"/>
        <v>26.916824999999999</v>
      </c>
      <c r="AD714" s="1">
        <f t="shared" ca="1" si="211"/>
        <v>26.916824999999999</v>
      </c>
      <c r="AE714" s="1">
        <f t="shared" ca="1" si="211"/>
        <v>26.916824999999999</v>
      </c>
      <c r="AF714" s="1">
        <f t="shared" ca="1" si="211"/>
        <v>26.916824999999999</v>
      </c>
      <c r="AG714" s="1">
        <f t="shared" ca="1" si="211"/>
        <v>40.375237499999997</v>
      </c>
      <c r="AH714" s="1">
        <f t="shared" ca="1" si="211"/>
        <v>26.916824999999999</v>
      </c>
      <c r="AI714" s="1">
        <f t="shared" ca="1" si="194"/>
        <v>26.916824999999999</v>
      </c>
    </row>
    <row r="715" spans="2:35" x14ac:dyDescent="0.15">
      <c r="B715" s="1" t="str">
        <f t="shared" si="209"/>
        <v>光系20</v>
      </c>
      <c r="C715" s="1">
        <f t="shared" si="199"/>
        <v>20</v>
      </c>
      <c r="D715" s="14" t="s">
        <v>97</v>
      </c>
      <c r="E715" s="14">
        <f t="shared" si="200"/>
        <v>8</v>
      </c>
      <c r="F715" s="1" t="str">
        <f t="shared" si="207"/>
        <v>神圣</v>
      </c>
      <c r="H715" s="1">
        <f t="shared" ca="1" si="208"/>
        <v>496.22098836985998</v>
      </c>
      <c r="I715" s="1">
        <f t="shared" ca="1" si="210"/>
        <v>150</v>
      </c>
      <c r="J715" s="1">
        <f t="shared" ca="1" si="210"/>
        <v>215.62704471101401</v>
      </c>
      <c r="K715" s="1">
        <f t="shared" ca="1" si="210"/>
        <v>28.333500000000001</v>
      </c>
      <c r="L715" s="1">
        <f t="shared" ca="1" si="210"/>
        <v>215.62704471101401</v>
      </c>
      <c r="M715" s="1">
        <f t="shared" ca="1" si="210"/>
        <v>28.333500000000001</v>
      </c>
      <c r="N715" s="1">
        <f t="shared" ca="1" si="210"/>
        <v>0.2</v>
      </c>
      <c r="O715" s="1">
        <f t="shared" ca="1" si="210"/>
        <v>0.2</v>
      </c>
      <c r="P715" s="1">
        <f t="shared" ca="1" si="210"/>
        <v>0.36</v>
      </c>
      <c r="Q715" s="1">
        <f t="shared" ca="1" si="210"/>
        <v>0.1</v>
      </c>
      <c r="R715" s="1">
        <f t="shared" ca="1" si="210"/>
        <v>2</v>
      </c>
      <c r="S715" s="1">
        <f t="shared" ca="1" si="211"/>
        <v>0.1</v>
      </c>
      <c r="T715" s="1">
        <f t="shared" ca="1" si="211"/>
        <v>0.9</v>
      </c>
      <c r="U715" s="1">
        <f t="shared" ca="1" si="211"/>
        <v>38.6666666666667</v>
      </c>
      <c r="V715" s="1">
        <f t="shared" ca="1" si="211"/>
        <v>0</v>
      </c>
      <c r="W715" s="1">
        <f t="shared" ca="1" si="211"/>
        <v>0</v>
      </c>
      <c r="X715" s="1">
        <f t="shared" ca="1" si="211"/>
        <v>0</v>
      </c>
      <c r="Y715" s="1">
        <f t="shared" ca="1" si="211"/>
        <v>0</v>
      </c>
      <c r="Z715" s="1">
        <f t="shared" ca="1" si="211"/>
        <v>35.937840785169001</v>
      </c>
      <c r="AA715" s="1">
        <f t="shared" ca="1" si="211"/>
        <v>0</v>
      </c>
      <c r="AB715" s="1">
        <f t="shared" ca="1" si="206"/>
        <v>0</v>
      </c>
      <c r="AC715" s="1">
        <f t="shared" ca="1" si="211"/>
        <v>28.333500000000001</v>
      </c>
      <c r="AD715" s="1">
        <f t="shared" ca="1" si="211"/>
        <v>28.333500000000001</v>
      </c>
      <c r="AE715" s="1">
        <f t="shared" ca="1" si="211"/>
        <v>28.333500000000001</v>
      </c>
      <c r="AF715" s="1">
        <f t="shared" ca="1" si="211"/>
        <v>28.333500000000001</v>
      </c>
      <c r="AG715" s="1">
        <f t="shared" ca="1" si="211"/>
        <v>42.500250000000001</v>
      </c>
      <c r="AH715" s="1">
        <f t="shared" ca="1" si="211"/>
        <v>28.333500000000001</v>
      </c>
      <c r="AI715" s="1">
        <f t="shared" ca="1" si="194"/>
        <v>28.333500000000001</v>
      </c>
    </row>
    <row r="716" spans="2:35" x14ac:dyDescent="0.15">
      <c r="B716" s="1" t="str">
        <f t="shared" si="209"/>
        <v>光系21</v>
      </c>
      <c r="C716" s="1">
        <f t="shared" si="199"/>
        <v>21</v>
      </c>
      <c r="D716" s="14" t="s">
        <v>97</v>
      </c>
      <c r="E716" s="14">
        <f t="shared" si="200"/>
        <v>8</v>
      </c>
      <c r="F716" s="1" t="str">
        <f t="shared" si="207"/>
        <v>神圣</v>
      </c>
      <c r="H716" s="1">
        <f t="shared" ca="1" si="208"/>
        <v>524.11506759775205</v>
      </c>
      <c r="I716" s="1">
        <f t="shared" ca="1" si="210"/>
        <v>150</v>
      </c>
      <c r="J716" s="1">
        <f t="shared" ca="1" si="210"/>
        <v>228.22499999999999</v>
      </c>
      <c r="K716" s="1">
        <f t="shared" ca="1" si="210"/>
        <v>29.750174999999999</v>
      </c>
      <c r="L716" s="1">
        <f t="shared" ca="1" si="210"/>
        <v>228.22499999999999</v>
      </c>
      <c r="M716" s="1">
        <f t="shared" ca="1" si="210"/>
        <v>29.750174999999999</v>
      </c>
      <c r="N716" s="1">
        <f t="shared" ca="1" si="210"/>
        <v>0.2</v>
      </c>
      <c r="O716" s="1">
        <f t="shared" ca="1" si="210"/>
        <v>0.2</v>
      </c>
      <c r="P716" s="1">
        <f t="shared" ca="1" si="210"/>
        <v>0.36</v>
      </c>
      <c r="Q716" s="1">
        <f t="shared" ca="1" si="210"/>
        <v>0.1</v>
      </c>
      <c r="R716" s="1">
        <f t="shared" ca="1" si="210"/>
        <v>2</v>
      </c>
      <c r="S716" s="1">
        <f t="shared" ca="1" si="211"/>
        <v>0.1</v>
      </c>
      <c r="T716" s="1">
        <f t="shared" ca="1" si="211"/>
        <v>0.9</v>
      </c>
      <c r="U716" s="1">
        <f t="shared" ca="1" si="211"/>
        <v>40.6</v>
      </c>
      <c r="V716" s="1">
        <f t="shared" ca="1" si="211"/>
        <v>0</v>
      </c>
      <c r="W716" s="1">
        <f t="shared" ca="1" si="211"/>
        <v>0</v>
      </c>
      <c r="X716" s="1">
        <f t="shared" ca="1" si="211"/>
        <v>0</v>
      </c>
      <c r="Y716" s="1">
        <f t="shared" ca="1" si="211"/>
        <v>0</v>
      </c>
      <c r="Z716" s="1">
        <f t="shared" ca="1" si="211"/>
        <v>40.162499999999994</v>
      </c>
      <c r="AA716" s="1">
        <f t="shared" ca="1" si="211"/>
        <v>0</v>
      </c>
      <c r="AB716" s="1">
        <f t="shared" ca="1" si="206"/>
        <v>0</v>
      </c>
      <c r="AC716" s="1">
        <f t="shared" ca="1" si="211"/>
        <v>29.750174999999999</v>
      </c>
      <c r="AD716" s="1">
        <f t="shared" ca="1" si="211"/>
        <v>29.750174999999999</v>
      </c>
      <c r="AE716" s="1">
        <f t="shared" ca="1" si="211"/>
        <v>29.750174999999999</v>
      </c>
      <c r="AF716" s="1">
        <f t="shared" ca="1" si="211"/>
        <v>29.750174999999999</v>
      </c>
      <c r="AG716" s="1">
        <f t="shared" ca="1" si="211"/>
        <v>44.625262499999998</v>
      </c>
      <c r="AH716" s="1">
        <f t="shared" ca="1" si="211"/>
        <v>29.750174999999999</v>
      </c>
      <c r="AI716" s="1">
        <f t="shared" ca="1" si="194"/>
        <v>29.750174999999999</v>
      </c>
    </row>
    <row r="717" spans="2:35" x14ac:dyDescent="0.15">
      <c r="B717" s="1" t="str">
        <f t="shared" si="209"/>
        <v>光系22</v>
      </c>
      <c r="C717" s="1">
        <f t="shared" si="199"/>
        <v>22</v>
      </c>
      <c r="D717" s="14" t="s">
        <v>97</v>
      </c>
      <c r="E717" s="14">
        <f t="shared" si="200"/>
        <v>8</v>
      </c>
      <c r="F717" s="1" t="str">
        <f t="shared" si="207"/>
        <v>神圣</v>
      </c>
      <c r="H717" s="1">
        <f t="shared" ca="1" si="208"/>
        <v>552.30276871225306</v>
      </c>
      <c r="I717" s="1">
        <f t="shared" ca="1" si="210"/>
        <v>150</v>
      </c>
      <c r="J717" s="1">
        <f t="shared" ca="1" si="210"/>
        <v>241.009634551495</v>
      </c>
      <c r="K717" s="1">
        <f t="shared" ca="1" si="210"/>
        <v>31.16685</v>
      </c>
      <c r="L717" s="1">
        <f t="shared" ca="1" si="210"/>
        <v>241.009634551495</v>
      </c>
      <c r="M717" s="1">
        <f t="shared" ca="1" si="210"/>
        <v>31.16685</v>
      </c>
      <c r="N717" s="1">
        <f t="shared" ca="1" si="210"/>
        <v>0.2</v>
      </c>
      <c r="O717" s="1">
        <f t="shared" ca="1" si="210"/>
        <v>0.2</v>
      </c>
      <c r="P717" s="1">
        <f t="shared" ca="1" si="210"/>
        <v>0.36</v>
      </c>
      <c r="Q717" s="1">
        <f t="shared" ca="1" si="210"/>
        <v>0.1</v>
      </c>
      <c r="R717" s="1">
        <f t="shared" ca="1" si="210"/>
        <v>2</v>
      </c>
      <c r="S717" s="1">
        <f t="shared" ca="1" si="211"/>
        <v>0.1</v>
      </c>
      <c r="T717" s="1">
        <f t="shared" ca="1" si="211"/>
        <v>0.9</v>
      </c>
      <c r="U717" s="1">
        <f t="shared" ca="1" si="211"/>
        <v>42.533333333333303</v>
      </c>
      <c r="V717" s="1">
        <f t="shared" ca="1" si="211"/>
        <v>0</v>
      </c>
      <c r="W717" s="1">
        <f t="shared" ca="1" si="211"/>
        <v>0</v>
      </c>
      <c r="X717" s="1">
        <f t="shared" ca="1" si="211"/>
        <v>0</v>
      </c>
      <c r="Y717" s="1">
        <f t="shared" ca="1" si="211"/>
        <v>0</v>
      </c>
      <c r="Z717" s="1">
        <f t="shared" ca="1" si="211"/>
        <v>44.681561461794004</v>
      </c>
      <c r="AA717" s="1">
        <f t="shared" ca="1" si="211"/>
        <v>0</v>
      </c>
      <c r="AB717" s="1">
        <f t="shared" ca="1" si="206"/>
        <v>0</v>
      </c>
      <c r="AC717" s="1">
        <f t="shared" ca="1" si="211"/>
        <v>31.16685</v>
      </c>
      <c r="AD717" s="1">
        <f t="shared" ca="1" si="211"/>
        <v>31.16685</v>
      </c>
      <c r="AE717" s="1">
        <f t="shared" ca="1" si="211"/>
        <v>31.16685</v>
      </c>
      <c r="AF717" s="1">
        <f t="shared" ca="1" si="211"/>
        <v>31.16685</v>
      </c>
      <c r="AG717" s="1">
        <f t="shared" ca="1" si="211"/>
        <v>46.750275000000002</v>
      </c>
      <c r="AH717" s="1">
        <f t="shared" ca="1" si="211"/>
        <v>31.16685</v>
      </c>
      <c r="AI717" s="1">
        <f t="shared" ca="1" si="194"/>
        <v>31.16685</v>
      </c>
    </row>
    <row r="718" spans="2:35" x14ac:dyDescent="0.15">
      <c r="B718" s="1" t="str">
        <f t="shared" si="209"/>
        <v>光系23</v>
      </c>
      <c r="C718" s="1">
        <f t="shared" si="199"/>
        <v>23</v>
      </c>
      <c r="D718" s="14" t="s">
        <v>97</v>
      </c>
      <c r="E718" s="14">
        <f t="shared" si="200"/>
        <v>8</v>
      </c>
      <c r="F718" s="1" t="str">
        <f t="shared" si="207"/>
        <v>神圣</v>
      </c>
      <c r="H718" s="1">
        <f t="shared" ca="1" si="208"/>
        <v>602.50505466107904</v>
      </c>
      <c r="I718" s="1">
        <f t="shared" ca="1" si="210"/>
        <v>150</v>
      </c>
      <c r="J718" s="1">
        <f t="shared" ca="1" si="210"/>
        <v>253.98314732142899</v>
      </c>
      <c r="K718" s="1">
        <f t="shared" ca="1" si="210"/>
        <v>32.583525000000002</v>
      </c>
      <c r="L718" s="1">
        <f t="shared" ca="1" si="210"/>
        <v>253.98314732142899</v>
      </c>
      <c r="M718" s="1">
        <f t="shared" ca="1" si="210"/>
        <v>32.583525000000002</v>
      </c>
      <c r="N718" s="1">
        <f t="shared" ca="1" si="210"/>
        <v>0.2</v>
      </c>
      <c r="O718" s="1">
        <f t="shared" ca="1" si="210"/>
        <v>0.2</v>
      </c>
      <c r="P718" s="1">
        <f t="shared" ca="1" si="210"/>
        <v>0.36</v>
      </c>
      <c r="Q718" s="1">
        <f t="shared" ca="1" si="210"/>
        <v>0.1</v>
      </c>
      <c r="R718" s="1">
        <f t="shared" ca="1" si="210"/>
        <v>2</v>
      </c>
      <c r="S718" s="1">
        <f t="shared" ca="1" si="211"/>
        <v>0.1</v>
      </c>
      <c r="T718" s="1">
        <f t="shared" ca="1" si="211"/>
        <v>0.9</v>
      </c>
      <c r="U718" s="1">
        <f t="shared" ca="1" si="211"/>
        <v>44.466666666666697</v>
      </c>
      <c r="V718" s="1">
        <f t="shared" ca="1" si="211"/>
        <v>0</v>
      </c>
      <c r="W718" s="1">
        <f t="shared" ca="1" si="211"/>
        <v>0</v>
      </c>
      <c r="X718" s="1">
        <f t="shared" ca="1" si="211"/>
        <v>0</v>
      </c>
      <c r="Y718" s="1">
        <f t="shared" ca="1" si="211"/>
        <v>0</v>
      </c>
      <c r="Z718" s="1">
        <f t="shared" ca="1" si="211"/>
        <v>49.505189732142895</v>
      </c>
      <c r="AA718" s="1">
        <f t="shared" ca="1" si="211"/>
        <v>0</v>
      </c>
      <c r="AB718" s="1">
        <f t="shared" ca="1" si="206"/>
        <v>0</v>
      </c>
      <c r="AC718" s="1">
        <f t="shared" ca="1" si="211"/>
        <v>32.583525000000002</v>
      </c>
      <c r="AD718" s="1">
        <f t="shared" ca="1" si="211"/>
        <v>32.583525000000002</v>
      </c>
      <c r="AE718" s="1">
        <f t="shared" ca="1" si="211"/>
        <v>32.583525000000002</v>
      </c>
      <c r="AF718" s="1">
        <f t="shared" ca="1" si="211"/>
        <v>32.583525000000002</v>
      </c>
      <c r="AG718" s="1">
        <f t="shared" ca="1" si="211"/>
        <v>48.875287499999999</v>
      </c>
      <c r="AH718" s="1">
        <f t="shared" ca="1" si="211"/>
        <v>32.583525000000002</v>
      </c>
      <c r="AI718" s="1">
        <f t="shared" ca="1" si="194"/>
        <v>32.583525000000002</v>
      </c>
    </row>
    <row r="719" spans="2:35" x14ac:dyDescent="0.15">
      <c r="B719" s="1" t="str">
        <f t="shared" si="209"/>
        <v>光系24</v>
      </c>
      <c r="C719" s="1">
        <f t="shared" si="199"/>
        <v>24</v>
      </c>
      <c r="D719" s="14" t="s">
        <v>97</v>
      </c>
      <c r="E719" s="14">
        <f t="shared" si="200"/>
        <v>8</v>
      </c>
      <c r="F719" s="1" t="str">
        <f t="shared" si="207"/>
        <v>神圣</v>
      </c>
      <c r="H719" s="1">
        <f t="shared" ca="1" si="208"/>
        <v>632.35616454823003</v>
      </c>
      <c r="I719" s="1">
        <f t="shared" ca="1" si="210"/>
        <v>150</v>
      </c>
      <c r="J719" s="1">
        <f t="shared" ca="1" si="210"/>
        <v>267.14780652418398</v>
      </c>
      <c r="K719" s="1">
        <f t="shared" ca="1" si="210"/>
        <v>34.0002</v>
      </c>
      <c r="L719" s="1">
        <f t="shared" ca="1" si="210"/>
        <v>267.14780652418398</v>
      </c>
      <c r="M719" s="1">
        <f t="shared" ca="1" si="210"/>
        <v>34.0002</v>
      </c>
      <c r="N719" s="1">
        <f t="shared" ca="1" si="210"/>
        <v>0.2</v>
      </c>
      <c r="O719" s="1">
        <f t="shared" ca="1" si="210"/>
        <v>0.2</v>
      </c>
      <c r="P719" s="1">
        <f t="shared" ca="1" si="210"/>
        <v>0.36</v>
      </c>
      <c r="Q719" s="1">
        <f t="shared" ca="1" si="210"/>
        <v>0.1</v>
      </c>
      <c r="R719" s="1">
        <f t="shared" ca="1" si="210"/>
        <v>2</v>
      </c>
      <c r="S719" s="1">
        <f t="shared" ca="1" si="211"/>
        <v>0.1</v>
      </c>
      <c r="T719" s="1">
        <f t="shared" ca="1" si="211"/>
        <v>0.9</v>
      </c>
      <c r="U719" s="1">
        <f t="shared" ca="1" si="211"/>
        <v>46.4</v>
      </c>
      <c r="V719" s="1">
        <f t="shared" ca="1" si="211"/>
        <v>0</v>
      </c>
      <c r="W719" s="1">
        <f t="shared" ca="1" si="211"/>
        <v>0</v>
      </c>
      <c r="X719" s="1">
        <f t="shared" ca="1" si="211"/>
        <v>0</v>
      </c>
      <c r="Y719" s="1">
        <f t="shared" ca="1" si="211"/>
        <v>0</v>
      </c>
      <c r="Z719" s="1">
        <f t="shared" ca="1" si="211"/>
        <v>54.643869516310502</v>
      </c>
      <c r="AA719" s="1">
        <f t="shared" ca="1" si="211"/>
        <v>0</v>
      </c>
      <c r="AB719" s="1">
        <f t="shared" ca="1" si="211"/>
        <v>0</v>
      </c>
      <c r="AC719" s="1">
        <f t="shared" ca="1" si="211"/>
        <v>34.0002</v>
      </c>
      <c r="AD719" s="1">
        <f t="shared" ca="1" si="211"/>
        <v>34.0002</v>
      </c>
      <c r="AE719" s="1">
        <f t="shared" ca="1" si="211"/>
        <v>34.0002</v>
      </c>
      <c r="AF719" s="1">
        <f t="shared" ca="1" si="211"/>
        <v>34.0002</v>
      </c>
      <c r="AG719" s="1">
        <f t="shared" ca="1" si="211"/>
        <v>51.000299999999996</v>
      </c>
      <c r="AH719" s="1">
        <f t="shared" ca="1" si="211"/>
        <v>34.0002</v>
      </c>
      <c r="AI719" s="1">
        <f t="shared" ca="1" si="194"/>
        <v>34.0002</v>
      </c>
    </row>
    <row r="720" spans="2:35" x14ac:dyDescent="0.15">
      <c r="B720" s="1" t="str">
        <f t="shared" si="209"/>
        <v>光系25</v>
      </c>
      <c r="C720" s="1">
        <f t="shared" si="199"/>
        <v>25</v>
      </c>
      <c r="D720" s="14" t="s">
        <v>97</v>
      </c>
      <c r="E720" s="14">
        <f t="shared" si="200"/>
        <v>8</v>
      </c>
      <c r="F720" s="1" t="str">
        <f t="shared" si="207"/>
        <v>神圣</v>
      </c>
      <c r="H720" s="1">
        <f t="shared" ca="1" si="208"/>
        <v>662.51187759749598</v>
      </c>
      <c r="I720" s="1">
        <f t="shared" ca="1" si="210"/>
        <v>150</v>
      </c>
      <c r="J720" s="1">
        <f t="shared" ca="1" si="210"/>
        <v>280.50595238095201</v>
      </c>
      <c r="K720" s="1">
        <f t="shared" ca="1" si="210"/>
        <v>35.416874999999997</v>
      </c>
      <c r="L720" s="1">
        <f t="shared" ca="1" si="210"/>
        <v>280.50595238095201</v>
      </c>
      <c r="M720" s="1">
        <f t="shared" ca="1" si="210"/>
        <v>35.416874999999997</v>
      </c>
      <c r="N720" s="1">
        <f t="shared" ca="1" si="210"/>
        <v>0.2</v>
      </c>
      <c r="O720" s="1">
        <f t="shared" ca="1" si="210"/>
        <v>0.2</v>
      </c>
      <c r="P720" s="1">
        <f t="shared" ca="1" si="210"/>
        <v>0.36</v>
      </c>
      <c r="Q720" s="1">
        <f t="shared" ca="1" si="210"/>
        <v>0.1</v>
      </c>
      <c r="R720" s="1">
        <f t="shared" ca="1" si="210"/>
        <v>2</v>
      </c>
      <c r="S720" s="1">
        <f t="shared" ca="1" si="211"/>
        <v>0.1</v>
      </c>
      <c r="T720" s="1">
        <f t="shared" ca="1" si="211"/>
        <v>0.9</v>
      </c>
      <c r="U720" s="1">
        <f t="shared" ca="1" si="211"/>
        <v>48.3333333333333</v>
      </c>
      <c r="V720" s="1">
        <f t="shared" ca="1" si="211"/>
        <v>0</v>
      </c>
      <c r="W720" s="1">
        <f t="shared" ca="1" si="211"/>
        <v>0</v>
      </c>
      <c r="X720" s="1">
        <f t="shared" ca="1" si="211"/>
        <v>0</v>
      </c>
      <c r="Y720" s="1">
        <f t="shared" ca="1" si="211"/>
        <v>0</v>
      </c>
      <c r="Z720" s="1">
        <f t="shared" ca="1" si="211"/>
        <v>60.1084183673469</v>
      </c>
      <c r="AA720" s="1">
        <f t="shared" ca="1" si="211"/>
        <v>0</v>
      </c>
      <c r="AB720" s="1">
        <f t="shared" ca="1" si="211"/>
        <v>0</v>
      </c>
      <c r="AC720" s="1">
        <f t="shared" ca="1" si="211"/>
        <v>35.416874999999997</v>
      </c>
      <c r="AD720" s="1">
        <f t="shared" ca="1" si="211"/>
        <v>35.416874999999997</v>
      </c>
      <c r="AE720" s="1">
        <f t="shared" ca="1" si="211"/>
        <v>35.416874999999997</v>
      </c>
      <c r="AF720" s="1">
        <f t="shared" ca="1" si="211"/>
        <v>35.416874999999997</v>
      </c>
      <c r="AG720" s="1">
        <f t="shared" ca="1" si="211"/>
        <v>53.125312499999993</v>
      </c>
      <c r="AH720" s="1">
        <f t="shared" ca="1" si="211"/>
        <v>35.416874999999997</v>
      </c>
      <c r="AI720" s="1">
        <f t="shared" ca="1" si="194"/>
        <v>35.416874999999997</v>
      </c>
    </row>
    <row r="721" spans="2:35" x14ac:dyDescent="0.15">
      <c r="B721" s="1" t="str">
        <f t="shared" si="209"/>
        <v>光系26</v>
      </c>
      <c r="C721" s="1">
        <f t="shared" si="199"/>
        <v>26</v>
      </c>
      <c r="D721" s="14" t="s">
        <v>97</v>
      </c>
      <c r="E721" s="14">
        <f t="shared" si="200"/>
        <v>8</v>
      </c>
      <c r="F721" s="1" t="str">
        <f t="shared" si="207"/>
        <v>神圣</v>
      </c>
      <c r="H721" s="1">
        <f t="shared" ca="1" si="208"/>
        <v>692.97219380887498</v>
      </c>
      <c r="I721" s="1">
        <f t="shared" ca="1" si="210"/>
        <v>150</v>
      </c>
      <c r="J721" s="1">
        <f t="shared" ca="1" si="210"/>
        <v>294.06</v>
      </c>
      <c r="K721" s="1">
        <f t="shared" ca="1" si="210"/>
        <v>36.833550000000002</v>
      </c>
      <c r="L721" s="1">
        <f t="shared" ca="1" si="210"/>
        <v>294.06</v>
      </c>
      <c r="M721" s="1">
        <f t="shared" ca="1" si="210"/>
        <v>36.833550000000002</v>
      </c>
      <c r="N721" s="1">
        <f t="shared" ca="1" si="210"/>
        <v>0.2</v>
      </c>
      <c r="O721" s="1">
        <f t="shared" ca="1" si="210"/>
        <v>0.2</v>
      </c>
      <c r="P721" s="1">
        <f t="shared" ca="1" si="210"/>
        <v>0.36</v>
      </c>
      <c r="Q721" s="1">
        <f t="shared" ca="1" si="210"/>
        <v>0.1</v>
      </c>
      <c r="R721" s="1">
        <f t="shared" ca="1" si="210"/>
        <v>2</v>
      </c>
      <c r="S721" s="1">
        <f t="shared" ca="1" si="211"/>
        <v>0.1</v>
      </c>
      <c r="T721" s="1">
        <f t="shared" ca="1" si="211"/>
        <v>0.9</v>
      </c>
      <c r="U721" s="1">
        <f t="shared" ca="1" si="211"/>
        <v>50.266666666666701</v>
      </c>
      <c r="V721" s="1">
        <f t="shared" ca="1" si="211"/>
        <v>0</v>
      </c>
      <c r="W721" s="1">
        <f t="shared" ca="1" si="211"/>
        <v>0</v>
      </c>
      <c r="X721" s="1">
        <f t="shared" ca="1" si="211"/>
        <v>0</v>
      </c>
      <c r="Y721" s="1">
        <f t="shared" ca="1" si="211"/>
        <v>0</v>
      </c>
      <c r="Z721" s="1">
        <f t="shared" ca="1" si="211"/>
        <v>65.91</v>
      </c>
      <c r="AA721" s="1">
        <f t="shared" ca="1" si="211"/>
        <v>0</v>
      </c>
      <c r="AB721" s="1">
        <f t="shared" ca="1" si="211"/>
        <v>0</v>
      </c>
      <c r="AC721" s="1">
        <f t="shared" ca="1" si="211"/>
        <v>36.833550000000002</v>
      </c>
      <c r="AD721" s="1">
        <f t="shared" ca="1" si="211"/>
        <v>36.833550000000002</v>
      </c>
      <c r="AE721" s="1">
        <f t="shared" ca="1" si="211"/>
        <v>36.833550000000002</v>
      </c>
      <c r="AF721" s="1">
        <f t="shared" ca="1" si="211"/>
        <v>36.833550000000002</v>
      </c>
      <c r="AG721" s="1">
        <f t="shared" ca="1" si="211"/>
        <v>55.250325000000004</v>
      </c>
      <c r="AH721" s="1">
        <f t="shared" ca="1" si="211"/>
        <v>36.833550000000002</v>
      </c>
      <c r="AI721" s="1">
        <f t="shared" ca="1" si="194"/>
        <v>36.833550000000002</v>
      </c>
    </row>
    <row r="722" spans="2:35" x14ac:dyDescent="0.15">
      <c r="B722" s="1" t="str">
        <f t="shared" si="209"/>
        <v>光系27</v>
      </c>
      <c r="C722" s="1">
        <f t="shared" si="199"/>
        <v>27</v>
      </c>
      <c r="D722" s="14" t="s">
        <v>97</v>
      </c>
      <c r="E722" s="14">
        <f t="shared" si="200"/>
        <v>8</v>
      </c>
      <c r="F722" s="1" t="str">
        <f t="shared" si="207"/>
        <v>神圣</v>
      </c>
      <c r="H722" s="1">
        <f t="shared" ca="1" si="208"/>
        <v>723.73711318236803</v>
      </c>
      <c r="I722" s="1">
        <f t="shared" ca="1" si="210"/>
        <v>150</v>
      </c>
      <c r="J722" s="1">
        <f t="shared" ca="1" si="210"/>
        <v>307.81244239631297</v>
      </c>
      <c r="K722" s="1">
        <f t="shared" ca="1" si="210"/>
        <v>38.250225</v>
      </c>
      <c r="L722" s="1">
        <f t="shared" ca="1" si="210"/>
        <v>307.81244239631297</v>
      </c>
      <c r="M722" s="1">
        <f t="shared" ca="1" si="210"/>
        <v>38.250225</v>
      </c>
      <c r="N722" s="1">
        <f t="shared" ca="1" si="210"/>
        <v>0.2</v>
      </c>
      <c r="O722" s="1">
        <f t="shared" ca="1" si="210"/>
        <v>0.2</v>
      </c>
      <c r="P722" s="1">
        <f t="shared" ca="1" si="210"/>
        <v>0.36</v>
      </c>
      <c r="Q722" s="1">
        <f t="shared" ca="1" si="210"/>
        <v>0.1</v>
      </c>
      <c r="R722" s="1">
        <f t="shared" ca="1" si="210"/>
        <v>2</v>
      </c>
      <c r="S722" s="1">
        <f t="shared" ca="1" si="211"/>
        <v>0.1</v>
      </c>
      <c r="T722" s="1">
        <f t="shared" ca="1" si="211"/>
        <v>0.9</v>
      </c>
      <c r="U722" s="1">
        <f t="shared" ca="1" si="211"/>
        <v>52.2</v>
      </c>
      <c r="V722" s="1">
        <f t="shared" ca="1" si="211"/>
        <v>0</v>
      </c>
      <c r="W722" s="1">
        <f t="shared" ca="1" si="211"/>
        <v>0</v>
      </c>
      <c r="X722" s="1">
        <f t="shared" ca="1" si="211"/>
        <v>0</v>
      </c>
      <c r="Y722" s="1">
        <f t="shared" ca="1" si="211"/>
        <v>0</v>
      </c>
      <c r="Z722" s="1">
        <f t="shared" ca="1" si="211"/>
        <v>72.060138248847892</v>
      </c>
      <c r="AA722" s="1">
        <f t="shared" ca="1" si="211"/>
        <v>0</v>
      </c>
      <c r="AB722" s="1">
        <f t="shared" ca="1" si="211"/>
        <v>0</v>
      </c>
      <c r="AC722" s="1">
        <f t="shared" ca="1" si="211"/>
        <v>38.250225</v>
      </c>
      <c r="AD722" s="1">
        <f t="shared" ca="1" si="211"/>
        <v>38.250225</v>
      </c>
      <c r="AE722" s="1">
        <f t="shared" ca="1" si="211"/>
        <v>38.250225</v>
      </c>
      <c r="AF722" s="1">
        <f t="shared" ca="1" si="211"/>
        <v>38.250225</v>
      </c>
      <c r="AG722" s="1">
        <f t="shared" ca="1" si="211"/>
        <v>57.375337500000001</v>
      </c>
      <c r="AH722" s="1">
        <f t="shared" ca="1" si="211"/>
        <v>38.250225</v>
      </c>
      <c r="AI722" s="1">
        <f t="shared" ca="1" si="194"/>
        <v>38.250225</v>
      </c>
    </row>
    <row r="723" spans="2:35" x14ac:dyDescent="0.15">
      <c r="B723" s="1" t="str">
        <f t="shared" si="209"/>
        <v>光系28</v>
      </c>
      <c r="C723" s="1">
        <f t="shared" si="199"/>
        <v>28</v>
      </c>
      <c r="D723" s="14" t="s">
        <v>97</v>
      </c>
      <c r="E723" s="14">
        <f t="shared" si="200"/>
        <v>8</v>
      </c>
      <c r="F723" s="1" t="str">
        <f t="shared" si="207"/>
        <v>神圣</v>
      </c>
      <c r="H723" s="1">
        <f t="shared" ca="1" si="208"/>
        <v>754.80663571797402</v>
      </c>
      <c r="I723" s="1">
        <f t="shared" ref="I723:R732" ca="1" si="212">mVlookup($C723,monsterBaseDate,I$2,FALSE)*(1+mVlookup($E723,monsterType,I$2,FALSE))</f>
        <v>150</v>
      </c>
      <c r="J723" s="1">
        <f t="shared" ca="1" si="212"/>
        <v>321.76585365853703</v>
      </c>
      <c r="K723" s="1">
        <f t="shared" ca="1" si="212"/>
        <v>39.666899999999998</v>
      </c>
      <c r="L723" s="1">
        <f t="shared" ca="1" si="212"/>
        <v>321.76585365853703</v>
      </c>
      <c r="M723" s="1">
        <f t="shared" ca="1" si="212"/>
        <v>39.666899999999998</v>
      </c>
      <c r="N723" s="1">
        <f t="shared" ca="1" si="212"/>
        <v>0.2</v>
      </c>
      <c r="O723" s="1">
        <f t="shared" ca="1" si="212"/>
        <v>0.2</v>
      </c>
      <c r="P723" s="1">
        <f t="shared" ca="1" si="212"/>
        <v>0.36</v>
      </c>
      <c r="Q723" s="1">
        <f t="shared" ca="1" si="212"/>
        <v>0.1</v>
      </c>
      <c r="R723" s="1">
        <f t="shared" ca="1" si="212"/>
        <v>2</v>
      </c>
      <c r="S723" s="1">
        <f t="shared" ref="S723:AH738" ca="1" si="213">mVlookup($C723,monsterBaseDate,S$2,FALSE)*(1+mVlookup($E723,monsterType,S$2,FALSE))</f>
        <v>0.1</v>
      </c>
      <c r="T723" s="1">
        <f t="shared" ca="1" si="213"/>
        <v>0.9</v>
      </c>
      <c r="U723" s="1">
        <f t="shared" ca="1" si="213"/>
        <v>54.133333333333297</v>
      </c>
      <c r="V723" s="1">
        <f t="shared" ca="1" si="213"/>
        <v>0</v>
      </c>
      <c r="W723" s="1">
        <f t="shared" ca="1" si="213"/>
        <v>0</v>
      </c>
      <c r="X723" s="1">
        <f t="shared" ca="1" si="213"/>
        <v>0</v>
      </c>
      <c r="Y723" s="1">
        <f t="shared" ca="1" si="213"/>
        <v>0</v>
      </c>
      <c r="Z723" s="1">
        <f t="shared" ca="1" si="213"/>
        <v>78.570731707317151</v>
      </c>
      <c r="AA723" s="1">
        <f t="shared" ca="1" si="213"/>
        <v>0</v>
      </c>
      <c r="AB723" s="1">
        <f t="shared" ca="1" si="211"/>
        <v>0</v>
      </c>
      <c r="AC723" s="1">
        <f t="shared" ca="1" si="213"/>
        <v>39.666899999999998</v>
      </c>
      <c r="AD723" s="1">
        <f t="shared" ca="1" si="213"/>
        <v>39.666899999999998</v>
      </c>
      <c r="AE723" s="1">
        <f t="shared" ca="1" si="213"/>
        <v>39.666899999999998</v>
      </c>
      <c r="AF723" s="1">
        <f t="shared" ca="1" si="213"/>
        <v>39.666899999999998</v>
      </c>
      <c r="AG723" s="1">
        <f t="shared" ca="1" si="213"/>
        <v>59.500349999999997</v>
      </c>
      <c r="AH723" s="1">
        <f t="shared" ca="1" si="213"/>
        <v>39.666899999999998</v>
      </c>
      <c r="AI723" s="1">
        <f t="shared" ref="AI723:AI786" ca="1" si="214">mVlookup($C723,monsterBaseDate,AI$2,FALSE)*(1+mVlookup($E723,monsterType,AI$2,FALSE))</f>
        <v>39.666899999999998</v>
      </c>
    </row>
    <row r="724" spans="2:35" x14ac:dyDescent="0.15">
      <c r="B724" s="1" t="str">
        <f t="shared" si="209"/>
        <v>光系29</v>
      </c>
      <c r="C724" s="1">
        <f t="shared" si="199"/>
        <v>29</v>
      </c>
      <c r="D724" s="14" t="s">
        <v>97</v>
      </c>
      <c r="E724" s="14">
        <f t="shared" si="200"/>
        <v>8</v>
      </c>
      <c r="F724" s="1" t="str">
        <f t="shared" si="207"/>
        <v>神圣</v>
      </c>
      <c r="H724" s="1">
        <f t="shared" ca="1" si="208"/>
        <v>786.18076141569497</v>
      </c>
      <c r="I724" s="1">
        <f t="shared" ca="1" si="212"/>
        <v>150</v>
      </c>
      <c r="J724" s="1">
        <f t="shared" ca="1" si="212"/>
        <v>335.92289227166299</v>
      </c>
      <c r="K724" s="1">
        <f t="shared" ca="1" si="212"/>
        <v>41.083575000000003</v>
      </c>
      <c r="L724" s="1">
        <f t="shared" ca="1" si="212"/>
        <v>335.92289227166299</v>
      </c>
      <c r="M724" s="1">
        <f t="shared" ca="1" si="212"/>
        <v>41.083575000000003</v>
      </c>
      <c r="N724" s="1">
        <f t="shared" ca="1" si="212"/>
        <v>0.2</v>
      </c>
      <c r="O724" s="1">
        <f t="shared" ca="1" si="212"/>
        <v>0.2</v>
      </c>
      <c r="P724" s="1">
        <f t="shared" ca="1" si="212"/>
        <v>0.36</v>
      </c>
      <c r="Q724" s="1">
        <f t="shared" ca="1" si="212"/>
        <v>0.1</v>
      </c>
      <c r="R724" s="1">
        <f t="shared" ca="1" si="212"/>
        <v>2</v>
      </c>
      <c r="S724" s="1">
        <f t="shared" ca="1" si="213"/>
        <v>0.1</v>
      </c>
      <c r="T724" s="1">
        <f t="shared" ca="1" si="213"/>
        <v>0.9</v>
      </c>
      <c r="U724" s="1">
        <f t="shared" ca="1" si="213"/>
        <v>56.066666666666698</v>
      </c>
      <c r="V724" s="1">
        <f t="shared" ca="1" si="213"/>
        <v>0</v>
      </c>
      <c r="W724" s="1">
        <f t="shared" ca="1" si="213"/>
        <v>0</v>
      </c>
      <c r="X724" s="1">
        <f t="shared" ca="1" si="213"/>
        <v>0</v>
      </c>
      <c r="Y724" s="1">
        <f t="shared" ca="1" si="213"/>
        <v>0</v>
      </c>
      <c r="Z724" s="1">
        <f t="shared" ca="1" si="213"/>
        <v>85.45406908665106</v>
      </c>
      <c r="AA724" s="1">
        <f t="shared" ca="1" si="213"/>
        <v>0</v>
      </c>
      <c r="AB724" s="1">
        <f t="shared" ca="1" si="211"/>
        <v>0</v>
      </c>
      <c r="AC724" s="1">
        <f t="shared" ca="1" si="213"/>
        <v>41.083575000000003</v>
      </c>
      <c r="AD724" s="1">
        <f t="shared" ca="1" si="213"/>
        <v>41.083575000000003</v>
      </c>
      <c r="AE724" s="1">
        <f t="shared" ca="1" si="213"/>
        <v>41.083575000000003</v>
      </c>
      <c r="AF724" s="1">
        <f t="shared" ca="1" si="213"/>
        <v>41.083575000000003</v>
      </c>
      <c r="AG724" s="1">
        <f t="shared" ca="1" si="213"/>
        <v>61.625362500000008</v>
      </c>
      <c r="AH724" s="1">
        <f t="shared" ca="1" si="213"/>
        <v>41.083575000000003</v>
      </c>
      <c r="AI724" s="1">
        <f t="shared" ca="1" si="214"/>
        <v>41.083575000000003</v>
      </c>
    </row>
    <row r="725" spans="2:35" x14ac:dyDescent="0.15">
      <c r="B725" s="1" t="str">
        <f t="shared" si="209"/>
        <v>光系30</v>
      </c>
      <c r="C725" s="1">
        <f t="shared" si="199"/>
        <v>30</v>
      </c>
      <c r="D725" s="14" t="s">
        <v>97</v>
      </c>
      <c r="E725" s="14">
        <f t="shared" si="200"/>
        <v>8</v>
      </c>
      <c r="F725" s="1" t="str">
        <f t="shared" si="207"/>
        <v>神圣</v>
      </c>
      <c r="H725" s="1">
        <f t="shared" ca="1" si="208"/>
        <v>817.85949027552897</v>
      </c>
      <c r="I725" s="1">
        <f t="shared" ca="1" si="212"/>
        <v>150</v>
      </c>
      <c r="J725" s="1">
        <f t="shared" ca="1" si="212"/>
        <v>350.28630460448602</v>
      </c>
      <c r="K725" s="1">
        <f t="shared" ca="1" si="212"/>
        <v>42.500250000000001</v>
      </c>
      <c r="L725" s="1">
        <f t="shared" ca="1" si="212"/>
        <v>350.28630460448602</v>
      </c>
      <c r="M725" s="1">
        <f t="shared" ca="1" si="212"/>
        <v>42.500250000000001</v>
      </c>
      <c r="N725" s="1">
        <f t="shared" ca="1" si="212"/>
        <v>0.2</v>
      </c>
      <c r="O725" s="1">
        <f t="shared" ca="1" si="212"/>
        <v>0.2</v>
      </c>
      <c r="P725" s="1">
        <f t="shared" ca="1" si="212"/>
        <v>0.36</v>
      </c>
      <c r="Q725" s="1">
        <f t="shared" ca="1" si="212"/>
        <v>0.1</v>
      </c>
      <c r="R725" s="1">
        <f t="shared" ca="1" si="212"/>
        <v>2</v>
      </c>
      <c r="S725" s="1">
        <f t="shared" ca="1" si="213"/>
        <v>0.1</v>
      </c>
      <c r="T725" s="1">
        <f t="shared" ca="1" si="213"/>
        <v>0.9</v>
      </c>
      <c r="U725" s="1">
        <f t="shared" ca="1" si="213"/>
        <v>58</v>
      </c>
      <c r="V725" s="1">
        <f t="shared" ca="1" si="213"/>
        <v>0</v>
      </c>
      <c r="W725" s="1">
        <f t="shared" ca="1" si="213"/>
        <v>0</v>
      </c>
      <c r="X725" s="1">
        <f t="shared" ca="1" si="213"/>
        <v>0</v>
      </c>
      <c r="Y725" s="1">
        <f t="shared" ca="1" si="213"/>
        <v>0</v>
      </c>
      <c r="Z725" s="1">
        <f t="shared" ca="1" si="213"/>
        <v>92.72284533648164</v>
      </c>
      <c r="AA725" s="1">
        <f t="shared" ca="1" si="213"/>
        <v>0</v>
      </c>
      <c r="AB725" s="1">
        <f t="shared" ca="1" si="211"/>
        <v>0</v>
      </c>
      <c r="AC725" s="1">
        <f t="shared" ca="1" si="213"/>
        <v>42.500250000000001</v>
      </c>
      <c r="AD725" s="1">
        <f t="shared" ca="1" si="213"/>
        <v>42.500250000000001</v>
      </c>
      <c r="AE725" s="1">
        <f t="shared" ca="1" si="213"/>
        <v>42.500250000000001</v>
      </c>
      <c r="AF725" s="1">
        <f t="shared" ca="1" si="213"/>
        <v>42.500250000000001</v>
      </c>
      <c r="AG725" s="1">
        <f t="shared" ca="1" si="213"/>
        <v>63.750375000000005</v>
      </c>
      <c r="AH725" s="1">
        <f t="shared" ca="1" si="213"/>
        <v>42.500250000000001</v>
      </c>
      <c r="AI725" s="1">
        <f t="shared" ca="1" si="214"/>
        <v>42.500250000000001</v>
      </c>
    </row>
    <row r="726" spans="2:35" x14ac:dyDescent="0.15">
      <c r="B726" s="1" t="str">
        <f t="shared" si="209"/>
        <v>光系31</v>
      </c>
      <c r="C726" s="1">
        <f t="shared" si="199"/>
        <v>31</v>
      </c>
      <c r="D726" s="14" t="s">
        <v>97</v>
      </c>
      <c r="E726" s="14">
        <f t="shared" si="200"/>
        <v>8</v>
      </c>
      <c r="F726" s="1" t="str">
        <f t="shared" si="207"/>
        <v>神圣</v>
      </c>
      <c r="H726" s="1">
        <f t="shared" ca="1" si="208"/>
        <v>849.84282229747703</v>
      </c>
      <c r="I726" s="1">
        <f t="shared" ca="1" si="212"/>
        <v>150</v>
      </c>
      <c r="J726" s="1">
        <f t="shared" ca="1" si="212"/>
        <v>364.85892857142898</v>
      </c>
      <c r="K726" s="1">
        <f t="shared" ca="1" si="212"/>
        <v>43.916924999999999</v>
      </c>
      <c r="L726" s="1">
        <f t="shared" ca="1" si="212"/>
        <v>364.85892857142898</v>
      </c>
      <c r="M726" s="1">
        <f t="shared" ca="1" si="212"/>
        <v>43.916924999999999</v>
      </c>
      <c r="N726" s="1">
        <f t="shared" ca="1" si="212"/>
        <v>0.2</v>
      </c>
      <c r="O726" s="1">
        <f t="shared" ca="1" si="212"/>
        <v>0.2</v>
      </c>
      <c r="P726" s="1">
        <f t="shared" ca="1" si="212"/>
        <v>0.36</v>
      </c>
      <c r="Q726" s="1">
        <f t="shared" ca="1" si="212"/>
        <v>0.1</v>
      </c>
      <c r="R726" s="1">
        <f t="shared" ca="1" si="212"/>
        <v>2</v>
      </c>
      <c r="S726" s="1">
        <f t="shared" ca="1" si="213"/>
        <v>0.1</v>
      </c>
      <c r="T726" s="1">
        <f t="shared" ca="1" si="213"/>
        <v>0.9</v>
      </c>
      <c r="U726" s="1">
        <f t="shared" ca="1" si="213"/>
        <v>59.933333333333302</v>
      </c>
      <c r="V726" s="1">
        <f t="shared" ca="1" si="213"/>
        <v>0</v>
      </c>
      <c r="W726" s="1">
        <f t="shared" ca="1" si="213"/>
        <v>0</v>
      </c>
      <c r="X726" s="1">
        <f t="shared" ca="1" si="213"/>
        <v>0</v>
      </c>
      <c r="Y726" s="1">
        <f t="shared" ca="1" si="213"/>
        <v>0</v>
      </c>
      <c r="Z726" s="1">
        <f t="shared" ca="1" si="213"/>
        <v>100.39017857142855</v>
      </c>
      <c r="AA726" s="1">
        <f t="shared" ca="1" si="213"/>
        <v>0</v>
      </c>
      <c r="AB726" s="1">
        <f t="shared" ca="1" si="211"/>
        <v>0</v>
      </c>
      <c r="AC726" s="1">
        <f t="shared" ca="1" si="213"/>
        <v>43.916924999999999</v>
      </c>
      <c r="AD726" s="1">
        <f t="shared" ca="1" si="213"/>
        <v>43.916924999999999</v>
      </c>
      <c r="AE726" s="1">
        <f t="shared" ca="1" si="213"/>
        <v>43.916924999999999</v>
      </c>
      <c r="AF726" s="1">
        <f t="shared" ca="1" si="213"/>
        <v>43.916924999999999</v>
      </c>
      <c r="AG726" s="1">
        <f t="shared" ca="1" si="213"/>
        <v>65.875387500000002</v>
      </c>
      <c r="AH726" s="1">
        <f t="shared" ca="1" si="213"/>
        <v>43.916924999999999</v>
      </c>
      <c r="AI726" s="1">
        <f t="shared" ca="1" si="214"/>
        <v>43.916924999999999</v>
      </c>
    </row>
    <row r="727" spans="2:35" x14ac:dyDescent="0.15">
      <c r="B727" s="1" t="str">
        <f t="shared" si="209"/>
        <v>光系32</v>
      </c>
      <c r="C727" s="1">
        <f t="shared" si="199"/>
        <v>32</v>
      </c>
      <c r="D727" s="14" t="s">
        <v>97</v>
      </c>
      <c r="E727" s="14">
        <f t="shared" si="200"/>
        <v>8</v>
      </c>
      <c r="F727" s="1" t="str">
        <f t="shared" si="207"/>
        <v>神圣</v>
      </c>
      <c r="H727" s="1">
        <f t="shared" ca="1" si="208"/>
        <v>882.13075748153904</v>
      </c>
      <c r="I727" s="1">
        <f t="shared" ca="1" si="212"/>
        <v>150</v>
      </c>
      <c r="J727" s="1">
        <f t="shared" ca="1" si="212"/>
        <v>379.64369747899201</v>
      </c>
      <c r="K727" s="1">
        <f t="shared" ca="1" si="212"/>
        <v>45.333599999999997</v>
      </c>
      <c r="L727" s="1">
        <f t="shared" ca="1" si="212"/>
        <v>379.64369747899201</v>
      </c>
      <c r="M727" s="1">
        <f t="shared" ca="1" si="212"/>
        <v>45.333599999999997</v>
      </c>
      <c r="N727" s="1">
        <f t="shared" ca="1" si="212"/>
        <v>0.2</v>
      </c>
      <c r="O727" s="1">
        <f t="shared" ca="1" si="212"/>
        <v>0.2</v>
      </c>
      <c r="P727" s="1">
        <f t="shared" ca="1" si="212"/>
        <v>0.36</v>
      </c>
      <c r="Q727" s="1">
        <f t="shared" ca="1" si="212"/>
        <v>0.1</v>
      </c>
      <c r="R727" s="1">
        <f t="shared" ca="1" si="212"/>
        <v>2</v>
      </c>
      <c r="S727" s="1">
        <f t="shared" ca="1" si="213"/>
        <v>0.1</v>
      </c>
      <c r="T727" s="1">
        <f t="shared" ca="1" si="213"/>
        <v>0.9</v>
      </c>
      <c r="U727" s="1">
        <f t="shared" ca="1" si="213"/>
        <v>61.866666666666703</v>
      </c>
      <c r="V727" s="1">
        <f t="shared" ca="1" si="213"/>
        <v>0</v>
      </c>
      <c r="W727" s="1">
        <f t="shared" ca="1" si="213"/>
        <v>0</v>
      </c>
      <c r="X727" s="1">
        <f t="shared" ca="1" si="213"/>
        <v>0</v>
      </c>
      <c r="Y727" s="1">
        <f t="shared" ca="1" si="213"/>
        <v>0</v>
      </c>
      <c r="Z727" s="1">
        <f t="shared" ca="1" si="213"/>
        <v>108.46962785114042</v>
      </c>
      <c r="AA727" s="1">
        <f t="shared" ca="1" si="213"/>
        <v>0</v>
      </c>
      <c r="AB727" s="1">
        <f t="shared" ca="1" si="211"/>
        <v>0</v>
      </c>
      <c r="AC727" s="1">
        <f t="shared" ca="1" si="213"/>
        <v>45.333599999999997</v>
      </c>
      <c r="AD727" s="1">
        <f t="shared" ca="1" si="213"/>
        <v>45.333599999999997</v>
      </c>
      <c r="AE727" s="1">
        <f t="shared" ca="1" si="213"/>
        <v>45.333599999999997</v>
      </c>
      <c r="AF727" s="1">
        <f t="shared" ca="1" si="213"/>
        <v>45.333599999999997</v>
      </c>
      <c r="AG727" s="1">
        <f t="shared" ca="1" si="213"/>
        <v>68.000399999999999</v>
      </c>
      <c r="AH727" s="1">
        <f t="shared" ca="1" si="213"/>
        <v>45.333599999999997</v>
      </c>
      <c r="AI727" s="1">
        <f t="shared" ca="1" si="214"/>
        <v>45.333599999999997</v>
      </c>
    </row>
    <row r="728" spans="2:35" x14ac:dyDescent="0.15">
      <c r="B728" s="1" t="str">
        <f t="shared" si="209"/>
        <v>光系33</v>
      </c>
      <c r="C728" s="1">
        <f t="shared" si="199"/>
        <v>33</v>
      </c>
      <c r="D728" s="14" t="s">
        <v>97</v>
      </c>
      <c r="E728" s="14">
        <f t="shared" si="200"/>
        <v>8</v>
      </c>
      <c r="F728" s="1" t="str">
        <f t="shared" si="207"/>
        <v>神圣</v>
      </c>
      <c r="H728" s="1">
        <f t="shared" ca="1" si="208"/>
        <v>914.72329582771499</v>
      </c>
      <c r="I728" s="1">
        <f t="shared" ca="1" si="212"/>
        <v>150</v>
      </c>
      <c r="J728" s="1">
        <f t="shared" ca="1" si="212"/>
        <v>394.64364406779703</v>
      </c>
      <c r="K728" s="1">
        <f t="shared" ca="1" si="212"/>
        <v>46.750275000000002</v>
      </c>
      <c r="L728" s="1">
        <f t="shared" ca="1" si="212"/>
        <v>394.64364406779703</v>
      </c>
      <c r="M728" s="1">
        <f t="shared" ca="1" si="212"/>
        <v>46.750275000000002</v>
      </c>
      <c r="N728" s="1">
        <f t="shared" ca="1" si="212"/>
        <v>0.2</v>
      </c>
      <c r="O728" s="1">
        <f t="shared" ca="1" si="212"/>
        <v>0.2</v>
      </c>
      <c r="P728" s="1">
        <f t="shared" ca="1" si="212"/>
        <v>0.36</v>
      </c>
      <c r="Q728" s="1">
        <f t="shared" ca="1" si="212"/>
        <v>0.1</v>
      </c>
      <c r="R728" s="1">
        <f t="shared" ca="1" si="212"/>
        <v>2</v>
      </c>
      <c r="S728" s="1">
        <f t="shared" ca="1" si="213"/>
        <v>0.1</v>
      </c>
      <c r="T728" s="1">
        <f t="shared" ca="1" si="213"/>
        <v>0.9</v>
      </c>
      <c r="U728" s="1">
        <f t="shared" ca="1" si="213"/>
        <v>63.8</v>
      </c>
      <c r="V728" s="1">
        <f t="shared" ca="1" si="213"/>
        <v>0</v>
      </c>
      <c r="W728" s="1">
        <f t="shared" ca="1" si="213"/>
        <v>0</v>
      </c>
      <c r="X728" s="1">
        <f t="shared" ca="1" si="213"/>
        <v>0</v>
      </c>
      <c r="Y728" s="1">
        <f t="shared" ca="1" si="213"/>
        <v>0</v>
      </c>
      <c r="Z728" s="1">
        <f t="shared" ca="1" si="213"/>
        <v>116.97521186440682</v>
      </c>
      <c r="AA728" s="1">
        <f t="shared" ca="1" si="213"/>
        <v>0</v>
      </c>
      <c r="AB728" s="1">
        <f t="shared" ca="1" si="211"/>
        <v>0</v>
      </c>
      <c r="AC728" s="1">
        <f t="shared" ca="1" si="213"/>
        <v>46.750275000000002</v>
      </c>
      <c r="AD728" s="1">
        <f t="shared" ca="1" si="213"/>
        <v>46.750275000000002</v>
      </c>
      <c r="AE728" s="1">
        <f t="shared" ca="1" si="213"/>
        <v>46.750275000000002</v>
      </c>
      <c r="AF728" s="1">
        <f t="shared" ca="1" si="213"/>
        <v>46.750275000000002</v>
      </c>
      <c r="AG728" s="1">
        <f t="shared" ca="1" si="213"/>
        <v>70.12541250000001</v>
      </c>
      <c r="AH728" s="1">
        <f t="shared" ca="1" si="213"/>
        <v>46.750275000000002</v>
      </c>
      <c r="AI728" s="1">
        <f t="shared" ca="1" si="214"/>
        <v>46.750275000000002</v>
      </c>
    </row>
    <row r="729" spans="2:35" x14ac:dyDescent="0.15">
      <c r="B729" s="1" t="str">
        <f t="shared" si="209"/>
        <v>光系34</v>
      </c>
      <c r="C729" s="1">
        <f t="shared" si="199"/>
        <v>34</v>
      </c>
      <c r="D729" s="14" t="s">
        <v>97</v>
      </c>
      <c r="E729" s="14">
        <f t="shared" si="200"/>
        <v>8</v>
      </c>
      <c r="F729" s="1" t="str">
        <f t="shared" si="207"/>
        <v>神圣</v>
      </c>
      <c r="H729" s="1">
        <f t="shared" ca="1" si="208"/>
        <v>983.66060335075701</v>
      </c>
      <c r="I729" s="1">
        <f t="shared" ca="1" si="212"/>
        <v>150</v>
      </c>
      <c r="J729" s="1">
        <f t="shared" ca="1" si="212"/>
        <v>409.86190476190501</v>
      </c>
      <c r="K729" s="1">
        <f t="shared" ca="1" si="212"/>
        <v>48.16695</v>
      </c>
      <c r="L729" s="1">
        <f t="shared" ca="1" si="212"/>
        <v>409.86190476190501</v>
      </c>
      <c r="M729" s="1">
        <f t="shared" ca="1" si="212"/>
        <v>48.16695</v>
      </c>
      <c r="N729" s="1">
        <f t="shared" ca="1" si="212"/>
        <v>0.2</v>
      </c>
      <c r="O729" s="1">
        <f t="shared" ca="1" si="212"/>
        <v>0.2</v>
      </c>
      <c r="P729" s="1">
        <f t="shared" ca="1" si="212"/>
        <v>0.36</v>
      </c>
      <c r="Q729" s="1">
        <f t="shared" ca="1" si="212"/>
        <v>0.1</v>
      </c>
      <c r="R729" s="1">
        <f t="shared" ca="1" si="212"/>
        <v>2</v>
      </c>
      <c r="S729" s="1">
        <f t="shared" ca="1" si="213"/>
        <v>0.1</v>
      </c>
      <c r="T729" s="1">
        <f t="shared" ca="1" si="213"/>
        <v>0.9</v>
      </c>
      <c r="U729" s="1">
        <f t="shared" ca="1" si="213"/>
        <v>65.733333333333306</v>
      </c>
      <c r="V729" s="1">
        <f t="shared" ca="1" si="213"/>
        <v>0</v>
      </c>
      <c r="W729" s="1">
        <f t="shared" ca="1" si="213"/>
        <v>0</v>
      </c>
      <c r="X729" s="1">
        <f t="shared" ca="1" si="213"/>
        <v>0</v>
      </c>
      <c r="Y729" s="1">
        <f t="shared" ca="1" si="213"/>
        <v>0</v>
      </c>
      <c r="Z729" s="1">
        <f t="shared" ca="1" si="213"/>
        <v>125.92142857142865</v>
      </c>
      <c r="AA729" s="1">
        <f t="shared" ca="1" si="213"/>
        <v>0</v>
      </c>
      <c r="AB729" s="1">
        <f t="shared" ca="1" si="213"/>
        <v>0</v>
      </c>
      <c r="AC729" s="1">
        <f t="shared" ca="1" si="213"/>
        <v>48.16695</v>
      </c>
      <c r="AD729" s="1">
        <f t="shared" ca="1" si="213"/>
        <v>48.16695</v>
      </c>
      <c r="AE729" s="1">
        <f t="shared" ca="1" si="213"/>
        <v>48.16695</v>
      </c>
      <c r="AF729" s="1">
        <f t="shared" ca="1" si="213"/>
        <v>48.16695</v>
      </c>
      <c r="AG729" s="1">
        <f t="shared" ca="1" si="213"/>
        <v>72.250425000000007</v>
      </c>
      <c r="AH729" s="1">
        <f t="shared" ca="1" si="213"/>
        <v>48.16695</v>
      </c>
      <c r="AI729" s="1">
        <f t="shared" ca="1" si="214"/>
        <v>48.16695</v>
      </c>
    </row>
    <row r="730" spans="2:35" x14ac:dyDescent="0.15">
      <c r="B730" s="1" t="str">
        <f t="shared" si="209"/>
        <v>光系35</v>
      </c>
      <c r="C730" s="1">
        <f t="shared" si="199"/>
        <v>35</v>
      </c>
      <c r="D730" s="14" t="s">
        <v>97</v>
      </c>
      <c r="E730" s="14">
        <f t="shared" si="200"/>
        <v>8</v>
      </c>
      <c r="F730" s="1" t="str">
        <f t="shared" si="207"/>
        <v>神圣</v>
      </c>
      <c r="H730" s="1">
        <f t="shared" ca="1" si="208"/>
        <v>1018.12508607825</v>
      </c>
      <c r="I730" s="1">
        <f t="shared" ca="1" si="212"/>
        <v>150</v>
      </c>
      <c r="J730" s="1">
        <f t="shared" ca="1" si="212"/>
        <v>425.30172413793099</v>
      </c>
      <c r="K730" s="1">
        <f t="shared" ca="1" si="212"/>
        <v>49.583624999999998</v>
      </c>
      <c r="L730" s="1">
        <f t="shared" ca="1" si="212"/>
        <v>425.30172413793099</v>
      </c>
      <c r="M730" s="1">
        <f t="shared" ca="1" si="212"/>
        <v>49.583624999999998</v>
      </c>
      <c r="N730" s="1">
        <f t="shared" ca="1" si="212"/>
        <v>0.2</v>
      </c>
      <c r="O730" s="1">
        <f t="shared" ca="1" si="212"/>
        <v>0.2</v>
      </c>
      <c r="P730" s="1">
        <f t="shared" ca="1" si="212"/>
        <v>0.36</v>
      </c>
      <c r="Q730" s="1">
        <f t="shared" ca="1" si="212"/>
        <v>0.1</v>
      </c>
      <c r="R730" s="1">
        <f t="shared" ca="1" si="212"/>
        <v>2</v>
      </c>
      <c r="S730" s="1">
        <f t="shared" ca="1" si="213"/>
        <v>0.1</v>
      </c>
      <c r="T730" s="1">
        <f t="shared" ca="1" si="213"/>
        <v>0.9</v>
      </c>
      <c r="U730" s="1">
        <f t="shared" ca="1" si="213"/>
        <v>67.6666666666667</v>
      </c>
      <c r="V730" s="1">
        <f t="shared" ca="1" si="213"/>
        <v>0</v>
      </c>
      <c r="W730" s="1">
        <f t="shared" ca="1" si="213"/>
        <v>0</v>
      </c>
      <c r="X730" s="1">
        <f t="shared" ca="1" si="213"/>
        <v>0</v>
      </c>
      <c r="Y730" s="1">
        <f t="shared" ca="1" si="213"/>
        <v>0</v>
      </c>
      <c r="Z730" s="1">
        <f t="shared" ca="1" si="213"/>
        <v>135.32327586206895</v>
      </c>
      <c r="AA730" s="1">
        <f t="shared" ca="1" si="213"/>
        <v>0</v>
      </c>
      <c r="AB730" s="1">
        <f t="shared" ca="1" si="213"/>
        <v>0</v>
      </c>
      <c r="AC730" s="1">
        <f t="shared" ca="1" si="213"/>
        <v>49.583624999999998</v>
      </c>
      <c r="AD730" s="1">
        <f t="shared" ca="1" si="213"/>
        <v>49.583624999999998</v>
      </c>
      <c r="AE730" s="1">
        <f t="shared" ca="1" si="213"/>
        <v>49.583624999999998</v>
      </c>
      <c r="AF730" s="1">
        <f t="shared" ca="1" si="213"/>
        <v>49.583624999999998</v>
      </c>
      <c r="AG730" s="1">
        <f t="shared" ca="1" si="213"/>
        <v>74.375437500000004</v>
      </c>
      <c r="AH730" s="1">
        <f t="shared" ca="1" si="213"/>
        <v>49.583624999999998</v>
      </c>
      <c r="AI730" s="1">
        <f t="shared" ca="1" si="214"/>
        <v>49.583624999999998</v>
      </c>
    </row>
    <row r="731" spans="2:35" x14ac:dyDescent="0.15">
      <c r="B731" s="1" t="str">
        <f t="shared" si="209"/>
        <v>光系36</v>
      </c>
      <c r="C731" s="1">
        <f t="shared" si="199"/>
        <v>36</v>
      </c>
      <c r="D731" s="14" t="s">
        <v>97</v>
      </c>
      <c r="E731" s="14">
        <f t="shared" si="200"/>
        <v>8</v>
      </c>
      <c r="F731" s="1" t="str">
        <f t="shared" si="207"/>
        <v>神圣</v>
      </c>
      <c r="H731" s="1">
        <f t="shared" ca="1" si="208"/>
        <v>1052.9057567206801</v>
      </c>
      <c r="I731" s="1">
        <f t="shared" ca="1" si="212"/>
        <v>150</v>
      </c>
      <c r="J731" s="1">
        <f t="shared" ca="1" si="212"/>
        <v>440.96645962732902</v>
      </c>
      <c r="K731" s="1">
        <f t="shared" ca="1" si="212"/>
        <v>51.000300000000003</v>
      </c>
      <c r="L731" s="1">
        <f t="shared" ca="1" si="212"/>
        <v>440.96645962732902</v>
      </c>
      <c r="M731" s="1">
        <f t="shared" ca="1" si="212"/>
        <v>51.000300000000003</v>
      </c>
      <c r="N731" s="1">
        <f t="shared" ca="1" si="212"/>
        <v>0.2</v>
      </c>
      <c r="O731" s="1">
        <f t="shared" ca="1" si="212"/>
        <v>0.2</v>
      </c>
      <c r="P731" s="1">
        <f t="shared" ca="1" si="212"/>
        <v>0.36</v>
      </c>
      <c r="Q731" s="1">
        <f t="shared" ca="1" si="212"/>
        <v>0.1</v>
      </c>
      <c r="R731" s="1">
        <f t="shared" ca="1" si="212"/>
        <v>2</v>
      </c>
      <c r="S731" s="1">
        <f t="shared" ca="1" si="213"/>
        <v>0.1</v>
      </c>
      <c r="T731" s="1">
        <f t="shared" ca="1" si="213"/>
        <v>0.9</v>
      </c>
      <c r="U731" s="1">
        <f t="shared" ca="1" si="213"/>
        <v>69.599999999999994</v>
      </c>
      <c r="V731" s="1">
        <f t="shared" ca="1" si="213"/>
        <v>0</v>
      </c>
      <c r="W731" s="1">
        <f t="shared" ca="1" si="213"/>
        <v>0</v>
      </c>
      <c r="X731" s="1">
        <f t="shared" ca="1" si="213"/>
        <v>0</v>
      </c>
      <c r="Y731" s="1">
        <f t="shared" ca="1" si="213"/>
        <v>0</v>
      </c>
      <c r="Z731" s="1">
        <f t="shared" ca="1" si="213"/>
        <v>145.19627329192545</v>
      </c>
      <c r="AA731" s="1">
        <f t="shared" ca="1" si="213"/>
        <v>0</v>
      </c>
      <c r="AB731" s="1">
        <f t="shared" ca="1" si="213"/>
        <v>0</v>
      </c>
      <c r="AC731" s="1">
        <f t="shared" ca="1" si="213"/>
        <v>51.000300000000003</v>
      </c>
      <c r="AD731" s="1">
        <f t="shared" ca="1" si="213"/>
        <v>51.000300000000003</v>
      </c>
      <c r="AE731" s="1">
        <f t="shared" ca="1" si="213"/>
        <v>51.000300000000003</v>
      </c>
      <c r="AF731" s="1">
        <f t="shared" ca="1" si="213"/>
        <v>51.000300000000003</v>
      </c>
      <c r="AG731" s="1">
        <f t="shared" ca="1" si="213"/>
        <v>76.500450000000001</v>
      </c>
      <c r="AH731" s="1">
        <f t="shared" ca="1" si="213"/>
        <v>51.000300000000003</v>
      </c>
      <c r="AI731" s="1">
        <f t="shared" ca="1" si="214"/>
        <v>51.000300000000003</v>
      </c>
    </row>
    <row r="732" spans="2:35" x14ac:dyDescent="0.15">
      <c r="B732" s="1" t="str">
        <f t="shared" si="209"/>
        <v>光系37</v>
      </c>
      <c r="C732" s="1">
        <f t="shared" si="199"/>
        <v>37</v>
      </c>
      <c r="D732" s="14" t="s">
        <v>97</v>
      </c>
      <c r="E732" s="14">
        <f t="shared" si="200"/>
        <v>8</v>
      </c>
      <c r="F732" s="1" t="str">
        <f t="shared" si="207"/>
        <v>神圣</v>
      </c>
      <c r="H732" s="1">
        <f t="shared" ca="1" si="208"/>
        <v>1088.0026152780299</v>
      </c>
      <c r="I732" s="1">
        <f t="shared" ca="1" si="212"/>
        <v>150</v>
      </c>
      <c r="J732" s="1">
        <f t="shared" ca="1" si="212"/>
        <v>456.85958646616501</v>
      </c>
      <c r="K732" s="1">
        <f t="shared" ca="1" si="212"/>
        <v>52.416975000000001</v>
      </c>
      <c r="L732" s="1">
        <f t="shared" ca="1" si="212"/>
        <v>456.85958646616501</v>
      </c>
      <c r="M732" s="1">
        <f t="shared" ca="1" si="212"/>
        <v>52.416975000000001</v>
      </c>
      <c r="N732" s="1">
        <f t="shared" ca="1" si="212"/>
        <v>0.2</v>
      </c>
      <c r="O732" s="1">
        <f t="shared" ca="1" si="212"/>
        <v>0.2</v>
      </c>
      <c r="P732" s="1">
        <f t="shared" ca="1" si="212"/>
        <v>0.36</v>
      </c>
      <c r="Q732" s="1">
        <f t="shared" ca="1" si="212"/>
        <v>0.1</v>
      </c>
      <c r="R732" s="1">
        <f t="shared" ca="1" si="212"/>
        <v>2</v>
      </c>
      <c r="S732" s="1">
        <f t="shared" ca="1" si="213"/>
        <v>0.1</v>
      </c>
      <c r="T732" s="1">
        <f t="shared" ca="1" si="213"/>
        <v>0.9</v>
      </c>
      <c r="U732" s="1">
        <f t="shared" ca="1" si="213"/>
        <v>71.533333333333303</v>
      </c>
      <c r="V732" s="1">
        <f t="shared" ca="1" si="213"/>
        <v>0</v>
      </c>
      <c r="W732" s="1">
        <f t="shared" ca="1" si="213"/>
        <v>0</v>
      </c>
      <c r="X732" s="1">
        <f t="shared" ca="1" si="213"/>
        <v>0</v>
      </c>
      <c r="Y732" s="1">
        <f t="shared" ca="1" si="213"/>
        <v>0</v>
      </c>
      <c r="Z732" s="1">
        <f t="shared" ca="1" si="213"/>
        <v>155.5564849624065</v>
      </c>
      <c r="AA732" s="1">
        <f t="shared" ca="1" si="213"/>
        <v>0</v>
      </c>
      <c r="AB732" s="1">
        <f t="shared" ca="1" si="213"/>
        <v>0</v>
      </c>
      <c r="AC732" s="1">
        <f t="shared" ca="1" si="213"/>
        <v>52.416975000000001</v>
      </c>
      <c r="AD732" s="1">
        <f t="shared" ca="1" si="213"/>
        <v>52.416975000000001</v>
      </c>
      <c r="AE732" s="1">
        <f t="shared" ca="1" si="213"/>
        <v>52.416975000000001</v>
      </c>
      <c r="AF732" s="1">
        <f t="shared" ca="1" si="213"/>
        <v>52.416975000000001</v>
      </c>
      <c r="AG732" s="1">
        <f t="shared" ca="1" si="213"/>
        <v>78.625462499999998</v>
      </c>
      <c r="AH732" s="1">
        <f t="shared" ca="1" si="213"/>
        <v>52.416975000000001</v>
      </c>
      <c r="AI732" s="1">
        <f t="shared" ca="1" si="214"/>
        <v>52.416975000000001</v>
      </c>
    </row>
    <row r="733" spans="2:35" x14ac:dyDescent="0.15">
      <c r="B733" s="1" t="str">
        <f t="shared" si="209"/>
        <v>光系38</v>
      </c>
      <c r="C733" s="1">
        <f t="shared" si="199"/>
        <v>38</v>
      </c>
      <c r="D733" s="14" t="s">
        <v>97</v>
      </c>
      <c r="E733" s="14">
        <f t="shared" si="200"/>
        <v>8</v>
      </c>
      <c r="F733" s="1" t="str">
        <f t="shared" si="207"/>
        <v>神圣</v>
      </c>
      <c r="H733" s="1">
        <f t="shared" ca="1" si="208"/>
        <v>1123.4156617503199</v>
      </c>
      <c r="I733" s="1">
        <f t="shared" ref="I733:R742" ca="1" si="215">mVlookup($C733,monsterBaseDate,I$2,FALSE)*(1+mVlookup($E733,monsterType,I$2,FALSE))</f>
        <v>150</v>
      </c>
      <c r="J733" s="1">
        <f t="shared" ca="1" si="215"/>
        <v>472.98470290771201</v>
      </c>
      <c r="K733" s="1">
        <f t="shared" ca="1" si="215"/>
        <v>53.833649999999999</v>
      </c>
      <c r="L733" s="1">
        <f t="shared" ca="1" si="215"/>
        <v>472.98470290771201</v>
      </c>
      <c r="M733" s="1">
        <f t="shared" ca="1" si="215"/>
        <v>53.833649999999999</v>
      </c>
      <c r="N733" s="1">
        <f t="shared" ca="1" si="215"/>
        <v>0.2</v>
      </c>
      <c r="O733" s="1">
        <f t="shared" ca="1" si="215"/>
        <v>0.2</v>
      </c>
      <c r="P733" s="1">
        <f t="shared" ca="1" si="215"/>
        <v>0.36</v>
      </c>
      <c r="Q733" s="1">
        <f t="shared" ca="1" si="215"/>
        <v>0.1</v>
      </c>
      <c r="R733" s="1">
        <f t="shared" ca="1" si="215"/>
        <v>2</v>
      </c>
      <c r="S733" s="1">
        <f t="shared" ref="S733:AH748" ca="1" si="216">mVlookup($C733,monsterBaseDate,S$2,FALSE)*(1+mVlookup($E733,monsterType,S$2,FALSE))</f>
        <v>0.1</v>
      </c>
      <c r="T733" s="1">
        <f t="shared" ca="1" si="216"/>
        <v>0.9</v>
      </c>
      <c r="U733" s="1">
        <f t="shared" ca="1" si="216"/>
        <v>73.466666666666697</v>
      </c>
      <c r="V733" s="1">
        <f t="shared" ca="1" si="216"/>
        <v>0</v>
      </c>
      <c r="W733" s="1">
        <f t="shared" ca="1" si="216"/>
        <v>0</v>
      </c>
      <c r="X733" s="1">
        <f t="shared" ca="1" si="216"/>
        <v>0</v>
      </c>
      <c r="Y733" s="1">
        <f t="shared" ca="1" si="216"/>
        <v>0</v>
      </c>
      <c r="Z733" s="1">
        <f t="shared" ca="1" si="216"/>
        <v>166.42054361567699</v>
      </c>
      <c r="AA733" s="1">
        <f t="shared" ca="1" si="216"/>
        <v>0</v>
      </c>
      <c r="AB733" s="1">
        <f t="shared" ca="1" si="213"/>
        <v>0</v>
      </c>
      <c r="AC733" s="1">
        <f t="shared" ca="1" si="216"/>
        <v>53.833649999999999</v>
      </c>
      <c r="AD733" s="1">
        <f t="shared" ca="1" si="216"/>
        <v>53.833649999999999</v>
      </c>
      <c r="AE733" s="1">
        <f t="shared" ca="1" si="216"/>
        <v>53.833649999999999</v>
      </c>
      <c r="AF733" s="1">
        <f t="shared" ca="1" si="216"/>
        <v>53.833649999999999</v>
      </c>
      <c r="AG733" s="1">
        <f t="shared" ca="1" si="216"/>
        <v>80.750474999999994</v>
      </c>
      <c r="AH733" s="1">
        <f t="shared" ca="1" si="216"/>
        <v>53.833649999999999</v>
      </c>
      <c r="AI733" s="1">
        <f t="shared" ca="1" si="214"/>
        <v>53.833649999999999</v>
      </c>
    </row>
    <row r="734" spans="2:35" x14ac:dyDescent="0.15">
      <c r="B734" s="1" t="str">
        <f t="shared" si="209"/>
        <v>光系39</v>
      </c>
      <c r="C734" s="1">
        <f t="shared" si="199"/>
        <v>39</v>
      </c>
      <c r="D734" s="14" t="s">
        <v>97</v>
      </c>
      <c r="E734" s="14">
        <f t="shared" si="200"/>
        <v>8</v>
      </c>
      <c r="F734" s="1" t="str">
        <f t="shared" si="207"/>
        <v>神圣</v>
      </c>
      <c r="H734" s="1">
        <f t="shared" ca="1" si="208"/>
        <v>1159.1448961375399</v>
      </c>
      <c r="I734" s="1">
        <f t="shared" ca="1" si="215"/>
        <v>150</v>
      </c>
      <c r="J734" s="1">
        <f t="shared" ca="1" si="215"/>
        <v>489.34553571428597</v>
      </c>
      <c r="K734" s="1">
        <f t="shared" ca="1" si="215"/>
        <v>55.250324999999997</v>
      </c>
      <c r="L734" s="1">
        <f t="shared" ca="1" si="215"/>
        <v>489.34553571428597</v>
      </c>
      <c r="M734" s="1">
        <f t="shared" ca="1" si="215"/>
        <v>55.250324999999997</v>
      </c>
      <c r="N734" s="1">
        <f t="shared" ca="1" si="215"/>
        <v>0.2</v>
      </c>
      <c r="O734" s="1">
        <f t="shared" ca="1" si="215"/>
        <v>0.2</v>
      </c>
      <c r="P734" s="1">
        <f t="shared" ca="1" si="215"/>
        <v>0.36</v>
      </c>
      <c r="Q734" s="1">
        <f t="shared" ca="1" si="215"/>
        <v>0.1</v>
      </c>
      <c r="R734" s="1">
        <f t="shared" ca="1" si="215"/>
        <v>2</v>
      </c>
      <c r="S734" s="1">
        <f t="shared" ca="1" si="216"/>
        <v>0.1</v>
      </c>
      <c r="T734" s="1">
        <f t="shared" ca="1" si="216"/>
        <v>0.9</v>
      </c>
      <c r="U734" s="1">
        <f t="shared" ca="1" si="216"/>
        <v>75.400000000000006</v>
      </c>
      <c r="V734" s="1">
        <f t="shared" ca="1" si="216"/>
        <v>0</v>
      </c>
      <c r="W734" s="1">
        <f t="shared" ca="1" si="216"/>
        <v>0</v>
      </c>
      <c r="X734" s="1">
        <f t="shared" ca="1" si="216"/>
        <v>0</v>
      </c>
      <c r="Y734" s="1">
        <f t="shared" ca="1" si="216"/>
        <v>0</v>
      </c>
      <c r="Z734" s="1">
        <f t="shared" ca="1" si="216"/>
        <v>177.8056760204085</v>
      </c>
      <c r="AA734" s="1">
        <f t="shared" ca="1" si="216"/>
        <v>0</v>
      </c>
      <c r="AB734" s="1">
        <f t="shared" ca="1" si="213"/>
        <v>0</v>
      </c>
      <c r="AC734" s="1">
        <f t="shared" ca="1" si="216"/>
        <v>55.250324999999997</v>
      </c>
      <c r="AD734" s="1">
        <f t="shared" ca="1" si="216"/>
        <v>55.250324999999997</v>
      </c>
      <c r="AE734" s="1">
        <f t="shared" ca="1" si="216"/>
        <v>55.250324999999997</v>
      </c>
      <c r="AF734" s="1">
        <f t="shared" ca="1" si="216"/>
        <v>55.250324999999997</v>
      </c>
      <c r="AG734" s="1">
        <f t="shared" ca="1" si="216"/>
        <v>82.875487499999991</v>
      </c>
      <c r="AH734" s="1">
        <f t="shared" ca="1" si="216"/>
        <v>55.250324999999997</v>
      </c>
      <c r="AI734" s="1">
        <f t="shared" ca="1" si="214"/>
        <v>55.250324999999997</v>
      </c>
    </row>
    <row r="735" spans="2:35" x14ac:dyDescent="0.15">
      <c r="B735" s="1" t="str">
        <f t="shared" si="209"/>
        <v>光系40</v>
      </c>
      <c r="C735" s="1">
        <f t="shared" si="199"/>
        <v>40</v>
      </c>
      <c r="D735" s="14" t="s">
        <v>97</v>
      </c>
      <c r="E735" s="14">
        <f t="shared" si="200"/>
        <v>8</v>
      </c>
      <c r="F735" s="1" t="str">
        <f t="shared" si="207"/>
        <v>神圣</v>
      </c>
      <c r="H735" s="1">
        <f t="shared" ca="1" si="208"/>
        <v>1195.1903184396899</v>
      </c>
      <c r="I735" s="1">
        <f t="shared" ca="1" si="215"/>
        <v>150</v>
      </c>
      <c r="J735" s="1">
        <f t="shared" ca="1" si="215"/>
        <v>505.94594594594599</v>
      </c>
      <c r="K735" s="1">
        <f t="shared" ca="1" si="215"/>
        <v>56.667000000000002</v>
      </c>
      <c r="L735" s="1">
        <f t="shared" ca="1" si="215"/>
        <v>505.94594594594599</v>
      </c>
      <c r="M735" s="1">
        <f t="shared" ca="1" si="215"/>
        <v>56.667000000000002</v>
      </c>
      <c r="N735" s="1">
        <f t="shared" ca="1" si="215"/>
        <v>0.2</v>
      </c>
      <c r="O735" s="1">
        <f t="shared" ca="1" si="215"/>
        <v>0.2</v>
      </c>
      <c r="P735" s="1">
        <f t="shared" ca="1" si="215"/>
        <v>0.36</v>
      </c>
      <c r="Q735" s="1">
        <f t="shared" ca="1" si="215"/>
        <v>0.1</v>
      </c>
      <c r="R735" s="1">
        <f t="shared" ca="1" si="215"/>
        <v>2</v>
      </c>
      <c r="S735" s="1">
        <f t="shared" ca="1" si="216"/>
        <v>0.1</v>
      </c>
      <c r="T735" s="1">
        <f t="shared" ca="1" si="216"/>
        <v>0.9</v>
      </c>
      <c r="U735" s="1">
        <f t="shared" ca="1" si="216"/>
        <v>77.3333333333333</v>
      </c>
      <c r="V735" s="1">
        <f t="shared" ca="1" si="216"/>
        <v>0</v>
      </c>
      <c r="W735" s="1">
        <f t="shared" ca="1" si="216"/>
        <v>0</v>
      </c>
      <c r="X735" s="1">
        <f t="shared" ca="1" si="216"/>
        <v>0</v>
      </c>
      <c r="Y735" s="1">
        <f t="shared" ca="1" si="216"/>
        <v>0</v>
      </c>
      <c r="Z735" s="1">
        <f t="shared" ca="1" si="216"/>
        <v>189.72972972973048</v>
      </c>
      <c r="AA735" s="1">
        <f t="shared" ca="1" si="216"/>
        <v>0</v>
      </c>
      <c r="AB735" s="1">
        <f t="shared" ca="1" si="213"/>
        <v>0</v>
      </c>
      <c r="AC735" s="1">
        <f t="shared" ca="1" si="216"/>
        <v>56.667000000000002</v>
      </c>
      <c r="AD735" s="1">
        <f t="shared" ca="1" si="216"/>
        <v>56.667000000000002</v>
      </c>
      <c r="AE735" s="1">
        <f t="shared" ca="1" si="216"/>
        <v>56.667000000000002</v>
      </c>
      <c r="AF735" s="1">
        <f t="shared" ca="1" si="216"/>
        <v>56.667000000000002</v>
      </c>
      <c r="AG735" s="1">
        <f t="shared" ca="1" si="216"/>
        <v>85.000500000000002</v>
      </c>
      <c r="AH735" s="1">
        <f t="shared" ca="1" si="216"/>
        <v>56.667000000000002</v>
      </c>
      <c r="AI735" s="1">
        <f t="shared" ca="1" si="214"/>
        <v>56.667000000000002</v>
      </c>
    </row>
    <row r="736" spans="2:35" x14ac:dyDescent="0.15">
      <c r="B736" s="1" t="str">
        <f t="shared" si="209"/>
        <v>光系41</v>
      </c>
      <c r="C736" s="1">
        <f t="shared" si="199"/>
        <v>41</v>
      </c>
      <c r="D736" s="14" t="s">
        <v>97</v>
      </c>
      <c r="E736" s="14">
        <f t="shared" si="200"/>
        <v>8</v>
      </c>
      <c r="F736" s="1" t="str">
        <f t="shared" si="207"/>
        <v>神圣</v>
      </c>
      <c r="H736" s="1">
        <f t="shared" ca="1" si="208"/>
        <v>1231.5519286567701</v>
      </c>
      <c r="I736" s="1">
        <f t="shared" ca="1" si="215"/>
        <v>150</v>
      </c>
      <c r="J736" s="1">
        <f t="shared" ca="1" si="215"/>
        <v>522.78993506493498</v>
      </c>
      <c r="K736" s="1">
        <f t="shared" ca="1" si="215"/>
        <v>58.083674999999999</v>
      </c>
      <c r="L736" s="1">
        <f t="shared" ca="1" si="215"/>
        <v>522.78993506493498</v>
      </c>
      <c r="M736" s="1">
        <f t="shared" ca="1" si="215"/>
        <v>58.083674999999999</v>
      </c>
      <c r="N736" s="1">
        <f t="shared" ca="1" si="215"/>
        <v>0.2</v>
      </c>
      <c r="O736" s="1">
        <f t="shared" ca="1" si="215"/>
        <v>0.2</v>
      </c>
      <c r="P736" s="1">
        <f t="shared" ca="1" si="215"/>
        <v>0.36</v>
      </c>
      <c r="Q736" s="1">
        <f t="shared" ca="1" si="215"/>
        <v>0.1</v>
      </c>
      <c r="R736" s="1">
        <f t="shared" ca="1" si="215"/>
        <v>2</v>
      </c>
      <c r="S736" s="1">
        <f t="shared" ca="1" si="216"/>
        <v>0.1</v>
      </c>
      <c r="T736" s="1">
        <f t="shared" ca="1" si="216"/>
        <v>0.9</v>
      </c>
      <c r="U736" s="1">
        <f t="shared" ca="1" si="216"/>
        <v>79.266666666666694</v>
      </c>
      <c r="V736" s="1">
        <f t="shared" ca="1" si="216"/>
        <v>0</v>
      </c>
      <c r="W736" s="1">
        <f t="shared" ca="1" si="216"/>
        <v>0</v>
      </c>
      <c r="X736" s="1">
        <f t="shared" ca="1" si="216"/>
        <v>0</v>
      </c>
      <c r="Y736" s="1">
        <f t="shared" ca="1" si="216"/>
        <v>0</v>
      </c>
      <c r="Z736" s="1">
        <f t="shared" ca="1" si="216"/>
        <v>202.21120129870201</v>
      </c>
      <c r="AA736" s="1">
        <f t="shared" ca="1" si="216"/>
        <v>0</v>
      </c>
      <c r="AB736" s="1">
        <f t="shared" ca="1" si="213"/>
        <v>0</v>
      </c>
      <c r="AC736" s="1">
        <f t="shared" ca="1" si="216"/>
        <v>58.083674999999999</v>
      </c>
      <c r="AD736" s="1">
        <f t="shared" ca="1" si="216"/>
        <v>58.083674999999999</v>
      </c>
      <c r="AE736" s="1">
        <f t="shared" ca="1" si="216"/>
        <v>58.083674999999999</v>
      </c>
      <c r="AF736" s="1">
        <f t="shared" ca="1" si="216"/>
        <v>58.083674999999999</v>
      </c>
      <c r="AG736" s="1">
        <f t="shared" ca="1" si="216"/>
        <v>87.125512499999999</v>
      </c>
      <c r="AH736" s="1">
        <f t="shared" ca="1" si="216"/>
        <v>58.083674999999999</v>
      </c>
      <c r="AI736" s="1">
        <f t="shared" ca="1" si="214"/>
        <v>58.083674999999999</v>
      </c>
    </row>
    <row r="737" spans="2:35" x14ac:dyDescent="0.15">
      <c r="B737" s="1" t="str">
        <f t="shared" si="209"/>
        <v>光系42</v>
      </c>
      <c r="C737" s="1">
        <f t="shared" si="199"/>
        <v>42</v>
      </c>
      <c r="D737" s="14" t="s">
        <v>97</v>
      </c>
      <c r="E737" s="14">
        <f t="shared" si="200"/>
        <v>8</v>
      </c>
      <c r="F737" s="1" t="str">
        <f t="shared" si="207"/>
        <v>神圣</v>
      </c>
      <c r="H737" s="1">
        <f t="shared" ca="1" si="208"/>
        <v>1268.22972678878</v>
      </c>
      <c r="I737" s="1">
        <f t="shared" ca="1" si="215"/>
        <v>150</v>
      </c>
      <c r="J737" s="1">
        <f t="shared" ca="1" si="215"/>
        <v>539.88165137614703</v>
      </c>
      <c r="K737" s="1">
        <f t="shared" ca="1" si="215"/>
        <v>59.500349999999997</v>
      </c>
      <c r="L737" s="1">
        <f t="shared" ca="1" si="215"/>
        <v>539.88165137614703</v>
      </c>
      <c r="M737" s="1">
        <f t="shared" ca="1" si="215"/>
        <v>59.500349999999997</v>
      </c>
      <c r="N737" s="1">
        <f t="shared" ca="1" si="215"/>
        <v>0.2</v>
      </c>
      <c r="O737" s="1">
        <f t="shared" ca="1" si="215"/>
        <v>0.2</v>
      </c>
      <c r="P737" s="1">
        <f t="shared" ca="1" si="215"/>
        <v>0.36</v>
      </c>
      <c r="Q737" s="1">
        <f t="shared" ca="1" si="215"/>
        <v>0.1</v>
      </c>
      <c r="R737" s="1">
        <f t="shared" ca="1" si="215"/>
        <v>2</v>
      </c>
      <c r="S737" s="1">
        <f t="shared" ca="1" si="216"/>
        <v>0.1</v>
      </c>
      <c r="T737" s="1">
        <f t="shared" ca="1" si="216"/>
        <v>0.9</v>
      </c>
      <c r="U737" s="1">
        <f t="shared" ca="1" si="216"/>
        <v>81.2</v>
      </c>
      <c r="V737" s="1">
        <f t="shared" ca="1" si="216"/>
        <v>0</v>
      </c>
      <c r="W737" s="1">
        <f t="shared" ca="1" si="216"/>
        <v>0</v>
      </c>
      <c r="X737" s="1">
        <f t="shared" ca="1" si="216"/>
        <v>0</v>
      </c>
      <c r="Y737" s="1">
        <f t="shared" ca="1" si="216"/>
        <v>0</v>
      </c>
      <c r="Z737" s="1">
        <f t="shared" ca="1" si="216"/>
        <v>215.26926605504551</v>
      </c>
      <c r="AA737" s="1">
        <f t="shared" ca="1" si="216"/>
        <v>0</v>
      </c>
      <c r="AB737" s="1">
        <f t="shared" ca="1" si="213"/>
        <v>0</v>
      </c>
      <c r="AC737" s="1">
        <f t="shared" ca="1" si="216"/>
        <v>59.500349999999997</v>
      </c>
      <c r="AD737" s="1">
        <f t="shared" ca="1" si="216"/>
        <v>59.500349999999997</v>
      </c>
      <c r="AE737" s="1">
        <f t="shared" ca="1" si="216"/>
        <v>59.500349999999997</v>
      </c>
      <c r="AF737" s="1">
        <f t="shared" ca="1" si="216"/>
        <v>59.500349999999997</v>
      </c>
      <c r="AG737" s="1">
        <f t="shared" ca="1" si="216"/>
        <v>89.250524999999996</v>
      </c>
      <c r="AH737" s="1">
        <f t="shared" ca="1" si="216"/>
        <v>59.500349999999997</v>
      </c>
      <c r="AI737" s="1">
        <f t="shared" ca="1" si="214"/>
        <v>59.500349999999997</v>
      </c>
    </row>
    <row r="738" spans="2:35" x14ac:dyDescent="0.15">
      <c r="B738" s="1" t="str">
        <f t="shared" si="209"/>
        <v>光系43</v>
      </c>
      <c r="C738" s="1">
        <f t="shared" si="199"/>
        <v>43</v>
      </c>
      <c r="D738" s="14" t="s">
        <v>97</v>
      </c>
      <c r="E738" s="14">
        <f t="shared" si="200"/>
        <v>8</v>
      </c>
      <c r="F738" s="1" t="str">
        <f t="shared" si="207"/>
        <v>神圣</v>
      </c>
      <c r="H738" s="1">
        <f t="shared" ca="1" si="208"/>
        <v>1305.2237128357201</v>
      </c>
      <c r="I738" s="1">
        <f t="shared" ca="1" si="215"/>
        <v>150</v>
      </c>
      <c r="J738" s="1">
        <f t="shared" ca="1" si="215"/>
        <v>557.22539682539696</v>
      </c>
      <c r="K738" s="1">
        <f t="shared" ca="1" si="215"/>
        <v>60.917025000000002</v>
      </c>
      <c r="L738" s="1">
        <f t="shared" ca="1" si="215"/>
        <v>557.22539682539696</v>
      </c>
      <c r="M738" s="1">
        <f t="shared" ca="1" si="215"/>
        <v>60.917025000000002</v>
      </c>
      <c r="N738" s="1">
        <f t="shared" ca="1" si="215"/>
        <v>0.2</v>
      </c>
      <c r="O738" s="1">
        <f t="shared" ca="1" si="215"/>
        <v>0.2</v>
      </c>
      <c r="P738" s="1">
        <f t="shared" ca="1" si="215"/>
        <v>0.36</v>
      </c>
      <c r="Q738" s="1">
        <f t="shared" ca="1" si="215"/>
        <v>0.1</v>
      </c>
      <c r="R738" s="1">
        <f t="shared" ca="1" si="215"/>
        <v>2</v>
      </c>
      <c r="S738" s="1">
        <f t="shared" ca="1" si="216"/>
        <v>0.1</v>
      </c>
      <c r="T738" s="1">
        <f t="shared" ca="1" si="216"/>
        <v>0.9</v>
      </c>
      <c r="U738" s="1">
        <f t="shared" ca="1" si="216"/>
        <v>83.133333333333297</v>
      </c>
      <c r="V738" s="1">
        <f t="shared" ca="1" si="216"/>
        <v>0</v>
      </c>
      <c r="W738" s="1">
        <f t="shared" ca="1" si="216"/>
        <v>0</v>
      </c>
      <c r="X738" s="1">
        <f t="shared" ca="1" si="216"/>
        <v>0</v>
      </c>
      <c r="Y738" s="1">
        <f t="shared" ca="1" si="216"/>
        <v>0</v>
      </c>
      <c r="Z738" s="1">
        <f t="shared" ca="1" si="216"/>
        <v>228.9238095238095</v>
      </c>
      <c r="AA738" s="1">
        <f t="shared" ca="1" si="216"/>
        <v>0</v>
      </c>
      <c r="AB738" s="1">
        <f t="shared" ca="1" si="213"/>
        <v>0</v>
      </c>
      <c r="AC738" s="1">
        <f t="shared" ca="1" si="216"/>
        <v>60.917025000000002</v>
      </c>
      <c r="AD738" s="1">
        <f t="shared" ca="1" si="216"/>
        <v>60.917025000000002</v>
      </c>
      <c r="AE738" s="1">
        <f t="shared" ca="1" si="216"/>
        <v>60.917025000000002</v>
      </c>
      <c r="AF738" s="1">
        <f t="shared" ca="1" si="216"/>
        <v>60.917025000000002</v>
      </c>
      <c r="AG738" s="1">
        <f t="shared" ca="1" si="216"/>
        <v>91.375537500000007</v>
      </c>
      <c r="AH738" s="1">
        <f t="shared" ca="1" si="216"/>
        <v>60.917025000000002</v>
      </c>
      <c r="AI738" s="1">
        <f t="shared" ca="1" si="214"/>
        <v>60.917025000000002</v>
      </c>
    </row>
    <row r="739" spans="2:35" x14ac:dyDescent="0.15">
      <c r="B739" s="1" t="str">
        <f t="shared" si="209"/>
        <v>光系44</v>
      </c>
      <c r="C739" s="1">
        <f t="shared" si="199"/>
        <v>44</v>
      </c>
      <c r="D739" s="14" t="s">
        <v>97</v>
      </c>
      <c r="E739" s="14">
        <f t="shared" si="200"/>
        <v>8</v>
      </c>
      <c r="F739" s="1" t="str">
        <f t="shared" si="207"/>
        <v>神圣</v>
      </c>
      <c r="H739" s="1">
        <f t="shared" ca="1" si="208"/>
        <v>1342.53388679759</v>
      </c>
      <c r="I739" s="1">
        <f t="shared" ca="1" si="215"/>
        <v>150</v>
      </c>
      <c r="J739" s="1">
        <f t="shared" ca="1" si="215"/>
        <v>574.82563417890503</v>
      </c>
      <c r="K739" s="1">
        <f t="shared" ca="1" si="215"/>
        <v>62.3337</v>
      </c>
      <c r="L739" s="1">
        <f t="shared" ca="1" si="215"/>
        <v>574.82563417890503</v>
      </c>
      <c r="M739" s="1">
        <f t="shared" ca="1" si="215"/>
        <v>62.3337</v>
      </c>
      <c r="N739" s="1">
        <f t="shared" ca="1" si="215"/>
        <v>0.2</v>
      </c>
      <c r="O739" s="1">
        <f t="shared" ca="1" si="215"/>
        <v>0.2</v>
      </c>
      <c r="P739" s="1">
        <f t="shared" ca="1" si="215"/>
        <v>0.36</v>
      </c>
      <c r="Q739" s="1">
        <f t="shared" ca="1" si="215"/>
        <v>0.1</v>
      </c>
      <c r="R739" s="1">
        <f t="shared" ca="1" si="215"/>
        <v>2</v>
      </c>
      <c r="S739" s="1">
        <f t="shared" ca="1" si="216"/>
        <v>0.1</v>
      </c>
      <c r="T739" s="1">
        <f t="shared" ca="1" si="216"/>
        <v>0.9</v>
      </c>
      <c r="U739" s="1">
        <f t="shared" ca="1" si="216"/>
        <v>85.066666666666706</v>
      </c>
      <c r="V739" s="1">
        <f t="shared" ca="1" si="216"/>
        <v>0</v>
      </c>
      <c r="W739" s="1">
        <f t="shared" ca="1" si="216"/>
        <v>0</v>
      </c>
      <c r="X739" s="1">
        <f t="shared" ca="1" si="216"/>
        <v>0</v>
      </c>
      <c r="Y739" s="1">
        <f t="shared" ca="1" si="216"/>
        <v>0</v>
      </c>
      <c r="Z739" s="1">
        <f t="shared" ca="1" si="216"/>
        <v>243.19546061415303</v>
      </c>
      <c r="AA739" s="1">
        <f t="shared" ca="1" si="216"/>
        <v>0</v>
      </c>
      <c r="AB739" s="1">
        <f t="shared" ca="1" si="216"/>
        <v>0</v>
      </c>
      <c r="AC739" s="1">
        <f t="shared" ca="1" si="216"/>
        <v>62.3337</v>
      </c>
      <c r="AD739" s="1">
        <f t="shared" ca="1" si="216"/>
        <v>62.3337</v>
      </c>
      <c r="AE739" s="1">
        <f t="shared" ca="1" si="216"/>
        <v>62.3337</v>
      </c>
      <c r="AF739" s="1">
        <f t="shared" ca="1" si="216"/>
        <v>62.3337</v>
      </c>
      <c r="AG739" s="1">
        <f t="shared" ca="1" si="216"/>
        <v>93.500550000000004</v>
      </c>
      <c r="AH739" s="1">
        <f t="shared" ca="1" si="216"/>
        <v>62.3337</v>
      </c>
      <c r="AI739" s="1">
        <f t="shared" ca="1" si="214"/>
        <v>62.3337</v>
      </c>
    </row>
    <row r="740" spans="2:35" x14ac:dyDescent="0.15">
      <c r="B740" s="1" t="str">
        <f t="shared" si="209"/>
        <v>光系45</v>
      </c>
      <c r="C740" s="1">
        <f t="shared" si="199"/>
        <v>45</v>
      </c>
      <c r="D740" s="14" t="s">
        <v>97</v>
      </c>
      <c r="E740" s="14">
        <f t="shared" si="200"/>
        <v>8</v>
      </c>
      <c r="F740" s="1" t="str">
        <f t="shared" si="207"/>
        <v>神圣</v>
      </c>
      <c r="H740" s="1">
        <f t="shared" ca="1" si="208"/>
        <v>1433.4145567624901</v>
      </c>
      <c r="I740" s="1">
        <f t="shared" ca="1" si="215"/>
        <v>150</v>
      </c>
      <c r="J740" s="1">
        <f t="shared" ca="1" si="215"/>
        <v>592.68699460916503</v>
      </c>
      <c r="K740" s="1">
        <f t="shared" ca="1" si="215"/>
        <v>63.750374999999998</v>
      </c>
      <c r="L740" s="1">
        <f t="shared" ca="1" si="215"/>
        <v>592.68699460916503</v>
      </c>
      <c r="M740" s="1">
        <f t="shared" ca="1" si="215"/>
        <v>63.750374999999998</v>
      </c>
      <c r="N740" s="1">
        <f t="shared" ca="1" si="215"/>
        <v>0.2</v>
      </c>
      <c r="O740" s="1">
        <f t="shared" ca="1" si="215"/>
        <v>0.2</v>
      </c>
      <c r="P740" s="1">
        <f t="shared" ca="1" si="215"/>
        <v>0.36</v>
      </c>
      <c r="Q740" s="1">
        <f t="shared" ca="1" si="215"/>
        <v>0.1</v>
      </c>
      <c r="R740" s="1">
        <f t="shared" ca="1" si="215"/>
        <v>2</v>
      </c>
      <c r="S740" s="1">
        <f t="shared" ca="1" si="216"/>
        <v>0.1</v>
      </c>
      <c r="T740" s="1">
        <f t="shared" ca="1" si="216"/>
        <v>0.9</v>
      </c>
      <c r="U740" s="1">
        <f t="shared" ca="1" si="216"/>
        <v>87</v>
      </c>
      <c r="V740" s="1">
        <f t="shared" ca="1" si="216"/>
        <v>0</v>
      </c>
      <c r="W740" s="1">
        <f t="shared" ca="1" si="216"/>
        <v>0</v>
      </c>
      <c r="X740" s="1">
        <f t="shared" ca="1" si="216"/>
        <v>0</v>
      </c>
      <c r="Y740" s="1">
        <f t="shared" ca="1" si="216"/>
        <v>0</v>
      </c>
      <c r="Z740" s="1">
        <f t="shared" ca="1" si="216"/>
        <v>258.105626684637</v>
      </c>
      <c r="AA740" s="1">
        <f t="shared" ca="1" si="216"/>
        <v>0</v>
      </c>
      <c r="AB740" s="1">
        <f t="shared" ca="1" si="216"/>
        <v>0</v>
      </c>
      <c r="AC740" s="1">
        <f t="shared" ca="1" si="216"/>
        <v>63.750374999999998</v>
      </c>
      <c r="AD740" s="1">
        <f t="shared" ca="1" si="216"/>
        <v>63.750374999999998</v>
      </c>
      <c r="AE740" s="1">
        <f t="shared" ca="1" si="216"/>
        <v>63.750374999999998</v>
      </c>
      <c r="AF740" s="1">
        <f t="shared" ca="1" si="216"/>
        <v>63.750374999999998</v>
      </c>
      <c r="AG740" s="1">
        <f t="shared" ca="1" si="216"/>
        <v>95.625562500000001</v>
      </c>
      <c r="AH740" s="1">
        <f t="shared" ca="1" si="216"/>
        <v>63.750374999999998</v>
      </c>
      <c r="AI740" s="1">
        <f t="shared" ca="1" si="214"/>
        <v>63.750374999999998</v>
      </c>
    </row>
    <row r="741" spans="2:35" x14ac:dyDescent="0.15">
      <c r="B741" s="1" t="str">
        <f t="shared" si="209"/>
        <v>光系46</v>
      </c>
      <c r="C741" s="1">
        <f t="shared" si="199"/>
        <v>46</v>
      </c>
      <c r="D741" s="14" t="s">
        <v>97</v>
      </c>
      <c r="E741" s="14">
        <f t="shared" si="200"/>
        <v>8</v>
      </c>
      <c r="F741" s="1" t="str">
        <f t="shared" si="207"/>
        <v>神圣</v>
      </c>
      <c r="H741" s="1">
        <f t="shared" ca="1" si="208"/>
        <v>1472.82114251541</v>
      </c>
      <c r="I741" s="1">
        <f t="shared" ca="1" si="215"/>
        <v>150</v>
      </c>
      <c r="J741" s="1">
        <f t="shared" ca="1" si="215"/>
        <v>610.81428571428603</v>
      </c>
      <c r="K741" s="1">
        <f t="shared" ca="1" si="215"/>
        <v>65.167050000000003</v>
      </c>
      <c r="L741" s="1">
        <f t="shared" ca="1" si="215"/>
        <v>610.81428571428603</v>
      </c>
      <c r="M741" s="1">
        <f t="shared" ca="1" si="215"/>
        <v>65.167050000000003</v>
      </c>
      <c r="N741" s="1">
        <f t="shared" ca="1" si="215"/>
        <v>0.2</v>
      </c>
      <c r="O741" s="1">
        <f t="shared" ca="1" si="215"/>
        <v>0.2</v>
      </c>
      <c r="P741" s="1">
        <f t="shared" ca="1" si="215"/>
        <v>0.36</v>
      </c>
      <c r="Q741" s="1">
        <f t="shared" ca="1" si="215"/>
        <v>0.1</v>
      </c>
      <c r="R741" s="1">
        <f t="shared" ca="1" si="215"/>
        <v>2</v>
      </c>
      <c r="S741" s="1">
        <f t="shared" ca="1" si="216"/>
        <v>0.1</v>
      </c>
      <c r="T741" s="1">
        <f t="shared" ca="1" si="216"/>
        <v>0.9</v>
      </c>
      <c r="U741" s="1">
        <f t="shared" ca="1" si="216"/>
        <v>88.933333333333294</v>
      </c>
      <c r="V741" s="1">
        <f t="shared" ca="1" si="216"/>
        <v>0</v>
      </c>
      <c r="W741" s="1">
        <f t="shared" ca="1" si="216"/>
        <v>0</v>
      </c>
      <c r="X741" s="1">
        <f t="shared" ca="1" si="216"/>
        <v>0</v>
      </c>
      <c r="Y741" s="1">
        <f t="shared" ca="1" si="216"/>
        <v>0</v>
      </c>
      <c r="Z741" s="1">
        <f t="shared" ca="1" si="216"/>
        <v>273.67653061224451</v>
      </c>
      <c r="AA741" s="1">
        <f t="shared" ca="1" si="216"/>
        <v>0</v>
      </c>
      <c r="AB741" s="1">
        <f t="shared" ca="1" si="216"/>
        <v>0</v>
      </c>
      <c r="AC741" s="1">
        <f t="shared" ca="1" si="216"/>
        <v>65.167050000000003</v>
      </c>
      <c r="AD741" s="1">
        <f t="shared" ca="1" si="216"/>
        <v>65.167050000000003</v>
      </c>
      <c r="AE741" s="1">
        <f t="shared" ca="1" si="216"/>
        <v>65.167050000000003</v>
      </c>
      <c r="AF741" s="1">
        <f t="shared" ca="1" si="216"/>
        <v>65.167050000000003</v>
      </c>
      <c r="AG741" s="1">
        <f t="shared" ca="1" si="216"/>
        <v>97.750574999999998</v>
      </c>
      <c r="AH741" s="1">
        <f t="shared" ca="1" si="216"/>
        <v>65.167050000000003</v>
      </c>
      <c r="AI741" s="1">
        <f t="shared" ca="1" si="214"/>
        <v>65.167050000000003</v>
      </c>
    </row>
    <row r="742" spans="2:35" x14ac:dyDescent="0.15">
      <c r="B742" s="1" t="str">
        <f t="shared" si="209"/>
        <v>光系47</v>
      </c>
      <c r="C742" s="1">
        <f t="shared" si="199"/>
        <v>47</v>
      </c>
      <c r="D742" s="14" t="s">
        <v>97</v>
      </c>
      <c r="E742" s="14">
        <f t="shared" si="200"/>
        <v>8</v>
      </c>
      <c r="F742" s="1" t="str">
        <f t="shared" si="207"/>
        <v>神圣</v>
      </c>
      <c r="H742" s="1">
        <f t="shared" ca="1" si="208"/>
        <v>1512.5561164829401</v>
      </c>
      <c r="I742" s="1">
        <f t="shared" ca="1" si="215"/>
        <v>150</v>
      </c>
      <c r="J742" s="1">
        <f t="shared" ca="1" si="215"/>
        <v>629.21249999999998</v>
      </c>
      <c r="K742" s="1">
        <f t="shared" ca="1" si="215"/>
        <v>66.583725000000001</v>
      </c>
      <c r="L742" s="1">
        <f t="shared" ca="1" si="215"/>
        <v>629.21249999999998</v>
      </c>
      <c r="M742" s="1">
        <f t="shared" ca="1" si="215"/>
        <v>66.583725000000001</v>
      </c>
      <c r="N742" s="1">
        <f t="shared" ca="1" si="215"/>
        <v>0.2</v>
      </c>
      <c r="O742" s="1">
        <f t="shared" ca="1" si="215"/>
        <v>0.2</v>
      </c>
      <c r="P742" s="1">
        <f t="shared" ca="1" si="215"/>
        <v>0.36</v>
      </c>
      <c r="Q742" s="1">
        <f t="shared" ca="1" si="215"/>
        <v>0.1</v>
      </c>
      <c r="R742" s="1">
        <f t="shared" ca="1" si="215"/>
        <v>2</v>
      </c>
      <c r="S742" s="1">
        <f t="shared" ca="1" si="216"/>
        <v>0.1</v>
      </c>
      <c r="T742" s="1">
        <f t="shared" ca="1" si="216"/>
        <v>0.9</v>
      </c>
      <c r="U742" s="1">
        <f t="shared" ca="1" si="216"/>
        <v>90.866666666666703</v>
      </c>
      <c r="V742" s="1">
        <f t="shared" ca="1" si="216"/>
        <v>0</v>
      </c>
      <c r="W742" s="1">
        <f t="shared" ca="1" si="216"/>
        <v>0</v>
      </c>
      <c r="X742" s="1">
        <f t="shared" ca="1" si="216"/>
        <v>0</v>
      </c>
      <c r="Y742" s="1">
        <f t="shared" ca="1" si="216"/>
        <v>0</v>
      </c>
      <c r="Z742" s="1">
        <f t="shared" ca="1" si="216"/>
        <v>289.93124999999998</v>
      </c>
      <c r="AA742" s="1">
        <f t="shared" ca="1" si="216"/>
        <v>0</v>
      </c>
      <c r="AB742" s="1">
        <f t="shared" ca="1" si="216"/>
        <v>0</v>
      </c>
      <c r="AC742" s="1">
        <f t="shared" ca="1" si="216"/>
        <v>66.583725000000001</v>
      </c>
      <c r="AD742" s="1">
        <f t="shared" ca="1" si="216"/>
        <v>66.583725000000001</v>
      </c>
      <c r="AE742" s="1">
        <f t="shared" ca="1" si="216"/>
        <v>66.583725000000001</v>
      </c>
      <c r="AF742" s="1">
        <f t="shared" ca="1" si="216"/>
        <v>66.583725000000001</v>
      </c>
      <c r="AG742" s="1">
        <f t="shared" ca="1" si="216"/>
        <v>99.875587499999995</v>
      </c>
      <c r="AH742" s="1">
        <f t="shared" ca="1" si="216"/>
        <v>66.583725000000001</v>
      </c>
      <c r="AI742" s="1">
        <f t="shared" ca="1" si="214"/>
        <v>66.583725000000001</v>
      </c>
    </row>
    <row r="743" spans="2:35" x14ac:dyDescent="0.15">
      <c r="B743" s="1" t="str">
        <f t="shared" si="209"/>
        <v>光系48</v>
      </c>
      <c r="C743" s="1">
        <f t="shared" ref="C743:C806" si="217">C644</f>
        <v>48</v>
      </c>
      <c r="D743" s="14" t="s">
        <v>97</v>
      </c>
      <c r="E743" s="14">
        <f t="shared" ref="E743:E806" si="218">E644+1</f>
        <v>8</v>
      </c>
      <c r="F743" s="1" t="str">
        <f t="shared" si="207"/>
        <v>神圣</v>
      </c>
      <c r="H743" s="1">
        <f t="shared" ca="1" si="208"/>
        <v>1552.6194786650699</v>
      </c>
      <c r="I743" s="1">
        <f t="shared" ref="I743:R752" ca="1" si="219">mVlookup($C743,monsterBaseDate,I$2,FALSE)*(1+mVlookup($E743,monsterType,I$2,FALSE))</f>
        <v>150</v>
      </c>
      <c r="J743" s="1">
        <f t="shared" ca="1" si="219"/>
        <v>647.88682385575601</v>
      </c>
      <c r="K743" s="1">
        <f t="shared" ca="1" si="219"/>
        <v>68.000399999999999</v>
      </c>
      <c r="L743" s="1">
        <f t="shared" ca="1" si="219"/>
        <v>647.88682385575601</v>
      </c>
      <c r="M743" s="1">
        <f t="shared" ca="1" si="219"/>
        <v>68.000399999999999</v>
      </c>
      <c r="N743" s="1">
        <f t="shared" ca="1" si="219"/>
        <v>0.2</v>
      </c>
      <c r="O743" s="1">
        <f t="shared" ca="1" si="219"/>
        <v>0.2</v>
      </c>
      <c r="P743" s="1">
        <f t="shared" ca="1" si="219"/>
        <v>0.36</v>
      </c>
      <c r="Q743" s="1">
        <f t="shared" ca="1" si="219"/>
        <v>0.1</v>
      </c>
      <c r="R743" s="1">
        <f t="shared" ca="1" si="219"/>
        <v>2</v>
      </c>
      <c r="S743" s="1">
        <f t="shared" ref="S743:AH758" ca="1" si="220">mVlookup($C743,monsterBaseDate,S$2,FALSE)*(1+mVlookup($E743,monsterType,S$2,FALSE))</f>
        <v>0.1</v>
      </c>
      <c r="T743" s="1">
        <f t="shared" ca="1" si="220"/>
        <v>0.9</v>
      </c>
      <c r="U743" s="1">
        <f t="shared" ca="1" si="220"/>
        <v>92.8</v>
      </c>
      <c r="V743" s="1">
        <f t="shared" ca="1" si="220"/>
        <v>0</v>
      </c>
      <c r="W743" s="1">
        <f t="shared" ca="1" si="220"/>
        <v>0</v>
      </c>
      <c r="X743" s="1">
        <f t="shared" ca="1" si="220"/>
        <v>0</v>
      </c>
      <c r="Y743" s="1">
        <f t="shared" ca="1" si="220"/>
        <v>0</v>
      </c>
      <c r="Z743" s="1">
        <f t="shared" ca="1" si="220"/>
        <v>306.893758668516</v>
      </c>
      <c r="AA743" s="1">
        <f t="shared" ca="1" si="220"/>
        <v>0</v>
      </c>
      <c r="AB743" s="1">
        <f t="shared" ca="1" si="216"/>
        <v>0</v>
      </c>
      <c r="AC743" s="1">
        <f t="shared" ca="1" si="220"/>
        <v>68.000399999999999</v>
      </c>
      <c r="AD743" s="1">
        <f t="shared" ca="1" si="220"/>
        <v>68.000399999999999</v>
      </c>
      <c r="AE743" s="1">
        <f t="shared" ca="1" si="220"/>
        <v>68.000399999999999</v>
      </c>
      <c r="AF743" s="1">
        <f t="shared" ca="1" si="220"/>
        <v>68.000399999999999</v>
      </c>
      <c r="AG743" s="1">
        <f t="shared" ca="1" si="220"/>
        <v>102.00059999999999</v>
      </c>
      <c r="AH743" s="1">
        <f t="shared" ca="1" si="220"/>
        <v>68.000399999999999</v>
      </c>
      <c r="AI743" s="1">
        <f t="shared" ca="1" si="214"/>
        <v>68.000399999999999</v>
      </c>
    </row>
    <row r="744" spans="2:35" x14ac:dyDescent="0.15">
      <c r="B744" s="1" t="str">
        <f t="shared" si="209"/>
        <v>光系49</v>
      </c>
      <c r="C744" s="1">
        <f t="shared" si="217"/>
        <v>49</v>
      </c>
      <c r="D744" s="14" t="s">
        <v>97</v>
      </c>
      <c r="E744" s="14">
        <f t="shared" si="218"/>
        <v>8</v>
      </c>
      <c r="F744" s="1" t="str">
        <f t="shared" si="207"/>
        <v>神圣</v>
      </c>
      <c r="H744" s="1">
        <f t="shared" ca="1" si="208"/>
        <v>1593.0112290618199</v>
      </c>
      <c r="I744" s="1">
        <f t="shared" ca="1" si="219"/>
        <v>150</v>
      </c>
      <c r="J744" s="1">
        <f t="shared" ca="1" si="219"/>
        <v>666.84264705882401</v>
      </c>
      <c r="K744" s="1">
        <f t="shared" ca="1" si="219"/>
        <v>69.417074999999997</v>
      </c>
      <c r="L744" s="1">
        <f t="shared" ca="1" si="219"/>
        <v>666.84264705882401</v>
      </c>
      <c r="M744" s="1">
        <f t="shared" ca="1" si="219"/>
        <v>69.417074999999997</v>
      </c>
      <c r="N744" s="1">
        <f t="shared" ca="1" si="219"/>
        <v>0.2</v>
      </c>
      <c r="O744" s="1">
        <f t="shared" ca="1" si="219"/>
        <v>0.2</v>
      </c>
      <c r="P744" s="1">
        <f t="shared" ca="1" si="219"/>
        <v>0.36</v>
      </c>
      <c r="Q744" s="1">
        <f t="shared" ca="1" si="219"/>
        <v>0.1</v>
      </c>
      <c r="R744" s="1">
        <f t="shared" ca="1" si="219"/>
        <v>2</v>
      </c>
      <c r="S744" s="1">
        <f t="shared" ca="1" si="220"/>
        <v>0.1</v>
      </c>
      <c r="T744" s="1">
        <f t="shared" ca="1" si="220"/>
        <v>0.9</v>
      </c>
      <c r="U744" s="1">
        <f t="shared" ca="1" si="220"/>
        <v>94.733333333333306</v>
      </c>
      <c r="V744" s="1">
        <f t="shared" ca="1" si="220"/>
        <v>0</v>
      </c>
      <c r="W744" s="1">
        <f t="shared" ca="1" si="220"/>
        <v>0</v>
      </c>
      <c r="X744" s="1">
        <f t="shared" ca="1" si="220"/>
        <v>0</v>
      </c>
      <c r="Y744" s="1">
        <f t="shared" ca="1" si="220"/>
        <v>0</v>
      </c>
      <c r="Z744" s="1">
        <f t="shared" ca="1" si="220"/>
        <v>324.58897058823601</v>
      </c>
      <c r="AA744" s="1">
        <f t="shared" ca="1" si="220"/>
        <v>0</v>
      </c>
      <c r="AB744" s="1">
        <f t="shared" ca="1" si="216"/>
        <v>0</v>
      </c>
      <c r="AC744" s="1">
        <f t="shared" ca="1" si="220"/>
        <v>69.417074999999997</v>
      </c>
      <c r="AD744" s="1">
        <f t="shared" ca="1" si="220"/>
        <v>69.417074999999997</v>
      </c>
      <c r="AE744" s="1">
        <f t="shared" ca="1" si="220"/>
        <v>69.417074999999997</v>
      </c>
      <c r="AF744" s="1">
        <f t="shared" ca="1" si="220"/>
        <v>69.417074999999997</v>
      </c>
      <c r="AG744" s="1">
        <f t="shared" ca="1" si="220"/>
        <v>104.12561249999999</v>
      </c>
      <c r="AH744" s="1">
        <f t="shared" ca="1" si="220"/>
        <v>69.417074999999997</v>
      </c>
      <c r="AI744" s="1">
        <f t="shared" ca="1" si="214"/>
        <v>69.417074999999997</v>
      </c>
    </row>
    <row r="745" spans="2:35" x14ac:dyDescent="0.15">
      <c r="B745" s="1" t="str">
        <f t="shared" si="209"/>
        <v>光系50</v>
      </c>
      <c r="C745" s="1">
        <f t="shared" si="217"/>
        <v>50</v>
      </c>
      <c r="D745" s="14" t="s">
        <v>97</v>
      </c>
      <c r="E745" s="14">
        <f t="shared" si="218"/>
        <v>8</v>
      </c>
      <c r="F745" s="1" t="str">
        <f t="shared" si="207"/>
        <v>神圣</v>
      </c>
      <c r="H745" s="1">
        <f t="shared" ca="1" si="208"/>
        <v>1633.7313676731701</v>
      </c>
      <c r="I745" s="1">
        <f t="shared" ca="1" si="219"/>
        <v>150</v>
      </c>
      <c r="J745" s="1">
        <f t="shared" ca="1" si="219"/>
        <v>686.085572842999</v>
      </c>
      <c r="K745" s="1">
        <f t="shared" ca="1" si="219"/>
        <v>70.833749999999995</v>
      </c>
      <c r="L745" s="1">
        <f t="shared" ca="1" si="219"/>
        <v>686.085572842999</v>
      </c>
      <c r="M745" s="1">
        <f t="shared" ca="1" si="219"/>
        <v>70.833749999999995</v>
      </c>
      <c r="N745" s="1">
        <f t="shared" ca="1" si="219"/>
        <v>0.2</v>
      </c>
      <c r="O745" s="1">
        <f t="shared" ca="1" si="219"/>
        <v>0.2</v>
      </c>
      <c r="P745" s="1">
        <f t="shared" ca="1" si="219"/>
        <v>0.36</v>
      </c>
      <c r="Q745" s="1">
        <f t="shared" ca="1" si="219"/>
        <v>0.1</v>
      </c>
      <c r="R745" s="1">
        <f t="shared" ca="1" si="219"/>
        <v>2</v>
      </c>
      <c r="S745" s="1">
        <f t="shared" ca="1" si="220"/>
        <v>0.1</v>
      </c>
      <c r="T745" s="1">
        <f t="shared" ca="1" si="220"/>
        <v>0.9</v>
      </c>
      <c r="U745" s="1">
        <f t="shared" ca="1" si="220"/>
        <v>96.6666666666667</v>
      </c>
      <c r="V745" s="1">
        <f t="shared" ca="1" si="220"/>
        <v>0</v>
      </c>
      <c r="W745" s="1">
        <f t="shared" ca="1" si="220"/>
        <v>0</v>
      </c>
      <c r="X745" s="1">
        <f t="shared" ca="1" si="220"/>
        <v>0</v>
      </c>
      <c r="Y745" s="1">
        <f t="shared" ca="1" si="220"/>
        <v>0</v>
      </c>
      <c r="Z745" s="1">
        <f t="shared" ca="1" si="220"/>
        <v>343.04278642149899</v>
      </c>
      <c r="AA745" s="1">
        <f t="shared" ca="1" si="220"/>
        <v>0</v>
      </c>
      <c r="AB745" s="1">
        <f t="shared" ca="1" si="216"/>
        <v>0</v>
      </c>
      <c r="AC745" s="1">
        <f t="shared" ca="1" si="220"/>
        <v>70.833749999999995</v>
      </c>
      <c r="AD745" s="1">
        <f t="shared" ca="1" si="220"/>
        <v>70.833749999999995</v>
      </c>
      <c r="AE745" s="1">
        <f t="shared" ca="1" si="220"/>
        <v>70.833749999999995</v>
      </c>
      <c r="AF745" s="1">
        <f t="shared" ca="1" si="220"/>
        <v>70.833749999999995</v>
      </c>
      <c r="AG745" s="1">
        <f t="shared" ca="1" si="220"/>
        <v>106.25062499999999</v>
      </c>
      <c r="AH745" s="1">
        <f t="shared" ca="1" si="220"/>
        <v>70.833749999999995</v>
      </c>
      <c r="AI745" s="1">
        <f t="shared" ca="1" si="214"/>
        <v>70.833749999999995</v>
      </c>
    </row>
    <row r="746" spans="2:35" x14ac:dyDescent="0.15">
      <c r="B746" s="1" t="str">
        <f t="shared" si="209"/>
        <v>光系51</v>
      </c>
      <c r="C746" s="1">
        <f t="shared" si="217"/>
        <v>51</v>
      </c>
      <c r="D746" s="14" t="s">
        <v>97</v>
      </c>
      <c r="E746" s="14">
        <f t="shared" si="218"/>
        <v>8</v>
      </c>
      <c r="F746" s="1" t="str">
        <f t="shared" si="207"/>
        <v>神圣</v>
      </c>
      <c r="H746" s="1">
        <f t="shared" ca="1" si="208"/>
        <v>1674.77989449913</v>
      </c>
      <c r="I746" s="1">
        <f t="shared" ca="1" si="219"/>
        <v>150</v>
      </c>
      <c r="J746" s="1">
        <f t="shared" ca="1" si="219"/>
        <v>705.62142857142896</v>
      </c>
      <c r="K746" s="1">
        <f t="shared" ca="1" si="219"/>
        <v>72.250425000000007</v>
      </c>
      <c r="L746" s="1">
        <f t="shared" ca="1" si="219"/>
        <v>705.62142857142896</v>
      </c>
      <c r="M746" s="1">
        <f t="shared" ca="1" si="219"/>
        <v>72.250425000000007</v>
      </c>
      <c r="N746" s="1">
        <f t="shared" ca="1" si="219"/>
        <v>0.2</v>
      </c>
      <c r="O746" s="1">
        <f t="shared" ca="1" si="219"/>
        <v>0.2</v>
      </c>
      <c r="P746" s="1">
        <f t="shared" ca="1" si="219"/>
        <v>0.36</v>
      </c>
      <c r="Q746" s="1">
        <f t="shared" ca="1" si="219"/>
        <v>0.1</v>
      </c>
      <c r="R746" s="1">
        <f t="shared" ca="1" si="219"/>
        <v>2</v>
      </c>
      <c r="S746" s="1">
        <f t="shared" ca="1" si="220"/>
        <v>0.1</v>
      </c>
      <c r="T746" s="1">
        <f t="shared" ca="1" si="220"/>
        <v>0.9</v>
      </c>
      <c r="U746" s="1">
        <f t="shared" ca="1" si="220"/>
        <v>98.6</v>
      </c>
      <c r="V746" s="1">
        <f t="shared" ca="1" si="220"/>
        <v>0</v>
      </c>
      <c r="W746" s="1">
        <f t="shared" ca="1" si="220"/>
        <v>0</v>
      </c>
      <c r="X746" s="1">
        <f t="shared" ca="1" si="220"/>
        <v>0</v>
      </c>
      <c r="Y746" s="1">
        <f t="shared" ca="1" si="220"/>
        <v>0</v>
      </c>
      <c r="Z746" s="1">
        <f t="shared" ca="1" si="220"/>
        <v>362.28214285714353</v>
      </c>
      <c r="AA746" s="1">
        <f t="shared" ca="1" si="220"/>
        <v>0</v>
      </c>
      <c r="AB746" s="1">
        <f t="shared" ca="1" si="216"/>
        <v>0</v>
      </c>
      <c r="AC746" s="1">
        <f t="shared" ca="1" si="220"/>
        <v>72.250425000000007</v>
      </c>
      <c r="AD746" s="1">
        <f t="shared" ca="1" si="220"/>
        <v>72.250425000000007</v>
      </c>
      <c r="AE746" s="1">
        <f t="shared" ca="1" si="220"/>
        <v>72.250425000000007</v>
      </c>
      <c r="AF746" s="1">
        <f t="shared" ca="1" si="220"/>
        <v>72.250425000000007</v>
      </c>
      <c r="AG746" s="1">
        <f t="shared" ca="1" si="220"/>
        <v>108.37563750000001</v>
      </c>
      <c r="AH746" s="1">
        <f t="shared" ca="1" si="220"/>
        <v>72.250425000000007</v>
      </c>
      <c r="AI746" s="1">
        <f t="shared" ca="1" si="214"/>
        <v>72.250425000000007</v>
      </c>
    </row>
    <row r="747" spans="2:35" x14ac:dyDescent="0.15">
      <c r="B747" s="1" t="str">
        <f t="shared" si="209"/>
        <v>光系52</v>
      </c>
      <c r="C747" s="1">
        <f t="shared" si="217"/>
        <v>52</v>
      </c>
      <c r="D747" s="14" t="s">
        <v>97</v>
      </c>
      <c r="E747" s="14">
        <f t="shared" si="218"/>
        <v>8</v>
      </c>
      <c r="F747" s="1" t="str">
        <f t="shared" si="207"/>
        <v>神圣</v>
      </c>
      <c r="H747" s="1">
        <f t="shared" ca="1" si="208"/>
        <v>1716.1568095396899</v>
      </c>
      <c r="I747" s="1">
        <f t="shared" ca="1" si="219"/>
        <v>150</v>
      </c>
      <c r="J747" s="1">
        <f t="shared" ca="1" si="219"/>
        <v>725.45627705627703</v>
      </c>
      <c r="K747" s="1">
        <f t="shared" ca="1" si="219"/>
        <v>73.667100000000005</v>
      </c>
      <c r="L747" s="1">
        <f t="shared" ca="1" si="219"/>
        <v>725.45627705627703</v>
      </c>
      <c r="M747" s="1">
        <f t="shared" ca="1" si="219"/>
        <v>73.667100000000005</v>
      </c>
      <c r="N747" s="1">
        <f t="shared" ca="1" si="219"/>
        <v>0.2</v>
      </c>
      <c r="O747" s="1">
        <f t="shared" ca="1" si="219"/>
        <v>0.2</v>
      </c>
      <c r="P747" s="1">
        <f t="shared" ca="1" si="219"/>
        <v>0.36</v>
      </c>
      <c r="Q747" s="1">
        <f t="shared" ca="1" si="219"/>
        <v>0.1</v>
      </c>
      <c r="R747" s="1">
        <f t="shared" ca="1" si="219"/>
        <v>2</v>
      </c>
      <c r="S747" s="1">
        <f t="shared" ca="1" si="220"/>
        <v>0.1</v>
      </c>
      <c r="T747" s="1">
        <f t="shared" ca="1" si="220"/>
        <v>0.9</v>
      </c>
      <c r="U747" s="1">
        <f t="shared" ca="1" si="220"/>
        <v>100.533333333333</v>
      </c>
      <c r="V747" s="1">
        <f t="shared" ca="1" si="220"/>
        <v>0</v>
      </c>
      <c r="W747" s="1">
        <f t="shared" ca="1" si="220"/>
        <v>0</v>
      </c>
      <c r="X747" s="1">
        <f t="shared" ca="1" si="220"/>
        <v>0</v>
      </c>
      <c r="Y747" s="1">
        <f t="shared" ca="1" si="220"/>
        <v>0</v>
      </c>
      <c r="Z747" s="1">
        <f t="shared" ca="1" si="220"/>
        <v>382.33506493506451</v>
      </c>
      <c r="AA747" s="1">
        <f t="shared" ca="1" si="220"/>
        <v>0</v>
      </c>
      <c r="AB747" s="1">
        <f t="shared" ca="1" si="216"/>
        <v>0</v>
      </c>
      <c r="AC747" s="1">
        <f t="shared" ca="1" si="220"/>
        <v>73.667100000000005</v>
      </c>
      <c r="AD747" s="1">
        <f t="shared" ca="1" si="220"/>
        <v>73.667100000000005</v>
      </c>
      <c r="AE747" s="1">
        <f t="shared" ca="1" si="220"/>
        <v>73.667100000000005</v>
      </c>
      <c r="AF747" s="1">
        <f t="shared" ca="1" si="220"/>
        <v>73.667100000000005</v>
      </c>
      <c r="AG747" s="1">
        <f t="shared" ca="1" si="220"/>
        <v>110.50065000000001</v>
      </c>
      <c r="AH747" s="1">
        <f t="shared" ca="1" si="220"/>
        <v>73.667100000000005</v>
      </c>
      <c r="AI747" s="1">
        <f t="shared" ca="1" si="214"/>
        <v>73.667100000000005</v>
      </c>
    </row>
    <row r="748" spans="2:35" x14ac:dyDescent="0.15">
      <c r="B748" s="1" t="str">
        <f t="shared" si="209"/>
        <v>光系53</v>
      </c>
      <c r="C748" s="1">
        <f t="shared" si="217"/>
        <v>53</v>
      </c>
      <c r="D748" s="14" t="s">
        <v>97</v>
      </c>
      <c r="E748" s="14">
        <f t="shared" si="218"/>
        <v>8</v>
      </c>
      <c r="F748" s="1" t="str">
        <f t="shared" si="207"/>
        <v>神圣</v>
      </c>
      <c r="H748" s="1">
        <f t="shared" ca="1" si="208"/>
        <v>1757.86211279487</v>
      </c>
      <c r="I748" s="1">
        <f t="shared" ca="1" si="219"/>
        <v>150</v>
      </c>
      <c r="J748" s="1">
        <f t="shared" ca="1" si="219"/>
        <v>745.59642857142899</v>
      </c>
      <c r="K748" s="1">
        <f t="shared" ca="1" si="219"/>
        <v>75.083775000000003</v>
      </c>
      <c r="L748" s="1">
        <f t="shared" ca="1" si="219"/>
        <v>745.59642857142899</v>
      </c>
      <c r="M748" s="1">
        <f t="shared" ca="1" si="219"/>
        <v>75.083775000000003</v>
      </c>
      <c r="N748" s="1">
        <f t="shared" ca="1" si="219"/>
        <v>0.2</v>
      </c>
      <c r="O748" s="1">
        <f t="shared" ca="1" si="219"/>
        <v>0.2</v>
      </c>
      <c r="P748" s="1">
        <f t="shared" ca="1" si="219"/>
        <v>0.36</v>
      </c>
      <c r="Q748" s="1">
        <f t="shared" ca="1" si="219"/>
        <v>0.1</v>
      </c>
      <c r="R748" s="1">
        <f t="shared" ca="1" si="219"/>
        <v>2</v>
      </c>
      <c r="S748" s="1">
        <f t="shared" ca="1" si="220"/>
        <v>0.1</v>
      </c>
      <c r="T748" s="1">
        <f t="shared" ca="1" si="220"/>
        <v>0.9</v>
      </c>
      <c r="U748" s="1">
        <f t="shared" ca="1" si="220"/>
        <v>102.466666666667</v>
      </c>
      <c r="V748" s="1">
        <f t="shared" ca="1" si="220"/>
        <v>0</v>
      </c>
      <c r="W748" s="1">
        <f t="shared" ca="1" si="220"/>
        <v>0</v>
      </c>
      <c r="X748" s="1">
        <f t="shared" ca="1" si="220"/>
        <v>0</v>
      </c>
      <c r="Y748" s="1">
        <f t="shared" ca="1" si="220"/>
        <v>0</v>
      </c>
      <c r="Z748" s="1">
        <f t="shared" ca="1" si="220"/>
        <v>403.2307215743445</v>
      </c>
      <c r="AA748" s="1">
        <f t="shared" ca="1" si="220"/>
        <v>0</v>
      </c>
      <c r="AB748" s="1">
        <f t="shared" ca="1" si="216"/>
        <v>0</v>
      </c>
      <c r="AC748" s="1">
        <f t="shared" ca="1" si="220"/>
        <v>75.083775000000003</v>
      </c>
      <c r="AD748" s="1">
        <f t="shared" ca="1" si="220"/>
        <v>75.083775000000003</v>
      </c>
      <c r="AE748" s="1">
        <f t="shared" ca="1" si="220"/>
        <v>75.083775000000003</v>
      </c>
      <c r="AF748" s="1">
        <f t="shared" ca="1" si="220"/>
        <v>75.083775000000003</v>
      </c>
      <c r="AG748" s="1">
        <f t="shared" ca="1" si="220"/>
        <v>112.6256625</v>
      </c>
      <c r="AH748" s="1">
        <f t="shared" ca="1" si="220"/>
        <v>75.083775000000003</v>
      </c>
      <c r="AI748" s="1">
        <f t="shared" ca="1" si="214"/>
        <v>75.083775000000003</v>
      </c>
    </row>
    <row r="749" spans="2:35" x14ac:dyDescent="0.15">
      <c r="B749" s="1" t="str">
        <f t="shared" si="209"/>
        <v>光系54</v>
      </c>
      <c r="C749" s="1">
        <f t="shared" si="217"/>
        <v>54</v>
      </c>
      <c r="D749" s="14" t="s">
        <v>97</v>
      </c>
      <c r="E749" s="14">
        <f t="shared" si="218"/>
        <v>8</v>
      </c>
      <c r="F749" s="1" t="str">
        <f t="shared" si="207"/>
        <v>神圣</v>
      </c>
      <c r="H749" s="1">
        <f t="shared" ca="1" si="208"/>
        <v>1799.89580426465</v>
      </c>
      <c r="I749" s="1">
        <f t="shared" ca="1" si="219"/>
        <v>150</v>
      </c>
      <c r="J749" s="1">
        <f t="shared" ca="1" si="219"/>
        <v>766.048453608248</v>
      </c>
      <c r="K749" s="1">
        <f t="shared" ca="1" si="219"/>
        <v>76.500450000000001</v>
      </c>
      <c r="L749" s="1">
        <f t="shared" ca="1" si="219"/>
        <v>766.048453608248</v>
      </c>
      <c r="M749" s="1">
        <f t="shared" ca="1" si="219"/>
        <v>76.500450000000001</v>
      </c>
      <c r="N749" s="1">
        <f t="shared" ca="1" si="219"/>
        <v>0.2</v>
      </c>
      <c r="O749" s="1">
        <f t="shared" ca="1" si="219"/>
        <v>0.2</v>
      </c>
      <c r="P749" s="1">
        <f t="shared" ca="1" si="219"/>
        <v>0.36</v>
      </c>
      <c r="Q749" s="1">
        <f t="shared" ca="1" si="219"/>
        <v>0.1</v>
      </c>
      <c r="R749" s="1">
        <f t="shared" ca="1" si="219"/>
        <v>2</v>
      </c>
      <c r="S749" s="1">
        <f t="shared" ca="1" si="220"/>
        <v>0.1</v>
      </c>
      <c r="T749" s="1">
        <f t="shared" ca="1" si="220"/>
        <v>0.9</v>
      </c>
      <c r="U749" s="1">
        <f t="shared" ca="1" si="220"/>
        <v>104.4</v>
      </c>
      <c r="V749" s="1">
        <f t="shared" ca="1" si="220"/>
        <v>0</v>
      </c>
      <c r="W749" s="1">
        <f t="shared" ca="1" si="220"/>
        <v>0</v>
      </c>
      <c r="X749" s="1">
        <f t="shared" ca="1" si="220"/>
        <v>0</v>
      </c>
      <c r="Y749" s="1">
        <f t="shared" ca="1" si="220"/>
        <v>0</v>
      </c>
      <c r="Z749" s="1">
        <f t="shared" ca="1" si="220"/>
        <v>424.999484536083</v>
      </c>
      <c r="AA749" s="1">
        <f t="shared" ca="1" si="220"/>
        <v>0</v>
      </c>
      <c r="AB749" s="1">
        <f t="shared" ca="1" si="220"/>
        <v>0</v>
      </c>
      <c r="AC749" s="1">
        <f t="shared" ca="1" si="220"/>
        <v>76.500450000000001</v>
      </c>
      <c r="AD749" s="1">
        <f t="shared" ca="1" si="220"/>
        <v>76.500450000000001</v>
      </c>
      <c r="AE749" s="1">
        <f t="shared" ca="1" si="220"/>
        <v>76.500450000000001</v>
      </c>
      <c r="AF749" s="1">
        <f t="shared" ca="1" si="220"/>
        <v>76.500450000000001</v>
      </c>
      <c r="AG749" s="1">
        <f t="shared" ca="1" si="220"/>
        <v>114.750675</v>
      </c>
      <c r="AH749" s="1">
        <f t="shared" ca="1" si="220"/>
        <v>76.500450000000001</v>
      </c>
      <c r="AI749" s="1">
        <f t="shared" ca="1" si="214"/>
        <v>76.500450000000001</v>
      </c>
    </row>
    <row r="750" spans="2:35" x14ac:dyDescent="0.15">
      <c r="B750" s="1" t="str">
        <f t="shared" si="209"/>
        <v>光系55</v>
      </c>
      <c r="C750" s="1">
        <f t="shared" si="217"/>
        <v>55</v>
      </c>
      <c r="D750" s="14" t="s">
        <v>97</v>
      </c>
      <c r="E750" s="14">
        <f t="shared" si="218"/>
        <v>8</v>
      </c>
      <c r="F750" s="1" t="str">
        <f t="shared" si="207"/>
        <v>神圣</v>
      </c>
      <c r="H750" s="1">
        <f t="shared" ca="1" si="208"/>
        <v>1842.25788394904</v>
      </c>
      <c r="I750" s="1">
        <f t="shared" ca="1" si="219"/>
        <v>150</v>
      </c>
      <c r="J750" s="1">
        <f t="shared" ca="1" si="219"/>
        <v>786.81919642857201</v>
      </c>
      <c r="K750" s="1">
        <f t="shared" ca="1" si="219"/>
        <v>77.917124999999999</v>
      </c>
      <c r="L750" s="1">
        <f t="shared" ca="1" si="219"/>
        <v>786.81919642857201</v>
      </c>
      <c r="M750" s="1">
        <f t="shared" ca="1" si="219"/>
        <v>77.917124999999999</v>
      </c>
      <c r="N750" s="1">
        <f t="shared" ca="1" si="219"/>
        <v>0.2</v>
      </c>
      <c r="O750" s="1">
        <f t="shared" ca="1" si="219"/>
        <v>0.2</v>
      </c>
      <c r="P750" s="1">
        <f t="shared" ca="1" si="219"/>
        <v>0.36</v>
      </c>
      <c r="Q750" s="1">
        <f t="shared" ca="1" si="219"/>
        <v>0.1</v>
      </c>
      <c r="R750" s="1">
        <f t="shared" ca="1" si="219"/>
        <v>2</v>
      </c>
      <c r="S750" s="1">
        <f t="shared" ca="1" si="220"/>
        <v>0.1</v>
      </c>
      <c r="T750" s="1">
        <f t="shared" ca="1" si="220"/>
        <v>0.9</v>
      </c>
      <c r="U750" s="1">
        <f t="shared" ca="1" si="220"/>
        <v>106.333333333333</v>
      </c>
      <c r="V750" s="1">
        <f t="shared" ca="1" si="220"/>
        <v>0</v>
      </c>
      <c r="W750" s="1">
        <f t="shared" ca="1" si="220"/>
        <v>0</v>
      </c>
      <c r="X750" s="1">
        <f t="shared" ca="1" si="220"/>
        <v>0</v>
      </c>
      <c r="Y750" s="1">
        <f t="shared" ca="1" si="220"/>
        <v>0</v>
      </c>
      <c r="Z750" s="1">
        <f t="shared" ca="1" si="220"/>
        <v>447.67299107142901</v>
      </c>
      <c r="AA750" s="1">
        <f t="shared" ca="1" si="220"/>
        <v>0</v>
      </c>
      <c r="AB750" s="1">
        <f t="shared" ca="1" si="220"/>
        <v>0</v>
      </c>
      <c r="AC750" s="1">
        <f t="shared" ca="1" si="220"/>
        <v>77.917124999999999</v>
      </c>
      <c r="AD750" s="1">
        <f t="shared" ca="1" si="220"/>
        <v>77.917124999999999</v>
      </c>
      <c r="AE750" s="1">
        <f t="shared" ca="1" si="220"/>
        <v>77.917124999999999</v>
      </c>
      <c r="AF750" s="1">
        <f t="shared" ca="1" si="220"/>
        <v>77.917124999999999</v>
      </c>
      <c r="AG750" s="1">
        <f t="shared" ca="1" si="220"/>
        <v>116.8756875</v>
      </c>
      <c r="AH750" s="1">
        <f t="shared" ca="1" si="220"/>
        <v>77.917124999999999</v>
      </c>
      <c r="AI750" s="1">
        <f t="shared" ca="1" si="214"/>
        <v>77.917124999999999</v>
      </c>
    </row>
    <row r="751" spans="2:35" x14ac:dyDescent="0.15">
      <c r="B751" s="1" t="str">
        <f t="shared" si="209"/>
        <v>光系56</v>
      </c>
      <c r="C751" s="1">
        <f t="shared" si="217"/>
        <v>56</v>
      </c>
      <c r="D751" s="14" t="s">
        <v>97</v>
      </c>
      <c r="E751" s="14">
        <f t="shared" si="218"/>
        <v>8</v>
      </c>
      <c r="F751" s="1" t="str">
        <f t="shared" si="207"/>
        <v>神圣</v>
      </c>
      <c r="H751" s="1">
        <f t="shared" ca="1" si="208"/>
        <v>1958.58059015868</v>
      </c>
      <c r="I751" s="1">
        <f t="shared" ca="1" si="219"/>
        <v>150</v>
      </c>
      <c r="J751" s="1">
        <f t="shared" ca="1" si="219"/>
        <v>807.91578947368498</v>
      </c>
      <c r="K751" s="1">
        <f t="shared" ca="1" si="219"/>
        <v>79.333799999999997</v>
      </c>
      <c r="L751" s="1">
        <f t="shared" ca="1" si="219"/>
        <v>807.91578947368498</v>
      </c>
      <c r="M751" s="1">
        <f t="shared" ca="1" si="219"/>
        <v>79.333799999999997</v>
      </c>
      <c r="N751" s="1">
        <f t="shared" ca="1" si="219"/>
        <v>0.2</v>
      </c>
      <c r="O751" s="1">
        <f t="shared" ca="1" si="219"/>
        <v>0.2</v>
      </c>
      <c r="P751" s="1">
        <f t="shared" ca="1" si="219"/>
        <v>0.36</v>
      </c>
      <c r="Q751" s="1">
        <f t="shared" ca="1" si="219"/>
        <v>0.1</v>
      </c>
      <c r="R751" s="1">
        <f t="shared" ca="1" si="219"/>
        <v>2</v>
      </c>
      <c r="S751" s="1">
        <f t="shared" ca="1" si="220"/>
        <v>0.1</v>
      </c>
      <c r="T751" s="1">
        <f t="shared" ca="1" si="220"/>
        <v>0.9</v>
      </c>
      <c r="U751" s="1">
        <f t="shared" ca="1" si="220"/>
        <v>108.26666666666701</v>
      </c>
      <c r="V751" s="1">
        <f t="shared" ca="1" si="220"/>
        <v>0</v>
      </c>
      <c r="W751" s="1">
        <f t="shared" ca="1" si="220"/>
        <v>0</v>
      </c>
      <c r="X751" s="1">
        <f t="shared" ca="1" si="220"/>
        <v>0</v>
      </c>
      <c r="Y751" s="1">
        <f t="shared" ca="1" si="220"/>
        <v>0</v>
      </c>
      <c r="Z751" s="1">
        <f t="shared" ca="1" si="220"/>
        <v>471.28421052631654</v>
      </c>
      <c r="AA751" s="1">
        <f t="shared" ca="1" si="220"/>
        <v>0</v>
      </c>
      <c r="AB751" s="1">
        <f t="shared" ca="1" si="220"/>
        <v>0</v>
      </c>
      <c r="AC751" s="1">
        <f t="shared" ca="1" si="220"/>
        <v>79.333799999999997</v>
      </c>
      <c r="AD751" s="1">
        <f t="shared" ca="1" si="220"/>
        <v>79.333799999999997</v>
      </c>
      <c r="AE751" s="1">
        <f t="shared" ca="1" si="220"/>
        <v>79.333799999999997</v>
      </c>
      <c r="AF751" s="1">
        <f t="shared" ca="1" si="220"/>
        <v>79.333799999999997</v>
      </c>
      <c r="AG751" s="1">
        <f t="shared" ca="1" si="220"/>
        <v>119.00069999999999</v>
      </c>
      <c r="AH751" s="1">
        <f t="shared" ca="1" si="220"/>
        <v>79.333799999999997</v>
      </c>
      <c r="AI751" s="1">
        <f t="shared" ca="1" si="214"/>
        <v>79.333799999999997</v>
      </c>
    </row>
    <row r="752" spans="2:35" x14ac:dyDescent="0.15">
      <c r="B752" s="1" t="str">
        <f t="shared" si="209"/>
        <v>光系57</v>
      </c>
      <c r="C752" s="1">
        <f t="shared" si="217"/>
        <v>57</v>
      </c>
      <c r="D752" s="14" t="s">
        <v>97</v>
      </c>
      <c r="E752" s="14">
        <f t="shared" si="218"/>
        <v>8</v>
      </c>
      <c r="F752" s="1" t="str">
        <f t="shared" si="207"/>
        <v>神圣</v>
      </c>
      <c r="H752" s="1">
        <f t="shared" ca="1" si="208"/>
        <v>2003.2799032790199</v>
      </c>
      <c r="I752" s="1">
        <f t="shared" ca="1" si="219"/>
        <v>150</v>
      </c>
      <c r="J752" s="1">
        <f t="shared" ca="1" si="219"/>
        <v>829.34566869301</v>
      </c>
      <c r="K752" s="1">
        <f t="shared" ca="1" si="219"/>
        <v>80.750474999999994</v>
      </c>
      <c r="L752" s="1">
        <f t="shared" ca="1" si="219"/>
        <v>829.34566869301</v>
      </c>
      <c r="M752" s="1">
        <f t="shared" ca="1" si="219"/>
        <v>80.750474999999994</v>
      </c>
      <c r="N752" s="1">
        <f t="shared" ca="1" si="219"/>
        <v>0.2</v>
      </c>
      <c r="O752" s="1">
        <f t="shared" ca="1" si="219"/>
        <v>0.2</v>
      </c>
      <c r="P752" s="1">
        <f t="shared" ca="1" si="219"/>
        <v>0.36</v>
      </c>
      <c r="Q752" s="1">
        <f t="shared" ca="1" si="219"/>
        <v>0.1</v>
      </c>
      <c r="R752" s="1">
        <f t="shared" ca="1" si="219"/>
        <v>2</v>
      </c>
      <c r="S752" s="1">
        <f t="shared" ca="1" si="220"/>
        <v>0.1</v>
      </c>
      <c r="T752" s="1">
        <f t="shared" ca="1" si="220"/>
        <v>0.9</v>
      </c>
      <c r="U752" s="1">
        <f t="shared" ca="1" si="220"/>
        <v>110.2</v>
      </c>
      <c r="V752" s="1">
        <f t="shared" ca="1" si="220"/>
        <v>0</v>
      </c>
      <c r="W752" s="1">
        <f t="shared" ca="1" si="220"/>
        <v>0</v>
      </c>
      <c r="X752" s="1">
        <f t="shared" ca="1" si="220"/>
        <v>0</v>
      </c>
      <c r="Y752" s="1">
        <f t="shared" ca="1" si="220"/>
        <v>0</v>
      </c>
      <c r="Z752" s="1">
        <f t="shared" ca="1" si="220"/>
        <v>495.86751519756899</v>
      </c>
      <c r="AA752" s="1">
        <f t="shared" ca="1" si="220"/>
        <v>0</v>
      </c>
      <c r="AB752" s="1">
        <f t="shared" ca="1" si="220"/>
        <v>0</v>
      </c>
      <c r="AC752" s="1">
        <f t="shared" ca="1" si="220"/>
        <v>80.750474999999994</v>
      </c>
      <c r="AD752" s="1">
        <f t="shared" ca="1" si="220"/>
        <v>80.750474999999994</v>
      </c>
      <c r="AE752" s="1">
        <f t="shared" ca="1" si="220"/>
        <v>80.750474999999994</v>
      </c>
      <c r="AF752" s="1">
        <f t="shared" ca="1" si="220"/>
        <v>80.750474999999994</v>
      </c>
      <c r="AG752" s="1">
        <f t="shared" ca="1" si="220"/>
        <v>121.12571249999999</v>
      </c>
      <c r="AH752" s="1">
        <f t="shared" ca="1" si="220"/>
        <v>80.750474999999994</v>
      </c>
      <c r="AI752" s="1">
        <f t="shared" ca="1" si="214"/>
        <v>80.750474999999994</v>
      </c>
    </row>
    <row r="753" spans="2:35" x14ac:dyDescent="0.15">
      <c r="B753" s="1" t="str">
        <f t="shared" si="209"/>
        <v>光系58</v>
      </c>
      <c r="C753" s="1">
        <f t="shared" si="217"/>
        <v>58</v>
      </c>
      <c r="D753" s="14" t="s">
        <v>97</v>
      </c>
      <c r="E753" s="14">
        <f t="shared" si="218"/>
        <v>8</v>
      </c>
      <c r="F753" s="1" t="str">
        <f t="shared" si="207"/>
        <v>神圣</v>
      </c>
      <c r="H753" s="1">
        <f t="shared" ca="1" si="208"/>
        <v>2048.3204325300599</v>
      </c>
      <c r="I753" s="1">
        <f t="shared" ref="I753:R762" ca="1" si="221">mVlookup($C753,monsterBaseDate,I$2,FALSE)*(1+mVlookup($E753,monsterType,I$2,FALSE))</f>
        <v>150</v>
      </c>
      <c r="J753" s="1">
        <f t="shared" ca="1" si="221"/>
        <v>851.116589861752</v>
      </c>
      <c r="K753" s="1">
        <f t="shared" ca="1" si="221"/>
        <v>82.167150000000007</v>
      </c>
      <c r="L753" s="1">
        <f t="shared" ca="1" si="221"/>
        <v>851.116589861752</v>
      </c>
      <c r="M753" s="1">
        <f t="shared" ca="1" si="221"/>
        <v>82.167150000000007</v>
      </c>
      <c r="N753" s="1">
        <f t="shared" ca="1" si="221"/>
        <v>0.2</v>
      </c>
      <c r="O753" s="1">
        <f t="shared" ca="1" si="221"/>
        <v>0.2</v>
      </c>
      <c r="P753" s="1">
        <f t="shared" ca="1" si="221"/>
        <v>0.36</v>
      </c>
      <c r="Q753" s="1">
        <f t="shared" ca="1" si="221"/>
        <v>0.1</v>
      </c>
      <c r="R753" s="1">
        <f t="shared" ca="1" si="221"/>
        <v>2</v>
      </c>
      <c r="S753" s="1">
        <f t="shared" ref="S753:AH768" ca="1" si="222">mVlookup($C753,monsterBaseDate,S$2,FALSE)*(1+mVlookup($E753,monsterType,S$2,FALSE))</f>
        <v>0.1</v>
      </c>
      <c r="T753" s="1">
        <f t="shared" ca="1" si="222"/>
        <v>0.9</v>
      </c>
      <c r="U753" s="1">
        <f t="shared" ca="1" si="222"/>
        <v>112.133333333333</v>
      </c>
      <c r="V753" s="1">
        <f t="shared" ca="1" si="222"/>
        <v>0</v>
      </c>
      <c r="W753" s="1">
        <f t="shared" ca="1" si="222"/>
        <v>0</v>
      </c>
      <c r="X753" s="1">
        <f t="shared" ca="1" si="222"/>
        <v>0</v>
      </c>
      <c r="Y753" s="1">
        <f t="shared" ca="1" si="222"/>
        <v>0</v>
      </c>
      <c r="Z753" s="1">
        <f t="shared" ca="1" si="222"/>
        <v>521.45875576036951</v>
      </c>
      <c r="AA753" s="1">
        <f t="shared" ca="1" si="222"/>
        <v>0</v>
      </c>
      <c r="AB753" s="1">
        <f t="shared" ca="1" si="220"/>
        <v>0</v>
      </c>
      <c r="AC753" s="1">
        <f t="shared" ca="1" si="222"/>
        <v>82.167150000000007</v>
      </c>
      <c r="AD753" s="1">
        <f t="shared" ca="1" si="222"/>
        <v>82.167150000000007</v>
      </c>
      <c r="AE753" s="1">
        <f t="shared" ca="1" si="222"/>
        <v>82.167150000000007</v>
      </c>
      <c r="AF753" s="1">
        <f t="shared" ca="1" si="222"/>
        <v>82.167150000000007</v>
      </c>
      <c r="AG753" s="1">
        <f t="shared" ca="1" si="222"/>
        <v>123.25072500000002</v>
      </c>
      <c r="AH753" s="1">
        <f t="shared" ca="1" si="222"/>
        <v>82.167150000000007</v>
      </c>
      <c r="AI753" s="1">
        <f t="shared" ca="1" si="214"/>
        <v>82.167150000000007</v>
      </c>
    </row>
    <row r="754" spans="2:35" x14ac:dyDescent="0.15">
      <c r="B754" s="1" t="str">
        <f t="shared" si="209"/>
        <v>光系59</v>
      </c>
      <c r="C754" s="1">
        <f t="shared" si="217"/>
        <v>59</v>
      </c>
      <c r="D754" s="14" t="s">
        <v>97</v>
      </c>
      <c r="E754" s="14">
        <f t="shared" si="218"/>
        <v>8</v>
      </c>
      <c r="F754" s="1" t="str">
        <f t="shared" si="207"/>
        <v>神圣</v>
      </c>
      <c r="H754" s="1">
        <f t="shared" ca="1" si="208"/>
        <v>2093.7021779117799</v>
      </c>
      <c r="I754" s="1">
        <f t="shared" ca="1" si="221"/>
        <v>150</v>
      </c>
      <c r="J754" s="1">
        <f t="shared" ca="1" si="221"/>
        <v>873.23664596273295</v>
      </c>
      <c r="K754" s="1">
        <f t="shared" ca="1" si="221"/>
        <v>83.583825000000004</v>
      </c>
      <c r="L754" s="1">
        <f t="shared" ca="1" si="221"/>
        <v>873.23664596273295</v>
      </c>
      <c r="M754" s="1">
        <f t="shared" ca="1" si="221"/>
        <v>83.583825000000004</v>
      </c>
      <c r="N754" s="1">
        <f t="shared" ca="1" si="221"/>
        <v>0.2</v>
      </c>
      <c r="O754" s="1">
        <f t="shared" ca="1" si="221"/>
        <v>0.2</v>
      </c>
      <c r="P754" s="1">
        <f t="shared" ca="1" si="221"/>
        <v>0.36</v>
      </c>
      <c r="Q754" s="1">
        <f t="shared" ca="1" si="221"/>
        <v>0.1</v>
      </c>
      <c r="R754" s="1">
        <f t="shared" ca="1" si="221"/>
        <v>2</v>
      </c>
      <c r="S754" s="1">
        <f t="shared" ca="1" si="222"/>
        <v>0.1</v>
      </c>
      <c r="T754" s="1">
        <f t="shared" ca="1" si="222"/>
        <v>0.9</v>
      </c>
      <c r="U754" s="1">
        <f t="shared" ca="1" si="222"/>
        <v>114.066666666667</v>
      </c>
      <c r="V754" s="1">
        <f t="shared" ca="1" si="222"/>
        <v>0</v>
      </c>
      <c r="W754" s="1">
        <f t="shared" ca="1" si="222"/>
        <v>0</v>
      </c>
      <c r="X754" s="1">
        <f t="shared" ca="1" si="222"/>
        <v>0</v>
      </c>
      <c r="Y754" s="1">
        <f t="shared" ca="1" si="222"/>
        <v>0</v>
      </c>
      <c r="Z754" s="1">
        <f t="shared" ca="1" si="222"/>
        <v>548.09534161490706</v>
      </c>
      <c r="AA754" s="1">
        <f t="shared" ca="1" si="222"/>
        <v>0</v>
      </c>
      <c r="AB754" s="1">
        <f t="shared" ca="1" si="220"/>
        <v>0</v>
      </c>
      <c r="AC754" s="1">
        <f t="shared" ca="1" si="222"/>
        <v>83.583825000000004</v>
      </c>
      <c r="AD754" s="1">
        <f t="shared" ca="1" si="222"/>
        <v>83.583825000000004</v>
      </c>
      <c r="AE754" s="1">
        <f t="shared" ca="1" si="222"/>
        <v>83.583825000000004</v>
      </c>
      <c r="AF754" s="1">
        <f t="shared" ca="1" si="222"/>
        <v>83.583825000000004</v>
      </c>
      <c r="AG754" s="1">
        <f t="shared" ca="1" si="222"/>
        <v>125.37573750000001</v>
      </c>
      <c r="AH754" s="1">
        <f t="shared" ca="1" si="222"/>
        <v>83.583825000000004</v>
      </c>
      <c r="AI754" s="1">
        <f t="shared" ca="1" si="214"/>
        <v>83.583825000000004</v>
      </c>
    </row>
    <row r="755" spans="2:35" x14ac:dyDescent="0.15">
      <c r="B755" s="1" t="str">
        <f t="shared" si="209"/>
        <v>光系60</v>
      </c>
      <c r="C755" s="1">
        <f t="shared" si="217"/>
        <v>60</v>
      </c>
      <c r="D755" s="14" t="s">
        <v>97</v>
      </c>
      <c r="E755" s="14">
        <f t="shared" si="218"/>
        <v>8</v>
      </c>
      <c r="F755" s="1" t="str">
        <f t="shared" si="207"/>
        <v>神圣</v>
      </c>
      <c r="H755" s="1">
        <f t="shared" ca="1" si="208"/>
        <v>2139.4251394242001</v>
      </c>
      <c r="I755" s="1">
        <f t="shared" ca="1" si="221"/>
        <v>150</v>
      </c>
      <c r="J755" s="1">
        <f t="shared" ca="1" si="221"/>
        <v>895.71428571428601</v>
      </c>
      <c r="K755" s="1">
        <f t="shared" ca="1" si="221"/>
        <v>85.000500000000002</v>
      </c>
      <c r="L755" s="1">
        <f t="shared" ca="1" si="221"/>
        <v>895.71428571428601</v>
      </c>
      <c r="M755" s="1">
        <f t="shared" ca="1" si="221"/>
        <v>85.000500000000002</v>
      </c>
      <c r="N755" s="1">
        <f t="shared" ca="1" si="221"/>
        <v>0.2</v>
      </c>
      <c r="O755" s="1">
        <f t="shared" ca="1" si="221"/>
        <v>0.2</v>
      </c>
      <c r="P755" s="1">
        <f t="shared" ca="1" si="221"/>
        <v>0.36</v>
      </c>
      <c r="Q755" s="1">
        <f t="shared" ca="1" si="221"/>
        <v>0.1</v>
      </c>
      <c r="R755" s="1">
        <f t="shared" ca="1" si="221"/>
        <v>2</v>
      </c>
      <c r="S755" s="1">
        <f t="shared" ca="1" si="222"/>
        <v>0.1</v>
      </c>
      <c r="T755" s="1">
        <f t="shared" ca="1" si="222"/>
        <v>0.9</v>
      </c>
      <c r="U755" s="1">
        <f t="shared" ca="1" si="222"/>
        <v>116</v>
      </c>
      <c r="V755" s="1">
        <f t="shared" ca="1" si="222"/>
        <v>0</v>
      </c>
      <c r="W755" s="1">
        <f t="shared" ca="1" si="222"/>
        <v>0</v>
      </c>
      <c r="X755" s="1">
        <f t="shared" ca="1" si="222"/>
        <v>0</v>
      </c>
      <c r="Y755" s="1">
        <f t="shared" ca="1" si="222"/>
        <v>0</v>
      </c>
      <c r="Z755" s="1">
        <f t="shared" ca="1" si="222"/>
        <v>575.81632653061206</v>
      </c>
      <c r="AA755" s="1">
        <f t="shared" ca="1" si="222"/>
        <v>0</v>
      </c>
      <c r="AB755" s="1">
        <f t="shared" ca="1" si="220"/>
        <v>0</v>
      </c>
      <c r="AC755" s="1">
        <f t="shared" ca="1" si="222"/>
        <v>85.000500000000002</v>
      </c>
      <c r="AD755" s="1">
        <f t="shared" ca="1" si="222"/>
        <v>85.000500000000002</v>
      </c>
      <c r="AE755" s="1">
        <f t="shared" ca="1" si="222"/>
        <v>85.000500000000002</v>
      </c>
      <c r="AF755" s="1">
        <f t="shared" ca="1" si="222"/>
        <v>85.000500000000002</v>
      </c>
      <c r="AG755" s="1">
        <f t="shared" ca="1" si="222"/>
        <v>127.50075000000001</v>
      </c>
      <c r="AH755" s="1">
        <f t="shared" ca="1" si="222"/>
        <v>85.000500000000002</v>
      </c>
      <c r="AI755" s="1">
        <f t="shared" ca="1" si="214"/>
        <v>85.000500000000002</v>
      </c>
    </row>
    <row r="756" spans="2:35" x14ac:dyDescent="0.15">
      <c r="B756" s="1" t="str">
        <f t="shared" si="209"/>
        <v>光系61</v>
      </c>
      <c r="C756" s="1">
        <f t="shared" si="217"/>
        <v>61</v>
      </c>
      <c r="D756" s="14" t="s">
        <v>97</v>
      </c>
      <c r="E756" s="14">
        <f t="shared" si="218"/>
        <v>8</v>
      </c>
      <c r="F756" s="1" t="str">
        <f t="shared" si="207"/>
        <v>神圣</v>
      </c>
      <c r="H756" s="1">
        <f t="shared" ca="1" si="208"/>
        <v>2185.4893170672999</v>
      </c>
      <c r="I756" s="1">
        <f t="shared" ca="1" si="221"/>
        <v>150</v>
      </c>
      <c r="J756" s="1">
        <f t="shared" ca="1" si="221"/>
        <v>918.55833333333396</v>
      </c>
      <c r="K756" s="1">
        <f t="shared" ca="1" si="221"/>
        <v>86.417175</v>
      </c>
      <c r="L756" s="1">
        <f t="shared" ca="1" si="221"/>
        <v>918.55833333333396</v>
      </c>
      <c r="M756" s="1">
        <f t="shared" ca="1" si="221"/>
        <v>86.417175</v>
      </c>
      <c r="N756" s="1">
        <f t="shared" ca="1" si="221"/>
        <v>0.2</v>
      </c>
      <c r="O756" s="1">
        <f t="shared" ca="1" si="221"/>
        <v>0.2</v>
      </c>
      <c r="P756" s="1">
        <f t="shared" ca="1" si="221"/>
        <v>0.36</v>
      </c>
      <c r="Q756" s="1">
        <f t="shared" ca="1" si="221"/>
        <v>0.1</v>
      </c>
      <c r="R756" s="1">
        <f t="shared" ca="1" si="221"/>
        <v>2</v>
      </c>
      <c r="S756" s="1">
        <f t="shared" ca="1" si="222"/>
        <v>0.1</v>
      </c>
      <c r="T756" s="1">
        <f t="shared" ca="1" si="222"/>
        <v>0.9</v>
      </c>
      <c r="U756" s="1">
        <f t="shared" ca="1" si="222"/>
        <v>117.933333333333</v>
      </c>
      <c r="V756" s="1">
        <f t="shared" ca="1" si="222"/>
        <v>0</v>
      </c>
      <c r="W756" s="1">
        <f t="shared" ca="1" si="222"/>
        <v>0</v>
      </c>
      <c r="X756" s="1">
        <f t="shared" ca="1" si="222"/>
        <v>0</v>
      </c>
      <c r="Y756" s="1">
        <f t="shared" ca="1" si="222"/>
        <v>0</v>
      </c>
      <c r="Z756" s="1">
        <f t="shared" ca="1" si="222"/>
        <v>604.66250000000093</v>
      </c>
      <c r="AA756" s="1">
        <f t="shared" ca="1" si="222"/>
        <v>0</v>
      </c>
      <c r="AB756" s="1">
        <f t="shared" ca="1" si="220"/>
        <v>0</v>
      </c>
      <c r="AC756" s="1">
        <f t="shared" ca="1" si="222"/>
        <v>86.417175</v>
      </c>
      <c r="AD756" s="1">
        <f t="shared" ca="1" si="222"/>
        <v>86.417175</v>
      </c>
      <c r="AE756" s="1">
        <f t="shared" ca="1" si="222"/>
        <v>86.417175</v>
      </c>
      <c r="AF756" s="1">
        <f t="shared" ca="1" si="222"/>
        <v>86.417175</v>
      </c>
      <c r="AG756" s="1">
        <f t="shared" ca="1" si="222"/>
        <v>129.62576250000001</v>
      </c>
      <c r="AH756" s="1">
        <f t="shared" ca="1" si="222"/>
        <v>86.417175</v>
      </c>
      <c r="AI756" s="1">
        <f t="shared" ca="1" si="214"/>
        <v>86.417175</v>
      </c>
    </row>
    <row r="757" spans="2:35" x14ac:dyDescent="0.15">
      <c r="B757" s="1" t="str">
        <f t="shared" si="209"/>
        <v>光系62</v>
      </c>
      <c r="C757" s="1">
        <f t="shared" si="217"/>
        <v>62</v>
      </c>
      <c r="D757" s="14" t="s">
        <v>97</v>
      </c>
      <c r="E757" s="14">
        <f t="shared" si="218"/>
        <v>8</v>
      </c>
      <c r="F757" s="1" t="str">
        <f t="shared" si="207"/>
        <v>神圣</v>
      </c>
      <c r="H757" s="1">
        <f t="shared" ca="1" si="208"/>
        <v>2231.8947108410998</v>
      </c>
      <c r="I757" s="1">
        <f t="shared" ca="1" si="221"/>
        <v>150</v>
      </c>
      <c r="J757" s="1">
        <f t="shared" ca="1" si="221"/>
        <v>941.77800963081904</v>
      </c>
      <c r="K757" s="1">
        <f t="shared" ca="1" si="221"/>
        <v>87.833849999999998</v>
      </c>
      <c r="L757" s="1">
        <f t="shared" ca="1" si="221"/>
        <v>941.77800963081904</v>
      </c>
      <c r="M757" s="1">
        <f t="shared" ca="1" si="221"/>
        <v>87.833849999999998</v>
      </c>
      <c r="N757" s="1">
        <f t="shared" ca="1" si="221"/>
        <v>0.2</v>
      </c>
      <c r="O757" s="1">
        <f t="shared" ca="1" si="221"/>
        <v>0.2</v>
      </c>
      <c r="P757" s="1">
        <f t="shared" ca="1" si="221"/>
        <v>0.36</v>
      </c>
      <c r="Q757" s="1">
        <f t="shared" ca="1" si="221"/>
        <v>0.1</v>
      </c>
      <c r="R757" s="1">
        <f t="shared" ca="1" si="221"/>
        <v>2</v>
      </c>
      <c r="S757" s="1">
        <f t="shared" ca="1" si="222"/>
        <v>0.1</v>
      </c>
      <c r="T757" s="1">
        <f t="shared" ca="1" si="222"/>
        <v>0.9</v>
      </c>
      <c r="U757" s="1">
        <f t="shared" ca="1" si="222"/>
        <v>119.866666666667</v>
      </c>
      <c r="V757" s="1">
        <f t="shared" ca="1" si="222"/>
        <v>0</v>
      </c>
      <c r="W757" s="1">
        <f t="shared" ca="1" si="222"/>
        <v>0</v>
      </c>
      <c r="X757" s="1">
        <f t="shared" ca="1" si="222"/>
        <v>0</v>
      </c>
      <c r="Y757" s="1">
        <f t="shared" ca="1" si="222"/>
        <v>0</v>
      </c>
      <c r="Z757" s="1">
        <f t="shared" ca="1" si="222"/>
        <v>634.6764847512045</v>
      </c>
      <c r="AA757" s="1">
        <f t="shared" ca="1" si="222"/>
        <v>0</v>
      </c>
      <c r="AB757" s="1">
        <f t="shared" ca="1" si="220"/>
        <v>0</v>
      </c>
      <c r="AC757" s="1">
        <f t="shared" ca="1" si="222"/>
        <v>87.833849999999998</v>
      </c>
      <c r="AD757" s="1">
        <f t="shared" ca="1" si="222"/>
        <v>87.833849999999998</v>
      </c>
      <c r="AE757" s="1">
        <f t="shared" ca="1" si="222"/>
        <v>87.833849999999998</v>
      </c>
      <c r="AF757" s="1">
        <f t="shared" ca="1" si="222"/>
        <v>87.833849999999998</v>
      </c>
      <c r="AG757" s="1">
        <f t="shared" ca="1" si="222"/>
        <v>131.750775</v>
      </c>
      <c r="AH757" s="1">
        <f t="shared" ca="1" si="222"/>
        <v>87.833849999999998</v>
      </c>
      <c r="AI757" s="1">
        <f t="shared" ca="1" si="214"/>
        <v>87.833849999999998</v>
      </c>
    </row>
    <row r="758" spans="2:35" x14ac:dyDescent="0.15">
      <c r="B758" s="1" t="str">
        <f t="shared" si="209"/>
        <v>光系63</v>
      </c>
      <c r="C758" s="1">
        <f t="shared" si="217"/>
        <v>63</v>
      </c>
      <c r="D758" s="14" t="s">
        <v>97</v>
      </c>
      <c r="E758" s="14">
        <f t="shared" si="218"/>
        <v>8</v>
      </c>
      <c r="F758" s="1" t="str">
        <f t="shared" si="207"/>
        <v>神圣</v>
      </c>
      <c r="H758" s="1">
        <f t="shared" ca="1" si="208"/>
        <v>2278.6413207455798</v>
      </c>
      <c r="I758" s="1">
        <f t="shared" ca="1" si="221"/>
        <v>150</v>
      </c>
      <c r="J758" s="1">
        <f t="shared" ca="1" si="221"/>
        <v>965.38295454545505</v>
      </c>
      <c r="K758" s="1">
        <f t="shared" ca="1" si="221"/>
        <v>89.250524999999996</v>
      </c>
      <c r="L758" s="1">
        <f t="shared" ca="1" si="221"/>
        <v>965.38295454545505</v>
      </c>
      <c r="M758" s="1">
        <f t="shared" ca="1" si="221"/>
        <v>89.250524999999996</v>
      </c>
      <c r="N758" s="1">
        <f t="shared" ca="1" si="221"/>
        <v>0.2</v>
      </c>
      <c r="O758" s="1">
        <f t="shared" ca="1" si="221"/>
        <v>0.2</v>
      </c>
      <c r="P758" s="1">
        <f t="shared" ca="1" si="221"/>
        <v>0.36</v>
      </c>
      <c r="Q758" s="1">
        <f t="shared" ca="1" si="221"/>
        <v>0.1</v>
      </c>
      <c r="R758" s="1">
        <f t="shared" ca="1" si="221"/>
        <v>2</v>
      </c>
      <c r="S758" s="1">
        <f t="shared" ca="1" si="222"/>
        <v>0.1</v>
      </c>
      <c r="T758" s="1">
        <f t="shared" ca="1" si="222"/>
        <v>0.9</v>
      </c>
      <c r="U758" s="1">
        <f t="shared" ca="1" si="222"/>
        <v>121.8</v>
      </c>
      <c r="V758" s="1">
        <f t="shared" ca="1" si="222"/>
        <v>0</v>
      </c>
      <c r="W758" s="1">
        <f t="shared" ca="1" si="222"/>
        <v>0</v>
      </c>
      <c r="X758" s="1">
        <f t="shared" ca="1" si="222"/>
        <v>0</v>
      </c>
      <c r="Y758" s="1">
        <f t="shared" ca="1" si="222"/>
        <v>0</v>
      </c>
      <c r="Z758" s="1">
        <f t="shared" ca="1" si="222"/>
        <v>665.90284090909199</v>
      </c>
      <c r="AA758" s="1">
        <f t="shared" ca="1" si="222"/>
        <v>0</v>
      </c>
      <c r="AB758" s="1">
        <f t="shared" ca="1" si="220"/>
        <v>0</v>
      </c>
      <c r="AC758" s="1">
        <f t="shared" ca="1" si="222"/>
        <v>89.250524999999996</v>
      </c>
      <c r="AD758" s="1">
        <f t="shared" ca="1" si="222"/>
        <v>89.250524999999996</v>
      </c>
      <c r="AE758" s="1">
        <f t="shared" ca="1" si="222"/>
        <v>89.250524999999996</v>
      </c>
      <c r="AF758" s="1">
        <f t="shared" ca="1" si="222"/>
        <v>89.250524999999996</v>
      </c>
      <c r="AG758" s="1">
        <f t="shared" ca="1" si="222"/>
        <v>133.8757875</v>
      </c>
      <c r="AH758" s="1">
        <f t="shared" ca="1" si="222"/>
        <v>89.250524999999996</v>
      </c>
      <c r="AI758" s="1">
        <f t="shared" ca="1" si="214"/>
        <v>89.250524999999996</v>
      </c>
    </row>
    <row r="759" spans="2:35" x14ac:dyDescent="0.15">
      <c r="B759" s="1" t="str">
        <f t="shared" si="209"/>
        <v>光系64</v>
      </c>
      <c r="C759" s="1">
        <f t="shared" si="217"/>
        <v>64</v>
      </c>
      <c r="D759" s="14" t="s">
        <v>97</v>
      </c>
      <c r="E759" s="14">
        <f t="shared" si="218"/>
        <v>8</v>
      </c>
      <c r="F759" s="1" t="str">
        <f t="shared" si="207"/>
        <v>神圣</v>
      </c>
      <c r="H759" s="1">
        <f t="shared" ca="1" si="208"/>
        <v>2325.7291467807499</v>
      </c>
      <c r="I759" s="1">
        <f t="shared" ca="1" si="221"/>
        <v>150</v>
      </c>
      <c r="J759" s="1">
        <f t="shared" ca="1" si="221"/>
        <v>989.38325123152799</v>
      </c>
      <c r="K759" s="1">
        <f t="shared" ca="1" si="221"/>
        <v>90.667199999999994</v>
      </c>
      <c r="L759" s="1">
        <f t="shared" ca="1" si="221"/>
        <v>989.38325123152799</v>
      </c>
      <c r="M759" s="1">
        <f t="shared" ca="1" si="221"/>
        <v>90.667199999999994</v>
      </c>
      <c r="N759" s="1">
        <f t="shared" ca="1" si="221"/>
        <v>0.2</v>
      </c>
      <c r="O759" s="1">
        <f t="shared" ca="1" si="221"/>
        <v>0.2</v>
      </c>
      <c r="P759" s="1">
        <f t="shared" ca="1" si="221"/>
        <v>0.36</v>
      </c>
      <c r="Q759" s="1">
        <f t="shared" ca="1" si="221"/>
        <v>0.1</v>
      </c>
      <c r="R759" s="1">
        <f t="shared" ca="1" si="221"/>
        <v>2</v>
      </c>
      <c r="S759" s="1">
        <f t="shared" ca="1" si="222"/>
        <v>0.1</v>
      </c>
      <c r="T759" s="1">
        <f t="shared" ca="1" si="222"/>
        <v>0.9</v>
      </c>
      <c r="U759" s="1">
        <f t="shared" ca="1" si="222"/>
        <v>123.73333333333299</v>
      </c>
      <c r="V759" s="1">
        <f t="shared" ca="1" si="222"/>
        <v>0</v>
      </c>
      <c r="W759" s="1">
        <f t="shared" ca="1" si="222"/>
        <v>0</v>
      </c>
      <c r="X759" s="1">
        <f t="shared" ca="1" si="222"/>
        <v>0</v>
      </c>
      <c r="Y759" s="1">
        <f t="shared" ca="1" si="222"/>
        <v>0</v>
      </c>
      <c r="Z759" s="1">
        <f t="shared" ca="1" si="222"/>
        <v>698.3881773399014</v>
      </c>
      <c r="AA759" s="1">
        <f t="shared" ca="1" si="222"/>
        <v>0</v>
      </c>
      <c r="AB759" s="1">
        <f t="shared" ca="1" si="222"/>
        <v>0</v>
      </c>
      <c r="AC759" s="1">
        <f t="shared" ca="1" si="222"/>
        <v>90.667199999999994</v>
      </c>
      <c r="AD759" s="1">
        <f t="shared" ca="1" si="222"/>
        <v>90.667199999999994</v>
      </c>
      <c r="AE759" s="1">
        <f t="shared" ca="1" si="222"/>
        <v>90.667199999999994</v>
      </c>
      <c r="AF759" s="1">
        <f t="shared" ca="1" si="222"/>
        <v>90.667199999999994</v>
      </c>
      <c r="AG759" s="1">
        <f t="shared" ca="1" si="222"/>
        <v>136.0008</v>
      </c>
      <c r="AH759" s="1">
        <f t="shared" ca="1" si="222"/>
        <v>90.667199999999994</v>
      </c>
      <c r="AI759" s="1">
        <f t="shared" ca="1" si="214"/>
        <v>90.667199999999994</v>
      </c>
    </row>
    <row r="760" spans="2:35" x14ac:dyDescent="0.15">
      <c r="B760" s="1" t="str">
        <f t="shared" si="209"/>
        <v>光系65</v>
      </c>
      <c r="C760" s="1">
        <f t="shared" si="217"/>
        <v>65</v>
      </c>
      <c r="D760" s="14" t="s">
        <v>97</v>
      </c>
      <c r="E760" s="14">
        <f t="shared" si="218"/>
        <v>8</v>
      </c>
      <c r="F760" s="1" t="str">
        <f t="shared" si="207"/>
        <v>神圣</v>
      </c>
      <c r="H760" s="1">
        <f t="shared" ca="1" si="208"/>
        <v>2373.1581889466202</v>
      </c>
      <c r="I760" s="1">
        <f t="shared" ca="1" si="221"/>
        <v>150</v>
      </c>
      <c r="J760" s="1">
        <f t="shared" ca="1" si="221"/>
        <v>1013.78945182724</v>
      </c>
      <c r="K760" s="1">
        <f t="shared" ca="1" si="221"/>
        <v>92.083875000000006</v>
      </c>
      <c r="L760" s="1">
        <f t="shared" ca="1" si="221"/>
        <v>1013.78945182724</v>
      </c>
      <c r="M760" s="1">
        <f t="shared" ca="1" si="221"/>
        <v>92.083875000000006</v>
      </c>
      <c r="N760" s="1">
        <f t="shared" ca="1" si="221"/>
        <v>0.2</v>
      </c>
      <c r="O760" s="1">
        <f t="shared" ca="1" si="221"/>
        <v>0.2</v>
      </c>
      <c r="P760" s="1">
        <f t="shared" ca="1" si="221"/>
        <v>0.36</v>
      </c>
      <c r="Q760" s="1">
        <f t="shared" ca="1" si="221"/>
        <v>0.1</v>
      </c>
      <c r="R760" s="1">
        <f t="shared" ca="1" si="221"/>
        <v>2</v>
      </c>
      <c r="S760" s="1">
        <f t="shared" ca="1" si="222"/>
        <v>0.1</v>
      </c>
      <c r="T760" s="1">
        <f t="shared" ca="1" si="222"/>
        <v>0.9</v>
      </c>
      <c r="U760" s="1">
        <f t="shared" ca="1" si="222"/>
        <v>125.666666666667</v>
      </c>
      <c r="V760" s="1">
        <f t="shared" ca="1" si="222"/>
        <v>0</v>
      </c>
      <c r="W760" s="1">
        <f t="shared" ca="1" si="222"/>
        <v>0</v>
      </c>
      <c r="X760" s="1">
        <f t="shared" ca="1" si="222"/>
        <v>0</v>
      </c>
      <c r="Y760" s="1">
        <f t="shared" ca="1" si="222"/>
        <v>0</v>
      </c>
      <c r="Z760" s="1">
        <f t="shared" ca="1" si="222"/>
        <v>732.18127076411997</v>
      </c>
      <c r="AA760" s="1">
        <f t="shared" ca="1" si="222"/>
        <v>0</v>
      </c>
      <c r="AB760" s="1">
        <f t="shared" ca="1" si="222"/>
        <v>0</v>
      </c>
      <c r="AC760" s="1">
        <f t="shared" ca="1" si="222"/>
        <v>92.083875000000006</v>
      </c>
      <c r="AD760" s="1">
        <f t="shared" ca="1" si="222"/>
        <v>92.083875000000006</v>
      </c>
      <c r="AE760" s="1">
        <f t="shared" ca="1" si="222"/>
        <v>92.083875000000006</v>
      </c>
      <c r="AF760" s="1">
        <f t="shared" ca="1" si="222"/>
        <v>92.083875000000006</v>
      </c>
      <c r="AG760" s="1">
        <f t="shared" ca="1" si="222"/>
        <v>138.12581249999999</v>
      </c>
      <c r="AH760" s="1">
        <f t="shared" ca="1" si="222"/>
        <v>92.083875000000006</v>
      </c>
      <c r="AI760" s="1">
        <f t="shared" ca="1" si="214"/>
        <v>92.083875000000006</v>
      </c>
    </row>
    <row r="761" spans="2:35" x14ac:dyDescent="0.15">
      <c r="B761" s="1" t="str">
        <f t="shared" si="209"/>
        <v>光系66</v>
      </c>
      <c r="C761" s="1">
        <f t="shared" si="217"/>
        <v>66</v>
      </c>
      <c r="D761" s="14" t="s">
        <v>97</v>
      </c>
      <c r="E761" s="14">
        <f t="shared" si="218"/>
        <v>8</v>
      </c>
      <c r="F761" s="1" t="str">
        <f t="shared" si="207"/>
        <v>神圣</v>
      </c>
      <c r="H761" s="1">
        <f t="shared" ca="1" si="208"/>
        <v>2420.92844724317</v>
      </c>
      <c r="I761" s="1">
        <f t="shared" ca="1" si="221"/>
        <v>150</v>
      </c>
      <c r="J761" s="1">
        <f t="shared" ca="1" si="221"/>
        <v>1038.61260504202</v>
      </c>
      <c r="K761" s="1">
        <f t="shared" ca="1" si="221"/>
        <v>93.500550000000004</v>
      </c>
      <c r="L761" s="1">
        <f t="shared" ca="1" si="221"/>
        <v>1038.61260504202</v>
      </c>
      <c r="M761" s="1">
        <f t="shared" ca="1" si="221"/>
        <v>93.500550000000004</v>
      </c>
      <c r="N761" s="1">
        <f t="shared" ca="1" si="221"/>
        <v>0.2</v>
      </c>
      <c r="O761" s="1">
        <f t="shared" ca="1" si="221"/>
        <v>0.2</v>
      </c>
      <c r="P761" s="1">
        <f t="shared" ca="1" si="221"/>
        <v>0.36</v>
      </c>
      <c r="Q761" s="1">
        <f t="shared" ca="1" si="221"/>
        <v>0.1</v>
      </c>
      <c r="R761" s="1">
        <f t="shared" ca="1" si="221"/>
        <v>2</v>
      </c>
      <c r="S761" s="1">
        <f t="shared" ca="1" si="222"/>
        <v>0.1</v>
      </c>
      <c r="T761" s="1">
        <f t="shared" ca="1" si="222"/>
        <v>0.9</v>
      </c>
      <c r="U761" s="1">
        <f t="shared" ca="1" si="222"/>
        <v>127.6</v>
      </c>
      <c r="V761" s="1">
        <f t="shared" ca="1" si="222"/>
        <v>0</v>
      </c>
      <c r="W761" s="1">
        <f t="shared" ca="1" si="222"/>
        <v>0</v>
      </c>
      <c r="X761" s="1">
        <f t="shared" ca="1" si="222"/>
        <v>0</v>
      </c>
      <c r="Y761" s="1">
        <f t="shared" ca="1" si="222"/>
        <v>0</v>
      </c>
      <c r="Z761" s="1">
        <f t="shared" ca="1" si="222"/>
        <v>767.33319327731101</v>
      </c>
      <c r="AA761" s="1">
        <f t="shared" ca="1" si="222"/>
        <v>0</v>
      </c>
      <c r="AB761" s="1">
        <f t="shared" ca="1" si="222"/>
        <v>0</v>
      </c>
      <c r="AC761" s="1">
        <f t="shared" ca="1" si="222"/>
        <v>93.500550000000004</v>
      </c>
      <c r="AD761" s="1">
        <f t="shared" ca="1" si="222"/>
        <v>93.500550000000004</v>
      </c>
      <c r="AE761" s="1">
        <f t="shared" ca="1" si="222"/>
        <v>93.500550000000004</v>
      </c>
      <c r="AF761" s="1">
        <f t="shared" ca="1" si="222"/>
        <v>93.500550000000004</v>
      </c>
      <c r="AG761" s="1">
        <f t="shared" ca="1" si="222"/>
        <v>140.25082500000002</v>
      </c>
      <c r="AH761" s="1">
        <f t="shared" ca="1" si="222"/>
        <v>93.500550000000004</v>
      </c>
      <c r="AI761" s="1">
        <f t="shared" ca="1" si="214"/>
        <v>93.500550000000004</v>
      </c>
    </row>
    <row r="762" spans="2:35" x14ac:dyDescent="0.15">
      <c r="B762" s="1" t="str">
        <f t="shared" si="209"/>
        <v>光系67</v>
      </c>
      <c r="C762" s="1">
        <f t="shared" si="217"/>
        <v>67</v>
      </c>
      <c r="D762" s="14" t="s">
        <v>97</v>
      </c>
      <c r="E762" s="14">
        <f t="shared" si="218"/>
        <v>8</v>
      </c>
      <c r="F762" s="1" t="str">
        <f t="shared" si="207"/>
        <v>神圣</v>
      </c>
      <c r="H762" s="1">
        <f t="shared" ca="1" si="208"/>
        <v>2566.4914899863102</v>
      </c>
      <c r="I762" s="1">
        <f t="shared" ca="1" si="221"/>
        <v>150</v>
      </c>
      <c r="J762" s="1">
        <f t="shared" ca="1" si="221"/>
        <v>1063.86428571429</v>
      </c>
      <c r="K762" s="1">
        <f t="shared" ca="1" si="221"/>
        <v>94.917225000000002</v>
      </c>
      <c r="L762" s="1">
        <f t="shared" ca="1" si="221"/>
        <v>1063.86428571429</v>
      </c>
      <c r="M762" s="1">
        <f t="shared" ca="1" si="221"/>
        <v>94.917225000000002</v>
      </c>
      <c r="N762" s="1">
        <f t="shared" ca="1" si="221"/>
        <v>0.2</v>
      </c>
      <c r="O762" s="1">
        <f t="shared" ca="1" si="221"/>
        <v>0.2</v>
      </c>
      <c r="P762" s="1">
        <f t="shared" ca="1" si="221"/>
        <v>0.36</v>
      </c>
      <c r="Q762" s="1">
        <f t="shared" ca="1" si="221"/>
        <v>0.1</v>
      </c>
      <c r="R762" s="1">
        <f t="shared" ca="1" si="221"/>
        <v>2</v>
      </c>
      <c r="S762" s="1">
        <f t="shared" ca="1" si="222"/>
        <v>0.1</v>
      </c>
      <c r="T762" s="1">
        <f t="shared" ca="1" si="222"/>
        <v>0.9</v>
      </c>
      <c r="U762" s="1">
        <f t="shared" ca="1" si="222"/>
        <v>129.53333333333299</v>
      </c>
      <c r="V762" s="1">
        <f t="shared" ca="1" si="222"/>
        <v>0</v>
      </c>
      <c r="W762" s="1">
        <f t="shared" ca="1" si="222"/>
        <v>0</v>
      </c>
      <c r="X762" s="1">
        <f t="shared" ca="1" si="222"/>
        <v>0</v>
      </c>
      <c r="Y762" s="1">
        <f t="shared" ca="1" si="222"/>
        <v>0</v>
      </c>
      <c r="Z762" s="1">
        <f t="shared" ca="1" si="222"/>
        <v>803.89744897959304</v>
      </c>
      <c r="AA762" s="1">
        <f t="shared" ca="1" si="222"/>
        <v>0</v>
      </c>
      <c r="AB762" s="1">
        <f t="shared" ca="1" si="222"/>
        <v>0</v>
      </c>
      <c r="AC762" s="1">
        <f t="shared" ca="1" si="222"/>
        <v>94.917225000000002</v>
      </c>
      <c r="AD762" s="1">
        <f t="shared" ca="1" si="222"/>
        <v>94.917225000000002</v>
      </c>
      <c r="AE762" s="1">
        <f t="shared" ca="1" si="222"/>
        <v>94.917225000000002</v>
      </c>
      <c r="AF762" s="1">
        <f t="shared" ca="1" si="222"/>
        <v>94.917225000000002</v>
      </c>
      <c r="AG762" s="1">
        <f t="shared" ca="1" si="222"/>
        <v>142.37583749999999</v>
      </c>
      <c r="AH762" s="1">
        <f t="shared" ca="1" si="222"/>
        <v>94.917225000000002</v>
      </c>
      <c r="AI762" s="1">
        <f t="shared" ca="1" si="214"/>
        <v>94.917225000000002</v>
      </c>
    </row>
    <row r="763" spans="2:35" x14ac:dyDescent="0.15">
      <c r="B763" s="1" t="str">
        <f t="shared" si="209"/>
        <v>光系68</v>
      </c>
      <c r="C763" s="1">
        <f t="shared" si="217"/>
        <v>68</v>
      </c>
      <c r="D763" s="14" t="s">
        <v>97</v>
      </c>
      <c r="E763" s="14">
        <f t="shared" si="218"/>
        <v>8</v>
      </c>
      <c r="F763" s="1" t="str">
        <f t="shared" si="207"/>
        <v>神圣</v>
      </c>
      <c r="H763" s="1">
        <f t="shared" ca="1" si="208"/>
        <v>2616.8565800330298</v>
      </c>
      <c r="I763" s="1">
        <f t="shared" ref="I763:R772" ca="1" si="223">mVlookup($C763,monsterBaseDate,I$2,FALSE)*(1+mVlookup($E763,monsterType,I$2,FALSE))</f>
        <v>150</v>
      </c>
      <c r="J763" s="1">
        <f t="shared" ca="1" si="223"/>
        <v>1089.5566265060199</v>
      </c>
      <c r="K763" s="1">
        <f t="shared" ca="1" si="223"/>
        <v>96.3339</v>
      </c>
      <c r="L763" s="1">
        <f t="shared" ca="1" si="223"/>
        <v>1089.5566265060199</v>
      </c>
      <c r="M763" s="1">
        <f t="shared" ca="1" si="223"/>
        <v>96.3339</v>
      </c>
      <c r="N763" s="1">
        <f t="shared" ca="1" si="223"/>
        <v>0.2</v>
      </c>
      <c r="O763" s="1">
        <f t="shared" ca="1" si="223"/>
        <v>0.2</v>
      </c>
      <c r="P763" s="1">
        <f t="shared" ca="1" si="223"/>
        <v>0.36</v>
      </c>
      <c r="Q763" s="1">
        <f t="shared" ca="1" si="223"/>
        <v>0.1</v>
      </c>
      <c r="R763" s="1">
        <f t="shared" ca="1" si="223"/>
        <v>2</v>
      </c>
      <c r="S763" s="1">
        <f t="shared" ref="S763:AH778" ca="1" si="224">mVlookup($C763,monsterBaseDate,S$2,FALSE)*(1+mVlookup($E763,monsterType,S$2,FALSE))</f>
        <v>0.1</v>
      </c>
      <c r="T763" s="1">
        <f t="shared" ca="1" si="224"/>
        <v>0.9</v>
      </c>
      <c r="U763" s="1">
        <f t="shared" ca="1" si="224"/>
        <v>131.46666666666701</v>
      </c>
      <c r="V763" s="1">
        <f t="shared" ca="1" si="224"/>
        <v>0</v>
      </c>
      <c r="W763" s="1">
        <f t="shared" ca="1" si="224"/>
        <v>0</v>
      </c>
      <c r="X763" s="1">
        <f t="shared" ca="1" si="224"/>
        <v>0</v>
      </c>
      <c r="Y763" s="1">
        <f t="shared" ca="1" si="224"/>
        <v>0</v>
      </c>
      <c r="Z763" s="1">
        <f t="shared" ca="1" si="224"/>
        <v>841.93012048192804</v>
      </c>
      <c r="AA763" s="1">
        <f t="shared" ca="1" si="224"/>
        <v>0</v>
      </c>
      <c r="AB763" s="1">
        <f t="shared" ca="1" si="222"/>
        <v>0</v>
      </c>
      <c r="AC763" s="1">
        <f t="shared" ca="1" si="224"/>
        <v>96.3339</v>
      </c>
      <c r="AD763" s="1">
        <f t="shared" ca="1" si="224"/>
        <v>96.3339</v>
      </c>
      <c r="AE763" s="1">
        <f t="shared" ca="1" si="224"/>
        <v>96.3339</v>
      </c>
      <c r="AF763" s="1">
        <f t="shared" ca="1" si="224"/>
        <v>96.3339</v>
      </c>
      <c r="AG763" s="1">
        <f t="shared" ca="1" si="224"/>
        <v>144.50085000000001</v>
      </c>
      <c r="AH763" s="1">
        <f t="shared" ca="1" si="224"/>
        <v>96.3339</v>
      </c>
      <c r="AI763" s="1">
        <f t="shared" ca="1" si="214"/>
        <v>96.3339</v>
      </c>
    </row>
    <row r="764" spans="2:35" x14ac:dyDescent="0.15">
      <c r="B764" s="1" t="str">
        <f t="shared" si="209"/>
        <v>光系69</v>
      </c>
      <c r="C764" s="1">
        <f t="shared" si="217"/>
        <v>69</v>
      </c>
      <c r="D764" s="14" t="s">
        <v>97</v>
      </c>
      <c r="E764" s="14">
        <f t="shared" si="218"/>
        <v>8</v>
      </c>
      <c r="F764" s="1" t="str">
        <f t="shared" si="207"/>
        <v>神圣</v>
      </c>
      <c r="H764" s="1">
        <f t="shared" ca="1" si="208"/>
        <v>2667.5763538124702</v>
      </c>
      <c r="I764" s="1">
        <f t="shared" ca="1" si="223"/>
        <v>150</v>
      </c>
      <c r="J764" s="1">
        <f t="shared" ca="1" si="223"/>
        <v>1115.7023519163799</v>
      </c>
      <c r="K764" s="1">
        <f t="shared" ca="1" si="223"/>
        <v>97.750574999999998</v>
      </c>
      <c r="L764" s="1">
        <f t="shared" ca="1" si="223"/>
        <v>1115.7023519163799</v>
      </c>
      <c r="M764" s="1">
        <f t="shared" ca="1" si="223"/>
        <v>97.750574999999998</v>
      </c>
      <c r="N764" s="1">
        <f t="shared" ca="1" si="223"/>
        <v>0.2</v>
      </c>
      <c r="O764" s="1">
        <f t="shared" ca="1" si="223"/>
        <v>0.2</v>
      </c>
      <c r="P764" s="1">
        <f t="shared" ca="1" si="223"/>
        <v>0.36</v>
      </c>
      <c r="Q764" s="1">
        <f t="shared" ca="1" si="223"/>
        <v>0.1</v>
      </c>
      <c r="R764" s="1">
        <f t="shared" ca="1" si="223"/>
        <v>2</v>
      </c>
      <c r="S764" s="1">
        <f t="shared" ca="1" si="224"/>
        <v>0.1</v>
      </c>
      <c r="T764" s="1">
        <f t="shared" ca="1" si="224"/>
        <v>0.9</v>
      </c>
      <c r="U764" s="1">
        <f t="shared" ca="1" si="224"/>
        <v>133.4</v>
      </c>
      <c r="V764" s="1">
        <f t="shared" ca="1" si="224"/>
        <v>0</v>
      </c>
      <c r="W764" s="1">
        <f t="shared" ca="1" si="224"/>
        <v>0</v>
      </c>
      <c r="X764" s="1">
        <f t="shared" ca="1" si="224"/>
        <v>0</v>
      </c>
      <c r="Y764" s="1">
        <f t="shared" ca="1" si="224"/>
        <v>0</v>
      </c>
      <c r="Z764" s="1">
        <f t="shared" ca="1" si="224"/>
        <v>881.49002613240452</v>
      </c>
      <c r="AA764" s="1">
        <f t="shared" ca="1" si="224"/>
        <v>0</v>
      </c>
      <c r="AB764" s="1">
        <f t="shared" ca="1" si="222"/>
        <v>0</v>
      </c>
      <c r="AC764" s="1">
        <f t="shared" ca="1" si="224"/>
        <v>97.750574999999998</v>
      </c>
      <c r="AD764" s="1">
        <f t="shared" ca="1" si="224"/>
        <v>97.750574999999998</v>
      </c>
      <c r="AE764" s="1">
        <f t="shared" ca="1" si="224"/>
        <v>97.750574999999998</v>
      </c>
      <c r="AF764" s="1">
        <f t="shared" ca="1" si="224"/>
        <v>97.750574999999998</v>
      </c>
      <c r="AG764" s="1">
        <f t="shared" ca="1" si="224"/>
        <v>146.62586249999998</v>
      </c>
      <c r="AH764" s="1">
        <f t="shared" ca="1" si="224"/>
        <v>97.750574999999998</v>
      </c>
      <c r="AI764" s="1">
        <f t="shared" ca="1" si="214"/>
        <v>97.750574999999998</v>
      </c>
    </row>
    <row r="765" spans="2:35" x14ac:dyDescent="0.15">
      <c r="B765" s="1" t="str">
        <f t="shared" si="209"/>
        <v>光系70</v>
      </c>
      <c r="C765" s="1">
        <f t="shared" si="217"/>
        <v>70</v>
      </c>
      <c r="D765" s="14" t="s">
        <v>97</v>
      </c>
      <c r="E765" s="14">
        <f t="shared" si="218"/>
        <v>8</v>
      </c>
      <c r="F765" s="1" t="str">
        <f t="shared" si="207"/>
        <v>神圣</v>
      </c>
      <c r="H765" s="1">
        <f t="shared" ca="1" si="208"/>
        <v>2718.65081132463</v>
      </c>
      <c r="I765" s="1">
        <f t="shared" ca="1" si="223"/>
        <v>150</v>
      </c>
      <c r="J765" s="1">
        <f t="shared" ca="1" si="223"/>
        <v>1142.31481481482</v>
      </c>
      <c r="K765" s="1">
        <f t="shared" ca="1" si="223"/>
        <v>99.167249999999996</v>
      </c>
      <c r="L765" s="1">
        <f t="shared" ca="1" si="223"/>
        <v>1142.31481481482</v>
      </c>
      <c r="M765" s="1">
        <f t="shared" ca="1" si="223"/>
        <v>99.167249999999996</v>
      </c>
      <c r="N765" s="1">
        <f t="shared" ca="1" si="223"/>
        <v>0.2</v>
      </c>
      <c r="O765" s="1">
        <f t="shared" ca="1" si="223"/>
        <v>0.2</v>
      </c>
      <c r="P765" s="1">
        <f t="shared" ca="1" si="223"/>
        <v>0.36</v>
      </c>
      <c r="Q765" s="1">
        <f t="shared" ca="1" si="223"/>
        <v>0.1</v>
      </c>
      <c r="R765" s="1">
        <f t="shared" ca="1" si="223"/>
        <v>2</v>
      </c>
      <c r="S765" s="1">
        <f t="shared" ca="1" si="224"/>
        <v>0.1</v>
      </c>
      <c r="T765" s="1">
        <f t="shared" ca="1" si="224"/>
        <v>0.9</v>
      </c>
      <c r="U765" s="1">
        <f t="shared" ca="1" si="224"/>
        <v>135.333333333333</v>
      </c>
      <c r="V765" s="1">
        <f t="shared" ca="1" si="224"/>
        <v>0</v>
      </c>
      <c r="W765" s="1">
        <f t="shared" ca="1" si="224"/>
        <v>0</v>
      </c>
      <c r="X765" s="1">
        <f t="shared" ca="1" si="224"/>
        <v>0</v>
      </c>
      <c r="Y765" s="1">
        <f t="shared" ca="1" si="224"/>
        <v>0</v>
      </c>
      <c r="Z765" s="1">
        <f t="shared" ca="1" si="224"/>
        <v>922.63888888888937</v>
      </c>
      <c r="AA765" s="1">
        <f t="shared" ca="1" si="224"/>
        <v>0</v>
      </c>
      <c r="AB765" s="1">
        <f t="shared" ca="1" si="222"/>
        <v>0</v>
      </c>
      <c r="AC765" s="1">
        <f t="shared" ca="1" si="224"/>
        <v>99.167249999999996</v>
      </c>
      <c r="AD765" s="1">
        <f t="shared" ca="1" si="224"/>
        <v>99.167249999999996</v>
      </c>
      <c r="AE765" s="1">
        <f t="shared" ca="1" si="224"/>
        <v>99.167249999999996</v>
      </c>
      <c r="AF765" s="1">
        <f t="shared" ca="1" si="224"/>
        <v>99.167249999999996</v>
      </c>
      <c r="AG765" s="1">
        <f t="shared" ca="1" si="224"/>
        <v>148.75087500000001</v>
      </c>
      <c r="AH765" s="1">
        <f t="shared" ca="1" si="224"/>
        <v>99.167249999999996</v>
      </c>
      <c r="AI765" s="1">
        <f t="shared" ca="1" si="214"/>
        <v>99.167249999999996</v>
      </c>
    </row>
    <row r="766" spans="2:35" x14ac:dyDescent="0.15">
      <c r="B766" s="1" t="str">
        <f t="shared" si="209"/>
        <v>光系71</v>
      </c>
      <c r="C766" s="1">
        <f t="shared" si="217"/>
        <v>71</v>
      </c>
      <c r="D766" s="14" t="s">
        <v>97</v>
      </c>
      <c r="E766" s="14">
        <f t="shared" si="218"/>
        <v>8</v>
      </c>
      <c r="F766" s="1" t="str">
        <f t="shared" si="207"/>
        <v>神圣</v>
      </c>
      <c r="H766" s="1">
        <f t="shared" ca="1" si="208"/>
        <v>2770.0799525695202</v>
      </c>
      <c r="I766" s="1">
        <f t="shared" ca="1" si="223"/>
        <v>150</v>
      </c>
      <c r="J766" s="1">
        <f t="shared" ca="1" si="223"/>
        <v>1169.40803571429</v>
      </c>
      <c r="K766" s="1">
        <f t="shared" ca="1" si="223"/>
        <v>100.58392499999999</v>
      </c>
      <c r="L766" s="1">
        <f t="shared" ca="1" si="223"/>
        <v>1169.40803571429</v>
      </c>
      <c r="M766" s="1">
        <f t="shared" ca="1" si="223"/>
        <v>100.58392499999999</v>
      </c>
      <c r="N766" s="1">
        <f t="shared" ca="1" si="223"/>
        <v>0.2</v>
      </c>
      <c r="O766" s="1">
        <f t="shared" ca="1" si="223"/>
        <v>0.2</v>
      </c>
      <c r="P766" s="1">
        <f t="shared" ca="1" si="223"/>
        <v>0.36</v>
      </c>
      <c r="Q766" s="1">
        <f t="shared" ca="1" si="223"/>
        <v>0.1</v>
      </c>
      <c r="R766" s="1">
        <f t="shared" ca="1" si="223"/>
        <v>2</v>
      </c>
      <c r="S766" s="1">
        <f t="shared" ca="1" si="224"/>
        <v>0.1</v>
      </c>
      <c r="T766" s="1">
        <f t="shared" ca="1" si="224"/>
        <v>0.9</v>
      </c>
      <c r="U766" s="1">
        <f t="shared" ca="1" si="224"/>
        <v>137.26666666666699</v>
      </c>
      <c r="V766" s="1">
        <f t="shared" ca="1" si="224"/>
        <v>0</v>
      </c>
      <c r="W766" s="1">
        <f t="shared" ca="1" si="224"/>
        <v>0</v>
      </c>
      <c r="X766" s="1">
        <f t="shared" ca="1" si="224"/>
        <v>0</v>
      </c>
      <c r="Y766" s="1">
        <f t="shared" ca="1" si="224"/>
        <v>0</v>
      </c>
      <c r="Z766" s="1">
        <f t="shared" ca="1" si="224"/>
        <v>965.44151785714348</v>
      </c>
      <c r="AA766" s="1">
        <f t="shared" ca="1" si="224"/>
        <v>0</v>
      </c>
      <c r="AB766" s="1">
        <f t="shared" ca="1" si="222"/>
        <v>0</v>
      </c>
      <c r="AC766" s="1">
        <f t="shared" ca="1" si="224"/>
        <v>100.58392499999999</v>
      </c>
      <c r="AD766" s="1">
        <f t="shared" ca="1" si="224"/>
        <v>100.58392499999999</v>
      </c>
      <c r="AE766" s="1">
        <f t="shared" ca="1" si="224"/>
        <v>100.58392499999999</v>
      </c>
      <c r="AF766" s="1">
        <f t="shared" ca="1" si="224"/>
        <v>100.58392499999999</v>
      </c>
      <c r="AG766" s="1">
        <f t="shared" ca="1" si="224"/>
        <v>150.87588749999998</v>
      </c>
      <c r="AH766" s="1">
        <f t="shared" ca="1" si="224"/>
        <v>100.58392499999999</v>
      </c>
      <c r="AI766" s="1">
        <f t="shared" ca="1" si="214"/>
        <v>100.58392499999999</v>
      </c>
    </row>
    <row r="767" spans="2:35" x14ac:dyDescent="0.15">
      <c r="B767" s="1" t="str">
        <f t="shared" si="209"/>
        <v>光系72</v>
      </c>
      <c r="C767" s="1">
        <f t="shared" si="217"/>
        <v>72</v>
      </c>
      <c r="D767" s="14" t="s">
        <v>97</v>
      </c>
      <c r="E767" s="14">
        <f t="shared" si="218"/>
        <v>8</v>
      </c>
      <c r="F767" s="1" t="str">
        <f t="shared" si="207"/>
        <v>神圣</v>
      </c>
      <c r="H767" s="1">
        <f t="shared" ca="1" si="208"/>
        <v>2821.8637775471302</v>
      </c>
      <c r="I767" s="1">
        <f t="shared" ca="1" si="223"/>
        <v>150</v>
      </c>
      <c r="J767" s="1">
        <f t="shared" ca="1" si="223"/>
        <v>1196.9967450271299</v>
      </c>
      <c r="K767" s="1">
        <f t="shared" ca="1" si="223"/>
        <v>102.00060000000001</v>
      </c>
      <c r="L767" s="1">
        <f t="shared" ca="1" si="223"/>
        <v>1196.9967450271299</v>
      </c>
      <c r="M767" s="1">
        <f t="shared" ca="1" si="223"/>
        <v>102.00060000000001</v>
      </c>
      <c r="N767" s="1">
        <f t="shared" ca="1" si="223"/>
        <v>0.2</v>
      </c>
      <c r="O767" s="1">
        <f t="shared" ca="1" si="223"/>
        <v>0.2</v>
      </c>
      <c r="P767" s="1">
        <f t="shared" ca="1" si="223"/>
        <v>0.36</v>
      </c>
      <c r="Q767" s="1">
        <f t="shared" ca="1" si="223"/>
        <v>0.1</v>
      </c>
      <c r="R767" s="1">
        <f t="shared" ca="1" si="223"/>
        <v>2</v>
      </c>
      <c r="S767" s="1">
        <f t="shared" ca="1" si="224"/>
        <v>0.1</v>
      </c>
      <c r="T767" s="1">
        <f t="shared" ca="1" si="224"/>
        <v>0.9</v>
      </c>
      <c r="U767" s="1">
        <f t="shared" ca="1" si="224"/>
        <v>139.19999999999999</v>
      </c>
      <c r="V767" s="1">
        <f t="shared" ca="1" si="224"/>
        <v>0</v>
      </c>
      <c r="W767" s="1">
        <f t="shared" ca="1" si="224"/>
        <v>0</v>
      </c>
      <c r="X767" s="1">
        <f t="shared" ca="1" si="224"/>
        <v>0</v>
      </c>
      <c r="Y767" s="1">
        <f t="shared" ca="1" si="224"/>
        <v>0</v>
      </c>
      <c r="Z767" s="1">
        <f t="shared" ca="1" si="224"/>
        <v>1009.966003616637</v>
      </c>
      <c r="AA767" s="1">
        <f t="shared" ca="1" si="224"/>
        <v>0</v>
      </c>
      <c r="AB767" s="1">
        <f t="shared" ca="1" si="222"/>
        <v>0</v>
      </c>
      <c r="AC767" s="1">
        <f t="shared" ca="1" si="224"/>
        <v>102.00060000000001</v>
      </c>
      <c r="AD767" s="1">
        <f t="shared" ca="1" si="224"/>
        <v>102.00060000000001</v>
      </c>
      <c r="AE767" s="1">
        <f t="shared" ca="1" si="224"/>
        <v>102.00060000000001</v>
      </c>
      <c r="AF767" s="1">
        <f t="shared" ca="1" si="224"/>
        <v>102.00060000000001</v>
      </c>
      <c r="AG767" s="1">
        <f t="shared" ca="1" si="224"/>
        <v>153.0009</v>
      </c>
      <c r="AH767" s="1">
        <f t="shared" ca="1" si="224"/>
        <v>102.00060000000001</v>
      </c>
      <c r="AI767" s="1">
        <f t="shared" ca="1" si="214"/>
        <v>102.00060000000001</v>
      </c>
    </row>
    <row r="768" spans="2:35" x14ac:dyDescent="0.15">
      <c r="B768" s="1" t="str">
        <f t="shared" si="209"/>
        <v>光系73</v>
      </c>
      <c r="C768" s="1">
        <f t="shared" si="217"/>
        <v>73</v>
      </c>
      <c r="D768" s="14" t="s">
        <v>97</v>
      </c>
      <c r="E768" s="14">
        <f t="shared" si="218"/>
        <v>8</v>
      </c>
      <c r="F768" s="1" t="str">
        <f t="shared" si="207"/>
        <v>神圣</v>
      </c>
      <c r="H768" s="1">
        <f t="shared" ca="1" si="208"/>
        <v>2874.0022862574701</v>
      </c>
      <c r="I768" s="1">
        <f t="shared" ca="1" si="223"/>
        <v>150</v>
      </c>
      <c r="J768" s="1">
        <f t="shared" ca="1" si="223"/>
        <v>1225.0964285714299</v>
      </c>
      <c r="K768" s="1">
        <f t="shared" ca="1" si="223"/>
        <v>103.417275</v>
      </c>
      <c r="L768" s="1">
        <f t="shared" ca="1" si="223"/>
        <v>1225.0964285714299</v>
      </c>
      <c r="M768" s="1">
        <f t="shared" ca="1" si="223"/>
        <v>103.417275</v>
      </c>
      <c r="N768" s="1">
        <f t="shared" ca="1" si="223"/>
        <v>0.2</v>
      </c>
      <c r="O768" s="1">
        <f t="shared" ca="1" si="223"/>
        <v>0.2</v>
      </c>
      <c r="P768" s="1">
        <f t="shared" ca="1" si="223"/>
        <v>0.36</v>
      </c>
      <c r="Q768" s="1">
        <f t="shared" ca="1" si="223"/>
        <v>0.1</v>
      </c>
      <c r="R768" s="1">
        <f t="shared" ca="1" si="223"/>
        <v>2</v>
      </c>
      <c r="S768" s="1">
        <f t="shared" ca="1" si="224"/>
        <v>0.1</v>
      </c>
      <c r="T768" s="1">
        <f t="shared" ca="1" si="224"/>
        <v>0.9</v>
      </c>
      <c r="U768" s="1">
        <f t="shared" ca="1" si="224"/>
        <v>141.13333333333301</v>
      </c>
      <c r="V768" s="1">
        <f t="shared" ca="1" si="224"/>
        <v>0</v>
      </c>
      <c r="W768" s="1">
        <f t="shared" ca="1" si="224"/>
        <v>0</v>
      </c>
      <c r="X768" s="1">
        <f t="shared" ca="1" si="224"/>
        <v>0</v>
      </c>
      <c r="Y768" s="1">
        <f t="shared" ca="1" si="224"/>
        <v>0</v>
      </c>
      <c r="Z768" s="1">
        <f t="shared" ca="1" si="224"/>
        <v>1056.283928571429</v>
      </c>
      <c r="AA768" s="1">
        <f t="shared" ca="1" si="224"/>
        <v>0</v>
      </c>
      <c r="AB768" s="1">
        <f t="shared" ca="1" si="222"/>
        <v>0</v>
      </c>
      <c r="AC768" s="1">
        <f t="shared" ca="1" si="224"/>
        <v>103.417275</v>
      </c>
      <c r="AD768" s="1">
        <f t="shared" ca="1" si="224"/>
        <v>103.417275</v>
      </c>
      <c r="AE768" s="1">
        <f t="shared" ca="1" si="224"/>
        <v>103.417275</v>
      </c>
      <c r="AF768" s="1">
        <f t="shared" ca="1" si="224"/>
        <v>103.417275</v>
      </c>
      <c r="AG768" s="1">
        <f t="shared" ca="1" si="224"/>
        <v>155.1259125</v>
      </c>
      <c r="AH768" s="1">
        <f t="shared" ca="1" si="224"/>
        <v>103.417275</v>
      </c>
      <c r="AI768" s="1">
        <f t="shared" ca="1" si="214"/>
        <v>103.417275</v>
      </c>
    </row>
    <row r="769" spans="2:35" x14ac:dyDescent="0.15">
      <c r="B769" s="1" t="str">
        <f t="shared" si="209"/>
        <v>光系74</v>
      </c>
      <c r="C769" s="1">
        <f t="shared" si="217"/>
        <v>74</v>
      </c>
      <c r="D769" s="14" t="s">
        <v>97</v>
      </c>
      <c r="E769" s="14">
        <f t="shared" si="218"/>
        <v>8</v>
      </c>
      <c r="F769" s="1" t="str">
        <f t="shared" si="207"/>
        <v>神圣</v>
      </c>
      <c r="H769" s="1">
        <f t="shared" ca="1" si="208"/>
        <v>2926.4954787005299</v>
      </c>
      <c r="I769" s="1">
        <f t="shared" ca="1" si="223"/>
        <v>150</v>
      </c>
      <c r="J769" s="1">
        <f t="shared" ca="1" si="223"/>
        <v>1253.7233766233801</v>
      </c>
      <c r="K769" s="1">
        <f t="shared" ca="1" si="223"/>
        <v>104.83395</v>
      </c>
      <c r="L769" s="1">
        <f t="shared" ca="1" si="223"/>
        <v>1253.7233766233801</v>
      </c>
      <c r="M769" s="1">
        <f t="shared" ca="1" si="223"/>
        <v>104.83395</v>
      </c>
      <c r="N769" s="1">
        <f t="shared" ca="1" si="223"/>
        <v>0.2</v>
      </c>
      <c r="O769" s="1">
        <f t="shared" ca="1" si="223"/>
        <v>0.2</v>
      </c>
      <c r="P769" s="1">
        <f t="shared" ca="1" si="223"/>
        <v>0.36</v>
      </c>
      <c r="Q769" s="1">
        <f t="shared" ca="1" si="223"/>
        <v>0.1</v>
      </c>
      <c r="R769" s="1">
        <f t="shared" ca="1" si="223"/>
        <v>2</v>
      </c>
      <c r="S769" s="1">
        <f t="shared" ca="1" si="224"/>
        <v>0.1</v>
      </c>
      <c r="T769" s="1">
        <f t="shared" ca="1" si="224"/>
        <v>0.9</v>
      </c>
      <c r="U769" s="1">
        <f t="shared" ca="1" si="224"/>
        <v>143.066666666667</v>
      </c>
      <c r="V769" s="1">
        <f t="shared" ca="1" si="224"/>
        <v>0</v>
      </c>
      <c r="W769" s="1">
        <f t="shared" ca="1" si="224"/>
        <v>0</v>
      </c>
      <c r="X769" s="1">
        <f t="shared" ca="1" si="224"/>
        <v>0</v>
      </c>
      <c r="Y769" s="1">
        <f t="shared" ca="1" si="224"/>
        <v>0</v>
      </c>
      <c r="Z769" s="1">
        <f t="shared" ca="1" si="224"/>
        <v>1104.4705936920241</v>
      </c>
      <c r="AA769" s="1">
        <f t="shared" ca="1" si="224"/>
        <v>0</v>
      </c>
      <c r="AB769" s="1">
        <f t="shared" ca="1" si="224"/>
        <v>0</v>
      </c>
      <c r="AC769" s="1">
        <f t="shared" ca="1" si="224"/>
        <v>104.83395</v>
      </c>
      <c r="AD769" s="1">
        <f t="shared" ca="1" si="224"/>
        <v>104.83395</v>
      </c>
      <c r="AE769" s="1">
        <f t="shared" ca="1" si="224"/>
        <v>104.83395</v>
      </c>
      <c r="AF769" s="1">
        <f t="shared" ca="1" si="224"/>
        <v>104.83395</v>
      </c>
      <c r="AG769" s="1">
        <f t="shared" ca="1" si="224"/>
        <v>157.250925</v>
      </c>
      <c r="AH769" s="1">
        <f t="shared" ca="1" si="224"/>
        <v>104.83395</v>
      </c>
      <c r="AI769" s="1">
        <f t="shared" ca="1" si="214"/>
        <v>104.83395</v>
      </c>
    </row>
    <row r="770" spans="2:35" x14ac:dyDescent="0.15">
      <c r="B770" s="1" t="str">
        <f t="shared" si="209"/>
        <v>光系75</v>
      </c>
      <c r="C770" s="1">
        <f t="shared" si="217"/>
        <v>75</v>
      </c>
      <c r="D770" s="14" t="s">
        <v>97</v>
      </c>
      <c r="E770" s="14">
        <f t="shared" si="218"/>
        <v>8</v>
      </c>
      <c r="F770" s="1" t="str">
        <f t="shared" si="207"/>
        <v>神圣</v>
      </c>
      <c r="H770" s="1">
        <f t="shared" ca="1" si="208"/>
        <v>2979.3433548763101</v>
      </c>
      <c r="I770" s="1">
        <f t="shared" ca="1" si="223"/>
        <v>150</v>
      </c>
      <c r="J770" s="1">
        <f t="shared" ca="1" si="223"/>
        <v>1282.89473684211</v>
      </c>
      <c r="K770" s="1">
        <f t="shared" ca="1" si="223"/>
        <v>106.250625</v>
      </c>
      <c r="L770" s="1">
        <f t="shared" ca="1" si="223"/>
        <v>1282.89473684211</v>
      </c>
      <c r="M770" s="1">
        <f t="shared" ca="1" si="223"/>
        <v>106.250625</v>
      </c>
      <c r="N770" s="1">
        <f t="shared" ca="1" si="223"/>
        <v>0.2</v>
      </c>
      <c r="O770" s="1">
        <f t="shared" ca="1" si="223"/>
        <v>0.2</v>
      </c>
      <c r="P770" s="1">
        <f t="shared" ca="1" si="223"/>
        <v>0.36</v>
      </c>
      <c r="Q770" s="1">
        <f t="shared" ca="1" si="223"/>
        <v>0.1</v>
      </c>
      <c r="R770" s="1">
        <f t="shared" ca="1" si="223"/>
        <v>2</v>
      </c>
      <c r="S770" s="1">
        <f t="shared" ca="1" si="224"/>
        <v>0.1</v>
      </c>
      <c r="T770" s="1">
        <f t="shared" ca="1" si="224"/>
        <v>0.9</v>
      </c>
      <c r="U770" s="1">
        <f t="shared" ca="1" si="224"/>
        <v>145</v>
      </c>
      <c r="V770" s="1">
        <f t="shared" ca="1" si="224"/>
        <v>0</v>
      </c>
      <c r="W770" s="1">
        <f t="shared" ca="1" si="224"/>
        <v>0</v>
      </c>
      <c r="X770" s="1">
        <f t="shared" ca="1" si="224"/>
        <v>0</v>
      </c>
      <c r="Y770" s="1">
        <f t="shared" ca="1" si="224"/>
        <v>0</v>
      </c>
      <c r="Z770" s="1">
        <f t="shared" ca="1" si="224"/>
        <v>1154.6052631578959</v>
      </c>
      <c r="AA770" s="1">
        <f t="shared" ca="1" si="224"/>
        <v>0</v>
      </c>
      <c r="AB770" s="1">
        <f t="shared" ca="1" si="224"/>
        <v>0</v>
      </c>
      <c r="AC770" s="1">
        <f t="shared" ca="1" si="224"/>
        <v>106.250625</v>
      </c>
      <c r="AD770" s="1">
        <f t="shared" ca="1" si="224"/>
        <v>106.250625</v>
      </c>
      <c r="AE770" s="1">
        <f t="shared" ca="1" si="224"/>
        <v>106.250625</v>
      </c>
      <c r="AF770" s="1">
        <f t="shared" ca="1" si="224"/>
        <v>106.250625</v>
      </c>
      <c r="AG770" s="1">
        <f t="shared" ca="1" si="224"/>
        <v>159.37593749999999</v>
      </c>
      <c r="AH770" s="1">
        <f t="shared" ca="1" si="224"/>
        <v>106.250625</v>
      </c>
      <c r="AI770" s="1">
        <f t="shared" ca="1" si="214"/>
        <v>106.250625</v>
      </c>
    </row>
    <row r="771" spans="2:35" x14ac:dyDescent="0.15">
      <c r="B771" s="1" t="str">
        <f t="shared" si="209"/>
        <v>光系76</v>
      </c>
      <c r="C771" s="1">
        <f t="shared" si="217"/>
        <v>76</v>
      </c>
      <c r="D771" s="14" t="s">
        <v>97</v>
      </c>
      <c r="E771" s="14">
        <f t="shared" si="218"/>
        <v>8</v>
      </c>
      <c r="F771" s="1" t="str">
        <f t="shared" ref="F771:F834" si="225">VLOOKUP(E771,monsterType,4,FALSE)</f>
        <v>神圣</v>
      </c>
      <c r="H771" s="1">
        <f t="shared" ref="H771:H834" ca="1" si="226">mVlookup(C771,monsterBaseDate,H$2,FALSE)*(1+mVlookup(E771,monsterType,H$2,FALSE))*(1+mVlookup(C771,monsterHpRevise,D771,FALSE))</f>
        <v>3032.5459147848201</v>
      </c>
      <c r="I771" s="1">
        <f t="shared" ca="1" si="223"/>
        <v>150</v>
      </c>
      <c r="J771" s="1">
        <f t="shared" ca="1" si="223"/>
        <v>1312.62857142857</v>
      </c>
      <c r="K771" s="1">
        <f t="shared" ca="1" si="223"/>
        <v>107.6673</v>
      </c>
      <c r="L771" s="1">
        <f t="shared" ca="1" si="223"/>
        <v>1312.62857142857</v>
      </c>
      <c r="M771" s="1">
        <f t="shared" ca="1" si="223"/>
        <v>107.6673</v>
      </c>
      <c r="N771" s="1">
        <f t="shared" ca="1" si="223"/>
        <v>0.2</v>
      </c>
      <c r="O771" s="1">
        <f t="shared" ca="1" si="223"/>
        <v>0.2</v>
      </c>
      <c r="P771" s="1">
        <f t="shared" ca="1" si="223"/>
        <v>0.36</v>
      </c>
      <c r="Q771" s="1">
        <f t="shared" ca="1" si="223"/>
        <v>0.1</v>
      </c>
      <c r="R771" s="1">
        <f t="shared" ca="1" si="223"/>
        <v>2</v>
      </c>
      <c r="S771" s="1">
        <f t="shared" ca="1" si="224"/>
        <v>0.1</v>
      </c>
      <c r="T771" s="1">
        <f t="shared" ca="1" si="224"/>
        <v>0.9</v>
      </c>
      <c r="U771" s="1">
        <f t="shared" ca="1" si="224"/>
        <v>146.933333333333</v>
      </c>
      <c r="V771" s="1">
        <f t="shared" ca="1" si="224"/>
        <v>0</v>
      </c>
      <c r="W771" s="1">
        <f t="shared" ca="1" si="224"/>
        <v>0</v>
      </c>
      <c r="X771" s="1">
        <f t="shared" ca="1" si="224"/>
        <v>0</v>
      </c>
      <c r="Y771" s="1">
        <f t="shared" ca="1" si="224"/>
        <v>0</v>
      </c>
      <c r="Z771" s="1">
        <f t="shared" ca="1" si="224"/>
        <v>1206.7714285714289</v>
      </c>
      <c r="AA771" s="1">
        <f t="shared" ca="1" si="224"/>
        <v>0</v>
      </c>
      <c r="AB771" s="1">
        <f t="shared" ca="1" si="224"/>
        <v>0</v>
      </c>
      <c r="AC771" s="1">
        <f t="shared" ca="1" si="224"/>
        <v>107.6673</v>
      </c>
      <c r="AD771" s="1">
        <f t="shared" ca="1" si="224"/>
        <v>107.6673</v>
      </c>
      <c r="AE771" s="1">
        <f t="shared" ca="1" si="224"/>
        <v>107.6673</v>
      </c>
      <c r="AF771" s="1">
        <f t="shared" ca="1" si="224"/>
        <v>107.6673</v>
      </c>
      <c r="AG771" s="1">
        <f t="shared" ca="1" si="224"/>
        <v>161.50094999999999</v>
      </c>
      <c r="AH771" s="1">
        <f t="shared" ca="1" si="224"/>
        <v>107.6673</v>
      </c>
      <c r="AI771" s="1">
        <f t="shared" ca="1" si="214"/>
        <v>107.6673</v>
      </c>
    </row>
    <row r="772" spans="2:35" x14ac:dyDescent="0.15">
      <c r="B772" s="1" t="str">
        <f t="shared" ref="B772:B835" si="227">D772&amp;C772</f>
        <v>光系77</v>
      </c>
      <c r="C772" s="1">
        <f t="shared" si="217"/>
        <v>77</v>
      </c>
      <c r="D772" s="14" t="s">
        <v>97</v>
      </c>
      <c r="E772" s="14">
        <f t="shared" si="218"/>
        <v>8</v>
      </c>
      <c r="F772" s="1" t="str">
        <f t="shared" si="225"/>
        <v>神圣</v>
      </c>
      <c r="H772" s="1">
        <f t="shared" ca="1" si="226"/>
        <v>3086.10315842605</v>
      </c>
      <c r="I772" s="1">
        <f t="shared" ca="1" si="223"/>
        <v>150</v>
      </c>
      <c r="J772" s="1">
        <f t="shared" ca="1" si="223"/>
        <v>1342.94391891892</v>
      </c>
      <c r="K772" s="1">
        <f t="shared" ca="1" si="223"/>
        <v>109.083975</v>
      </c>
      <c r="L772" s="1">
        <f t="shared" ca="1" si="223"/>
        <v>1342.94391891892</v>
      </c>
      <c r="M772" s="1">
        <f t="shared" ca="1" si="223"/>
        <v>109.083975</v>
      </c>
      <c r="N772" s="1">
        <f t="shared" ca="1" si="223"/>
        <v>0.2</v>
      </c>
      <c r="O772" s="1">
        <f t="shared" ca="1" si="223"/>
        <v>0.2</v>
      </c>
      <c r="P772" s="1">
        <f t="shared" ca="1" si="223"/>
        <v>0.36</v>
      </c>
      <c r="Q772" s="1">
        <f t="shared" ca="1" si="223"/>
        <v>0.1</v>
      </c>
      <c r="R772" s="1">
        <f t="shared" ca="1" si="223"/>
        <v>2</v>
      </c>
      <c r="S772" s="1">
        <f t="shared" ca="1" si="224"/>
        <v>0.1</v>
      </c>
      <c r="T772" s="1">
        <f t="shared" ca="1" si="224"/>
        <v>0.9</v>
      </c>
      <c r="U772" s="1">
        <f t="shared" ca="1" si="224"/>
        <v>148.86666666666699</v>
      </c>
      <c r="V772" s="1">
        <f t="shared" ca="1" si="224"/>
        <v>0</v>
      </c>
      <c r="W772" s="1">
        <f t="shared" ca="1" si="224"/>
        <v>0</v>
      </c>
      <c r="X772" s="1">
        <f t="shared" ca="1" si="224"/>
        <v>0</v>
      </c>
      <c r="Y772" s="1">
        <f t="shared" ca="1" si="224"/>
        <v>0</v>
      </c>
      <c r="Z772" s="1">
        <f t="shared" ca="1" si="224"/>
        <v>1261.0570945945965</v>
      </c>
      <c r="AA772" s="1">
        <f t="shared" ca="1" si="224"/>
        <v>0</v>
      </c>
      <c r="AB772" s="1">
        <f t="shared" ca="1" si="224"/>
        <v>0</v>
      </c>
      <c r="AC772" s="1">
        <f t="shared" ca="1" si="224"/>
        <v>109.083975</v>
      </c>
      <c r="AD772" s="1">
        <f t="shared" ca="1" si="224"/>
        <v>109.083975</v>
      </c>
      <c r="AE772" s="1">
        <f t="shared" ca="1" si="224"/>
        <v>109.083975</v>
      </c>
      <c r="AF772" s="1">
        <f t="shared" ca="1" si="224"/>
        <v>109.083975</v>
      </c>
      <c r="AG772" s="1">
        <f t="shared" ca="1" si="224"/>
        <v>163.62596249999999</v>
      </c>
      <c r="AH772" s="1">
        <f t="shared" ca="1" si="224"/>
        <v>109.083975</v>
      </c>
      <c r="AI772" s="1">
        <f t="shared" ca="1" si="214"/>
        <v>109.083975</v>
      </c>
    </row>
    <row r="773" spans="2:35" x14ac:dyDescent="0.15">
      <c r="B773" s="1" t="str">
        <f t="shared" si="227"/>
        <v>光系78</v>
      </c>
      <c r="C773" s="1">
        <f t="shared" si="217"/>
        <v>78</v>
      </c>
      <c r="D773" s="14" t="s">
        <v>97</v>
      </c>
      <c r="E773" s="14">
        <f t="shared" si="218"/>
        <v>8</v>
      </c>
      <c r="F773" s="1" t="str">
        <f t="shared" si="225"/>
        <v>神圣</v>
      </c>
      <c r="H773" s="1">
        <f t="shared" ca="1" si="226"/>
        <v>3265.0137580279402</v>
      </c>
      <c r="I773" s="1">
        <f t="shared" ref="I773:R782" ca="1" si="228">mVlookup($C773,monsterBaseDate,I$2,FALSE)*(1+mVlookup($E773,monsterType,I$2,FALSE))</f>
        <v>150</v>
      </c>
      <c r="J773" s="1">
        <f t="shared" ca="1" si="228"/>
        <v>1373.8608610567501</v>
      </c>
      <c r="K773" s="1">
        <f t="shared" ca="1" si="228"/>
        <v>110.50064999999999</v>
      </c>
      <c r="L773" s="1">
        <f t="shared" ca="1" si="228"/>
        <v>1373.8608610567501</v>
      </c>
      <c r="M773" s="1">
        <f t="shared" ca="1" si="228"/>
        <v>110.50064999999999</v>
      </c>
      <c r="N773" s="1">
        <f t="shared" ca="1" si="228"/>
        <v>0.2</v>
      </c>
      <c r="O773" s="1">
        <f t="shared" ca="1" si="228"/>
        <v>0.2</v>
      </c>
      <c r="P773" s="1">
        <f t="shared" ca="1" si="228"/>
        <v>0.36</v>
      </c>
      <c r="Q773" s="1">
        <f t="shared" ca="1" si="228"/>
        <v>0.1</v>
      </c>
      <c r="R773" s="1">
        <f t="shared" ca="1" si="228"/>
        <v>2</v>
      </c>
      <c r="S773" s="1">
        <f t="shared" ref="S773:AH788" ca="1" si="229">mVlookup($C773,monsterBaseDate,S$2,FALSE)*(1+mVlookup($E773,monsterType,S$2,FALSE))</f>
        <v>0.1</v>
      </c>
      <c r="T773" s="1">
        <f t="shared" ca="1" si="229"/>
        <v>0.9</v>
      </c>
      <c r="U773" s="1">
        <f t="shared" ca="1" si="229"/>
        <v>150.80000000000001</v>
      </c>
      <c r="V773" s="1">
        <f t="shared" ca="1" si="229"/>
        <v>0</v>
      </c>
      <c r="W773" s="1">
        <f t="shared" ca="1" si="229"/>
        <v>0</v>
      </c>
      <c r="X773" s="1">
        <f t="shared" ca="1" si="229"/>
        <v>0</v>
      </c>
      <c r="Y773" s="1">
        <f t="shared" ca="1" si="229"/>
        <v>0</v>
      </c>
      <c r="Z773" s="1">
        <f t="shared" ca="1" si="229"/>
        <v>1317.555088062624</v>
      </c>
      <c r="AA773" s="1">
        <f t="shared" ca="1" si="229"/>
        <v>0</v>
      </c>
      <c r="AB773" s="1">
        <f t="shared" ca="1" si="224"/>
        <v>0</v>
      </c>
      <c r="AC773" s="1">
        <f t="shared" ca="1" si="229"/>
        <v>110.50064999999999</v>
      </c>
      <c r="AD773" s="1">
        <f t="shared" ca="1" si="229"/>
        <v>110.50064999999999</v>
      </c>
      <c r="AE773" s="1">
        <f t="shared" ca="1" si="229"/>
        <v>110.50064999999999</v>
      </c>
      <c r="AF773" s="1">
        <f t="shared" ca="1" si="229"/>
        <v>110.50064999999999</v>
      </c>
      <c r="AG773" s="1">
        <f t="shared" ca="1" si="229"/>
        <v>165.75097499999998</v>
      </c>
      <c r="AH773" s="1">
        <f t="shared" ca="1" si="229"/>
        <v>110.50064999999999</v>
      </c>
      <c r="AI773" s="1">
        <f t="shared" ca="1" si="214"/>
        <v>110.50064999999999</v>
      </c>
    </row>
    <row r="774" spans="2:35" x14ac:dyDescent="0.15">
      <c r="B774" s="1" t="str">
        <f t="shared" si="227"/>
        <v>光系79</v>
      </c>
      <c r="C774" s="1">
        <f t="shared" si="217"/>
        <v>79</v>
      </c>
      <c r="D774" s="14" t="s">
        <v>97</v>
      </c>
      <c r="E774" s="14">
        <f t="shared" si="218"/>
        <v>8</v>
      </c>
      <c r="F774" s="1" t="str">
        <f t="shared" si="225"/>
        <v>神圣</v>
      </c>
      <c r="H774" s="1">
        <f t="shared" ca="1" si="226"/>
        <v>3321.4406308369598</v>
      </c>
      <c r="I774" s="1">
        <f t="shared" ca="1" si="228"/>
        <v>150</v>
      </c>
      <c r="J774" s="1">
        <f t="shared" ca="1" si="228"/>
        <v>1405.4005952381001</v>
      </c>
      <c r="K774" s="1">
        <f t="shared" ca="1" si="228"/>
        <v>111.91732500000001</v>
      </c>
      <c r="L774" s="1">
        <f t="shared" ca="1" si="228"/>
        <v>1405.4005952381001</v>
      </c>
      <c r="M774" s="1">
        <f t="shared" ca="1" si="228"/>
        <v>111.91732500000001</v>
      </c>
      <c r="N774" s="1">
        <f t="shared" ca="1" si="228"/>
        <v>0.2</v>
      </c>
      <c r="O774" s="1">
        <f t="shared" ca="1" si="228"/>
        <v>0.2</v>
      </c>
      <c r="P774" s="1">
        <f t="shared" ca="1" si="228"/>
        <v>0.36</v>
      </c>
      <c r="Q774" s="1">
        <f t="shared" ca="1" si="228"/>
        <v>0.1</v>
      </c>
      <c r="R774" s="1">
        <f t="shared" ca="1" si="228"/>
        <v>2</v>
      </c>
      <c r="S774" s="1">
        <f t="shared" ca="1" si="229"/>
        <v>0.1</v>
      </c>
      <c r="T774" s="1">
        <f t="shared" ca="1" si="229"/>
        <v>0.9</v>
      </c>
      <c r="U774" s="1">
        <f t="shared" ca="1" si="229"/>
        <v>152.73333333333301</v>
      </c>
      <c r="V774" s="1">
        <f t="shared" ca="1" si="229"/>
        <v>0</v>
      </c>
      <c r="W774" s="1">
        <f t="shared" ca="1" si="229"/>
        <v>0</v>
      </c>
      <c r="X774" s="1">
        <f t="shared" ca="1" si="229"/>
        <v>0</v>
      </c>
      <c r="Y774" s="1">
        <f t="shared" ca="1" si="229"/>
        <v>0</v>
      </c>
      <c r="Z774" s="1">
        <f t="shared" ca="1" si="229"/>
        <v>1376.3633928571439</v>
      </c>
      <c r="AA774" s="1">
        <f t="shared" ca="1" si="229"/>
        <v>0</v>
      </c>
      <c r="AB774" s="1">
        <f t="shared" ca="1" si="224"/>
        <v>0</v>
      </c>
      <c r="AC774" s="1">
        <f t="shared" ca="1" si="229"/>
        <v>111.91732500000001</v>
      </c>
      <c r="AD774" s="1">
        <f t="shared" ca="1" si="229"/>
        <v>111.91732500000001</v>
      </c>
      <c r="AE774" s="1">
        <f t="shared" ca="1" si="229"/>
        <v>111.91732500000001</v>
      </c>
      <c r="AF774" s="1">
        <f t="shared" ca="1" si="229"/>
        <v>111.91732500000001</v>
      </c>
      <c r="AG774" s="1">
        <f t="shared" ca="1" si="229"/>
        <v>167.87598750000001</v>
      </c>
      <c r="AH774" s="1">
        <f t="shared" ca="1" si="229"/>
        <v>111.91732500000001</v>
      </c>
      <c r="AI774" s="1">
        <f t="shared" ca="1" si="214"/>
        <v>111.91732500000001</v>
      </c>
    </row>
    <row r="775" spans="2:35" x14ac:dyDescent="0.15">
      <c r="B775" s="1" t="str">
        <f t="shared" si="227"/>
        <v>光系80</v>
      </c>
      <c r="C775" s="1">
        <f t="shared" si="217"/>
        <v>80</v>
      </c>
      <c r="D775" s="14" t="s">
        <v>97</v>
      </c>
      <c r="E775" s="14">
        <f t="shared" si="218"/>
        <v>8</v>
      </c>
      <c r="F775" s="1" t="str">
        <f t="shared" si="225"/>
        <v>神圣</v>
      </c>
      <c r="H775" s="1">
        <f t="shared" ca="1" si="226"/>
        <v>3378.2363067362398</v>
      </c>
      <c r="I775" s="1">
        <f t="shared" ca="1" si="228"/>
        <v>150</v>
      </c>
      <c r="J775" s="1">
        <f t="shared" ca="1" si="228"/>
        <v>1437.5855130784701</v>
      </c>
      <c r="K775" s="1">
        <f t="shared" ca="1" si="228"/>
        <v>113.334</v>
      </c>
      <c r="L775" s="1">
        <f t="shared" ca="1" si="228"/>
        <v>1437.5855130784701</v>
      </c>
      <c r="M775" s="1">
        <f t="shared" ca="1" si="228"/>
        <v>113.334</v>
      </c>
      <c r="N775" s="1">
        <f t="shared" ca="1" si="228"/>
        <v>0.2</v>
      </c>
      <c r="O775" s="1">
        <f t="shared" ca="1" si="228"/>
        <v>0.2</v>
      </c>
      <c r="P775" s="1">
        <f t="shared" ca="1" si="228"/>
        <v>0.36</v>
      </c>
      <c r="Q775" s="1">
        <f t="shared" ca="1" si="228"/>
        <v>0.1</v>
      </c>
      <c r="R775" s="1">
        <f t="shared" ca="1" si="228"/>
        <v>2</v>
      </c>
      <c r="S775" s="1">
        <f t="shared" ca="1" si="229"/>
        <v>0.1</v>
      </c>
      <c r="T775" s="1">
        <f t="shared" ca="1" si="229"/>
        <v>0.9</v>
      </c>
      <c r="U775" s="1">
        <f t="shared" ca="1" si="229"/>
        <v>154.666666666667</v>
      </c>
      <c r="V775" s="1">
        <f t="shared" ca="1" si="229"/>
        <v>0</v>
      </c>
      <c r="W775" s="1">
        <f t="shared" ca="1" si="229"/>
        <v>0</v>
      </c>
      <c r="X775" s="1">
        <f t="shared" ca="1" si="229"/>
        <v>0</v>
      </c>
      <c r="Y775" s="1">
        <f t="shared" ca="1" si="229"/>
        <v>0</v>
      </c>
      <c r="Z775" s="1">
        <f t="shared" ca="1" si="229"/>
        <v>1437.5855130784726</v>
      </c>
      <c r="AA775" s="1">
        <f t="shared" ca="1" si="229"/>
        <v>0</v>
      </c>
      <c r="AB775" s="1">
        <f t="shared" ca="1" si="224"/>
        <v>0</v>
      </c>
      <c r="AC775" s="1">
        <f t="shared" ca="1" si="229"/>
        <v>113.334</v>
      </c>
      <c r="AD775" s="1">
        <f t="shared" ca="1" si="229"/>
        <v>113.334</v>
      </c>
      <c r="AE775" s="1">
        <f t="shared" ca="1" si="229"/>
        <v>113.334</v>
      </c>
      <c r="AF775" s="1">
        <f t="shared" ca="1" si="229"/>
        <v>113.334</v>
      </c>
      <c r="AG775" s="1">
        <f t="shared" ca="1" si="229"/>
        <v>170.001</v>
      </c>
      <c r="AH775" s="1">
        <f t="shared" ca="1" si="229"/>
        <v>113.334</v>
      </c>
      <c r="AI775" s="1">
        <f t="shared" ca="1" si="214"/>
        <v>113.334</v>
      </c>
    </row>
    <row r="776" spans="2:35" x14ac:dyDescent="0.15">
      <c r="B776" s="1" t="str">
        <f t="shared" si="227"/>
        <v>光系81</v>
      </c>
      <c r="C776" s="1">
        <f t="shared" si="217"/>
        <v>81</v>
      </c>
      <c r="D776" s="14" t="s">
        <v>97</v>
      </c>
      <c r="E776" s="14">
        <f t="shared" si="218"/>
        <v>8</v>
      </c>
      <c r="F776" s="1" t="str">
        <f t="shared" si="225"/>
        <v>神圣</v>
      </c>
      <c r="H776" s="1">
        <f t="shared" ca="1" si="226"/>
        <v>3435.4007857257702</v>
      </c>
      <c r="I776" s="1">
        <f t="shared" ca="1" si="228"/>
        <v>150</v>
      </c>
      <c r="J776" s="1">
        <f t="shared" ca="1" si="228"/>
        <v>1470.43928571429</v>
      </c>
      <c r="K776" s="1">
        <f t="shared" ca="1" si="228"/>
        <v>114.750675</v>
      </c>
      <c r="L776" s="1">
        <f t="shared" ca="1" si="228"/>
        <v>1470.43928571429</v>
      </c>
      <c r="M776" s="1">
        <f t="shared" ca="1" si="228"/>
        <v>114.750675</v>
      </c>
      <c r="N776" s="1">
        <f t="shared" ca="1" si="228"/>
        <v>0.2</v>
      </c>
      <c r="O776" s="1">
        <f t="shared" ca="1" si="228"/>
        <v>0.2</v>
      </c>
      <c r="P776" s="1">
        <f t="shared" ca="1" si="228"/>
        <v>0.36</v>
      </c>
      <c r="Q776" s="1">
        <f t="shared" ca="1" si="228"/>
        <v>0.1</v>
      </c>
      <c r="R776" s="1">
        <f t="shared" ca="1" si="228"/>
        <v>2</v>
      </c>
      <c r="S776" s="1">
        <f t="shared" ca="1" si="229"/>
        <v>0.1</v>
      </c>
      <c r="T776" s="1">
        <f t="shared" ca="1" si="229"/>
        <v>0.9</v>
      </c>
      <c r="U776" s="1">
        <f t="shared" ca="1" si="229"/>
        <v>156.6</v>
      </c>
      <c r="V776" s="1">
        <f t="shared" ca="1" si="229"/>
        <v>0</v>
      </c>
      <c r="W776" s="1">
        <f t="shared" ca="1" si="229"/>
        <v>0</v>
      </c>
      <c r="X776" s="1">
        <f t="shared" ca="1" si="229"/>
        <v>0</v>
      </c>
      <c r="Y776" s="1">
        <f t="shared" ca="1" si="229"/>
        <v>0</v>
      </c>
      <c r="Z776" s="1">
        <f t="shared" ca="1" si="229"/>
        <v>1501.3308673469401</v>
      </c>
      <c r="AA776" s="1">
        <f t="shared" ca="1" si="229"/>
        <v>0</v>
      </c>
      <c r="AB776" s="1">
        <f t="shared" ca="1" si="224"/>
        <v>0</v>
      </c>
      <c r="AC776" s="1">
        <f t="shared" ca="1" si="229"/>
        <v>114.750675</v>
      </c>
      <c r="AD776" s="1">
        <f t="shared" ca="1" si="229"/>
        <v>114.750675</v>
      </c>
      <c r="AE776" s="1">
        <f t="shared" ca="1" si="229"/>
        <v>114.750675</v>
      </c>
      <c r="AF776" s="1">
        <f t="shared" ca="1" si="229"/>
        <v>114.750675</v>
      </c>
      <c r="AG776" s="1">
        <f t="shared" ca="1" si="229"/>
        <v>172.1260125</v>
      </c>
      <c r="AH776" s="1">
        <f t="shared" ca="1" si="229"/>
        <v>114.750675</v>
      </c>
      <c r="AI776" s="1">
        <f t="shared" ca="1" si="214"/>
        <v>114.750675</v>
      </c>
    </row>
    <row r="777" spans="2:35" x14ac:dyDescent="0.15">
      <c r="B777" s="1" t="str">
        <f t="shared" si="227"/>
        <v>光系82</v>
      </c>
      <c r="C777" s="1">
        <f t="shared" si="217"/>
        <v>82</v>
      </c>
      <c r="D777" s="14" t="s">
        <v>97</v>
      </c>
      <c r="E777" s="14">
        <f t="shared" si="218"/>
        <v>8</v>
      </c>
      <c r="F777" s="1" t="str">
        <f t="shared" si="225"/>
        <v>神圣</v>
      </c>
      <c r="H777" s="1">
        <f t="shared" ca="1" si="226"/>
        <v>3492.9340678055601</v>
      </c>
      <c r="I777" s="1">
        <f t="shared" ca="1" si="228"/>
        <v>150</v>
      </c>
      <c r="J777" s="1">
        <f t="shared" ca="1" si="228"/>
        <v>1503.98695652174</v>
      </c>
      <c r="K777" s="1">
        <f t="shared" ca="1" si="228"/>
        <v>116.16735</v>
      </c>
      <c r="L777" s="1">
        <f t="shared" ca="1" si="228"/>
        <v>1503.98695652174</v>
      </c>
      <c r="M777" s="1">
        <f t="shared" ca="1" si="228"/>
        <v>116.16735</v>
      </c>
      <c r="N777" s="1">
        <f t="shared" ca="1" si="228"/>
        <v>0.2</v>
      </c>
      <c r="O777" s="1">
        <f t="shared" ca="1" si="228"/>
        <v>0.2</v>
      </c>
      <c r="P777" s="1">
        <f t="shared" ca="1" si="228"/>
        <v>0.36</v>
      </c>
      <c r="Q777" s="1">
        <f t="shared" ca="1" si="228"/>
        <v>0.1</v>
      </c>
      <c r="R777" s="1">
        <f t="shared" ca="1" si="228"/>
        <v>2</v>
      </c>
      <c r="S777" s="1">
        <f t="shared" ca="1" si="229"/>
        <v>0.1</v>
      </c>
      <c r="T777" s="1">
        <f t="shared" ca="1" si="229"/>
        <v>0.9</v>
      </c>
      <c r="U777" s="1">
        <f t="shared" ca="1" si="229"/>
        <v>158.53333333333299</v>
      </c>
      <c r="V777" s="1">
        <f t="shared" ca="1" si="229"/>
        <v>0</v>
      </c>
      <c r="W777" s="1">
        <f t="shared" ca="1" si="229"/>
        <v>0</v>
      </c>
      <c r="X777" s="1">
        <f t="shared" ca="1" si="229"/>
        <v>0</v>
      </c>
      <c r="Y777" s="1">
        <f t="shared" ca="1" si="229"/>
        <v>0</v>
      </c>
      <c r="Z777" s="1">
        <f t="shared" ca="1" si="229"/>
        <v>1567.715217391305</v>
      </c>
      <c r="AA777" s="1">
        <f t="shared" ca="1" si="229"/>
        <v>0</v>
      </c>
      <c r="AB777" s="1">
        <f t="shared" ca="1" si="224"/>
        <v>0</v>
      </c>
      <c r="AC777" s="1">
        <f t="shared" ca="1" si="229"/>
        <v>116.16735</v>
      </c>
      <c r="AD777" s="1">
        <f t="shared" ca="1" si="229"/>
        <v>116.16735</v>
      </c>
      <c r="AE777" s="1">
        <f t="shared" ca="1" si="229"/>
        <v>116.16735</v>
      </c>
      <c r="AF777" s="1">
        <f t="shared" ca="1" si="229"/>
        <v>116.16735</v>
      </c>
      <c r="AG777" s="1">
        <f t="shared" ca="1" si="229"/>
        <v>174.251025</v>
      </c>
      <c r="AH777" s="1">
        <f t="shared" ca="1" si="229"/>
        <v>116.16735</v>
      </c>
      <c r="AI777" s="1">
        <f t="shared" ca="1" si="214"/>
        <v>116.16735</v>
      </c>
    </row>
    <row r="778" spans="2:35" x14ac:dyDescent="0.15">
      <c r="B778" s="1" t="str">
        <f t="shared" si="227"/>
        <v>光系83</v>
      </c>
      <c r="C778" s="1">
        <f t="shared" si="217"/>
        <v>83</v>
      </c>
      <c r="D778" s="14" t="s">
        <v>97</v>
      </c>
      <c r="E778" s="14">
        <f t="shared" si="218"/>
        <v>8</v>
      </c>
      <c r="F778" s="1" t="str">
        <f t="shared" si="225"/>
        <v>神圣</v>
      </c>
      <c r="H778" s="1">
        <f t="shared" ca="1" si="226"/>
        <v>3550.8361529755998</v>
      </c>
      <c r="I778" s="1">
        <f t="shared" ca="1" si="228"/>
        <v>150</v>
      </c>
      <c r="J778" s="1">
        <f t="shared" ca="1" si="228"/>
        <v>1538.25504201681</v>
      </c>
      <c r="K778" s="1">
        <f t="shared" ca="1" si="228"/>
        <v>117.584025</v>
      </c>
      <c r="L778" s="1">
        <f t="shared" ca="1" si="228"/>
        <v>1538.25504201681</v>
      </c>
      <c r="M778" s="1">
        <f t="shared" ca="1" si="228"/>
        <v>117.584025</v>
      </c>
      <c r="N778" s="1">
        <f t="shared" ca="1" si="228"/>
        <v>0.2</v>
      </c>
      <c r="O778" s="1">
        <f t="shared" ca="1" si="228"/>
        <v>0.2</v>
      </c>
      <c r="P778" s="1">
        <f t="shared" ca="1" si="228"/>
        <v>0.36</v>
      </c>
      <c r="Q778" s="1">
        <f t="shared" ca="1" si="228"/>
        <v>0.1</v>
      </c>
      <c r="R778" s="1">
        <f t="shared" ca="1" si="228"/>
        <v>2</v>
      </c>
      <c r="S778" s="1">
        <f t="shared" ca="1" si="229"/>
        <v>0.1</v>
      </c>
      <c r="T778" s="1">
        <f t="shared" ca="1" si="229"/>
        <v>0.9</v>
      </c>
      <c r="U778" s="1">
        <f t="shared" ca="1" si="229"/>
        <v>160.46666666666701</v>
      </c>
      <c r="V778" s="1">
        <f t="shared" ca="1" si="229"/>
        <v>0</v>
      </c>
      <c r="W778" s="1">
        <f t="shared" ca="1" si="229"/>
        <v>0</v>
      </c>
      <c r="X778" s="1">
        <f t="shared" ca="1" si="229"/>
        <v>0</v>
      </c>
      <c r="Y778" s="1">
        <f t="shared" ca="1" si="229"/>
        <v>0</v>
      </c>
      <c r="Z778" s="1">
        <f t="shared" ca="1" si="229"/>
        <v>1636.8611344537799</v>
      </c>
      <c r="AA778" s="1">
        <f t="shared" ca="1" si="229"/>
        <v>0</v>
      </c>
      <c r="AB778" s="1">
        <f t="shared" ca="1" si="224"/>
        <v>0</v>
      </c>
      <c r="AC778" s="1">
        <f t="shared" ca="1" si="229"/>
        <v>117.584025</v>
      </c>
      <c r="AD778" s="1">
        <f t="shared" ca="1" si="229"/>
        <v>117.584025</v>
      </c>
      <c r="AE778" s="1">
        <f t="shared" ca="1" si="229"/>
        <v>117.584025</v>
      </c>
      <c r="AF778" s="1">
        <f t="shared" ca="1" si="229"/>
        <v>117.584025</v>
      </c>
      <c r="AG778" s="1">
        <f t="shared" ca="1" si="229"/>
        <v>176.3760375</v>
      </c>
      <c r="AH778" s="1">
        <f t="shared" ca="1" si="229"/>
        <v>117.584025</v>
      </c>
      <c r="AI778" s="1">
        <f t="shared" ca="1" si="214"/>
        <v>117.584025</v>
      </c>
    </row>
    <row r="779" spans="2:35" x14ac:dyDescent="0.15">
      <c r="B779" s="1" t="str">
        <f t="shared" si="227"/>
        <v>光系84</v>
      </c>
      <c r="C779" s="1">
        <f t="shared" si="217"/>
        <v>84</v>
      </c>
      <c r="D779" s="14" t="s">
        <v>97</v>
      </c>
      <c r="E779" s="14">
        <f t="shared" si="218"/>
        <v>8</v>
      </c>
      <c r="F779" s="1" t="str">
        <f t="shared" si="225"/>
        <v>神圣</v>
      </c>
      <c r="H779" s="1">
        <f t="shared" ca="1" si="226"/>
        <v>3609.1070412358999</v>
      </c>
      <c r="I779" s="1">
        <f t="shared" ca="1" si="228"/>
        <v>150</v>
      </c>
      <c r="J779" s="1">
        <f t="shared" ca="1" si="228"/>
        <v>1573.2716417910499</v>
      </c>
      <c r="K779" s="1">
        <f t="shared" ca="1" si="228"/>
        <v>119.00069999999999</v>
      </c>
      <c r="L779" s="1">
        <f t="shared" ca="1" si="228"/>
        <v>1573.2716417910499</v>
      </c>
      <c r="M779" s="1">
        <f t="shared" ca="1" si="228"/>
        <v>119.00069999999999</v>
      </c>
      <c r="N779" s="1">
        <f t="shared" ca="1" si="228"/>
        <v>0.2</v>
      </c>
      <c r="O779" s="1">
        <f t="shared" ca="1" si="228"/>
        <v>0.2</v>
      </c>
      <c r="P779" s="1">
        <f t="shared" ca="1" si="228"/>
        <v>0.36</v>
      </c>
      <c r="Q779" s="1">
        <f t="shared" ca="1" si="228"/>
        <v>0.1</v>
      </c>
      <c r="R779" s="1">
        <f t="shared" ca="1" si="228"/>
        <v>2</v>
      </c>
      <c r="S779" s="1">
        <f t="shared" ca="1" si="229"/>
        <v>0.1</v>
      </c>
      <c r="T779" s="1">
        <f t="shared" ca="1" si="229"/>
        <v>0.9</v>
      </c>
      <c r="U779" s="1">
        <f t="shared" ca="1" si="229"/>
        <v>162.4</v>
      </c>
      <c r="V779" s="1">
        <f t="shared" ca="1" si="229"/>
        <v>0</v>
      </c>
      <c r="W779" s="1">
        <f t="shared" ca="1" si="229"/>
        <v>0</v>
      </c>
      <c r="X779" s="1">
        <f t="shared" ca="1" si="229"/>
        <v>0</v>
      </c>
      <c r="Y779" s="1">
        <f t="shared" ca="1" si="229"/>
        <v>0</v>
      </c>
      <c r="Z779" s="1">
        <f t="shared" ca="1" si="229"/>
        <v>1708.8985074626851</v>
      </c>
      <c r="AA779" s="1">
        <f t="shared" ca="1" si="229"/>
        <v>0</v>
      </c>
      <c r="AB779" s="1">
        <f t="shared" ca="1" si="229"/>
        <v>0</v>
      </c>
      <c r="AC779" s="1">
        <f t="shared" ca="1" si="229"/>
        <v>119.00069999999999</v>
      </c>
      <c r="AD779" s="1">
        <f t="shared" ca="1" si="229"/>
        <v>119.00069999999999</v>
      </c>
      <c r="AE779" s="1">
        <f t="shared" ca="1" si="229"/>
        <v>119.00069999999999</v>
      </c>
      <c r="AF779" s="1">
        <f t="shared" ca="1" si="229"/>
        <v>119.00069999999999</v>
      </c>
      <c r="AG779" s="1">
        <f t="shared" ca="1" si="229"/>
        <v>178.50104999999999</v>
      </c>
      <c r="AH779" s="1">
        <f t="shared" ca="1" si="229"/>
        <v>119.00069999999999</v>
      </c>
      <c r="AI779" s="1">
        <f t="shared" ca="1" si="214"/>
        <v>119.00069999999999</v>
      </c>
    </row>
    <row r="780" spans="2:35" x14ac:dyDescent="0.15">
      <c r="B780" s="1" t="str">
        <f t="shared" si="227"/>
        <v>光系85</v>
      </c>
      <c r="C780" s="1">
        <f t="shared" si="217"/>
        <v>85</v>
      </c>
      <c r="D780" s="14" t="s">
        <v>97</v>
      </c>
      <c r="E780" s="14">
        <f t="shared" si="218"/>
        <v>8</v>
      </c>
      <c r="F780" s="1" t="str">
        <f t="shared" si="225"/>
        <v>神圣</v>
      </c>
      <c r="H780" s="1">
        <f t="shared" ca="1" si="226"/>
        <v>3667.74673258645</v>
      </c>
      <c r="I780" s="1">
        <f t="shared" ca="1" si="228"/>
        <v>150</v>
      </c>
      <c r="J780" s="1">
        <f t="shared" ca="1" si="228"/>
        <v>1609.0665584415599</v>
      </c>
      <c r="K780" s="1">
        <f t="shared" ca="1" si="228"/>
        <v>120.41737500000001</v>
      </c>
      <c r="L780" s="1">
        <f t="shared" ca="1" si="228"/>
        <v>1609.0665584415599</v>
      </c>
      <c r="M780" s="1">
        <f t="shared" ca="1" si="228"/>
        <v>120.41737500000001</v>
      </c>
      <c r="N780" s="1">
        <f t="shared" ca="1" si="228"/>
        <v>0.2</v>
      </c>
      <c r="O780" s="1">
        <f t="shared" ca="1" si="228"/>
        <v>0.2</v>
      </c>
      <c r="P780" s="1">
        <f t="shared" ca="1" si="228"/>
        <v>0.36</v>
      </c>
      <c r="Q780" s="1">
        <f t="shared" ca="1" si="228"/>
        <v>0.1</v>
      </c>
      <c r="R780" s="1">
        <f t="shared" ca="1" si="228"/>
        <v>2</v>
      </c>
      <c r="S780" s="1">
        <f t="shared" ca="1" si="229"/>
        <v>0.1</v>
      </c>
      <c r="T780" s="1">
        <f t="shared" ca="1" si="229"/>
        <v>0.9</v>
      </c>
      <c r="U780" s="1">
        <f t="shared" ca="1" si="229"/>
        <v>164.333333333333</v>
      </c>
      <c r="V780" s="1">
        <f t="shared" ca="1" si="229"/>
        <v>0</v>
      </c>
      <c r="W780" s="1">
        <f t="shared" ca="1" si="229"/>
        <v>0</v>
      </c>
      <c r="X780" s="1">
        <f t="shared" ca="1" si="229"/>
        <v>0</v>
      </c>
      <c r="Y780" s="1">
        <f t="shared" ca="1" si="229"/>
        <v>0</v>
      </c>
      <c r="Z780" s="1">
        <f t="shared" ca="1" si="229"/>
        <v>1783.9650974026049</v>
      </c>
      <c r="AA780" s="1">
        <f t="shared" ca="1" si="229"/>
        <v>0</v>
      </c>
      <c r="AB780" s="1">
        <f t="shared" ca="1" si="229"/>
        <v>0</v>
      </c>
      <c r="AC780" s="1">
        <f t="shared" ca="1" si="229"/>
        <v>120.41737500000001</v>
      </c>
      <c r="AD780" s="1">
        <f t="shared" ca="1" si="229"/>
        <v>120.41737500000001</v>
      </c>
      <c r="AE780" s="1">
        <f t="shared" ca="1" si="229"/>
        <v>120.41737500000001</v>
      </c>
      <c r="AF780" s="1">
        <f t="shared" ca="1" si="229"/>
        <v>120.41737500000001</v>
      </c>
      <c r="AG780" s="1">
        <f t="shared" ca="1" si="229"/>
        <v>180.62606250000002</v>
      </c>
      <c r="AH780" s="1">
        <f t="shared" ca="1" si="229"/>
        <v>120.41737500000001</v>
      </c>
      <c r="AI780" s="1">
        <f t="shared" ca="1" si="214"/>
        <v>120.41737500000001</v>
      </c>
    </row>
    <row r="781" spans="2:35" x14ac:dyDescent="0.15">
      <c r="B781" s="1" t="str">
        <f t="shared" si="227"/>
        <v>光系86</v>
      </c>
      <c r="C781" s="1">
        <f t="shared" si="217"/>
        <v>86</v>
      </c>
      <c r="D781" s="14" t="s">
        <v>97</v>
      </c>
      <c r="E781" s="14">
        <f t="shared" si="218"/>
        <v>8</v>
      </c>
      <c r="F781" s="1" t="str">
        <f t="shared" si="225"/>
        <v>神圣</v>
      </c>
      <c r="H781" s="1">
        <f t="shared" ca="1" si="226"/>
        <v>3726.7552270272599</v>
      </c>
      <c r="I781" s="1">
        <f t="shared" ca="1" si="228"/>
        <v>150</v>
      </c>
      <c r="J781" s="1">
        <f t="shared" ca="1" si="228"/>
        <v>1645.6714285714299</v>
      </c>
      <c r="K781" s="1">
        <f t="shared" ca="1" si="228"/>
        <v>121.83405</v>
      </c>
      <c r="L781" s="1">
        <f t="shared" ca="1" si="228"/>
        <v>1645.6714285714299</v>
      </c>
      <c r="M781" s="1">
        <f t="shared" ca="1" si="228"/>
        <v>121.83405</v>
      </c>
      <c r="N781" s="1">
        <f t="shared" ca="1" si="228"/>
        <v>0.2</v>
      </c>
      <c r="O781" s="1">
        <f t="shared" ca="1" si="228"/>
        <v>0.2</v>
      </c>
      <c r="P781" s="1">
        <f t="shared" ca="1" si="228"/>
        <v>0.36</v>
      </c>
      <c r="Q781" s="1">
        <f t="shared" ca="1" si="228"/>
        <v>0.1</v>
      </c>
      <c r="R781" s="1">
        <f t="shared" ca="1" si="228"/>
        <v>2</v>
      </c>
      <c r="S781" s="1">
        <f t="shared" ca="1" si="229"/>
        <v>0.1</v>
      </c>
      <c r="T781" s="1">
        <f t="shared" ca="1" si="229"/>
        <v>0.9</v>
      </c>
      <c r="U781" s="1">
        <f t="shared" ca="1" si="229"/>
        <v>166.26666666666699</v>
      </c>
      <c r="V781" s="1">
        <f t="shared" ca="1" si="229"/>
        <v>0</v>
      </c>
      <c r="W781" s="1">
        <f t="shared" ca="1" si="229"/>
        <v>0</v>
      </c>
      <c r="X781" s="1">
        <f t="shared" ca="1" si="229"/>
        <v>0</v>
      </c>
      <c r="Y781" s="1">
        <f t="shared" ca="1" si="229"/>
        <v>0</v>
      </c>
      <c r="Z781" s="1">
        <f t="shared" ca="1" si="229"/>
        <v>1862.2071428571448</v>
      </c>
      <c r="AA781" s="1">
        <f t="shared" ca="1" si="229"/>
        <v>0</v>
      </c>
      <c r="AB781" s="1">
        <f t="shared" ca="1" si="229"/>
        <v>0</v>
      </c>
      <c r="AC781" s="1">
        <f t="shared" ca="1" si="229"/>
        <v>121.83405</v>
      </c>
      <c r="AD781" s="1">
        <f t="shared" ca="1" si="229"/>
        <v>121.83405</v>
      </c>
      <c r="AE781" s="1">
        <f t="shared" ca="1" si="229"/>
        <v>121.83405</v>
      </c>
      <c r="AF781" s="1">
        <f t="shared" ca="1" si="229"/>
        <v>121.83405</v>
      </c>
      <c r="AG781" s="1">
        <f t="shared" ca="1" si="229"/>
        <v>182.75107500000001</v>
      </c>
      <c r="AH781" s="1">
        <f t="shared" ca="1" si="229"/>
        <v>121.83405</v>
      </c>
      <c r="AI781" s="1">
        <f t="shared" ca="1" si="214"/>
        <v>121.83405</v>
      </c>
    </row>
    <row r="782" spans="2:35" x14ac:dyDescent="0.15">
      <c r="B782" s="1" t="str">
        <f t="shared" si="227"/>
        <v>光系87</v>
      </c>
      <c r="C782" s="1">
        <f t="shared" si="217"/>
        <v>87</v>
      </c>
      <c r="D782" s="14" t="s">
        <v>97</v>
      </c>
      <c r="E782" s="14">
        <f t="shared" si="218"/>
        <v>8</v>
      </c>
      <c r="F782" s="1" t="str">
        <f t="shared" si="225"/>
        <v>神圣</v>
      </c>
      <c r="H782" s="1">
        <f t="shared" ca="1" si="226"/>
        <v>3786.1325245583198</v>
      </c>
      <c r="I782" s="1">
        <f t="shared" ca="1" si="228"/>
        <v>150</v>
      </c>
      <c r="J782" s="1">
        <f t="shared" ca="1" si="228"/>
        <v>1683.1198660714299</v>
      </c>
      <c r="K782" s="1">
        <f t="shared" ca="1" si="228"/>
        <v>123.250725</v>
      </c>
      <c r="L782" s="1">
        <f t="shared" ca="1" si="228"/>
        <v>1683.1198660714299</v>
      </c>
      <c r="M782" s="1">
        <f t="shared" ca="1" si="228"/>
        <v>123.250725</v>
      </c>
      <c r="N782" s="1">
        <f t="shared" ca="1" si="228"/>
        <v>0.2</v>
      </c>
      <c r="O782" s="1">
        <f t="shared" ca="1" si="228"/>
        <v>0.2</v>
      </c>
      <c r="P782" s="1">
        <f t="shared" ca="1" si="228"/>
        <v>0.36</v>
      </c>
      <c r="Q782" s="1">
        <f t="shared" ca="1" si="228"/>
        <v>0.1</v>
      </c>
      <c r="R782" s="1">
        <f t="shared" ca="1" si="228"/>
        <v>2</v>
      </c>
      <c r="S782" s="1">
        <f t="shared" ca="1" si="229"/>
        <v>0.1</v>
      </c>
      <c r="T782" s="1">
        <f t="shared" ca="1" si="229"/>
        <v>0.9</v>
      </c>
      <c r="U782" s="1">
        <f t="shared" ca="1" si="229"/>
        <v>168.2</v>
      </c>
      <c r="V782" s="1">
        <f t="shared" ca="1" si="229"/>
        <v>0</v>
      </c>
      <c r="W782" s="1">
        <f t="shared" ca="1" si="229"/>
        <v>0</v>
      </c>
      <c r="X782" s="1">
        <f t="shared" ca="1" si="229"/>
        <v>0</v>
      </c>
      <c r="Y782" s="1">
        <f t="shared" ca="1" si="229"/>
        <v>0</v>
      </c>
      <c r="Z782" s="1">
        <f t="shared" ca="1" si="229"/>
        <v>1943.7800223214349</v>
      </c>
      <c r="AA782" s="1">
        <f t="shared" ca="1" si="229"/>
        <v>0</v>
      </c>
      <c r="AB782" s="1">
        <f t="shared" ca="1" si="229"/>
        <v>0</v>
      </c>
      <c r="AC782" s="1">
        <f t="shared" ca="1" si="229"/>
        <v>123.250725</v>
      </c>
      <c r="AD782" s="1">
        <f t="shared" ca="1" si="229"/>
        <v>123.250725</v>
      </c>
      <c r="AE782" s="1">
        <f t="shared" ca="1" si="229"/>
        <v>123.250725</v>
      </c>
      <c r="AF782" s="1">
        <f t="shared" ca="1" si="229"/>
        <v>123.250725</v>
      </c>
      <c r="AG782" s="1">
        <f t="shared" ca="1" si="229"/>
        <v>184.87608750000001</v>
      </c>
      <c r="AH782" s="1">
        <f t="shared" ca="1" si="229"/>
        <v>123.250725</v>
      </c>
      <c r="AI782" s="1">
        <f t="shared" ca="1" si="214"/>
        <v>123.250725</v>
      </c>
    </row>
    <row r="783" spans="2:35" x14ac:dyDescent="0.15">
      <c r="B783" s="1" t="str">
        <f t="shared" si="227"/>
        <v>光系88</v>
      </c>
      <c r="C783" s="1">
        <f t="shared" si="217"/>
        <v>88</v>
      </c>
      <c r="D783" s="14" t="s">
        <v>97</v>
      </c>
      <c r="E783" s="14">
        <f t="shared" si="218"/>
        <v>8</v>
      </c>
      <c r="F783" s="1" t="str">
        <f t="shared" si="225"/>
        <v>神圣</v>
      </c>
      <c r="H783" s="1">
        <f t="shared" ca="1" si="226"/>
        <v>3845.87862517964</v>
      </c>
      <c r="I783" s="1">
        <f t="shared" ref="I783:R792" ca="1" si="230">mVlookup($C783,monsterBaseDate,I$2,FALSE)*(1+mVlookup($E783,monsterType,I$2,FALSE))</f>
        <v>150</v>
      </c>
      <c r="J783" s="1">
        <f t="shared" ca="1" si="230"/>
        <v>1721.44761904762</v>
      </c>
      <c r="K783" s="1">
        <f t="shared" ca="1" si="230"/>
        <v>124.6674</v>
      </c>
      <c r="L783" s="1">
        <f t="shared" ca="1" si="230"/>
        <v>1721.44761904762</v>
      </c>
      <c r="M783" s="1">
        <f t="shared" ca="1" si="230"/>
        <v>124.6674</v>
      </c>
      <c r="N783" s="1">
        <f t="shared" ca="1" si="230"/>
        <v>0.2</v>
      </c>
      <c r="O783" s="1">
        <f t="shared" ca="1" si="230"/>
        <v>0.2</v>
      </c>
      <c r="P783" s="1">
        <f t="shared" ca="1" si="230"/>
        <v>0.36</v>
      </c>
      <c r="Q783" s="1">
        <f t="shared" ca="1" si="230"/>
        <v>0.1</v>
      </c>
      <c r="R783" s="1">
        <f t="shared" ca="1" si="230"/>
        <v>2</v>
      </c>
      <c r="S783" s="1">
        <f t="shared" ref="S783:AH798" ca="1" si="231">mVlookup($C783,monsterBaseDate,S$2,FALSE)*(1+mVlookup($E783,monsterType,S$2,FALSE))</f>
        <v>0.1</v>
      </c>
      <c r="T783" s="1">
        <f t="shared" ca="1" si="231"/>
        <v>0.9</v>
      </c>
      <c r="U783" s="1">
        <f t="shared" ca="1" si="231"/>
        <v>170.13333333333301</v>
      </c>
      <c r="V783" s="1">
        <f t="shared" ca="1" si="231"/>
        <v>0</v>
      </c>
      <c r="W783" s="1">
        <f t="shared" ca="1" si="231"/>
        <v>0</v>
      </c>
      <c r="X783" s="1">
        <f t="shared" ca="1" si="231"/>
        <v>0</v>
      </c>
      <c r="Y783" s="1">
        <f t="shared" ca="1" si="231"/>
        <v>0</v>
      </c>
      <c r="Z783" s="1">
        <f t="shared" ca="1" si="231"/>
        <v>2028.8489795918399</v>
      </c>
      <c r="AA783" s="1">
        <f t="shared" ca="1" si="231"/>
        <v>0</v>
      </c>
      <c r="AB783" s="1">
        <f t="shared" ca="1" si="229"/>
        <v>0</v>
      </c>
      <c r="AC783" s="1">
        <f t="shared" ca="1" si="231"/>
        <v>124.6674</v>
      </c>
      <c r="AD783" s="1">
        <f t="shared" ca="1" si="231"/>
        <v>124.6674</v>
      </c>
      <c r="AE783" s="1">
        <f t="shared" ca="1" si="231"/>
        <v>124.6674</v>
      </c>
      <c r="AF783" s="1">
        <f t="shared" ca="1" si="231"/>
        <v>124.6674</v>
      </c>
      <c r="AG783" s="1">
        <f t="shared" ca="1" si="231"/>
        <v>187.00110000000001</v>
      </c>
      <c r="AH783" s="1">
        <f t="shared" ca="1" si="231"/>
        <v>124.6674</v>
      </c>
      <c r="AI783" s="1">
        <f t="shared" ca="1" si="214"/>
        <v>124.6674</v>
      </c>
    </row>
    <row r="784" spans="2:35" x14ac:dyDescent="0.15">
      <c r="B784" s="1" t="str">
        <f t="shared" si="227"/>
        <v>光系89</v>
      </c>
      <c r="C784" s="1">
        <f t="shared" si="217"/>
        <v>89</v>
      </c>
      <c r="D784" s="14" t="s">
        <v>97</v>
      </c>
      <c r="E784" s="14">
        <f t="shared" si="218"/>
        <v>8</v>
      </c>
      <c r="F784" s="1" t="str">
        <f t="shared" si="225"/>
        <v>神圣</v>
      </c>
      <c r="H784" s="1">
        <f t="shared" ca="1" si="226"/>
        <v>4062.5622155526498</v>
      </c>
      <c r="I784" s="1">
        <f t="shared" ca="1" si="230"/>
        <v>150</v>
      </c>
      <c r="J784" s="1">
        <f t="shared" ca="1" si="230"/>
        <v>1760.6927419354899</v>
      </c>
      <c r="K784" s="1">
        <f t="shared" ca="1" si="230"/>
        <v>126.084075</v>
      </c>
      <c r="L784" s="1">
        <f t="shared" ca="1" si="230"/>
        <v>1760.6927419354899</v>
      </c>
      <c r="M784" s="1">
        <f t="shared" ca="1" si="230"/>
        <v>126.084075</v>
      </c>
      <c r="N784" s="1">
        <f t="shared" ca="1" si="230"/>
        <v>0.2</v>
      </c>
      <c r="O784" s="1">
        <f t="shared" ca="1" si="230"/>
        <v>0.2</v>
      </c>
      <c r="P784" s="1">
        <f t="shared" ca="1" si="230"/>
        <v>0.36</v>
      </c>
      <c r="Q784" s="1">
        <f t="shared" ca="1" si="230"/>
        <v>0.1</v>
      </c>
      <c r="R784" s="1">
        <f t="shared" ca="1" si="230"/>
        <v>2</v>
      </c>
      <c r="S784" s="1">
        <f t="shared" ca="1" si="231"/>
        <v>0.1</v>
      </c>
      <c r="T784" s="1">
        <f t="shared" ca="1" si="231"/>
        <v>0.9</v>
      </c>
      <c r="U784" s="1">
        <f t="shared" ca="1" si="231"/>
        <v>172.066666666667</v>
      </c>
      <c r="V784" s="1">
        <f t="shared" ca="1" si="231"/>
        <v>0</v>
      </c>
      <c r="W784" s="1">
        <f t="shared" ca="1" si="231"/>
        <v>0</v>
      </c>
      <c r="X784" s="1">
        <f t="shared" ca="1" si="231"/>
        <v>0</v>
      </c>
      <c r="Y784" s="1">
        <f t="shared" ca="1" si="231"/>
        <v>0</v>
      </c>
      <c r="Z784" s="1">
        <f t="shared" ca="1" si="231"/>
        <v>2117.5899193548448</v>
      </c>
      <c r="AA784" s="1">
        <f t="shared" ca="1" si="231"/>
        <v>0</v>
      </c>
      <c r="AB784" s="1">
        <f t="shared" ca="1" si="229"/>
        <v>0</v>
      </c>
      <c r="AC784" s="1">
        <f t="shared" ca="1" si="231"/>
        <v>126.084075</v>
      </c>
      <c r="AD784" s="1">
        <f t="shared" ca="1" si="231"/>
        <v>126.084075</v>
      </c>
      <c r="AE784" s="1">
        <f t="shared" ca="1" si="231"/>
        <v>126.084075</v>
      </c>
      <c r="AF784" s="1">
        <f t="shared" ca="1" si="231"/>
        <v>126.084075</v>
      </c>
      <c r="AG784" s="1">
        <f t="shared" ca="1" si="231"/>
        <v>189.1261125</v>
      </c>
      <c r="AH784" s="1">
        <f t="shared" ca="1" si="231"/>
        <v>126.084075</v>
      </c>
      <c r="AI784" s="1">
        <f t="shared" ca="1" si="214"/>
        <v>126.084075</v>
      </c>
    </row>
    <row r="785" spans="2:35" x14ac:dyDescent="0.15">
      <c r="B785" s="1" t="str">
        <f t="shared" si="227"/>
        <v>光系90</v>
      </c>
      <c r="C785" s="1">
        <f t="shared" si="217"/>
        <v>90</v>
      </c>
      <c r="D785" s="14" t="s">
        <v>97</v>
      </c>
      <c r="E785" s="14">
        <f t="shared" si="218"/>
        <v>8</v>
      </c>
      <c r="F785" s="1" t="str">
        <f t="shared" si="225"/>
        <v>神圣</v>
      </c>
      <c r="H785" s="1">
        <f t="shared" ca="1" si="226"/>
        <v>4125.4703642969298</v>
      </c>
      <c r="I785" s="1">
        <f t="shared" ca="1" si="230"/>
        <v>150</v>
      </c>
      <c r="J785" s="1">
        <f t="shared" ca="1" si="230"/>
        <v>1800.8957845433299</v>
      </c>
      <c r="K785" s="1">
        <f t="shared" ca="1" si="230"/>
        <v>127.50075</v>
      </c>
      <c r="L785" s="1">
        <f t="shared" ca="1" si="230"/>
        <v>1800.8957845433299</v>
      </c>
      <c r="M785" s="1">
        <f t="shared" ca="1" si="230"/>
        <v>127.50075</v>
      </c>
      <c r="N785" s="1">
        <f t="shared" ca="1" si="230"/>
        <v>0.2</v>
      </c>
      <c r="O785" s="1">
        <f t="shared" ca="1" si="230"/>
        <v>0.2</v>
      </c>
      <c r="P785" s="1">
        <f t="shared" ca="1" si="230"/>
        <v>0.36</v>
      </c>
      <c r="Q785" s="1">
        <f t="shared" ca="1" si="230"/>
        <v>0.1</v>
      </c>
      <c r="R785" s="1">
        <f t="shared" ca="1" si="230"/>
        <v>2</v>
      </c>
      <c r="S785" s="1">
        <f t="shared" ca="1" si="231"/>
        <v>0.1</v>
      </c>
      <c r="T785" s="1">
        <f t="shared" ca="1" si="231"/>
        <v>0.9</v>
      </c>
      <c r="U785" s="1">
        <f t="shared" ca="1" si="231"/>
        <v>174</v>
      </c>
      <c r="V785" s="1">
        <f t="shared" ca="1" si="231"/>
        <v>0</v>
      </c>
      <c r="W785" s="1">
        <f t="shared" ca="1" si="231"/>
        <v>0</v>
      </c>
      <c r="X785" s="1">
        <f t="shared" ca="1" si="231"/>
        <v>0</v>
      </c>
      <c r="Y785" s="1">
        <f t="shared" ca="1" si="231"/>
        <v>0</v>
      </c>
      <c r="Z785" s="1">
        <f t="shared" ca="1" si="231"/>
        <v>2210.190281030445</v>
      </c>
      <c r="AA785" s="1">
        <f t="shared" ca="1" si="231"/>
        <v>0</v>
      </c>
      <c r="AB785" s="1">
        <f t="shared" ca="1" si="229"/>
        <v>0</v>
      </c>
      <c r="AC785" s="1">
        <f t="shared" ca="1" si="231"/>
        <v>127.50075</v>
      </c>
      <c r="AD785" s="1">
        <f t="shared" ca="1" si="231"/>
        <v>127.50075</v>
      </c>
      <c r="AE785" s="1">
        <f t="shared" ca="1" si="231"/>
        <v>127.50075</v>
      </c>
      <c r="AF785" s="1">
        <f t="shared" ca="1" si="231"/>
        <v>127.50075</v>
      </c>
      <c r="AG785" s="1">
        <f t="shared" ca="1" si="231"/>
        <v>191.251125</v>
      </c>
      <c r="AH785" s="1">
        <f t="shared" ca="1" si="231"/>
        <v>127.50075</v>
      </c>
      <c r="AI785" s="1">
        <f t="shared" ca="1" si="214"/>
        <v>127.50075</v>
      </c>
    </row>
    <row r="786" spans="2:35" x14ac:dyDescent="0.15">
      <c r="B786" s="1" t="str">
        <f t="shared" si="227"/>
        <v>光系91</v>
      </c>
      <c r="C786" s="1">
        <f t="shared" si="217"/>
        <v>91</v>
      </c>
      <c r="D786" s="14" t="s">
        <v>97</v>
      </c>
      <c r="E786" s="14">
        <f t="shared" si="218"/>
        <v>8</v>
      </c>
      <c r="F786" s="1" t="str">
        <f t="shared" si="225"/>
        <v>神圣</v>
      </c>
      <c r="H786" s="1">
        <f t="shared" ca="1" si="226"/>
        <v>4188.7620993140299</v>
      </c>
      <c r="I786" s="1">
        <f t="shared" ca="1" si="230"/>
        <v>150</v>
      </c>
      <c r="J786" s="1">
        <f t="shared" ca="1" si="230"/>
        <v>1842.1</v>
      </c>
      <c r="K786" s="1">
        <f t="shared" ca="1" si="230"/>
        <v>128.91742500000001</v>
      </c>
      <c r="L786" s="1">
        <f t="shared" ca="1" si="230"/>
        <v>1842.1</v>
      </c>
      <c r="M786" s="1">
        <f t="shared" ca="1" si="230"/>
        <v>128.91742500000001</v>
      </c>
      <c r="N786" s="1">
        <f t="shared" ca="1" si="230"/>
        <v>0.2</v>
      </c>
      <c r="O786" s="1">
        <f t="shared" ca="1" si="230"/>
        <v>0.2</v>
      </c>
      <c r="P786" s="1">
        <f t="shared" ca="1" si="230"/>
        <v>0.36</v>
      </c>
      <c r="Q786" s="1">
        <f t="shared" ca="1" si="230"/>
        <v>0.1</v>
      </c>
      <c r="R786" s="1">
        <f t="shared" ca="1" si="230"/>
        <v>2</v>
      </c>
      <c r="S786" s="1">
        <f t="shared" ca="1" si="231"/>
        <v>0.1</v>
      </c>
      <c r="T786" s="1">
        <f t="shared" ca="1" si="231"/>
        <v>0.9</v>
      </c>
      <c r="U786" s="1">
        <f t="shared" ca="1" si="231"/>
        <v>175.933333333333</v>
      </c>
      <c r="V786" s="1">
        <f t="shared" ca="1" si="231"/>
        <v>0</v>
      </c>
      <c r="W786" s="1">
        <f t="shared" ca="1" si="231"/>
        <v>0</v>
      </c>
      <c r="X786" s="1">
        <f t="shared" ca="1" si="231"/>
        <v>0</v>
      </c>
      <c r="Y786" s="1">
        <f t="shared" ca="1" si="231"/>
        <v>0</v>
      </c>
      <c r="Z786" s="1">
        <f t="shared" ca="1" si="231"/>
        <v>2306.8500000000004</v>
      </c>
      <c r="AA786" s="1">
        <f t="shared" ca="1" si="231"/>
        <v>0</v>
      </c>
      <c r="AB786" s="1">
        <f t="shared" ca="1" si="229"/>
        <v>0</v>
      </c>
      <c r="AC786" s="1">
        <f t="shared" ca="1" si="231"/>
        <v>128.91742500000001</v>
      </c>
      <c r="AD786" s="1">
        <f t="shared" ca="1" si="231"/>
        <v>128.91742500000001</v>
      </c>
      <c r="AE786" s="1">
        <f t="shared" ca="1" si="231"/>
        <v>128.91742500000001</v>
      </c>
      <c r="AF786" s="1">
        <f t="shared" ca="1" si="231"/>
        <v>128.91742500000001</v>
      </c>
      <c r="AG786" s="1">
        <f t="shared" ca="1" si="231"/>
        <v>193.37613750000003</v>
      </c>
      <c r="AH786" s="1">
        <f t="shared" ca="1" si="231"/>
        <v>128.91742500000001</v>
      </c>
      <c r="AI786" s="1">
        <f t="shared" ca="1" si="214"/>
        <v>128.91742500000001</v>
      </c>
    </row>
    <row r="787" spans="2:35" x14ac:dyDescent="0.15">
      <c r="B787" s="1" t="str">
        <f t="shared" si="227"/>
        <v>光系92</v>
      </c>
      <c r="C787" s="1">
        <f t="shared" si="217"/>
        <v>92</v>
      </c>
      <c r="D787" s="14" t="s">
        <v>97</v>
      </c>
      <c r="E787" s="14">
        <f t="shared" si="218"/>
        <v>8</v>
      </c>
      <c r="F787" s="1" t="str">
        <f t="shared" si="225"/>
        <v>神圣</v>
      </c>
      <c r="H787" s="1">
        <f t="shared" ca="1" si="226"/>
        <v>4252.4374206039702</v>
      </c>
      <c r="I787" s="1">
        <f t="shared" ca="1" si="230"/>
        <v>150</v>
      </c>
      <c r="J787" s="1">
        <f t="shared" ca="1" si="230"/>
        <v>1884.35157384988</v>
      </c>
      <c r="K787" s="1">
        <f t="shared" ca="1" si="230"/>
        <v>130.33410000000001</v>
      </c>
      <c r="L787" s="1">
        <f t="shared" ca="1" si="230"/>
        <v>1884.35157384988</v>
      </c>
      <c r="M787" s="1">
        <f t="shared" ca="1" si="230"/>
        <v>130.33410000000001</v>
      </c>
      <c r="N787" s="1">
        <f t="shared" ca="1" si="230"/>
        <v>0.2</v>
      </c>
      <c r="O787" s="1">
        <f t="shared" ca="1" si="230"/>
        <v>0.2</v>
      </c>
      <c r="P787" s="1">
        <f t="shared" ca="1" si="230"/>
        <v>0.36</v>
      </c>
      <c r="Q787" s="1">
        <f t="shared" ca="1" si="230"/>
        <v>0.1</v>
      </c>
      <c r="R787" s="1">
        <f t="shared" ca="1" si="230"/>
        <v>2</v>
      </c>
      <c r="S787" s="1">
        <f t="shared" ca="1" si="231"/>
        <v>0.1</v>
      </c>
      <c r="T787" s="1">
        <f t="shared" ca="1" si="231"/>
        <v>0.9</v>
      </c>
      <c r="U787" s="1">
        <f t="shared" ca="1" si="231"/>
        <v>177.86666666666699</v>
      </c>
      <c r="V787" s="1">
        <f t="shared" ca="1" si="231"/>
        <v>0</v>
      </c>
      <c r="W787" s="1">
        <f t="shared" ca="1" si="231"/>
        <v>0</v>
      </c>
      <c r="X787" s="1">
        <f t="shared" ca="1" si="231"/>
        <v>0</v>
      </c>
      <c r="Y787" s="1">
        <f t="shared" ca="1" si="231"/>
        <v>0</v>
      </c>
      <c r="Z787" s="1">
        <f t="shared" ca="1" si="231"/>
        <v>2407.782566585955</v>
      </c>
      <c r="AA787" s="1">
        <f t="shared" ca="1" si="231"/>
        <v>0</v>
      </c>
      <c r="AB787" s="1">
        <f t="shared" ca="1" si="229"/>
        <v>0</v>
      </c>
      <c r="AC787" s="1">
        <f t="shared" ca="1" si="231"/>
        <v>130.33410000000001</v>
      </c>
      <c r="AD787" s="1">
        <f t="shared" ca="1" si="231"/>
        <v>130.33410000000001</v>
      </c>
      <c r="AE787" s="1">
        <f t="shared" ca="1" si="231"/>
        <v>130.33410000000001</v>
      </c>
      <c r="AF787" s="1">
        <f t="shared" ca="1" si="231"/>
        <v>130.33410000000001</v>
      </c>
      <c r="AG787" s="1">
        <f t="shared" ca="1" si="231"/>
        <v>195.50115</v>
      </c>
      <c r="AH787" s="1">
        <f t="shared" ca="1" si="231"/>
        <v>130.33410000000001</v>
      </c>
      <c r="AI787" s="1">
        <f t="shared" ref="AI787:AI850" ca="1" si="232">mVlookup($C787,monsterBaseDate,AI$2,FALSE)*(1+mVlookup($E787,monsterType,AI$2,FALSE))</f>
        <v>130.33410000000001</v>
      </c>
    </row>
    <row r="788" spans="2:35" x14ac:dyDescent="0.15">
      <c r="B788" s="1" t="str">
        <f t="shared" si="227"/>
        <v>光系93</v>
      </c>
      <c r="C788" s="1">
        <f t="shared" si="217"/>
        <v>93</v>
      </c>
      <c r="D788" s="14" t="s">
        <v>97</v>
      </c>
      <c r="E788" s="14">
        <f t="shared" si="218"/>
        <v>8</v>
      </c>
      <c r="F788" s="1" t="str">
        <f t="shared" si="225"/>
        <v>神圣</v>
      </c>
      <c r="H788" s="1">
        <f t="shared" ca="1" si="226"/>
        <v>4316.4963281667397</v>
      </c>
      <c r="I788" s="1">
        <f t="shared" ca="1" si="230"/>
        <v>150</v>
      </c>
      <c r="J788" s="1">
        <f t="shared" ca="1" si="230"/>
        <v>1927.6998768472899</v>
      </c>
      <c r="K788" s="1">
        <f t="shared" ca="1" si="230"/>
        <v>131.750775</v>
      </c>
      <c r="L788" s="1">
        <f t="shared" ca="1" si="230"/>
        <v>1927.6998768472899</v>
      </c>
      <c r="M788" s="1">
        <f t="shared" ca="1" si="230"/>
        <v>131.750775</v>
      </c>
      <c r="N788" s="1">
        <f t="shared" ca="1" si="230"/>
        <v>0.2</v>
      </c>
      <c r="O788" s="1">
        <f t="shared" ca="1" si="230"/>
        <v>0.2</v>
      </c>
      <c r="P788" s="1">
        <f t="shared" ca="1" si="230"/>
        <v>0.36</v>
      </c>
      <c r="Q788" s="1">
        <f t="shared" ca="1" si="230"/>
        <v>0.1</v>
      </c>
      <c r="R788" s="1">
        <f t="shared" ca="1" si="230"/>
        <v>2</v>
      </c>
      <c r="S788" s="1">
        <f t="shared" ca="1" si="231"/>
        <v>0.1</v>
      </c>
      <c r="T788" s="1">
        <f t="shared" ca="1" si="231"/>
        <v>0.9</v>
      </c>
      <c r="U788" s="1">
        <f t="shared" ca="1" si="231"/>
        <v>179.8</v>
      </c>
      <c r="V788" s="1">
        <f t="shared" ca="1" si="231"/>
        <v>0</v>
      </c>
      <c r="W788" s="1">
        <f t="shared" ca="1" si="231"/>
        <v>0</v>
      </c>
      <c r="X788" s="1">
        <f t="shared" ca="1" si="231"/>
        <v>0</v>
      </c>
      <c r="Y788" s="1">
        <f t="shared" ca="1" si="231"/>
        <v>0</v>
      </c>
      <c r="Z788" s="1">
        <f t="shared" ca="1" si="231"/>
        <v>2513.216194581285</v>
      </c>
      <c r="AA788" s="1">
        <f t="shared" ca="1" si="231"/>
        <v>0</v>
      </c>
      <c r="AB788" s="1">
        <f t="shared" ca="1" si="229"/>
        <v>0</v>
      </c>
      <c r="AC788" s="1">
        <f t="shared" ca="1" si="231"/>
        <v>131.750775</v>
      </c>
      <c r="AD788" s="1">
        <f t="shared" ca="1" si="231"/>
        <v>131.750775</v>
      </c>
      <c r="AE788" s="1">
        <f t="shared" ca="1" si="231"/>
        <v>131.750775</v>
      </c>
      <c r="AF788" s="1">
        <f t="shared" ca="1" si="231"/>
        <v>131.750775</v>
      </c>
      <c r="AG788" s="1">
        <f t="shared" ca="1" si="231"/>
        <v>197.62616250000002</v>
      </c>
      <c r="AH788" s="1">
        <f t="shared" ca="1" si="231"/>
        <v>131.750775</v>
      </c>
      <c r="AI788" s="1">
        <f t="shared" ca="1" si="232"/>
        <v>131.750775</v>
      </c>
    </row>
    <row r="789" spans="2:35" x14ac:dyDescent="0.15">
      <c r="B789" s="1" t="str">
        <f t="shared" si="227"/>
        <v>光系94</v>
      </c>
      <c r="C789" s="1">
        <f t="shared" si="217"/>
        <v>94</v>
      </c>
      <c r="D789" s="14" t="s">
        <v>97</v>
      </c>
      <c r="E789" s="14">
        <f t="shared" si="218"/>
        <v>8</v>
      </c>
      <c r="F789" s="1" t="str">
        <f t="shared" si="225"/>
        <v>神圣</v>
      </c>
      <c r="H789" s="1">
        <f t="shared" ca="1" si="226"/>
        <v>4380.9388220023402</v>
      </c>
      <c r="I789" s="1">
        <f t="shared" ca="1" si="230"/>
        <v>150</v>
      </c>
      <c r="J789" s="1">
        <f t="shared" ca="1" si="230"/>
        <v>1972.1977443609101</v>
      </c>
      <c r="K789" s="1">
        <f t="shared" ca="1" si="230"/>
        <v>133.16745</v>
      </c>
      <c r="L789" s="1">
        <f t="shared" ca="1" si="230"/>
        <v>1972.1977443609101</v>
      </c>
      <c r="M789" s="1">
        <f t="shared" ca="1" si="230"/>
        <v>133.16745</v>
      </c>
      <c r="N789" s="1">
        <f t="shared" ca="1" si="230"/>
        <v>0.2</v>
      </c>
      <c r="O789" s="1">
        <f t="shared" ca="1" si="230"/>
        <v>0.2</v>
      </c>
      <c r="P789" s="1">
        <f t="shared" ca="1" si="230"/>
        <v>0.36</v>
      </c>
      <c r="Q789" s="1">
        <f t="shared" ca="1" si="230"/>
        <v>0.1</v>
      </c>
      <c r="R789" s="1">
        <f t="shared" ca="1" si="230"/>
        <v>2</v>
      </c>
      <c r="S789" s="1">
        <f t="shared" ca="1" si="231"/>
        <v>0.1</v>
      </c>
      <c r="T789" s="1">
        <f t="shared" ca="1" si="231"/>
        <v>0.9</v>
      </c>
      <c r="U789" s="1">
        <f t="shared" ca="1" si="231"/>
        <v>181.73333333333301</v>
      </c>
      <c r="V789" s="1">
        <f t="shared" ca="1" si="231"/>
        <v>0</v>
      </c>
      <c r="W789" s="1">
        <f t="shared" ca="1" si="231"/>
        <v>0</v>
      </c>
      <c r="X789" s="1">
        <f t="shared" ca="1" si="231"/>
        <v>0</v>
      </c>
      <c r="Y789" s="1">
        <f t="shared" ca="1" si="231"/>
        <v>0</v>
      </c>
      <c r="Z789" s="1">
        <f t="shared" ca="1" si="231"/>
        <v>2623.395112781955</v>
      </c>
      <c r="AA789" s="1">
        <f t="shared" ca="1" si="231"/>
        <v>0</v>
      </c>
      <c r="AB789" s="1">
        <f t="shared" ca="1" si="231"/>
        <v>0</v>
      </c>
      <c r="AC789" s="1">
        <f t="shared" ca="1" si="231"/>
        <v>133.16745</v>
      </c>
      <c r="AD789" s="1">
        <f t="shared" ca="1" si="231"/>
        <v>133.16745</v>
      </c>
      <c r="AE789" s="1">
        <f t="shared" ca="1" si="231"/>
        <v>133.16745</v>
      </c>
      <c r="AF789" s="1">
        <f t="shared" ca="1" si="231"/>
        <v>133.16745</v>
      </c>
      <c r="AG789" s="1">
        <f t="shared" ca="1" si="231"/>
        <v>199.75117499999999</v>
      </c>
      <c r="AH789" s="1">
        <f t="shared" ca="1" si="231"/>
        <v>133.16745</v>
      </c>
      <c r="AI789" s="1">
        <f t="shared" ca="1" si="232"/>
        <v>133.16745</v>
      </c>
    </row>
    <row r="790" spans="2:35" x14ac:dyDescent="0.15">
      <c r="B790" s="1" t="str">
        <f t="shared" si="227"/>
        <v>光系95</v>
      </c>
      <c r="C790" s="1">
        <f t="shared" si="217"/>
        <v>95</v>
      </c>
      <c r="D790" s="14" t="s">
        <v>97</v>
      </c>
      <c r="E790" s="14">
        <f t="shared" si="218"/>
        <v>8</v>
      </c>
      <c r="F790" s="1" t="str">
        <f t="shared" si="225"/>
        <v>神圣</v>
      </c>
      <c r="H790" s="1">
        <f t="shared" ca="1" si="226"/>
        <v>4445.76490211077</v>
      </c>
      <c r="I790" s="1">
        <f t="shared" ca="1" si="230"/>
        <v>150</v>
      </c>
      <c r="J790" s="1">
        <f t="shared" ca="1" si="230"/>
        <v>2017.9017857142901</v>
      </c>
      <c r="K790" s="1">
        <f t="shared" ca="1" si="230"/>
        <v>134.584125</v>
      </c>
      <c r="L790" s="1">
        <f t="shared" ca="1" si="230"/>
        <v>2017.9017857142901</v>
      </c>
      <c r="M790" s="1">
        <f t="shared" ca="1" si="230"/>
        <v>134.584125</v>
      </c>
      <c r="N790" s="1">
        <f t="shared" ca="1" si="230"/>
        <v>0.2</v>
      </c>
      <c r="O790" s="1">
        <f t="shared" ca="1" si="230"/>
        <v>0.2</v>
      </c>
      <c r="P790" s="1">
        <f t="shared" ca="1" si="230"/>
        <v>0.36</v>
      </c>
      <c r="Q790" s="1">
        <f t="shared" ca="1" si="230"/>
        <v>0.1</v>
      </c>
      <c r="R790" s="1">
        <f t="shared" ca="1" si="230"/>
        <v>2</v>
      </c>
      <c r="S790" s="1">
        <f t="shared" ca="1" si="231"/>
        <v>0.1</v>
      </c>
      <c r="T790" s="1">
        <f t="shared" ca="1" si="231"/>
        <v>0.9</v>
      </c>
      <c r="U790" s="1">
        <f t="shared" ca="1" si="231"/>
        <v>183.666666666667</v>
      </c>
      <c r="V790" s="1">
        <f t="shared" ca="1" si="231"/>
        <v>0</v>
      </c>
      <c r="W790" s="1">
        <f t="shared" ca="1" si="231"/>
        <v>0</v>
      </c>
      <c r="X790" s="1">
        <f t="shared" ca="1" si="231"/>
        <v>0</v>
      </c>
      <c r="Y790" s="1">
        <f t="shared" ca="1" si="231"/>
        <v>0</v>
      </c>
      <c r="Z790" s="1">
        <f t="shared" ca="1" si="231"/>
        <v>2738.580994897965</v>
      </c>
      <c r="AA790" s="1">
        <f t="shared" ca="1" si="231"/>
        <v>0</v>
      </c>
      <c r="AB790" s="1">
        <f t="shared" ca="1" si="231"/>
        <v>0</v>
      </c>
      <c r="AC790" s="1">
        <f t="shared" ca="1" si="231"/>
        <v>134.584125</v>
      </c>
      <c r="AD790" s="1">
        <f t="shared" ca="1" si="231"/>
        <v>134.584125</v>
      </c>
      <c r="AE790" s="1">
        <f t="shared" ca="1" si="231"/>
        <v>134.584125</v>
      </c>
      <c r="AF790" s="1">
        <f t="shared" ca="1" si="231"/>
        <v>134.584125</v>
      </c>
      <c r="AG790" s="1">
        <f t="shared" ca="1" si="231"/>
        <v>201.87618750000001</v>
      </c>
      <c r="AH790" s="1">
        <f t="shared" ca="1" si="231"/>
        <v>134.584125</v>
      </c>
      <c r="AI790" s="1">
        <f t="shared" ca="1" si="232"/>
        <v>134.584125</v>
      </c>
    </row>
    <row r="791" spans="2:35" x14ac:dyDescent="0.15">
      <c r="B791" s="1" t="str">
        <f t="shared" si="227"/>
        <v>光系96</v>
      </c>
      <c r="C791" s="1">
        <f t="shared" si="217"/>
        <v>96</v>
      </c>
      <c r="D791" s="14" t="s">
        <v>97</v>
      </c>
      <c r="E791" s="14">
        <f t="shared" si="218"/>
        <v>8</v>
      </c>
      <c r="F791" s="1" t="str">
        <f t="shared" si="225"/>
        <v>神圣</v>
      </c>
      <c r="H791" s="1">
        <f t="shared" ca="1" si="226"/>
        <v>4510.9745684920399</v>
      </c>
      <c r="I791" s="1">
        <f t="shared" ca="1" si="230"/>
        <v>150</v>
      </c>
      <c r="J791" s="1">
        <f t="shared" ca="1" si="230"/>
        <v>2064.8727272727301</v>
      </c>
      <c r="K791" s="1">
        <f t="shared" ca="1" si="230"/>
        <v>136.0008</v>
      </c>
      <c r="L791" s="1">
        <f t="shared" ca="1" si="230"/>
        <v>2064.8727272727301</v>
      </c>
      <c r="M791" s="1">
        <f t="shared" ca="1" si="230"/>
        <v>136.0008</v>
      </c>
      <c r="N791" s="1">
        <f t="shared" ca="1" si="230"/>
        <v>0.2</v>
      </c>
      <c r="O791" s="1">
        <f t="shared" ca="1" si="230"/>
        <v>0.2</v>
      </c>
      <c r="P791" s="1">
        <f t="shared" ca="1" si="230"/>
        <v>0.36</v>
      </c>
      <c r="Q791" s="1">
        <f t="shared" ca="1" si="230"/>
        <v>0.1</v>
      </c>
      <c r="R791" s="1">
        <f t="shared" ca="1" si="230"/>
        <v>2</v>
      </c>
      <c r="S791" s="1">
        <f t="shared" ca="1" si="231"/>
        <v>0.1</v>
      </c>
      <c r="T791" s="1">
        <f t="shared" ca="1" si="231"/>
        <v>0.9</v>
      </c>
      <c r="U791" s="1">
        <f t="shared" ca="1" si="231"/>
        <v>185.6</v>
      </c>
      <c r="V791" s="1">
        <f t="shared" ca="1" si="231"/>
        <v>0</v>
      </c>
      <c r="W791" s="1">
        <f t="shared" ca="1" si="231"/>
        <v>0</v>
      </c>
      <c r="X791" s="1">
        <f t="shared" ca="1" si="231"/>
        <v>0</v>
      </c>
      <c r="Y791" s="1">
        <f t="shared" ca="1" si="231"/>
        <v>0</v>
      </c>
      <c r="Z791" s="1">
        <f t="shared" ca="1" si="231"/>
        <v>2859.054545454555</v>
      </c>
      <c r="AA791" s="1">
        <f t="shared" ca="1" si="231"/>
        <v>0</v>
      </c>
      <c r="AB791" s="1">
        <f t="shared" ca="1" si="231"/>
        <v>0</v>
      </c>
      <c r="AC791" s="1">
        <f t="shared" ca="1" si="231"/>
        <v>136.0008</v>
      </c>
      <c r="AD791" s="1">
        <f t="shared" ca="1" si="231"/>
        <v>136.0008</v>
      </c>
      <c r="AE791" s="1">
        <f t="shared" ca="1" si="231"/>
        <v>136.0008</v>
      </c>
      <c r="AF791" s="1">
        <f t="shared" ca="1" si="231"/>
        <v>136.0008</v>
      </c>
      <c r="AG791" s="1">
        <f t="shared" ca="1" si="231"/>
        <v>204.00119999999998</v>
      </c>
      <c r="AH791" s="1">
        <f t="shared" ca="1" si="231"/>
        <v>136.0008</v>
      </c>
      <c r="AI791" s="1">
        <f t="shared" ca="1" si="232"/>
        <v>136.0008</v>
      </c>
    </row>
    <row r="792" spans="2:35" x14ac:dyDescent="0.15">
      <c r="B792" s="1" t="str">
        <f t="shared" si="227"/>
        <v>光系97</v>
      </c>
      <c r="C792" s="1">
        <f t="shared" si="217"/>
        <v>97</v>
      </c>
      <c r="D792" s="14" t="s">
        <v>97</v>
      </c>
      <c r="E792" s="14">
        <f t="shared" si="218"/>
        <v>8</v>
      </c>
      <c r="F792" s="1" t="str">
        <f t="shared" si="225"/>
        <v>神圣</v>
      </c>
      <c r="H792" s="1">
        <f t="shared" ca="1" si="226"/>
        <v>4576.56782114613</v>
      </c>
      <c r="I792" s="1">
        <f t="shared" ca="1" si="230"/>
        <v>150</v>
      </c>
      <c r="J792" s="1">
        <f t="shared" ca="1" si="230"/>
        <v>2113.1757936508002</v>
      </c>
      <c r="K792" s="1">
        <f t="shared" ca="1" si="230"/>
        <v>137.417475</v>
      </c>
      <c r="L792" s="1">
        <f t="shared" ca="1" si="230"/>
        <v>2113.1757936508002</v>
      </c>
      <c r="M792" s="1">
        <f t="shared" ca="1" si="230"/>
        <v>137.417475</v>
      </c>
      <c r="N792" s="1">
        <f t="shared" ca="1" si="230"/>
        <v>0.2</v>
      </c>
      <c r="O792" s="1">
        <f t="shared" ca="1" si="230"/>
        <v>0.2</v>
      </c>
      <c r="P792" s="1">
        <f t="shared" ca="1" si="230"/>
        <v>0.36</v>
      </c>
      <c r="Q792" s="1">
        <f t="shared" ca="1" si="230"/>
        <v>0.1</v>
      </c>
      <c r="R792" s="1">
        <f t="shared" ca="1" si="230"/>
        <v>2</v>
      </c>
      <c r="S792" s="1">
        <f t="shared" ca="1" si="231"/>
        <v>0.1</v>
      </c>
      <c r="T792" s="1">
        <f t="shared" ca="1" si="231"/>
        <v>0.9</v>
      </c>
      <c r="U792" s="1">
        <f t="shared" ca="1" si="231"/>
        <v>187.53333333333299</v>
      </c>
      <c r="V792" s="1">
        <f t="shared" ca="1" si="231"/>
        <v>0</v>
      </c>
      <c r="W792" s="1">
        <f t="shared" ca="1" si="231"/>
        <v>0</v>
      </c>
      <c r="X792" s="1">
        <f t="shared" ca="1" si="231"/>
        <v>0</v>
      </c>
      <c r="Y792" s="1">
        <f t="shared" ca="1" si="231"/>
        <v>0</v>
      </c>
      <c r="Z792" s="1">
        <f t="shared" ca="1" si="231"/>
        <v>2985.1172619047702</v>
      </c>
      <c r="AA792" s="1">
        <f t="shared" ca="1" si="231"/>
        <v>0</v>
      </c>
      <c r="AB792" s="1">
        <f t="shared" ca="1" si="231"/>
        <v>0</v>
      </c>
      <c r="AC792" s="1">
        <f t="shared" ca="1" si="231"/>
        <v>137.417475</v>
      </c>
      <c r="AD792" s="1">
        <f t="shared" ca="1" si="231"/>
        <v>137.417475</v>
      </c>
      <c r="AE792" s="1">
        <f t="shared" ca="1" si="231"/>
        <v>137.417475</v>
      </c>
      <c r="AF792" s="1">
        <f t="shared" ca="1" si="231"/>
        <v>137.417475</v>
      </c>
      <c r="AG792" s="1">
        <f t="shared" ca="1" si="231"/>
        <v>206.12621250000001</v>
      </c>
      <c r="AH792" s="1">
        <f t="shared" ca="1" si="231"/>
        <v>137.417475</v>
      </c>
      <c r="AI792" s="1">
        <f t="shared" ca="1" si="232"/>
        <v>137.417475</v>
      </c>
    </row>
    <row r="793" spans="2:35" x14ac:dyDescent="0.15">
      <c r="B793" s="1" t="str">
        <f t="shared" si="227"/>
        <v>光系98</v>
      </c>
      <c r="C793" s="1">
        <f t="shared" si="217"/>
        <v>98</v>
      </c>
      <c r="D793" s="14" t="s">
        <v>97</v>
      </c>
      <c r="E793" s="14">
        <f t="shared" si="218"/>
        <v>8</v>
      </c>
      <c r="F793" s="1" t="str">
        <f t="shared" si="225"/>
        <v>神圣</v>
      </c>
      <c r="H793" s="1">
        <f t="shared" ca="1" si="226"/>
        <v>4642.5446600730502</v>
      </c>
      <c r="I793" s="1">
        <f t="shared" ref="I793:R802" ca="1" si="233">mVlookup($C793,monsterBaseDate,I$2,FALSE)*(1+mVlookup($E793,monsterType,I$2,FALSE))</f>
        <v>150</v>
      </c>
      <c r="J793" s="1">
        <f t="shared" ca="1" si="233"/>
        <v>2162.8811320754799</v>
      </c>
      <c r="K793" s="1">
        <f t="shared" ca="1" si="233"/>
        <v>138.83414999999999</v>
      </c>
      <c r="L793" s="1">
        <f t="shared" ca="1" si="233"/>
        <v>2162.8811320754799</v>
      </c>
      <c r="M793" s="1">
        <f t="shared" ca="1" si="233"/>
        <v>138.83414999999999</v>
      </c>
      <c r="N793" s="1">
        <f t="shared" ca="1" si="233"/>
        <v>0.2</v>
      </c>
      <c r="O793" s="1">
        <f t="shared" ca="1" si="233"/>
        <v>0.2</v>
      </c>
      <c r="P793" s="1">
        <f t="shared" ca="1" si="233"/>
        <v>0.36</v>
      </c>
      <c r="Q793" s="1">
        <f t="shared" ca="1" si="233"/>
        <v>0.1</v>
      </c>
      <c r="R793" s="1">
        <f t="shared" ca="1" si="233"/>
        <v>2</v>
      </c>
      <c r="S793" s="1">
        <f t="shared" ref="S793:AH808" ca="1" si="234">mVlookup($C793,monsterBaseDate,S$2,FALSE)*(1+mVlookup($E793,monsterType,S$2,FALSE))</f>
        <v>0.1</v>
      </c>
      <c r="T793" s="1">
        <f t="shared" ca="1" si="234"/>
        <v>0.9</v>
      </c>
      <c r="U793" s="1">
        <f t="shared" ca="1" si="234"/>
        <v>189.46666666666701</v>
      </c>
      <c r="V793" s="1">
        <f t="shared" ca="1" si="234"/>
        <v>0</v>
      </c>
      <c r="W793" s="1">
        <f t="shared" ca="1" si="234"/>
        <v>0</v>
      </c>
      <c r="X793" s="1">
        <f t="shared" ca="1" si="234"/>
        <v>0</v>
      </c>
      <c r="Y793" s="1">
        <f t="shared" ca="1" si="234"/>
        <v>0</v>
      </c>
      <c r="Z793" s="1">
        <f t="shared" ca="1" si="234"/>
        <v>3117.0933962264248</v>
      </c>
      <c r="AA793" s="1">
        <f t="shared" ca="1" si="234"/>
        <v>0</v>
      </c>
      <c r="AB793" s="1">
        <f t="shared" ca="1" si="231"/>
        <v>0</v>
      </c>
      <c r="AC793" s="1">
        <f t="shared" ca="1" si="234"/>
        <v>138.83414999999999</v>
      </c>
      <c r="AD793" s="1">
        <f t="shared" ca="1" si="234"/>
        <v>138.83414999999999</v>
      </c>
      <c r="AE793" s="1">
        <f t="shared" ca="1" si="234"/>
        <v>138.83414999999999</v>
      </c>
      <c r="AF793" s="1">
        <f t="shared" ca="1" si="234"/>
        <v>138.83414999999999</v>
      </c>
      <c r="AG793" s="1">
        <f t="shared" ca="1" si="234"/>
        <v>208.25122499999998</v>
      </c>
      <c r="AH793" s="1">
        <f t="shared" ca="1" si="234"/>
        <v>138.83414999999999</v>
      </c>
      <c r="AI793" s="1">
        <f t="shared" ca="1" si="232"/>
        <v>138.83414999999999</v>
      </c>
    </row>
    <row r="794" spans="2:35" x14ac:dyDescent="0.15">
      <c r="B794" s="1" t="str">
        <f t="shared" si="227"/>
        <v>光系99</v>
      </c>
      <c r="C794" s="1">
        <f t="shared" si="217"/>
        <v>99</v>
      </c>
      <c r="D794" s="14" t="s">
        <v>97</v>
      </c>
      <c r="E794" s="14">
        <f t="shared" si="218"/>
        <v>8</v>
      </c>
      <c r="F794" s="1" t="str">
        <f t="shared" si="225"/>
        <v>神圣</v>
      </c>
      <c r="H794" s="1">
        <f t="shared" ca="1" si="226"/>
        <v>4708.9050852728096</v>
      </c>
      <c r="I794" s="1">
        <f t="shared" ca="1" si="233"/>
        <v>150</v>
      </c>
      <c r="J794" s="1">
        <f t="shared" ca="1" si="233"/>
        <v>2214.0642857142898</v>
      </c>
      <c r="K794" s="1">
        <f t="shared" ca="1" si="233"/>
        <v>140.25082499999999</v>
      </c>
      <c r="L794" s="1">
        <f t="shared" ca="1" si="233"/>
        <v>2214.0642857142898</v>
      </c>
      <c r="M794" s="1">
        <f t="shared" ca="1" si="233"/>
        <v>140.25082499999999</v>
      </c>
      <c r="N794" s="1">
        <f t="shared" ca="1" si="233"/>
        <v>0.2</v>
      </c>
      <c r="O794" s="1">
        <f t="shared" ca="1" si="233"/>
        <v>0.2</v>
      </c>
      <c r="P794" s="1">
        <f t="shared" ca="1" si="233"/>
        <v>0.36</v>
      </c>
      <c r="Q794" s="1">
        <f t="shared" ca="1" si="233"/>
        <v>0.1</v>
      </c>
      <c r="R794" s="1">
        <f t="shared" ca="1" si="233"/>
        <v>2</v>
      </c>
      <c r="S794" s="1">
        <f t="shared" ca="1" si="234"/>
        <v>0.1</v>
      </c>
      <c r="T794" s="1">
        <f t="shared" ca="1" si="234"/>
        <v>0.9</v>
      </c>
      <c r="U794" s="1">
        <f t="shared" ca="1" si="234"/>
        <v>191.4</v>
      </c>
      <c r="V794" s="1">
        <f t="shared" ca="1" si="234"/>
        <v>0</v>
      </c>
      <c r="W794" s="1">
        <f t="shared" ca="1" si="234"/>
        <v>0</v>
      </c>
      <c r="X794" s="1">
        <f t="shared" ca="1" si="234"/>
        <v>0</v>
      </c>
      <c r="Y794" s="1">
        <f t="shared" ca="1" si="234"/>
        <v>0</v>
      </c>
      <c r="Z794" s="1">
        <f t="shared" ca="1" si="234"/>
        <v>3255.3321428571448</v>
      </c>
      <c r="AA794" s="1">
        <f t="shared" ca="1" si="234"/>
        <v>0</v>
      </c>
      <c r="AB794" s="1">
        <f t="shared" ca="1" si="231"/>
        <v>0</v>
      </c>
      <c r="AC794" s="1">
        <f t="shared" ca="1" si="234"/>
        <v>140.25082499999999</v>
      </c>
      <c r="AD794" s="1">
        <f t="shared" ca="1" si="234"/>
        <v>140.25082499999999</v>
      </c>
      <c r="AE794" s="1">
        <f t="shared" ca="1" si="234"/>
        <v>140.25082499999999</v>
      </c>
      <c r="AF794" s="1">
        <f t="shared" ca="1" si="234"/>
        <v>140.25082499999999</v>
      </c>
      <c r="AG794" s="1">
        <f t="shared" ca="1" si="234"/>
        <v>210.3762375</v>
      </c>
      <c r="AH794" s="1">
        <f t="shared" ca="1" si="234"/>
        <v>140.25082499999999</v>
      </c>
      <c r="AI794" s="1">
        <f t="shared" ca="1" si="232"/>
        <v>140.25082499999999</v>
      </c>
    </row>
    <row r="795" spans="2:35" x14ac:dyDescent="0.15">
      <c r="B795" s="1" t="str">
        <f t="shared" si="227"/>
        <v>暗系1</v>
      </c>
      <c r="C795" s="1">
        <f t="shared" si="217"/>
        <v>1</v>
      </c>
      <c r="D795" s="14" t="s">
        <v>98</v>
      </c>
      <c r="E795" s="14">
        <f t="shared" si="218"/>
        <v>9</v>
      </c>
      <c r="F795" s="1" t="str">
        <f t="shared" si="225"/>
        <v>黑暗</v>
      </c>
      <c r="H795" s="1">
        <f t="shared" ca="1" si="226"/>
        <v>11.6833207784558</v>
      </c>
      <c r="I795" s="1">
        <f t="shared" ca="1" si="233"/>
        <v>150</v>
      </c>
      <c r="J795" s="1">
        <f t="shared" ca="1" si="233"/>
        <v>8.0843749999999996</v>
      </c>
      <c r="K795" s="1">
        <f t="shared" ca="1" si="233"/>
        <v>1.4166749999999999</v>
      </c>
      <c r="L795" s="1">
        <f t="shared" ca="1" si="233"/>
        <v>8.0843749999999996</v>
      </c>
      <c r="M795" s="1">
        <f t="shared" ca="1" si="233"/>
        <v>1.4166749999999999</v>
      </c>
      <c r="N795" s="1">
        <f t="shared" ca="1" si="233"/>
        <v>0.2</v>
      </c>
      <c r="O795" s="1">
        <f t="shared" ca="1" si="233"/>
        <v>0.2</v>
      </c>
      <c r="P795" s="1">
        <f t="shared" ca="1" si="233"/>
        <v>0.36</v>
      </c>
      <c r="Q795" s="1">
        <f t="shared" ca="1" si="233"/>
        <v>0.1</v>
      </c>
      <c r="R795" s="1">
        <f t="shared" ca="1" si="233"/>
        <v>2</v>
      </c>
      <c r="S795" s="1">
        <f t="shared" ca="1" si="234"/>
        <v>0.1</v>
      </c>
      <c r="T795" s="1">
        <f t="shared" ca="1" si="234"/>
        <v>0.9</v>
      </c>
      <c r="U795" s="1">
        <f t="shared" ca="1" si="234"/>
        <v>1.93333333333333</v>
      </c>
      <c r="V795" s="1">
        <f t="shared" ca="1" si="234"/>
        <v>0</v>
      </c>
      <c r="W795" s="1">
        <f t="shared" ca="1" si="234"/>
        <v>0</v>
      </c>
      <c r="X795" s="1">
        <f t="shared" ca="1" si="234"/>
        <v>0</v>
      </c>
      <c r="Y795" s="1">
        <f t="shared" ca="1" si="234"/>
        <v>0</v>
      </c>
      <c r="Z795" s="1">
        <f t="shared" ca="1" si="234"/>
        <v>0</v>
      </c>
      <c r="AA795" s="1">
        <f t="shared" ca="1" si="234"/>
        <v>6.0937500000000006E-2</v>
      </c>
      <c r="AB795" s="1">
        <f t="shared" ca="1" si="231"/>
        <v>0</v>
      </c>
      <c r="AC795" s="1">
        <f t="shared" ca="1" si="234"/>
        <v>1.4166749999999999</v>
      </c>
      <c r="AD795" s="1">
        <f t="shared" ca="1" si="234"/>
        <v>1.4166749999999999</v>
      </c>
      <c r="AE795" s="1">
        <f t="shared" ca="1" si="234"/>
        <v>1.4166749999999999</v>
      </c>
      <c r="AF795" s="1">
        <f t="shared" ca="1" si="234"/>
        <v>1.4166749999999999</v>
      </c>
      <c r="AG795" s="1">
        <f t="shared" ca="1" si="234"/>
        <v>1.4166749999999999</v>
      </c>
      <c r="AH795" s="1">
        <f t="shared" ca="1" si="234"/>
        <v>2.1250125</v>
      </c>
      <c r="AI795" s="1">
        <f t="shared" ca="1" si="232"/>
        <v>1.4166749999999999</v>
      </c>
    </row>
    <row r="796" spans="2:35" x14ac:dyDescent="0.15">
      <c r="B796" s="1" t="str">
        <f t="shared" si="227"/>
        <v>暗系2</v>
      </c>
      <c r="C796" s="1">
        <f t="shared" si="217"/>
        <v>2</v>
      </c>
      <c r="D796" s="14" t="s">
        <v>98</v>
      </c>
      <c r="E796" s="14">
        <f t="shared" si="218"/>
        <v>9</v>
      </c>
      <c r="F796" s="1" t="str">
        <f t="shared" si="225"/>
        <v>黑暗</v>
      </c>
      <c r="H796" s="1">
        <f t="shared" ca="1" si="226"/>
        <v>25.660820909772099</v>
      </c>
      <c r="I796" s="1">
        <f t="shared" ca="1" si="233"/>
        <v>150</v>
      </c>
      <c r="J796" s="1">
        <f t="shared" ca="1" si="233"/>
        <v>16.721476510067099</v>
      </c>
      <c r="K796" s="1">
        <f t="shared" ca="1" si="233"/>
        <v>2.8333499999999998</v>
      </c>
      <c r="L796" s="1">
        <f t="shared" ca="1" si="233"/>
        <v>16.721476510067099</v>
      </c>
      <c r="M796" s="1">
        <f t="shared" ca="1" si="233"/>
        <v>2.8333499999999998</v>
      </c>
      <c r="N796" s="1">
        <f t="shared" ca="1" si="233"/>
        <v>0.2</v>
      </c>
      <c r="O796" s="1">
        <f t="shared" ca="1" si="233"/>
        <v>0.2</v>
      </c>
      <c r="P796" s="1">
        <f t="shared" ca="1" si="233"/>
        <v>0.36</v>
      </c>
      <c r="Q796" s="1">
        <f t="shared" ca="1" si="233"/>
        <v>0.1</v>
      </c>
      <c r="R796" s="1">
        <f t="shared" ca="1" si="233"/>
        <v>2</v>
      </c>
      <c r="S796" s="1">
        <f t="shared" ca="1" si="234"/>
        <v>0.1</v>
      </c>
      <c r="T796" s="1">
        <f t="shared" ca="1" si="234"/>
        <v>0.9</v>
      </c>
      <c r="U796" s="1">
        <f t="shared" ca="1" si="234"/>
        <v>3.8666666666666698</v>
      </c>
      <c r="V796" s="1">
        <f t="shared" ca="1" si="234"/>
        <v>0</v>
      </c>
      <c r="W796" s="1">
        <f t="shared" ca="1" si="234"/>
        <v>0</v>
      </c>
      <c r="X796" s="1">
        <f t="shared" ca="1" si="234"/>
        <v>0</v>
      </c>
      <c r="Y796" s="1">
        <f t="shared" ca="1" si="234"/>
        <v>0</v>
      </c>
      <c r="Z796" s="1">
        <f t="shared" ca="1" si="234"/>
        <v>0</v>
      </c>
      <c r="AA796" s="1">
        <f t="shared" ca="1" si="234"/>
        <v>0.25335570469798652</v>
      </c>
      <c r="AB796" s="1">
        <f t="shared" ca="1" si="231"/>
        <v>0</v>
      </c>
      <c r="AC796" s="1">
        <f t="shared" ca="1" si="234"/>
        <v>2.8333499999999998</v>
      </c>
      <c r="AD796" s="1">
        <f t="shared" ca="1" si="234"/>
        <v>2.8333499999999998</v>
      </c>
      <c r="AE796" s="1">
        <f t="shared" ca="1" si="234"/>
        <v>2.8333499999999998</v>
      </c>
      <c r="AF796" s="1">
        <f t="shared" ca="1" si="234"/>
        <v>2.8333499999999998</v>
      </c>
      <c r="AG796" s="1">
        <f t="shared" ca="1" si="234"/>
        <v>2.8333499999999998</v>
      </c>
      <c r="AH796" s="1">
        <f t="shared" ca="1" si="234"/>
        <v>4.2500249999999999</v>
      </c>
      <c r="AI796" s="1">
        <f t="shared" ca="1" si="232"/>
        <v>2.8333499999999998</v>
      </c>
    </row>
    <row r="797" spans="2:35" x14ac:dyDescent="0.15">
      <c r="B797" s="1" t="str">
        <f t="shared" si="227"/>
        <v>暗系3</v>
      </c>
      <c r="C797" s="1">
        <f t="shared" si="217"/>
        <v>3</v>
      </c>
      <c r="D797" s="14" t="s">
        <v>98</v>
      </c>
      <c r="E797" s="14">
        <f t="shared" si="218"/>
        <v>9</v>
      </c>
      <c r="F797" s="1" t="str">
        <f t="shared" si="225"/>
        <v>黑暗</v>
      </c>
      <c r="H797" s="1">
        <f t="shared" ca="1" si="226"/>
        <v>41.974985196779599</v>
      </c>
      <c r="I797" s="1">
        <f t="shared" ca="1" si="233"/>
        <v>150</v>
      </c>
      <c r="J797" s="1">
        <f t="shared" ca="1" si="233"/>
        <v>25.956081081081098</v>
      </c>
      <c r="K797" s="1">
        <f t="shared" ca="1" si="233"/>
        <v>4.2500249999999999</v>
      </c>
      <c r="L797" s="1">
        <f t="shared" ca="1" si="233"/>
        <v>25.956081081081098</v>
      </c>
      <c r="M797" s="1">
        <f t="shared" ca="1" si="233"/>
        <v>4.2500249999999999</v>
      </c>
      <c r="N797" s="1">
        <f t="shared" ca="1" si="233"/>
        <v>0.2</v>
      </c>
      <c r="O797" s="1">
        <f t="shared" ca="1" si="233"/>
        <v>0.2</v>
      </c>
      <c r="P797" s="1">
        <f t="shared" ca="1" si="233"/>
        <v>0.36</v>
      </c>
      <c r="Q797" s="1">
        <f t="shared" ca="1" si="233"/>
        <v>0.1</v>
      </c>
      <c r="R797" s="1">
        <f t="shared" ca="1" si="233"/>
        <v>2</v>
      </c>
      <c r="S797" s="1">
        <f t="shared" ca="1" si="234"/>
        <v>0.1</v>
      </c>
      <c r="T797" s="1">
        <f t="shared" ca="1" si="234"/>
        <v>0.9</v>
      </c>
      <c r="U797" s="1">
        <f t="shared" ca="1" si="234"/>
        <v>5.8</v>
      </c>
      <c r="V797" s="1">
        <f t="shared" ca="1" si="234"/>
        <v>0</v>
      </c>
      <c r="W797" s="1">
        <f t="shared" ca="1" si="234"/>
        <v>0</v>
      </c>
      <c r="X797" s="1">
        <f t="shared" ca="1" si="234"/>
        <v>0</v>
      </c>
      <c r="Y797" s="1">
        <f t="shared" ca="1" si="234"/>
        <v>0</v>
      </c>
      <c r="Z797" s="1">
        <f t="shared" ca="1" si="234"/>
        <v>0</v>
      </c>
      <c r="AA797" s="1">
        <f t="shared" ca="1" si="234"/>
        <v>0.59290540540540504</v>
      </c>
      <c r="AB797" s="1">
        <f t="shared" ca="1" si="231"/>
        <v>0</v>
      </c>
      <c r="AC797" s="1">
        <f t="shared" ca="1" si="234"/>
        <v>4.2500249999999999</v>
      </c>
      <c r="AD797" s="1">
        <f t="shared" ca="1" si="234"/>
        <v>4.2500249999999999</v>
      </c>
      <c r="AE797" s="1">
        <f t="shared" ca="1" si="234"/>
        <v>4.2500249999999999</v>
      </c>
      <c r="AF797" s="1">
        <f t="shared" ca="1" si="234"/>
        <v>4.2500249999999999</v>
      </c>
      <c r="AG797" s="1">
        <f t="shared" ca="1" si="234"/>
        <v>4.2500249999999999</v>
      </c>
      <c r="AH797" s="1">
        <f t="shared" ca="1" si="234"/>
        <v>6.3750374999999995</v>
      </c>
      <c r="AI797" s="1">
        <f t="shared" ca="1" si="232"/>
        <v>4.2500249999999999</v>
      </c>
    </row>
    <row r="798" spans="2:35" x14ac:dyDescent="0.15">
      <c r="B798" s="1" t="str">
        <f t="shared" si="227"/>
        <v>暗系4</v>
      </c>
      <c r="C798" s="1">
        <f t="shared" si="217"/>
        <v>4</v>
      </c>
      <c r="D798" s="14" t="s">
        <v>98</v>
      </c>
      <c r="E798" s="14">
        <f t="shared" si="218"/>
        <v>9</v>
      </c>
      <c r="F798" s="1" t="str">
        <f t="shared" si="225"/>
        <v>黑暗</v>
      </c>
      <c r="H798" s="1">
        <f t="shared" ca="1" si="226"/>
        <v>60.668298442308902</v>
      </c>
      <c r="I798" s="1">
        <f t="shared" ca="1" si="233"/>
        <v>150</v>
      </c>
      <c r="J798" s="1">
        <f t="shared" ca="1" si="233"/>
        <v>35.837837837837803</v>
      </c>
      <c r="K798" s="1">
        <f t="shared" ca="1" si="233"/>
        <v>5.6666999999999996</v>
      </c>
      <c r="L798" s="1">
        <f t="shared" ca="1" si="233"/>
        <v>35.837837837837803</v>
      </c>
      <c r="M798" s="1">
        <f t="shared" ca="1" si="233"/>
        <v>5.6666999999999996</v>
      </c>
      <c r="N798" s="1">
        <f t="shared" ca="1" si="233"/>
        <v>0.2</v>
      </c>
      <c r="O798" s="1">
        <f t="shared" ca="1" si="233"/>
        <v>0.2</v>
      </c>
      <c r="P798" s="1">
        <f t="shared" ca="1" si="233"/>
        <v>0.36</v>
      </c>
      <c r="Q798" s="1">
        <f t="shared" ca="1" si="233"/>
        <v>0.1</v>
      </c>
      <c r="R798" s="1">
        <f t="shared" ca="1" si="233"/>
        <v>2</v>
      </c>
      <c r="S798" s="1">
        <f t="shared" ca="1" si="234"/>
        <v>0.1</v>
      </c>
      <c r="T798" s="1">
        <f t="shared" ca="1" si="234"/>
        <v>0.9</v>
      </c>
      <c r="U798" s="1">
        <f t="shared" ca="1" si="234"/>
        <v>7.7333333333333298</v>
      </c>
      <c r="V798" s="1">
        <f t="shared" ca="1" si="234"/>
        <v>0</v>
      </c>
      <c r="W798" s="1">
        <f t="shared" ca="1" si="234"/>
        <v>0</v>
      </c>
      <c r="X798" s="1">
        <f t="shared" ca="1" si="234"/>
        <v>0</v>
      </c>
      <c r="Y798" s="1">
        <f t="shared" ca="1" si="234"/>
        <v>0</v>
      </c>
      <c r="Z798" s="1">
        <f t="shared" ca="1" si="234"/>
        <v>0</v>
      </c>
      <c r="AA798" s="1">
        <f t="shared" ca="1" si="234"/>
        <v>1.09707666850524</v>
      </c>
      <c r="AB798" s="1">
        <f t="shared" ca="1" si="231"/>
        <v>0</v>
      </c>
      <c r="AC798" s="1">
        <f t="shared" ca="1" si="234"/>
        <v>5.6666999999999996</v>
      </c>
      <c r="AD798" s="1">
        <f t="shared" ca="1" si="234"/>
        <v>5.6666999999999996</v>
      </c>
      <c r="AE798" s="1">
        <f t="shared" ca="1" si="234"/>
        <v>5.6666999999999996</v>
      </c>
      <c r="AF798" s="1">
        <f t="shared" ca="1" si="234"/>
        <v>5.6666999999999996</v>
      </c>
      <c r="AG798" s="1">
        <f t="shared" ca="1" si="234"/>
        <v>5.6666999999999996</v>
      </c>
      <c r="AH798" s="1">
        <f t="shared" ca="1" si="234"/>
        <v>8.5000499999999999</v>
      </c>
      <c r="AI798" s="1">
        <f t="shared" ca="1" si="232"/>
        <v>5.6666999999999996</v>
      </c>
    </row>
    <row r="799" spans="2:35" x14ac:dyDescent="0.15">
      <c r="B799" s="1" t="str">
        <f t="shared" si="227"/>
        <v>暗系5</v>
      </c>
      <c r="C799" s="1">
        <f t="shared" si="217"/>
        <v>5</v>
      </c>
      <c r="D799" s="14" t="s">
        <v>98</v>
      </c>
      <c r="E799" s="14">
        <f t="shared" si="218"/>
        <v>9</v>
      </c>
      <c r="F799" s="1" t="str">
        <f t="shared" si="225"/>
        <v>黑暗</v>
      </c>
      <c r="H799" s="1">
        <f t="shared" ca="1" si="226"/>
        <v>81.783245449191</v>
      </c>
      <c r="I799" s="1">
        <f t="shared" ca="1" si="233"/>
        <v>150</v>
      </c>
      <c r="J799" s="1">
        <f t="shared" ca="1" si="233"/>
        <v>46.421946347031998</v>
      </c>
      <c r="K799" s="1">
        <f t="shared" ca="1" si="233"/>
        <v>7.0833750000000002</v>
      </c>
      <c r="L799" s="1">
        <f t="shared" ca="1" si="233"/>
        <v>46.421946347031998</v>
      </c>
      <c r="M799" s="1">
        <f t="shared" ca="1" si="233"/>
        <v>7.0833750000000002</v>
      </c>
      <c r="N799" s="1">
        <f t="shared" ca="1" si="233"/>
        <v>0.2</v>
      </c>
      <c r="O799" s="1">
        <f t="shared" ca="1" si="233"/>
        <v>0.2</v>
      </c>
      <c r="P799" s="1">
        <f t="shared" ca="1" si="233"/>
        <v>0.36</v>
      </c>
      <c r="Q799" s="1">
        <f t="shared" ca="1" si="233"/>
        <v>0.1</v>
      </c>
      <c r="R799" s="1">
        <f t="shared" ca="1" si="233"/>
        <v>2</v>
      </c>
      <c r="S799" s="1">
        <f t="shared" ca="1" si="234"/>
        <v>0.1</v>
      </c>
      <c r="T799" s="1">
        <f t="shared" ca="1" si="234"/>
        <v>0.9</v>
      </c>
      <c r="U799" s="1">
        <f t="shared" ca="1" si="234"/>
        <v>9.6666666666666696</v>
      </c>
      <c r="V799" s="1">
        <f t="shared" ca="1" si="234"/>
        <v>0</v>
      </c>
      <c r="W799" s="1">
        <f t="shared" ca="1" si="234"/>
        <v>0</v>
      </c>
      <c r="X799" s="1">
        <f t="shared" ca="1" si="234"/>
        <v>0</v>
      </c>
      <c r="Y799" s="1">
        <f t="shared" ca="1" si="234"/>
        <v>0</v>
      </c>
      <c r="Z799" s="1">
        <f t="shared" ca="1" si="234"/>
        <v>0</v>
      </c>
      <c r="AA799" s="1">
        <f t="shared" ca="1" si="234"/>
        <v>1.7854594748858401</v>
      </c>
      <c r="AB799" s="1">
        <f t="shared" ca="1" si="234"/>
        <v>0</v>
      </c>
      <c r="AC799" s="1">
        <f t="shared" ca="1" si="234"/>
        <v>7.0833750000000002</v>
      </c>
      <c r="AD799" s="1">
        <f t="shared" ca="1" si="234"/>
        <v>7.0833750000000002</v>
      </c>
      <c r="AE799" s="1">
        <f t="shared" ca="1" si="234"/>
        <v>7.0833750000000002</v>
      </c>
      <c r="AF799" s="1">
        <f t="shared" ca="1" si="234"/>
        <v>7.0833750000000002</v>
      </c>
      <c r="AG799" s="1">
        <f t="shared" ca="1" si="234"/>
        <v>7.0833750000000002</v>
      </c>
      <c r="AH799" s="1">
        <f t="shared" ca="1" si="234"/>
        <v>10.6250625</v>
      </c>
      <c r="AI799" s="1">
        <f t="shared" ca="1" si="232"/>
        <v>7.0833750000000002</v>
      </c>
    </row>
    <row r="800" spans="2:35" x14ac:dyDescent="0.15">
      <c r="B800" s="1" t="str">
        <f t="shared" si="227"/>
        <v>暗系6</v>
      </c>
      <c r="C800" s="1">
        <f t="shared" si="217"/>
        <v>6</v>
      </c>
      <c r="D800" s="14" t="s">
        <v>98</v>
      </c>
      <c r="E800" s="14">
        <f t="shared" si="218"/>
        <v>9</v>
      </c>
      <c r="F800" s="1" t="str">
        <f t="shared" si="225"/>
        <v>黑暗</v>
      </c>
      <c r="H800" s="1">
        <f t="shared" ca="1" si="226"/>
        <v>105.362311020256</v>
      </c>
      <c r="I800" s="1">
        <f t="shared" ca="1" si="233"/>
        <v>150</v>
      </c>
      <c r="J800" s="1">
        <f t="shared" ca="1" si="233"/>
        <v>57.7699507389163</v>
      </c>
      <c r="K800" s="1">
        <f t="shared" ca="1" si="233"/>
        <v>8.5000499999999999</v>
      </c>
      <c r="L800" s="1">
        <f t="shared" ca="1" si="233"/>
        <v>57.7699507389163</v>
      </c>
      <c r="M800" s="1">
        <f t="shared" ca="1" si="233"/>
        <v>8.5000499999999999</v>
      </c>
      <c r="N800" s="1">
        <f t="shared" ca="1" si="233"/>
        <v>0.2</v>
      </c>
      <c r="O800" s="1">
        <f t="shared" ca="1" si="233"/>
        <v>0.2</v>
      </c>
      <c r="P800" s="1">
        <f t="shared" ca="1" si="233"/>
        <v>0.36</v>
      </c>
      <c r="Q800" s="1">
        <f t="shared" ca="1" si="233"/>
        <v>0.1</v>
      </c>
      <c r="R800" s="1">
        <f t="shared" ca="1" si="233"/>
        <v>2</v>
      </c>
      <c r="S800" s="1">
        <f t="shared" ca="1" si="234"/>
        <v>0.1</v>
      </c>
      <c r="T800" s="1">
        <f t="shared" ca="1" si="234"/>
        <v>0.9</v>
      </c>
      <c r="U800" s="1">
        <f t="shared" ca="1" si="234"/>
        <v>11.6</v>
      </c>
      <c r="V800" s="1">
        <f t="shared" ca="1" si="234"/>
        <v>0</v>
      </c>
      <c r="W800" s="1">
        <f t="shared" ca="1" si="234"/>
        <v>0</v>
      </c>
      <c r="X800" s="1">
        <f t="shared" ca="1" si="234"/>
        <v>0</v>
      </c>
      <c r="Y800" s="1">
        <f t="shared" ca="1" si="234"/>
        <v>0</v>
      </c>
      <c r="Z800" s="1">
        <f t="shared" ca="1" si="234"/>
        <v>0</v>
      </c>
      <c r="AA800" s="1">
        <f t="shared" ca="1" si="234"/>
        <v>2.6800492610837399</v>
      </c>
      <c r="AB800" s="1">
        <f t="shared" ca="1" si="234"/>
        <v>0</v>
      </c>
      <c r="AC800" s="1">
        <f t="shared" ca="1" si="234"/>
        <v>8.5000499999999999</v>
      </c>
      <c r="AD800" s="1">
        <f t="shared" ca="1" si="234"/>
        <v>8.5000499999999999</v>
      </c>
      <c r="AE800" s="1">
        <f t="shared" ca="1" si="234"/>
        <v>8.5000499999999999</v>
      </c>
      <c r="AF800" s="1">
        <f t="shared" ca="1" si="234"/>
        <v>8.5000499999999999</v>
      </c>
      <c r="AG800" s="1">
        <f t="shared" ca="1" si="234"/>
        <v>8.5000499999999999</v>
      </c>
      <c r="AH800" s="1">
        <f t="shared" ca="1" si="234"/>
        <v>12.750074999999999</v>
      </c>
      <c r="AI800" s="1">
        <f t="shared" ca="1" si="232"/>
        <v>8.5000499999999999</v>
      </c>
    </row>
    <row r="801" spans="2:35" x14ac:dyDescent="0.15">
      <c r="B801" s="1" t="str">
        <f t="shared" si="227"/>
        <v>暗系7</v>
      </c>
      <c r="C801" s="1">
        <f t="shared" si="217"/>
        <v>7</v>
      </c>
      <c r="D801" s="14" t="s">
        <v>98</v>
      </c>
      <c r="E801" s="14">
        <f t="shared" si="218"/>
        <v>9</v>
      </c>
      <c r="F801" s="1" t="str">
        <f t="shared" si="225"/>
        <v>黑暗</v>
      </c>
      <c r="H801" s="1">
        <f t="shared" ca="1" si="226"/>
        <v>131.44797995833599</v>
      </c>
      <c r="I801" s="1">
        <f t="shared" ca="1" si="233"/>
        <v>150</v>
      </c>
      <c r="J801" s="1">
        <f t="shared" ca="1" si="233"/>
        <v>67.952083333333306</v>
      </c>
      <c r="K801" s="1">
        <f t="shared" ca="1" si="233"/>
        <v>9.9167249999999996</v>
      </c>
      <c r="L801" s="1">
        <f t="shared" ca="1" si="233"/>
        <v>67.952083333333306</v>
      </c>
      <c r="M801" s="1">
        <f t="shared" ca="1" si="233"/>
        <v>9.9167249999999996</v>
      </c>
      <c r="N801" s="1">
        <f t="shared" ca="1" si="233"/>
        <v>0.2</v>
      </c>
      <c r="O801" s="1">
        <f t="shared" ca="1" si="233"/>
        <v>0.2</v>
      </c>
      <c r="P801" s="1">
        <f t="shared" ca="1" si="233"/>
        <v>0.36</v>
      </c>
      <c r="Q801" s="1">
        <f t="shared" ca="1" si="233"/>
        <v>0.1</v>
      </c>
      <c r="R801" s="1">
        <f t="shared" ca="1" si="233"/>
        <v>2</v>
      </c>
      <c r="S801" s="1">
        <f t="shared" ca="1" si="234"/>
        <v>0.1</v>
      </c>
      <c r="T801" s="1">
        <f t="shared" ca="1" si="234"/>
        <v>0.9</v>
      </c>
      <c r="U801" s="1">
        <f t="shared" ca="1" si="234"/>
        <v>13.533333333333299</v>
      </c>
      <c r="V801" s="1">
        <f t="shared" ca="1" si="234"/>
        <v>0</v>
      </c>
      <c r="W801" s="1">
        <f t="shared" ca="1" si="234"/>
        <v>0</v>
      </c>
      <c r="X801" s="1">
        <f t="shared" ca="1" si="234"/>
        <v>0</v>
      </c>
      <c r="Y801" s="1">
        <f t="shared" ca="1" si="234"/>
        <v>0</v>
      </c>
      <c r="Z801" s="1">
        <f t="shared" ca="1" si="234"/>
        <v>0</v>
      </c>
      <c r="AA801" s="1">
        <f t="shared" ca="1" si="234"/>
        <v>3.696874999999995</v>
      </c>
      <c r="AB801" s="1">
        <f t="shared" ca="1" si="234"/>
        <v>0</v>
      </c>
      <c r="AC801" s="1">
        <f t="shared" ca="1" si="234"/>
        <v>9.9167249999999996</v>
      </c>
      <c r="AD801" s="1">
        <f t="shared" ca="1" si="234"/>
        <v>9.9167249999999996</v>
      </c>
      <c r="AE801" s="1">
        <f t="shared" ca="1" si="234"/>
        <v>9.9167249999999996</v>
      </c>
      <c r="AF801" s="1">
        <f t="shared" ca="1" si="234"/>
        <v>9.9167249999999996</v>
      </c>
      <c r="AG801" s="1">
        <f t="shared" ca="1" si="234"/>
        <v>9.9167249999999996</v>
      </c>
      <c r="AH801" s="1">
        <f t="shared" ca="1" si="234"/>
        <v>14.875087499999999</v>
      </c>
      <c r="AI801" s="1">
        <f t="shared" ca="1" si="232"/>
        <v>9.9167249999999996</v>
      </c>
    </row>
    <row r="802" spans="2:35" x14ac:dyDescent="0.15">
      <c r="B802" s="1" t="str">
        <f t="shared" si="227"/>
        <v>暗系8</v>
      </c>
      <c r="C802" s="1">
        <f t="shared" si="217"/>
        <v>8</v>
      </c>
      <c r="D802" s="14" t="s">
        <v>98</v>
      </c>
      <c r="E802" s="14">
        <f t="shared" si="218"/>
        <v>9</v>
      </c>
      <c r="F802" s="1" t="str">
        <f t="shared" si="225"/>
        <v>黑暗</v>
      </c>
      <c r="H802" s="1">
        <f t="shared" ca="1" si="226"/>
        <v>160.08273706626099</v>
      </c>
      <c r="I802" s="1">
        <f t="shared" ca="1" si="233"/>
        <v>150</v>
      </c>
      <c r="J802" s="1">
        <f t="shared" ca="1" si="233"/>
        <v>78.296103896103901</v>
      </c>
      <c r="K802" s="1">
        <f t="shared" ca="1" si="233"/>
        <v>11.333399999999999</v>
      </c>
      <c r="L802" s="1">
        <f t="shared" ca="1" si="233"/>
        <v>78.296103896103901</v>
      </c>
      <c r="M802" s="1">
        <f t="shared" ca="1" si="233"/>
        <v>11.333399999999999</v>
      </c>
      <c r="N802" s="1">
        <f t="shared" ca="1" si="233"/>
        <v>0.2</v>
      </c>
      <c r="O802" s="1">
        <f t="shared" ca="1" si="233"/>
        <v>0.2</v>
      </c>
      <c r="P802" s="1">
        <f t="shared" ca="1" si="233"/>
        <v>0.36</v>
      </c>
      <c r="Q802" s="1">
        <f t="shared" ca="1" si="233"/>
        <v>0.1</v>
      </c>
      <c r="R802" s="1">
        <f t="shared" ca="1" si="233"/>
        <v>2</v>
      </c>
      <c r="S802" s="1">
        <f t="shared" ca="1" si="234"/>
        <v>0.1</v>
      </c>
      <c r="T802" s="1">
        <f t="shared" ca="1" si="234"/>
        <v>0.9</v>
      </c>
      <c r="U802" s="1">
        <f t="shared" ca="1" si="234"/>
        <v>15.466666666666701</v>
      </c>
      <c r="V802" s="1">
        <f t="shared" ca="1" si="234"/>
        <v>0</v>
      </c>
      <c r="W802" s="1">
        <f t="shared" ca="1" si="234"/>
        <v>0</v>
      </c>
      <c r="X802" s="1">
        <f t="shared" ca="1" si="234"/>
        <v>0</v>
      </c>
      <c r="Y802" s="1">
        <f t="shared" ca="1" si="234"/>
        <v>0</v>
      </c>
      <c r="Z802" s="1">
        <f t="shared" ca="1" si="234"/>
        <v>0</v>
      </c>
      <c r="AA802" s="1">
        <f t="shared" ca="1" si="234"/>
        <v>4.8935064935064894</v>
      </c>
      <c r="AB802" s="1">
        <f t="shared" ca="1" si="234"/>
        <v>0</v>
      </c>
      <c r="AC802" s="1">
        <f t="shared" ca="1" si="234"/>
        <v>11.333399999999999</v>
      </c>
      <c r="AD802" s="1">
        <f t="shared" ca="1" si="234"/>
        <v>11.333399999999999</v>
      </c>
      <c r="AE802" s="1">
        <f t="shared" ca="1" si="234"/>
        <v>11.333399999999999</v>
      </c>
      <c r="AF802" s="1">
        <f t="shared" ca="1" si="234"/>
        <v>11.333399999999999</v>
      </c>
      <c r="AG802" s="1">
        <f t="shared" ca="1" si="234"/>
        <v>11.333399999999999</v>
      </c>
      <c r="AH802" s="1">
        <f t="shared" ca="1" si="234"/>
        <v>17.0001</v>
      </c>
      <c r="AI802" s="1">
        <f t="shared" ca="1" si="232"/>
        <v>11.333399999999999</v>
      </c>
    </row>
    <row r="803" spans="2:35" x14ac:dyDescent="0.15">
      <c r="B803" s="1" t="str">
        <f t="shared" si="227"/>
        <v>暗系9</v>
      </c>
      <c r="C803" s="1">
        <f t="shared" si="217"/>
        <v>9</v>
      </c>
      <c r="D803" s="14" t="s">
        <v>98</v>
      </c>
      <c r="E803" s="14">
        <f t="shared" si="218"/>
        <v>9</v>
      </c>
      <c r="F803" s="1" t="str">
        <f t="shared" si="225"/>
        <v>黑暗</v>
      </c>
      <c r="H803" s="1">
        <f t="shared" ca="1" si="226"/>
        <v>191.309067146861</v>
      </c>
      <c r="I803" s="1">
        <f t="shared" ref="I803:R812" ca="1" si="235">mVlookup($C803,monsterBaseDate,I$2,FALSE)*(1+mVlookup($E803,monsterType,I$2,FALSE))</f>
        <v>150</v>
      </c>
      <c r="J803" s="1">
        <f t="shared" ca="1" si="235"/>
        <v>88.803470824949699</v>
      </c>
      <c r="K803" s="1">
        <f t="shared" ca="1" si="235"/>
        <v>12.750075000000001</v>
      </c>
      <c r="L803" s="1">
        <f t="shared" ca="1" si="235"/>
        <v>88.803470824949699</v>
      </c>
      <c r="M803" s="1">
        <f t="shared" ca="1" si="235"/>
        <v>12.750075000000001</v>
      </c>
      <c r="N803" s="1">
        <f t="shared" ca="1" si="235"/>
        <v>0.2</v>
      </c>
      <c r="O803" s="1">
        <f t="shared" ca="1" si="235"/>
        <v>0.2</v>
      </c>
      <c r="P803" s="1">
        <f t="shared" ca="1" si="235"/>
        <v>0.36</v>
      </c>
      <c r="Q803" s="1">
        <f t="shared" ca="1" si="235"/>
        <v>0.1</v>
      </c>
      <c r="R803" s="1">
        <f t="shared" ca="1" si="235"/>
        <v>2</v>
      </c>
      <c r="S803" s="1">
        <f t="shared" ref="S803:AH818" ca="1" si="236">mVlookup($C803,monsterBaseDate,S$2,FALSE)*(1+mVlookup($E803,monsterType,S$2,FALSE))</f>
        <v>0.1</v>
      </c>
      <c r="T803" s="1">
        <f t="shared" ca="1" si="236"/>
        <v>0.9</v>
      </c>
      <c r="U803" s="1">
        <f t="shared" ca="1" si="236"/>
        <v>17.399999999999999</v>
      </c>
      <c r="V803" s="1">
        <f t="shared" ca="1" si="236"/>
        <v>0</v>
      </c>
      <c r="W803" s="1">
        <f t="shared" ca="1" si="236"/>
        <v>0</v>
      </c>
      <c r="X803" s="1">
        <f t="shared" ca="1" si="236"/>
        <v>0</v>
      </c>
      <c r="Y803" s="1">
        <f t="shared" ca="1" si="236"/>
        <v>0</v>
      </c>
      <c r="Z803" s="1">
        <f t="shared" ca="1" si="236"/>
        <v>0</v>
      </c>
      <c r="AA803" s="1">
        <f t="shared" ca="1" si="236"/>
        <v>6.2766851106639905</v>
      </c>
      <c r="AB803" s="1">
        <f t="shared" ca="1" si="234"/>
        <v>0</v>
      </c>
      <c r="AC803" s="1">
        <f t="shared" ca="1" si="236"/>
        <v>12.750075000000001</v>
      </c>
      <c r="AD803" s="1">
        <f t="shared" ca="1" si="236"/>
        <v>12.750075000000001</v>
      </c>
      <c r="AE803" s="1">
        <f t="shared" ca="1" si="236"/>
        <v>12.750075000000001</v>
      </c>
      <c r="AF803" s="1">
        <f t="shared" ca="1" si="236"/>
        <v>12.750075000000001</v>
      </c>
      <c r="AG803" s="1">
        <f t="shared" ca="1" si="236"/>
        <v>12.750075000000001</v>
      </c>
      <c r="AH803" s="1">
        <f t="shared" ca="1" si="236"/>
        <v>19.1251125</v>
      </c>
      <c r="AI803" s="1">
        <f t="shared" ca="1" si="232"/>
        <v>12.750075000000001</v>
      </c>
    </row>
    <row r="804" spans="2:35" x14ac:dyDescent="0.15">
      <c r="B804" s="1" t="str">
        <f t="shared" si="227"/>
        <v>暗系10</v>
      </c>
      <c r="C804" s="1">
        <f t="shared" si="217"/>
        <v>10</v>
      </c>
      <c r="D804" s="14" t="s">
        <v>98</v>
      </c>
      <c r="E804" s="14">
        <f t="shared" si="218"/>
        <v>9</v>
      </c>
      <c r="F804" s="1" t="str">
        <f t="shared" si="225"/>
        <v>黑暗</v>
      </c>
      <c r="H804" s="1">
        <f t="shared" ca="1" si="226"/>
        <v>225.169455002967</v>
      </c>
      <c r="I804" s="1">
        <f t="shared" ca="1" si="235"/>
        <v>150</v>
      </c>
      <c r="J804" s="1">
        <f t="shared" ca="1" si="235"/>
        <v>99.4756838905775</v>
      </c>
      <c r="K804" s="1">
        <f t="shared" ca="1" si="235"/>
        <v>14.16675</v>
      </c>
      <c r="L804" s="1">
        <f t="shared" ca="1" si="235"/>
        <v>99.4756838905775</v>
      </c>
      <c r="M804" s="1">
        <f t="shared" ca="1" si="235"/>
        <v>14.16675</v>
      </c>
      <c r="N804" s="1">
        <f t="shared" ca="1" si="235"/>
        <v>0.2</v>
      </c>
      <c r="O804" s="1">
        <f t="shared" ca="1" si="235"/>
        <v>0.2</v>
      </c>
      <c r="P804" s="1">
        <f t="shared" ca="1" si="235"/>
        <v>0.36</v>
      </c>
      <c r="Q804" s="1">
        <f t="shared" ca="1" si="235"/>
        <v>0.1</v>
      </c>
      <c r="R804" s="1">
        <f t="shared" ca="1" si="235"/>
        <v>2</v>
      </c>
      <c r="S804" s="1">
        <f t="shared" ca="1" si="236"/>
        <v>0.1</v>
      </c>
      <c r="T804" s="1">
        <f t="shared" ca="1" si="236"/>
        <v>0.9</v>
      </c>
      <c r="U804" s="1">
        <f t="shared" ca="1" si="236"/>
        <v>19.3333333333333</v>
      </c>
      <c r="V804" s="1">
        <f t="shared" ca="1" si="236"/>
        <v>0</v>
      </c>
      <c r="W804" s="1">
        <f t="shared" ca="1" si="236"/>
        <v>0</v>
      </c>
      <c r="X804" s="1">
        <f t="shared" ca="1" si="236"/>
        <v>0</v>
      </c>
      <c r="Y804" s="1">
        <f t="shared" ca="1" si="236"/>
        <v>0</v>
      </c>
      <c r="Z804" s="1">
        <f t="shared" ca="1" si="236"/>
        <v>0</v>
      </c>
      <c r="AA804" s="1">
        <f t="shared" ca="1" si="236"/>
        <v>7.8533434650456009</v>
      </c>
      <c r="AB804" s="1">
        <f t="shared" ca="1" si="234"/>
        <v>0</v>
      </c>
      <c r="AC804" s="1">
        <f t="shared" ca="1" si="236"/>
        <v>14.16675</v>
      </c>
      <c r="AD804" s="1">
        <f t="shared" ca="1" si="236"/>
        <v>14.16675</v>
      </c>
      <c r="AE804" s="1">
        <f t="shared" ca="1" si="236"/>
        <v>14.16675</v>
      </c>
      <c r="AF804" s="1">
        <f t="shared" ca="1" si="236"/>
        <v>14.16675</v>
      </c>
      <c r="AG804" s="1">
        <f t="shared" ca="1" si="236"/>
        <v>14.16675</v>
      </c>
      <c r="AH804" s="1">
        <f t="shared" ca="1" si="236"/>
        <v>21.250125000000001</v>
      </c>
      <c r="AI804" s="1">
        <f t="shared" ca="1" si="232"/>
        <v>14.16675</v>
      </c>
    </row>
    <row r="805" spans="2:35" x14ac:dyDescent="0.15">
      <c r="B805" s="1" t="str">
        <f t="shared" si="227"/>
        <v>暗系11</v>
      </c>
      <c r="C805" s="1">
        <f t="shared" si="217"/>
        <v>11</v>
      </c>
      <c r="D805" s="14" t="s">
        <v>98</v>
      </c>
      <c r="E805" s="14">
        <f t="shared" si="218"/>
        <v>9</v>
      </c>
      <c r="F805" s="1" t="str">
        <f t="shared" si="225"/>
        <v>黑暗</v>
      </c>
      <c r="H805" s="1">
        <f t="shared" ca="1" si="226"/>
        <v>249.24417660705799</v>
      </c>
      <c r="I805" s="1">
        <f t="shared" ca="1" si="235"/>
        <v>150</v>
      </c>
      <c r="J805" s="1">
        <f t="shared" ca="1" si="235"/>
        <v>110.314285714286</v>
      </c>
      <c r="K805" s="1">
        <f t="shared" ca="1" si="235"/>
        <v>15.583425</v>
      </c>
      <c r="L805" s="1">
        <f t="shared" ca="1" si="235"/>
        <v>110.314285714286</v>
      </c>
      <c r="M805" s="1">
        <f t="shared" ca="1" si="235"/>
        <v>15.583425</v>
      </c>
      <c r="N805" s="1">
        <f t="shared" ca="1" si="235"/>
        <v>0.2</v>
      </c>
      <c r="O805" s="1">
        <f t="shared" ca="1" si="235"/>
        <v>0.2</v>
      </c>
      <c r="P805" s="1">
        <f t="shared" ca="1" si="235"/>
        <v>0.36</v>
      </c>
      <c r="Q805" s="1">
        <f t="shared" ca="1" si="235"/>
        <v>0.1</v>
      </c>
      <c r="R805" s="1">
        <f t="shared" ca="1" si="235"/>
        <v>2</v>
      </c>
      <c r="S805" s="1">
        <f t="shared" ca="1" si="236"/>
        <v>0.1</v>
      </c>
      <c r="T805" s="1">
        <f t="shared" ca="1" si="236"/>
        <v>0.9</v>
      </c>
      <c r="U805" s="1">
        <f t="shared" ca="1" si="236"/>
        <v>21.266666666666701</v>
      </c>
      <c r="V805" s="1">
        <f t="shared" ca="1" si="236"/>
        <v>0</v>
      </c>
      <c r="W805" s="1">
        <f t="shared" ca="1" si="236"/>
        <v>0</v>
      </c>
      <c r="X805" s="1">
        <f t="shared" ca="1" si="236"/>
        <v>0</v>
      </c>
      <c r="Y805" s="1">
        <f t="shared" ca="1" si="236"/>
        <v>0</v>
      </c>
      <c r="Z805" s="1">
        <f t="shared" ca="1" si="236"/>
        <v>0</v>
      </c>
      <c r="AA805" s="1">
        <f t="shared" ca="1" si="236"/>
        <v>9.6306122448979643</v>
      </c>
      <c r="AB805" s="1">
        <f t="shared" ca="1" si="234"/>
        <v>0</v>
      </c>
      <c r="AC805" s="1">
        <f t="shared" ca="1" si="236"/>
        <v>15.583425</v>
      </c>
      <c r="AD805" s="1">
        <f t="shared" ca="1" si="236"/>
        <v>15.583425</v>
      </c>
      <c r="AE805" s="1">
        <f t="shared" ca="1" si="236"/>
        <v>15.583425</v>
      </c>
      <c r="AF805" s="1">
        <f t="shared" ca="1" si="236"/>
        <v>15.583425</v>
      </c>
      <c r="AG805" s="1">
        <f t="shared" ca="1" si="236"/>
        <v>15.583425</v>
      </c>
      <c r="AH805" s="1">
        <f t="shared" ca="1" si="236"/>
        <v>23.375137500000001</v>
      </c>
      <c r="AI805" s="1">
        <f t="shared" ca="1" si="232"/>
        <v>15.583425</v>
      </c>
    </row>
    <row r="806" spans="2:35" x14ac:dyDescent="0.15">
      <c r="B806" s="1" t="str">
        <f t="shared" si="227"/>
        <v>暗系12</v>
      </c>
      <c r="C806" s="1">
        <f t="shared" si="217"/>
        <v>12</v>
      </c>
      <c r="D806" s="14" t="s">
        <v>98</v>
      </c>
      <c r="E806" s="14">
        <f t="shared" si="218"/>
        <v>9</v>
      </c>
      <c r="F806" s="1" t="str">
        <f t="shared" si="225"/>
        <v>黑暗</v>
      </c>
      <c r="H806" s="1">
        <f t="shared" ca="1" si="226"/>
        <v>283.638742464666</v>
      </c>
      <c r="I806" s="1">
        <f t="shared" ca="1" si="235"/>
        <v>150</v>
      </c>
      <c r="J806" s="1">
        <f t="shared" ca="1" si="235"/>
        <v>121.320863309353</v>
      </c>
      <c r="K806" s="1">
        <f t="shared" ca="1" si="235"/>
        <v>17.0001</v>
      </c>
      <c r="L806" s="1">
        <f t="shared" ca="1" si="235"/>
        <v>121.320863309353</v>
      </c>
      <c r="M806" s="1">
        <f t="shared" ca="1" si="235"/>
        <v>17.0001</v>
      </c>
      <c r="N806" s="1">
        <f t="shared" ca="1" si="235"/>
        <v>0.2</v>
      </c>
      <c r="O806" s="1">
        <f t="shared" ca="1" si="235"/>
        <v>0.2</v>
      </c>
      <c r="P806" s="1">
        <f t="shared" ca="1" si="235"/>
        <v>0.36</v>
      </c>
      <c r="Q806" s="1">
        <f t="shared" ca="1" si="235"/>
        <v>0.1</v>
      </c>
      <c r="R806" s="1">
        <f t="shared" ca="1" si="235"/>
        <v>2</v>
      </c>
      <c r="S806" s="1">
        <f t="shared" ca="1" si="236"/>
        <v>0.1</v>
      </c>
      <c r="T806" s="1">
        <f t="shared" ca="1" si="236"/>
        <v>0.9</v>
      </c>
      <c r="U806" s="1">
        <f t="shared" ca="1" si="236"/>
        <v>23.2</v>
      </c>
      <c r="V806" s="1">
        <f t="shared" ca="1" si="236"/>
        <v>0</v>
      </c>
      <c r="W806" s="1">
        <f t="shared" ca="1" si="236"/>
        <v>0</v>
      </c>
      <c r="X806" s="1">
        <f t="shared" ca="1" si="236"/>
        <v>0</v>
      </c>
      <c r="Y806" s="1">
        <f t="shared" ca="1" si="236"/>
        <v>0</v>
      </c>
      <c r="Z806" s="1">
        <f t="shared" ca="1" si="236"/>
        <v>0</v>
      </c>
      <c r="AA806" s="1">
        <f t="shared" ca="1" si="236"/>
        <v>11.615827338129495</v>
      </c>
      <c r="AB806" s="1">
        <f t="shared" ca="1" si="234"/>
        <v>0</v>
      </c>
      <c r="AC806" s="1">
        <f t="shared" ca="1" si="236"/>
        <v>17.0001</v>
      </c>
      <c r="AD806" s="1">
        <f t="shared" ca="1" si="236"/>
        <v>17.0001</v>
      </c>
      <c r="AE806" s="1">
        <f t="shared" ca="1" si="236"/>
        <v>17.0001</v>
      </c>
      <c r="AF806" s="1">
        <f t="shared" ca="1" si="236"/>
        <v>17.0001</v>
      </c>
      <c r="AG806" s="1">
        <f t="shared" ca="1" si="236"/>
        <v>17.0001</v>
      </c>
      <c r="AH806" s="1">
        <f t="shared" ca="1" si="236"/>
        <v>25.500149999999998</v>
      </c>
      <c r="AI806" s="1">
        <f t="shared" ca="1" si="232"/>
        <v>17.0001</v>
      </c>
    </row>
    <row r="807" spans="2:35" x14ac:dyDescent="0.15">
      <c r="B807" s="1" t="str">
        <f t="shared" si="227"/>
        <v>暗系13</v>
      </c>
      <c r="C807" s="1">
        <f t="shared" ref="C807:C870" si="237">C708</f>
        <v>13</v>
      </c>
      <c r="D807" s="14" t="s">
        <v>98</v>
      </c>
      <c r="E807" s="14">
        <f t="shared" ref="E807:E870" si="238">E708+1</f>
        <v>9</v>
      </c>
      <c r="F807" s="1" t="str">
        <f t="shared" si="225"/>
        <v>黑暗</v>
      </c>
      <c r="H807" s="1">
        <f t="shared" ca="1" si="226"/>
        <v>309.183846599682</v>
      </c>
      <c r="I807" s="1">
        <f t="shared" ca="1" si="235"/>
        <v>150</v>
      </c>
      <c r="J807" s="1">
        <f t="shared" ca="1" si="235"/>
        <v>132.49704968944101</v>
      </c>
      <c r="K807" s="1">
        <f t="shared" ca="1" si="235"/>
        <v>18.416775000000001</v>
      </c>
      <c r="L807" s="1">
        <f t="shared" ca="1" si="235"/>
        <v>132.49704968944101</v>
      </c>
      <c r="M807" s="1">
        <f t="shared" ca="1" si="235"/>
        <v>18.416775000000001</v>
      </c>
      <c r="N807" s="1">
        <f t="shared" ca="1" si="235"/>
        <v>0.2</v>
      </c>
      <c r="O807" s="1">
        <f t="shared" ca="1" si="235"/>
        <v>0.2</v>
      </c>
      <c r="P807" s="1">
        <f t="shared" ca="1" si="235"/>
        <v>0.36</v>
      </c>
      <c r="Q807" s="1">
        <f t="shared" ca="1" si="235"/>
        <v>0.1</v>
      </c>
      <c r="R807" s="1">
        <f t="shared" ca="1" si="235"/>
        <v>2</v>
      </c>
      <c r="S807" s="1">
        <f t="shared" ca="1" si="236"/>
        <v>0.1</v>
      </c>
      <c r="T807" s="1">
        <f t="shared" ca="1" si="236"/>
        <v>0.9</v>
      </c>
      <c r="U807" s="1">
        <f t="shared" ca="1" si="236"/>
        <v>25.133333333333301</v>
      </c>
      <c r="V807" s="1">
        <f t="shared" ca="1" si="236"/>
        <v>0</v>
      </c>
      <c r="W807" s="1">
        <f t="shared" ca="1" si="236"/>
        <v>0</v>
      </c>
      <c r="X807" s="1">
        <f t="shared" ca="1" si="236"/>
        <v>0</v>
      </c>
      <c r="Y807" s="1">
        <f t="shared" ca="1" si="236"/>
        <v>0</v>
      </c>
      <c r="Z807" s="1">
        <f t="shared" ca="1" si="236"/>
        <v>0</v>
      </c>
      <c r="AA807" s="1">
        <f t="shared" ca="1" si="236"/>
        <v>13.816537267080751</v>
      </c>
      <c r="AB807" s="1">
        <f t="shared" ca="1" si="234"/>
        <v>0</v>
      </c>
      <c r="AC807" s="1">
        <f t="shared" ca="1" si="236"/>
        <v>18.416775000000001</v>
      </c>
      <c r="AD807" s="1">
        <f t="shared" ca="1" si="236"/>
        <v>18.416775000000001</v>
      </c>
      <c r="AE807" s="1">
        <f t="shared" ca="1" si="236"/>
        <v>18.416775000000001</v>
      </c>
      <c r="AF807" s="1">
        <f t="shared" ca="1" si="236"/>
        <v>18.416775000000001</v>
      </c>
      <c r="AG807" s="1">
        <f t="shared" ca="1" si="236"/>
        <v>18.416775000000001</v>
      </c>
      <c r="AH807" s="1">
        <f t="shared" ca="1" si="236"/>
        <v>27.625162500000002</v>
      </c>
      <c r="AI807" s="1">
        <f t="shared" ca="1" si="232"/>
        <v>18.416775000000001</v>
      </c>
    </row>
    <row r="808" spans="2:35" x14ac:dyDescent="0.15">
      <c r="B808" s="1" t="str">
        <f t="shared" si="227"/>
        <v>暗系14</v>
      </c>
      <c r="C808" s="1">
        <f t="shared" si="237"/>
        <v>14</v>
      </c>
      <c r="D808" s="14" t="s">
        <v>98</v>
      </c>
      <c r="E808" s="14">
        <f t="shared" si="238"/>
        <v>9</v>
      </c>
      <c r="F808" s="1" t="str">
        <f t="shared" si="225"/>
        <v>黑暗</v>
      </c>
      <c r="H808" s="1">
        <f t="shared" ca="1" si="226"/>
        <v>335.02257262130797</v>
      </c>
      <c r="I808" s="1">
        <f t="shared" ca="1" si="235"/>
        <v>150</v>
      </c>
      <c r="J808" s="1">
        <f t="shared" ca="1" si="235"/>
        <v>143.84452554744499</v>
      </c>
      <c r="K808" s="1">
        <f t="shared" ca="1" si="235"/>
        <v>19.833449999999999</v>
      </c>
      <c r="L808" s="1">
        <f t="shared" ca="1" si="235"/>
        <v>143.84452554744499</v>
      </c>
      <c r="M808" s="1">
        <f t="shared" ca="1" si="235"/>
        <v>19.833449999999999</v>
      </c>
      <c r="N808" s="1">
        <f t="shared" ca="1" si="235"/>
        <v>0.2</v>
      </c>
      <c r="O808" s="1">
        <f t="shared" ca="1" si="235"/>
        <v>0.2</v>
      </c>
      <c r="P808" s="1">
        <f t="shared" ca="1" si="235"/>
        <v>0.36</v>
      </c>
      <c r="Q808" s="1">
        <f t="shared" ca="1" si="235"/>
        <v>0.1</v>
      </c>
      <c r="R808" s="1">
        <f t="shared" ca="1" si="235"/>
        <v>2</v>
      </c>
      <c r="S808" s="1">
        <f t="shared" ca="1" si="236"/>
        <v>0.1</v>
      </c>
      <c r="T808" s="1">
        <f t="shared" ca="1" si="236"/>
        <v>0.9</v>
      </c>
      <c r="U808" s="1">
        <f t="shared" ca="1" si="236"/>
        <v>27.066666666666698</v>
      </c>
      <c r="V808" s="1">
        <f t="shared" ca="1" si="236"/>
        <v>0</v>
      </c>
      <c r="W808" s="1">
        <f t="shared" ca="1" si="236"/>
        <v>0</v>
      </c>
      <c r="X808" s="1">
        <f t="shared" ca="1" si="236"/>
        <v>0</v>
      </c>
      <c r="Y808" s="1">
        <f t="shared" ca="1" si="236"/>
        <v>0</v>
      </c>
      <c r="Z808" s="1">
        <f t="shared" ca="1" si="236"/>
        <v>0</v>
      </c>
      <c r="AA808" s="1">
        <f t="shared" ca="1" si="236"/>
        <v>16.24051094890515</v>
      </c>
      <c r="AB808" s="1">
        <f t="shared" ca="1" si="234"/>
        <v>0</v>
      </c>
      <c r="AC808" s="1">
        <f t="shared" ca="1" si="236"/>
        <v>19.833449999999999</v>
      </c>
      <c r="AD808" s="1">
        <f t="shared" ca="1" si="236"/>
        <v>19.833449999999999</v>
      </c>
      <c r="AE808" s="1">
        <f t="shared" ca="1" si="236"/>
        <v>19.833449999999999</v>
      </c>
      <c r="AF808" s="1">
        <f t="shared" ca="1" si="236"/>
        <v>19.833449999999999</v>
      </c>
      <c r="AG808" s="1">
        <f t="shared" ca="1" si="236"/>
        <v>19.833449999999999</v>
      </c>
      <c r="AH808" s="1">
        <f t="shared" ca="1" si="236"/>
        <v>29.750174999999999</v>
      </c>
      <c r="AI808" s="1">
        <f t="shared" ca="1" si="232"/>
        <v>19.833449999999999</v>
      </c>
    </row>
    <row r="809" spans="2:35" x14ac:dyDescent="0.15">
      <c r="B809" s="1" t="str">
        <f t="shared" si="227"/>
        <v>暗系15</v>
      </c>
      <c r="C809" s="1">
        <f t="shared" si="237"/>
        <v>15</v>
      </c>
      <c r="D809" s="14" t="s">
        <v>98</v>
      </c>
      <c r="E809" s="14">
        <f t="shared" si="238"/>
        <v>9</v>
      </c>
      <c r="F809" s="1" t="str">
        <f t="shared" si="225"/>
        <v>黑暗</v>
      </c>
      <c r="H809" s="1">
        <f t="shared" ca="1" si="226"/>
        <v>361.15492052954301</v>
      </c>
      <c r="I809" s="1">
        <f t="shared" ca="1" si="235"/>
        <v>150</v>
      </c>
      <c r="J809" s="1">
        <f t="shared" ca="1" si="235"/>
        <v>155.365021008403</v>
      </c>
      <c r="K809" s="1">
        <f t="shared" ca="1" si="235"/>
        <v>21.250125000000001</v>
      </c>
      <c r="L809" s="1">
        <f t="shared" ca="1" si="235"/>
        <v>155.365021008403</v>
      </c>
      <c r="M809" s="1">
        <f t="shared" ca="1" si="235"/>
        <v>21.250125000000001</v>
      </c>
      <c r="N809" s="1">
        <f t="shared" ca="1" si="235"/>
        <v>0.2</v>
      </c>
      <c r="O809" s="1">
        <f t="shared" ca="1" si="235"/>
        <v>0.2</v>
      </c>
      <c r="P809" s="1">
        <f t="shared" ca="1" si="235"/>
        <v>0.36</v>
      </c>
      <c r="Q809" s="1">
        <f t="shared" ca="1" si="235"/>
        <v>0.1</v>
      </c>
      <c r="R809" s="1">
        <f t="shared" ca="1" si="235"/>
        <v>2</v>
      </c>
      <c r="S809" s="1">
        <f t="shared" ca="1" si="236"/>
        <v>0.1</v>
      </c>
      <c r="T809" s="1">
        <f t="shared" ca="1" si="236"/>
        <v>0.9</v>
      </c>
      <c r="U809" s="1">
        <f t="shared" ca="1" si="236"/>
        <v>29</v>
      </c>
      <c r="V809" s="1">
        <f t="shared" ca="1" si="236"/>
        <v>0</v>
      </c>
      <c r="W809" s="1">
        <f t="shared" ca="1" si="236"/>
        <v>0</v>
      </c>
      <c r="X809" s="1">
        <f t="shared" ca="1" si="236"/>
        <v>0</v>
      </c>
      <c r="Y809" s="1">
        <f t="shared" ca="1" si="236"/>
        <v>0</v>
      </c>
      <c r="Z809" s="1">
        <f t="shared" ca="1" si="236"/>
        <v>0</v>
      </c>
      <c r="AA809" s="1">
        <f t="shared" ca="1" si="236"/>
        <v>18.8957457983193</v>
      </c>
      <c r="AB809" s="1">
        <f t="shared" ca="1" si="236"/>
        <v>0</v>
      </c>
      <c r="AC809" s="1">
        <f t="shared" ca="1" si="236"/>
        <v>21.250125000000001</v>
      </c>
      <c r="AD809" s="1">
        <f t="shared" ca="1" si="236"/>
        <v>21.250125000000001</v>
      </c>
      <c r="AE809" s="1">
        <f t="shared" ca="1" si="236"/>
        <v>21.250125000000001</v>
      </c>
      <c r="AF809" s="1">
        <f t="shared" ca="1" si="236"/>
        <v>21.250125000000001</v>
      </c>
      <c r="AG809" s="1">
        <f t="shared" ca="1" si="236"/>
        <v>21.250125000000001</v>
      </c>
      <c r="AH809" s="1">
        <f t="shared" ca="1" si="236"/>
        <v>31.875187500000003</v>
      </c>
      <c r="AI809" s="1">
        <f t="shared" ca="1" si="232"/>
        <v>21.250125000000001</v>
      </c>
    </row>
    <row r="810" spans="2:35" x14ac:dyDescent="0.15">
      <c r="B810" s="1" t="str">
        <f t="shared" si="227"/>
        <v>暗系16</v>
      </c>
      <c r="C810" s="1">
        <f t="shared" si="237"/>
        <v>16</v>
      </c>
      <c r="D810" s="14" t="s">
        <v>98</v>
      </c>
      <c r="E810" s="14">
        <f t="shared" si="238"/>
        <v>9</v>
      </c>
      <c r="F810" s="1" t="str">
        <f t="shared" si="225"/>
        <v>黑暗</v>
      </c>
      <c r="H810" s="1">
        <f t="shared" ca="1" si="226"/>
        <v>387.58089032438801</v>
      </c>
      <c r="I810" s="1">
        <f t="shared" ca="1" si="235"/>
        <v>150</v>
      </c>
      <c r="J810" s="1">
        <f t="shared" ca="1" si="235"/>
        <v>167.06031746031701</v>
      </c>
      <c r="K810" s="1">
        <f t="shared" ca="1" si="235"/>
        <v>22.666799999999999</v>
      </c>
      <c r="L810" s="1">
        <f t="shared" ca="1" si="235"/>
        <v>167.06031746031701</v>
      </c>
      <c r="M810" s="1">
        <f t="shared" ca="1" si="235"/>
        <v>22.666799999999999</v>
      </c>
      <c r="N810" s="1">
        <f t="shared" ca="1" si="235"/>
        <v>0.2</v>
      </c>
      <c r="O810" s="1">
        <f t="shared" ca="1" si="235"/>
        <v>0.2</v>
      </c>
      <c r="P810" s="1">
        <f t="shared" ca="1" si="235"/>
        <v>0.36</v>
      </c>
      <c r="Q810" s="1">
        <f t="shared" ca="1" si="235"/>
        <v>0.1</v>
      </c>
      <c r="R810" s="1">
        <f t="shared" ca="1" si="235"/>
        <v>2</v>
      </c>
      <c r="S810" s="1">
        <f t="shared" ca="1" si="236"/>
        <v>0.1</v>
      </c>
      <c r="T810" s="1">
        <f t="shared" ca="1" si="236"/>
        <v>0.9</v>
      </c>
      <c r="U810" s="1">
        <f t="shared" ca="1" si="236"/>
        <v>30.933333333333302</v>
      </c>
      <c r="V810" s="1">
        <f t="shared" ca="1" si="236"/>
        <v>0</v>
      </c>
      <c r="W810" s="1">
        <f t="shared" ca="1" si="236"/>
        <v>0</v>
      </c>
      <c r="X810" s="1">
        <f t="shared" ca="1" si="236"/>
        <v>0</v>
      </c>
      <c r="Y810" s="1">
        <f t="shared" ca="1" si="236"/>
        <v>0</v>
      </c>
      <c r="Z810" s="1">
        <f t="shared" ca="1" si="236"/>
        <v>0</v>
      </c>
      <c r="AA810" s="1">
        <f t="shared" ca="1" si="236"/>
        <v>21.790476190476149</v>
      </c>
      <c r="AB810" s="1">
        <f t="shared" ca="1" si="236"/>
        <v>0</v>
      </c>
      <c r="AC810" s="1">
        <f t="shared" ca="1" si="236"/>
        <v>22.666799999999999</v>
      </c>
      <c r="AD810" s="1">
        <f t="shared" ca="1" si="236"/>
        <v>22.666799999999999</v>
      </c>
      <c r="AE810" s="1">
        <f t="shared" ca="1" si="236"/>
        <v>22.666799999999999</v>
      </c>
      <c r="AF810" s="1">
        <f t="shared" ca="1" si="236"/>
        <v>22.666799999999999</v>
      </c>
      <c r="AG810" s="1">
        <f t="shared" ca="1" si="236"/>
        <v>22.666799999999999</v>
      </c>
      <c r="AH810" s="1">
        <f t="shared" ca="1" si="236"/>
        <v>34.0002</v>
      </c>
      <c r="AI810" s="1">
        <f t="shared" ca="1" si="232"/>
        <v>22.666799999999999</v>
      </c>
    </row>
    <row r="811" spans="2:35" x14ac:dyDescent="0.15">
      <c r="B811" s="1" t="str">
        <f t="shared" si="227"/>
        <v>暗系17</v>
      </c>
      <c r="C811" s="1">
        <f t="shared" si="237"/>
        <v>17</v>
      </c>
      <c r="D811" s="14" t="s">
        <v>98</v>
      </c>
      <c r="E811" s="14">
        <f t="shared" si="238"/>
        <v>9</v>
      </c>
      <c r="F811" s="1" t="str">
        <f t="shared" si="225"/>
        <v>黑暗</v>
      </c>
      <c r="H811" s="1">
        <f t="shared" ca="1" si="226"/>
        <v>414.30048200584201</v>
      </c>
      <c r="I811" s="1">
        <f t="shared" ca="1" si="235"/>
        <v>150</v>
      </c>
      <c r="J811" s="1">
        <f t="shared" ca="1" si="235"/>
        <v>178.93224946695099</v>
      </c>
      <c r="K811" s="1">
        <f t="shared" ca="1" si="235"/>
        <v>24.083475</v>
      </c>
      <c r="L811" s="1">
        <f t="shared" ca="1" si="235"/>
        <v>178.93224946695099</v>
      </c>
      <c r="M811" s="1">
        <f t="shared" ca="1" si="235"/>
        <v>24.083475</v>
      </c>
      <c r="N811" s="1">
        <f t="shared" ca="1" si="235"/>
        <v>0.2</v>
      </c>
      <c r="O811" s="1">
        <f t="shared" ca="1" si="235"/>
        <v>0.2</v>
      </c>
      <c r="P811" s="1">
        <f t="shared" ca="1" si="235"/>
        <v>0.36</v>
      </c>
      <c r="Q811" s="1">
        <f t="shared" ca="1" si="235"/>
        <v>0.1</v>
      </c>
      <c r="R811" s="1">
        <f t="shared" ca="1" si="235"/>
        <v>2</v>
      </c>
      <c r="S811" s="1">
        <f t="shared" ca="1" si="236"/>
        <v>0.1</v>
      </c>
      <c r="T811" s="1">
        <f t="shared" ca="1" si="236"/>
        <v>0.9</v>
      </c>
      <c r="U811" s="1">
        <f t="shared" ca="1" si="236"/>
        <v>32.866666666666703</v>
      </c>
      <c r="V811" s="1">
        <f t="shared" ca="1" si="236"/>
        <v>0</v>
      </c>
      <c r="W811" s="1">
        <f t="shared" ca="1" si="236"/>
        <v>0</v>
      </c>
      <c r="X811" s="1">
        <f t="shared" ca="1" si="236"/>
        <v>0</v>
      </c>
      <c r="Y811" s="1">
        <f t="shared" ca="1" si="236"/>
        <v>0</v>
      </c>
      <c r="Z811" s="1">
        <f t="shared" ca="1" si="236"/>
        <v>0</v>
      </c>
      <c r="AA811" s="1">
        <f t="shared" ca="1" si="236"/>
        <v>24.933182302771801</v>
      </c>
      <c r="AB811" s="1">
        <f t="shared" ca="1" si="236"/>
        <v>0</v>
      </c>
      <c r="AC811" s="1">
        <f t="shared" ca="1" si="236"/>
        <v>24.083475</v>
      </c>
      <c r="AD811" s="1">
        <f t="shared" ca="1" si="236"/>
        <v>24.083475</v>
      </c>
      <c r="AE811" s="1">
        <f t="shared" ca="1" si="236"/>
        <v>24.083475</v>
      </c>
      <c r="AF811" s="1">
        <f t="shared" ca="1" si="236"/>
        <v>24.083475</v>
      </c>
      <c r="AG811" s="1">
        <f t="shared" ca="1" si="236"/>
        <v>24.083475</v>
      </c>
      <c r="AH811" s="1">
        <f t="shared" ca="1" si="236"/>
        <v>36.125212500000004</v>
      </c>
      <c r="AI811" s="1">
        <f t="shared" ca="1" si="232"/>
        <v>24.083475</v>
      </c>
    </row>
    <row r="812" spans="2:35" x14ac:dyDescent="0.15">
      <c r="B812" s="1" t="str">
        <f t="shared" si="227"/>
        <v>暗系18</v>
      </c>
      <c r="C812" s="1">
        <f t="shared" si="237"/>
        <v>18</v>
      </c>
      <c r="D812" s="14" t="s">
        <v>98</v>
      </c>
      <c r="E812" s="14">
        <f t="shared" si="238"/>
        <v>9</v>
      </c>
      <c r="F812" s="1" t="str">
        <f t="shared" si="225"/>
        <v>黑暗</v>
      </c>
      <c r="H812" s="1">
        <f t="shared" ca="1" si="226"/>
        <v>441.31369557390599</v>
      </c>
      <c r="I812" s="1">
        <f t="shared" ca="1" si="235"/>
        <v>150</v>
      </c>
      <c r="J812" s="1">
        <f t="shared" ca="1" si="235"/>
        <v>190.982706766917</v>
      </c>
      <c r="K812" s="1">
        <f t="shared" ca="1" si="235"/>
        <v>25.500150000000001</v>
      </c>
      <c r="L812" s="1">
        <f t="shared" ca="1" si="235"/>
        <v>190.982706766917</v>
      </c>
      <c r="M812" s="1">
        <f t="shared" ca="1" si="235"/>
        <v>25.500150000000001</v>
      </c>
      <c r="N812" s="1">
        <f t="shared" ca="1" si="235"/>
        <v>0.2</v>
      </c>
      <c r="O812" s="1">
        <f t="shared" ca="1" si="235"/>
        <v>0.2</v>
      </c>
      <c r="P812" s="1">
        <f t="shared" ca="1" si="235"/>
        <v>0.36</v>
      </c>
      <c r="Q812" s="1">
        <f t="shared" ca="1" si="235"/>
        <v>0.1</v>
      </c>
      <c r="R812" s="1">
        <f t="shared" ca="1" si="235"/>
        <v>2</v>
      </c>
      <c r="S812" s="1">
        <f t="shared" ca="1" si="236"/>
        <v>0.1</v>
      </c>
      <c r="T812" s="1">
        <f t="shared" ca="1" si="236"/>
        <v>0.9</v>
      </c>
      <c r="U812" s="1">
        <f t="shared" ca="1" si="236"/>
        <v>34.799999999999997</v>
      </c>
      <c r="V812" s="1">
        <f t="shared" ca="1" si="236"/>
        <v>0</v>
      </c>
      <c r="W812" s="1">
        <f t="shared" ca="1" si="236"/>
        <v>0</v>
      </c>
      <c r="X812" s="1">
        <f t="shared" ca="1" si="236"/>
        <v>0</v>
      </c>
      <c r="Y812" s="1">
        <f t="shared" ca="1" si="236"/>
        <v>0</v>
      </c>
      <c r="Z812" s="1">
        <f t="shared" ca="1" si="236"/>
        <v>0</v>
      </c>
      <c r="AA812" s="1">
        <f t="shared" ca="1" si="236"/>
        <v>28.332599355531752</v>
      </c>
      <c r="AB812" s="1">
        <f t="shared" ca="1" si="236"/>
        <v>0</v>
      </c>
      <c r="AC812" s="1">
        <f t="shared" ca="1" si="236"/>
        <v>25.500150000000001</v>
      </c>
      <c r="AD812" s="1">
        <f t="shared" ca="1" si="236"/>
        <v>25.500150000000001</v>
      </c>
      <c r="AE812" s="1">
        <f t="shared" ca="1" si="236"/>
        <v>25.500150000000001</v>
      </c>
      <c r="AF812" s="1">
        <f t="shared" ca="1" si="236"/>
        <v>25.500150000000001</v>
      </c>
      <c r="AG812" s="1">
        <f t="shared" ca="1" si="236"/>
        <v>25.500150000000001</v>
      </c>
      <c r="AH812" s="1">
        <f t="shared" ca="1" si="236"/>
        <v>38.250225</v>
      </c>
      <c r="AI812" s="1">
        <f t="shared" ca="1" si="232"/>
        <v>25.500150000000001</v>
      </c>
    </row>
    <row r="813" spans="2:35" x14ac:dyDescent="0.15">
      <c r="B813" s="1" t="str">
        <f t="shared" si="227"/>
        <v>暗系19</v>
      </c>
      <c r="C813" s="1">
        <f t="shared" si="237"/>
        <v>19</v>
      </c>
      <c r="D813" s="14" t="s">
        <v>98</v>
      </c>
      <c r="E813" s="14">
        <f t="shared" si="238"/>
        <v>9</v>
      </c>
      <c r="F813" s="1" t="str">
        <f t="shared" si="225"/>
        <v>黑暗</v>
      </c>
      <c r="H813" s="1">
        <f t="shared" ca="1" si="226"/>
        <v>468.620531028578</v>
      </c>
      <c r="I813" s="1">
        <f t="shared" ref="I813:R822" ca="1" si="239">mVlookup($C813,monsterBaseDate,I$2,FALSE)*(1+mVlookup($E813,monsterType,I$2,FALSE))</f>
        <v>150</v>
      </c>
      <c r="J813" s="1">
        <f t="shared" ca="1" si="239"/>
        <v>203.213636363636</v>
      </c>
      <c r="K813" s="1">
        <f t="shared" ca="1" si="239"/>
        <v>26.916824999999999</v>
      </c>
      <c r="L813" s="1">
        <f t="shared" ca="1" si="239"/>
        <v>203.213636363636</v>
      </c>
      <c r="M813" s="1">
        <f t="shared" ca="1" si="239"/>
        <v>26.916824999999999</v>
      </c>
      <c r="N813" s="1">
        <f t="shared" ca="1" si="239"/>
        <v>0.2</v>
      </c>
      <c r="O813" s="1">
        <f t="shared" ca="1" si="239"/>
        <v>0.2</v>
      </c>
      <c r="P813" s="1">
        <f t="shared" ca="1" si="239"/>
        <v>0.36</v>
      </c>
      <c r="Q813" s="1">
        <f t="shared" ca="1" si="239"/>
        <v>0.1</v>
      </c>
      <c r="R813" s="1">
        <f t="shared" ca="1" si="239"/>
        <v>2</v>
      </c>
      <c r="S813" s="1">
        <f t="shared" ref="S813:AH828" ca="1" si="240">mVlookup($C813,monsterBaseDate,S$2,FALSE)*(1+mVlookup($E813,monsterType,S$2,FALSE))</f>
        <v>0.1</v>
      </c>
      <c r="T813" s="1">
        <f t="shared" ca="1" si="240"/>
        <v>0.9</v>
      </c>
      <c r="U813" s="1">
        <f t="shared" ca="1" si="240"/>
        <v>36.733333333333299</v>
      </c>
      <c r="V813" s="1">
        <f t="shared" ca="1" si="240"/>
        <v>0</v>
      </c>
      <c r="W813" s="1">
        <f t="shared" ca="1" si="240"/>
        <v>0</v>
      </c>
      <c r="X813" s="1">
        <f t="shared" ca="1" si="240"/>
        <v>0</v>
      </c>
      <c r="Y813" s="1">
        <f t="shared" ca="1" si="240"/>
        <v>0</v>
      </c>
      <c r="Z813" s="1">
        <f t="shared" ca="1" si="240"/>
        <v>0</v>
      </c>
      <c r="AA813" s="1">
        <f t="shared" ca="1" si="240"/>
        <v>31.9977272727273</v>
      </c>
      <c r="AB813" s="1">
        <f t="shared" ca="1" si="236"/>
        <v>0</v>
      </c>
      <c r="AC813" s="1">
        <f t="shared" ca="1" si="240"/>
        <v>26.916824999999999</v>
      </c>
      <c r="AD813" s="1">
        <f t="shared" ca="1" si="240"/>
        <v>26.916824999999999</v>
      </c>
      <c r="AE813" s="1">
        <f t="shared" ca="1" si="240"/>
        <v>26.916824999999999</v>
      </c>
      <c r="AF813" s="1">
        <f t="shared" ca="1" si="240"/>
        <v>26.916824999999999</v>
      </c>
      <c r="AG813" s="1">
        <f t="shared" ca="1" si="240"/>
        <v>26.916824999999999</v>
      </c>
      <c r="AH813" s="1">
        <f t="shared" ca="1" si="240"/>
        <v>40.375237499999997</v>
      </c>
      <c r="AI813" s="1">
        <f t="shared" ca="1" si="232"/>
        <v>26.916824999999999</v>
      </c>
    </row>
    <row r="814" spans="2:35" x14ac:dyDescent="0.15">
      <c r="B814" s="1" t="str">
        <f t="shared" si="227"/>
        <v>暗系20</v>
      </c>
      <c r="C814" s="1">
        <f t="shared" si="237"/>
        <v>20</v>
      </c>
      <c r="D814" s="14" t="s">
        <v>98</v>
      </c>
      <c r="E814" s="14">
        <f t="shared" si="238"/>
        <v>9</v>
      </c>
      <c r="F814" s="1" t="str">
        <f t="shared" si="225"/>
        <v>黑暗</v>
      </c>
      <c r="H814" s="1">
        <f t="shared" ca="1" si="226"/>
        <v>496.22098836985998</v>
      </c>
      <c r="I814" s="1">
        <f t="shared" ca="1" si="239"/>
        <v>150</v>
      </c>
      <c r="J814" s="1">
        <f t="shared" ca="1" si="239"/>
        <v>215.62704471101401</v>
      </c>
      <c r="K814" s="1">
        <f t="shared" ca="1" si="239"/>
        <v>28.333500000000001</v>
      </c>
      <c r="L814" s="1">
        <f t="shared" ca="1" si="239"/>
        <v>215.62704471101401</v>
      </c>
      <c r="M814" s="1">
        <f t="shared" ca="1" si="239"/>
        <v>28.333500000000001</v>
      </c>
      <c r="N814" s="1">
        <f t="shared" ca="1" si="239"/>
        <v>0.2</v>
      </c>
      <c r="O814" s="1">
        <f t="shared" ca="1" si="239"/>
        <v>0.2</v>
      </c>
      <c r="P814" s="1">
        <f t="shared" ca="1" si="239"/>
        <v>0.36</v>
      </c>
      <c r="Q814" s="1">
        <f t="shared" ca="1" si="239"/>
        <v>0.1</v>
      </c>
      <c r="R814" s="1">
        <f t="shared" ca="1" si="239"/>
        <v>2</v>
      </c>
      <c r="S814" s="1">
        <f t="shared" ca="1" si="240"/>
        <v>0.1</v>
      </c>
      <c r="T814" s="1">
        <f t="shared" ca="1" si="240"/>
        <v>0.9</v>
      </c>
      <c r="U814" s="1">
        <f t="shared" ca="1" si="240"/>
        <v>38.6666666666667</v>
      </c>
      <c r="V814" s="1">
        <f t="shared" ca="1" si="240"/>
        <v>0</v>
      </c>
      <c r="W814" s="1">
        <f t="shared" ca="1" si="240"/>
        <v>0</v>
      </c>
      <c r="X814" s="1">
        <f t="shared" ca="1" si="240"/>
        <v>0</v>
      </c>
      <c r="Y814" s="1">
        <f t="shared" ca="1" si="240"/>
        <v>0</v>
      </c>
      <c r="Z814" s="1">
        <f t="shared" ca="1" si="240"/>
        <v>0</v>
      </c>
      <c r="AA814" s="1">
        <f t="shared" ca="1" si="240"/>
        <v>35.937840785169001</v>
      </c>
      <c r="AB814" s="1">
        <f t="shared" ca="1" si="236"/>
        <v>0</v>
      </c>
      <c r="AC814" s="1">
        <f t="shared" ca="1" si="240"/>
        <v>28.333500000000001</v>
      </c>
      <c r="AD814" s="1">
        <f t="shared" ca="1" si="240"/>
        <v>28.333500000000001</v>
      </c>
      <c r="AE814" s="1">
        <f t="shared" ca="1" si="240"/>
        <v>28.333500000000001</v>
      </c>
      <c r="AF814" s="1">
        <f t="shared" ca="1" si="240"/>
        <v>28.333500000000001</v>
      </c>
      <c r="AG814" s="1">
        <f t="shared" ca="1" si="240"/>
        <v>28.333500000000001</v>
      </c>
      <c r="AH814" s="1">
        <f t="shared" ca="1" si="240"/>
        <v>42.500250000000001</v>
      </c>
      <c r="AI814" s="1">
        <f t="shared" ca="1" si="232"/>
        <v>28.333500000000001</v>
      </c>
    </row>
    <row r="815" spans="2:35" x14ac:dyDescent="0.15">
      <c r="B815" s="1" t="str">
        <f t="shared" si="227"/>
        <v>暗系21</v>
      </c>
      <c r="C815" s="1">
        <f t="shared" si="237"/>
        <v>21</v>
      </c>
      <c r="D815" s="14" t="s">
        <v>98</v>
      </c>
      <c r="E815" s="14">
        <f t="shared" si="238"/>
        <v>9</v>
      </c>
      <c r="F815" s="1" t="str">
        <f t="shared" si="225"/>
        <v>黑暗</v>
      </c>
      <c r="H815" s="1">
        <f t="shared" ca="1" si="226"/>
        <v>524.11506759775205</v>
      </c>
      <c r="I815" s="1">
        <f t="shared" ca="1" si="239"/>
        <v>150</v>
      </c>
      <c r="J815" s="1">
        <f t="shared" ca="1" si="239"/>
        <v>228.22499999999999</v>
      </c>
      <c r="K815" s="1">
        <f t="shared" ca="1" si="239"/>
        <v>29.750174999999999</v>
      </c>
      <c r="L815" s="1">
        <f t="shared" ca="1" si="239"/>
        <v>228.22499999999999</v>
      </c>
      <c r="M815" s="1">
        <f t="shared" ca="1" si="239"/>
        <v>29.750174999999999</v>
      </c>
      <c r="N815" s="1">
        <f t="shared" ca="1" si="239"/>
        <v>0.2</v>
      </c>
      <c r="O815" s="1">
        <f t="shared" ca="1" si="239"/>
        <v>0.2</v>
      </c>
      <c r="P815" s="1">
        <f t="shared" ca="1" si="239"/>
        <v>0.36</v>
      </c>
      <c r="Q815" s="1">
        <f t="shared" ca="1" si="239"/>
        <v>0.1</v>
      </c>
      <c r="R815" s="1">
        <f t="shared" ca="1" si="239"/>
        <v>2</v>
      </c>
      <c r="S815" s="1">
        <f t="shared" ca="1" si="240"/>
        <v>0.1</v>
      </c>
      <c r="T815" s="1">
        <f t="shared" ca="1" si="240"/>
        <v>0.9</v>
      </c>
      <c r="U815" s="1">
        <f t="shared" ca="1" si="240"/>
        <v>40.6</v>
      </c>
      <c r="V815" s="1">
        <f t="shared" ca="1" si="240"/>
        <v>0</v>
      </c>
      <c r="W815" s="1">
        <f t="shared" ca="1" si="240"/>
        <v>0</v>
      </c>
      <c r="X815" s="1">
        <f t="shared" ca="1" si="240"/>
        <v>0</v>
      </c>
      <c r="Y815" s="1">
        <f t="shared" ca="1" si="240"/>
        <v>0</v>
      </c>
      <c r="Z815" s="1">
        <f t="shared" ca="1" si="240"/>
        <v>0</v>
      </c>
      <c r="AA815" s="1">
        <f t="shared" ca="1" si="240"/>
        <v>40.162499999999994</v>
      </c>
      <c r="AB815" s="1">
        <f t="shared" ca="1" si="236"/>
        <v>0</v>
      </c>
      <c r="AC815" s="1">
        <f t="shared" ca="1" si="240"/>
        <v>29.750174999999999</v>
      </c>
      <c r="AD815" s="1">
        <f t="shared" ca="1" si="240"/>
        <v>29.750174999999999</v>
      </c>
      <c r="AE815" s="1">
        <f t="shared" ca="1" si="240"/>
        <v>29.750174999999999</v>
      </c>
      <c r="AF815" s="1">
        <f t="shared" ca="1" si="240"/>
        <v>29.750174999999999</v>
      </c>
      <c r="AG815" s="1">
        <f t="shared" ca="1" si="240"/>
        <v>29.750174999999999</v>
      </c>
      <c r="AH815" s="1">
        <f t="shared" ca="1" si="240"/>
        <v>44.625262499999998</v>
      </c>
      <c r="AI815" s="1">
        <f t="shared" ca="1" si="232"/>
        <v>29.750174999999999</v>
      </c>
    </row>
    <row r="816" spans="2:35" x14ac:dyDescent="0.15">
      <c r="B816" s="1" t="str">
        <f t="shared" si="227"/>
        <v>暗系22</v>
      </c>
      <c r="C816" s="1">
        <f t="shared" si="237"/>
        <v>22</v>
      </c>
      <c r="D816" s="14" t="s">
        <v>98</v>
      </c>
      <c r="E816" s="14">
        <f t="shared" si="238"/>
        <v>9</v>
      </c>
      <c r="F816" s="1" t="str">
        <f t="shared" si="225"/>
        <v>黑暗</v>
      </c>
      <c r="H816" s="1">
        <f t="shared" ca="1" si="226"/>
        <v>552.30276871225306</v>
      </c>
      <c r="I816" s="1">
        <f t="shared" ca="1" si="239"/>
        <v>150</v>
      </c>
      <c r="J816" s="1">
        <f t="shared" ca="1" si="239"/>
        <v>241.009634551495</v>
      </c>
      <c r="K816" s="1">
        <f t="shared" ca="1" si="239"/>
        <v>31.16685</v>
      </c>
      <c r="L816" s="1">
        <f t="shared" ca="1" si="239"/>
        <v>241.009634551495</v>
      </c>
      <c r="M816" s="1">
        <f t="shared" ca="1" si="239"/>
        <v>31.16685</v>
      </c>
      <c r="N816" s="1">
        <f t="shared" ca="1" si="239"/>
        <v>0.2</v>
      </c>
      <c r="O816" s="1">
        <f t="shared" ca="1" si="239"/>
        <v>0.2</v>
      </c>
      <c r="P816" s="1">
        <f t="shared" ca="1" si="239"/>
        <v>0.36</v>
      </c>
      <c r="Q816" s="1">
        <f t="shared" ca="1" si="239"/>
        <v>0.1</v>
      </c>
      <c r="R816" s="1">
        <f t="shared" ca="1" si="239"/>
        <v>2</v>
      </c>
      <c r="S816" s="1">
        <f t="shared" ca="1" si="240"/>
        <v>0.1</v>
      </c>
      <c r="T816" s="1">
        <f t="shared" ca="1" si="240"/>
        <v>0.9</v>
      </c>
      <c r="U816" s="1">
        <f t="shared" ca="1" si="240"/>
        <v>42.533333333333303</v>
      </c>
      <c r="V816" s="1">
        <f t="shared" ca="1" si="240"/>
        <v>0</v>
      </c>
      <c r="W816" s="1">
        <f t="shared" ca="1" si="240"/>
        <v>0</v>
      </c>
      <c r="X816" s="1">
        <f t="shared" ca="1" si="240"/>
        <v>0</v>
      </c>
      <c r="Y816" s="1">
        <f t="shared" ca="1" si="240"/>
        <v>0</v>
      </c>
      <c r="Z816" s="1">
        <f t="shared" ca="1" si="240"/>
        <v>0</v>
      </c>
      <c r="AA816" s="1">
        <f t="shared" ca="1" si="240"/>
        <v>44.681561461794004</v>
      </c>
      <c r="AB816" s="1">
        <f t="shared" ca="1" si="236"/>
        <v>0</v>
      </c>
      <c r="AC816" s="1">
        <f t="shared" ca="1" si="240"/>
        <v>31.16685</v>
      </c>
      <c r="AD816" s="1">
        <f t="shared" ca="1" si="240"/>
        <v>31.16685</v>
      </c>
      <c r="AE816" s="1">
        <f t="shared" ca="1" si="240"/>
        <v>31.16685</v>
      </c>
      <c r="AF816" s="1">
        <f t="shared" ca="1" si="240"/>
        <v>31.16685</v>
      </c>
      <c r="AG816" s="1">
        <f t="shared" ca="1" si="240"/>
        <v>31.16685</v>
      </c>
      <c r="AH816" s="1">
        <f t="shared" ca="1" si="240"/>
        <v>46.750275000000002</v>
      </c>
      <c r="AI816" s="1">
        <f t="shared" ca="1" si="232"/>
        <v>31.16685</v>
      </c>
    </row>
    <row r="817" spans="2:35" x14ac:dyDescent="0.15">
      <c r="B817" s="1" t="str">
        <f t="shared" si="227"/>
        <v>暗系23</v>
      </c>
      <c r="C817" s="1">
        <f t="shared" si="237"/>
        <v>23</v>
      </c>
      <c r="D817" s="14" t="s">
        <v>98</v>
      </c>
      <c r="E817" s="14">
        <f t="shared" si="238"/>
        <v>9</v>
      </c>
      <c r="F817" s="1" t="str">
        <f t="shared" si="225"/>
        <v>黑暗</v>
      </c>
      <c r="H817" s="1">
        <f t="shared" ca="1" si="226"/>
        <v>602.50505466107904</v>
      </c>
      <c r="I817" s="1">
        <f t="shared" ca="1" si="239"/>
        <v>150</v>
      </c>
      <c r="J817" s="1">
        <f t="shared" ca="1" si="239"/>
        <v>253.98314732142899</v>
      </c>
      <c r="K817" s="1">
        <f t="shared" ca="1" si="239"/>
        <v>32.583525000000002</v>
      </c>
      <c r="L817" s="1">
        <f t="shared" ca="1" si="239"/>
        <v>253.98314732142899</v>
      </c>
      <c r="M817" s="1">
        <f t="shared" ca="1" si="239"/>
        <v>32.583525000000002</v>
      </c>
      <c r="N817" s="1">
        <f t="shared" ca="1" si="239"/>
        <v>0.2</v>
      </c>
      <c r="O817" s="1">
        <f t="shared" ca="1" si="239"/>
        <v>0.2</v>
      </c>
      <c r="P817" s="1">
        <f t="shared" ca="1" si="239"/>
        <v>0.36</v>
      </c>
      <c r="Q817" s="1">
        <f t="shared" ca="1" si="239"/>
        <v>0.1</v>
      </c>
      <c r="R817" s="1">
        <f t="shared" ca="1" si="239"/>
        <v>2</v>
      </c>
      <c r="S817" s="1">
        <f t="shared" ca="1" si="240"/>
        <v>0.1</v>
      </c>
      <c r="T817" s="1">
        <f t="shared" ca="1" si="240"/>
        <v>0.9</v>
      </c>
      <c r="U817" s="1">
        <f t="shared" ca="1" si="240"/>
        <v>44.466666666666697</v>
      </c>
      <c r="V817" s="1">
        <f t="shared" ca="1" si="240"/>
        <v>0</v>
      </c>
      <c r="W817" s="1">
        <f t="shared" ca="1" si="240"/>
        <v>0</v>
      </c>
      <c r="X817" s="1">
        <f t="shared" ca="1" si="240"/>
        <v>0</v>
      </c>
      <c r="Y817" s="1">
        <f t="shared" ca="1" si="240"/>
        <v>0</v>
      </c>
      <c r="Z817" s="1">
        <f t="shared" ca="1" si="240"/>
        <v>0</v>
      </c>
      <c r="AA817" s="1">
        <f t="shared" ca="1" si="240"/>
        <v>49.505189732142895</v>
      </c>
      <c r="AB817" s="1">
        <f t="shared" ca="1" si="236"/>
        <v>0</v>
      </c>
      <c r="AC817" s="1">
        <f t="shared" ca="1" si="240"/>
        <v>32.583525000000002</v>
      </c>
      <c r="AD817" s="1">
        <f t="shared" ca="1" si="240"/>
        <v>32.583525000000002</v>
      </c>
      <c r="AE817" s="1">
        <f t="shared" ca="1" si="240"/>
        <v>32.583525000000002</v>
      </c>
      <c r="AF817" s="1">
        <f t="shared" ca="1" si="240"/>
        <v>32.583525000000002</v>
      </c>
      <c r="AG817" s="1">
        <f t="shared" ca="1" si="240"/>
        <v>32.583525000000002</v>
      </c>
      <c r="AH817" s="1">
        <f t="shared" ca="1" si="240"/>
        <v>48.875287499999999</v>
      </c>
      <c r="AI817" s="1">
        <f t="shared" ca="1" si="232"/>
        <v>32.583525000000002</v>
      </c>
    </row>
    <row r="818" spans="2:35" x14ac:dyDescent="0.15">
      <c r="B818" s="1" t="str">
        <f t="shared" si="227"/>
        <v>暗系24</v>
      </c>
      <c r="C818" s="1">
        <f t="shared" si="237"/>
        <v>24</v>
      </c>
      <c r="D818" s="14" t="s">
        <v>98</v>
      </c>
      <c r="E818" s="14">
        <f t="shared" si="238"/>
        <v>9</v>
      </c>
      <c r="F818" s="1" t="str">
        <f t="shared" si="225"/>
        <v>黑暗</v>
      </c>
      <c r="H818" s="1">
        <f t="shared" ca="1" si="226"/>
        <v>632.35616454823003</v>
      </c>
      <c r="I818" s="1">
        <f t="shared" ca="1" si="239"/>
        <v>150</v>
      </c>
      <c r="J818" s="1">
        <f t="shared" ca="1" si="239"/>
        <v>267.14780652418398</v>
      </c>
      <c r="K818" s="1">
        <f t="shared" ca="1" si="239"/>
        <v>34.0002</v>
      </c>
      <c r="L818" s="1">
        <f t="shared" ca="1" si="239"/>
        <v>267.14780652418398</v>
      </c>
      <c r="M818" s="1">
        <f t="shared" ca="1" si="239"/>
        <v>34.0002</v>
      </c>
      <c r="N818" s="1">
        <f t="shared" ca="1" si="239"/>
        <v>0.2</v>
      </c>
      <c r="O818" s="1">
        <f t="shared" ca="1" si="239"/>
        <v>0.2</v>
      </c>
      <c r="P818" s="1">
        <f t="shared" ca="1" si="239"/>
        <v>0.36</v>
      </c>
      <c r="Q818" s="1">
        <f t="shared" ca="1" si="239"/>
        <v>0.1</v>
      </c>
      <c r="R818" s="1">
        <f t="shared" ca="1" si="239"/>
        <v>2</v>
      </c>
      <c r="S818" s="1">
        <f t="shared" ca="1" si="240"/>
        <v>0.1</v>
      </c>
      <c r="T818" s="1">
        <f t="shared" ca="1" si="240"/>
        <v>0.9</v>
      </c>
      <c r="U818" s="1">
        <f t="shared" ca="1" si="240"/>
        <v>46.4</v>
      </c>
      <c r="V818" s="1">
        <f t="shared" ca="1" si="240"/>
        <v>0</v>
      </c>
      <c r="W818" s="1">
        <f t="shared" ca="1" si="240"/>
        <v>0</v>
      </c>
      <c r="X818" s="1">
        <f t="shared" ca="1" si="240"/>
        <v>0</v>
      </c>
      <c r="Y818" s="1">
        <f t="shared" ca="1" si="240"/>
        <v>0</v>
      </c>
      <c r="Z818" s="1">
        <f t="shared" ca="1" si="240"/>
        <v>0</v>
      </c>
      <c r="AA818" s="1">
        <f t="shared" ca="1" si="240"/>
        <v>54.643869516310502</v>
      </c>
      <c r="AB818" s="1">
        <f t="shared" ca="1" si="236"/>
        <v>0</v>
      </c>
      <c r="AC818" s="1">
        <f t="shared" ca="1" si="240"/>
        <v>34.0002</v>
      </c>
      <c r="AD818" s="1">
        <f t="shared" ca="1" si="240"/>
        <v>34.0002</v>
      </c>
      <c r="AE818" s="1">
        <f t="shared" ca="1" si="240"/>
        <v>34.0002</v>
      </c>
      <c r="AF818" s="1">
        <f t="shared" ca="1" si="240"/>
        <v>34.0002</v>
      </c>
      <c r="AG818" s="1">
        <f t="shared" ca="1" si="240"/>
        <v>34.0002</v>
      </c>
      <c r="AH818" s="1">
        <f t="shared" ca="1" si="240"/>
        <v>51.000299999999996</v>
      </c>
      <c r="AI818" s="1">
        <f t="shared" ca="1" si="232"/>
        <v>34.0002</v>
      </c>
    </row>
    <row r="819" spans="2:35" x14ac:dyDescent="0.15">
      <c r="B819" s="1" t="str">
        <f t="shared" si="227"/>
        <v>暗系25</v>
      </c>
      <c r="C819" s="1">
        <f t="shared" si="237"/>
        <v>25</v>
      </c>
      <c r="D819" s="14" t="s">
        <v>98</v>
      </c>
      <c r="E819" s="14">
        <f t="shared" si="238"/>
        <v>9</v>
      </c>
      <c r="F819" s="1" t="str">
        <f t="shared" si="225"/>
        <v>黑暗</v>
      </c>
      <c r="H819" s="1">
        <f t="shared" ca="1" si="226"/>
        <v>662.51187759749598</v>
      </c>
      <c r="I819" s="1">
        <f t="shared" ca="1" si="239"/>
        <v>150</v>
      </c>
      <c r="J819" s="1">
        <f t="shared" ca="1" si="239"/>
        <v>280.50595238095201</v>
      </c>
      <c r="K819" s="1">
        <f t="shared" ca="1" si="239"/>
        <v>35.416874999999997</v>
      </c>
      <c r="L819" s="1">
        <f t="shared" ca="1" si="239"/>
        <v>280.50595238095201</v>
      </c>
      <c r="M819" s="1">
        <f t="shared" ca="1" si="239"/>
        <v>35.416874999999997</v>
      </c>
      <c r="N819" s="1">
        <f t="shared" ca="1" si="239"/>
        <v>0.2</v>
      </c>
      <c r="O819" s="1">
        <f t="shared" ca="1" si="239"/>
        <v>0.2</v>
      </c>
      <c r="P819" s="1">
        <f t="shared" ca="1" si="239"/>
        <v>0.36</v>
      </c>
      <c r="Q819" s="1">
        <f t="shared" ca="1" si="239"/>
        <v>0.1</v>
      </c>
      <c r="R819" s="1">
        <f t="shared" ca="1" si="239"/>
        <v>2</v>
      </c>
      <c r="S819" s="1">
        <f t="shared" ca="1" si="240"/>
        <v>0.1</v>
      </c>
      <c r="T819" s="1">
        <f t="shared" ca="1" si="240"/>
        <v>0.9</v>
      </c>
      <c r="U819" s="1">
        <f t="shared" ca="1" si="240"/>
        <v>48.3333333333333</v>
      </c>
      <c r="V819" s="1">
        <f t="shared" ca="1" si="240"/>
        <v>0</v>
      </c>
      <c r="W819" s="1">
        <f t="shared" ca="1" si="240"/>
        <v>0</v>
      </c>
      <c r="X819" s="1">
        <f t="shared" ca="1" si="240"/>
        <v>0</v>
      </c>
      <c r="Y819" s="1">
        <f t="shared" ca="1" si="240"/>
        <v>0</v>
      </c>
      <c r="Z819" s="1">
        <f t="shared" ca="1" si="240"/>
        <v>0</v>
      </c>
      <c r="AA819" s="1">
        <f t="shared" ca="1" si="240"/>
        <v>60.1084183673469</v>
      </c>
      <c r="AB819" s="1">
        <f t="shared" ca="1" si="240"/>
        <v>0</v>
      </c>
      <c r="AC819" s="1">
        <f t="shared" ca="1" si="240"/>
        <v>35.416874999999997</v>
      </c>
      <c r="AD819" s="1">
        <f t="shared" ca="1" si="240"/>
        <v>35.416874999999997</v>
      </c>
      <c r="AE819" s="1">
        <f t="shared" ca="1" si="240"/>
        <v>35.416874999999997</v>
      </c>
      <c r="AF819" s="1">
        <f t="shared" ca="1" si="240"/>
        <v>35.416874999999997</v>
      </c>
      <c r="AG819" s="1">
        <f t="shared" ca="1" si="240"/>
        <v>35.416874999999997</v>
      </c>
      <c r="AH819" s="1">
        <f t="shared" ca="1" si="240"/>
        <v>53.125312499999993</v>
      </c>
      <c r="AI819" s="1">
        <f t="shared" ca="1" si="232"/>
        <v>35.416874999999997</v>
      </c>
    </row>
    <row r="820" spans="2:35" x14ac:dyDescent="0.15">
      <c r="B820" s="1" t="str">
        <f t="shared" si="227"/>
        <v>暗系26</v>
      </c>
      <c r="C820" s="1">
        <f t="shared" si="237"/>
        <v>26</v>
      </c>
      <c r="D820" s="14" t="s">
        <v>98</v>
      </c>
      <c r="E820" s="14">
        <f t="shared" si="238"/>
        <v>9</v>
      </c>
      <c r="F820" s="1" t="str">
        <f t="shared" si="225"/>
        <v>黑暗</v>
      </c>
      <c r="H820" s="1">
        <f t="shared" ca="1" si="226"/>
        <v>692.97219380887498</v>
      </c>
      <c r="I820" s="1">
        <f t="shared" ca="1" si="239"/>
        <v>150</v>
      </c>
      <c r="J820" s="1">
        <f t="shared" ca="1" si="239"/>
        <v>294.06</v>
      </c>
      <c r="K820" s="1">
        <f t="shared" ca="1" si="239"/>
        <v>36.833550000000002</v>
      </c>
      <c r="L820" s="1">
        <f t="shared" ca="1" si="239"/>
        <v>294.06</v>
      </c>
      <c r="M820" s="1">
        <f t="shared" ca="1" si="239"/>
        <v>36.833550000000002</v>
      </c>
      <c r="N820" s="1">
        <f t="shared" ca="1" si="239"/>
        <v>0.2</v>
      </c>
      <c r="O820" s="1">
        <f t="shared" ca="1" si="239"/>
        <v>0.2</v>
      </c>
      <c r="P820" s="1">
        <f t="shared" ca="1" si="239"/>
        <v>0.36</v>
      </c>
      <c r="Q820" s="1">
        <f t="shared" ca="1" si="239"/>
        <v>0.1</v>
      </c>
      <c r="R820" s="1">
        <f t="shared" ca="1" si="239"/>
        <v>2</v>
      </c>
      <c r="S820" s="1">
        <f t="shared" ca="1" si="240"/>
        <v>0.1</v>
      </c>
      <c r="T820" s="1">
        <f t="shared" ca="1" si="240"/>
        <v>0.9</v>
      </c>
      <c r="U820" s="1">
        <f t="shared" ca="1" si="240"/>
        <v>50.266666666666701</v>
      </c>
      <c r="V820" s="1">
        <f t="shared" ca="1" si="240"/>
        <v>0</v>
      </c>
      <c r="W820" s="1">
        <f t="shared" ca="1" si="240"/>
        <v>0</v>
      </c>
      <c r="X820" s="1">
        <f t="shared" ca="1" si="240"/>
        <v>0</v>
      </c>
      <c r="Y820" s="1">
        <f t="shared" ca="1" si="240"/>
        <v>0</v>
      </c>
      <c r="Z820" s="1">
        <f t="shared" ca="1" si="240"/>
        <v>0</v>
      </c>
      <c r="AA820" s="1">
        <f t="shared" ca="1" si="240"/>
        <v>65.91</v>
      </c>
      <c r="AB820" s="1">
        <f t="shared" ca="1" si="240"/>
        <v>0</v>
      </c>
      <c r="AC820" s="1">
        <f t="shared" ca="1" si="240"/>
        <v>36.833550000000002</v>
      </c>
      <c r="AD820" s="1">
        <f t="shared" ca="1" si="240"/>
        <v>36.833550000000002</v>
      </c>
      <c r="AE820" s="1">
        <f t="shared" ca="1" si="240"/>
        <v>36.833550000000002</v>
      </c>
      <c r="AF820" s="1">
        <f t="shared" ca="1" si="240"/>
        <v>36.833550000000002</v>
      </c>
      <c r="AG820" s="1">
        <f t="shared" ca="1" si="240"/>
        <v>36.833550000000002</v>
      </c>
      <c r="AH820" s="1">
        <f t="shared" ca="1" si="240"/>
        <v>55.250325000000004</v>
      </c>
      <c r="AI820" s="1">
        <f t="shared" ca="1" si="232"/>
        <v>36.833550000000002</v>
      </c>
    </row>
    <row r="821" spans="2:35" x14ac:dyDescent="0.15">
      <c r="B821" s="1" t="str">
        <f t="shared" si="227"/>
        <v>暗系27</v>
      </c>
      <c r="C821" s="1">
        <f t="shared" si="237"/>
        <v>27</v>
      </c>
      <c r="D821" s="14" t="s">
        <v>98</v>
      </c>
      <c r="E821" s="14">
        <f t="shared" si="238"/>
        <v>9</v>
      </c>
      <c r="F821" s="1" t="str">
        <f t="shared" si="225"/>
        <v>黑暗</v>
      </c>
      <c r="H821" s="1">
        <f t="shared" ca="1" si="226"/>
        <v>723.73711318236803</v>
      </c>
      <c r="I821" s="1">
        <f t="shared" ca="1" si="239"/>
        <v>150</v>
      </c>
      <c r="J821" s="1">
        <f t="shared" ca="1" si="239"/>
        <v>307.81244239631297</v>
      </c>
      <c r="K821" s="1">
        <f t="shared" ca="1" si="239"/>
        <v>38.250225</v>
      </c>
      <c r="L821" s="1">
        <f t="shared" ca="1" si="239"/>
        <v>307.81244239631297</v>
      </c>
      <c r="M821" s="1">
        <f t="shared" ca="1" si="239"/>
        <v>38.250225</v>
      </c>
      <c r="N821" s="1">
        <f t="shared" ca="1" si="239"/>
        <v>0.2</v>
      </c>
      <c r="O821" s="1">
        <f t="shared" ca="1" si="239"/>
        <v>0.2</v>
      </c>
      <c r="P821" s="1">
        <f t="shared" ca="1" si="239"/>
        <v>0.36</v>
      </c>
      <c r="Q821" s="1">
        <f t="shared" ca="1" si="239"/>
        <v>0.1</v>
      </c>
      <c r="R821" s="1">
        <f t="shared" ca="1" si="239"/>
        <v>2</v>
      </c>
      <c r="S821" s="1">
        <f t="shared" ca="1" si="240"/>
        <v>0.1</v>
      </c>
      <c r="T821" s="1">
        <f t="shared" ca="1" si="240"/>
        <v>0.9</v>
      </c>
      <c r="U821" s="1">
        <f t="shared" ca="1" si="240"/>
        <v>52.2</v>
      </c>
      <c r="V821" s="1">
        <f t="shared" ca="1" si="240"/>
        <v>0</v>
      </c>
      <c r="W821" s="1">
        <f t="shared" ca="1" si="240"/>
        <v>0</v>
      </c>
      <c r="X821" s="1">
        <f t="shared" ca="1" si="240"/>
        <v>0</v>
      </c>
      <c r="Y821" s="1">
        <f t="shared" ca="1" si="240"/>
        <v>0</v>
      </c>
      <c r="Z821" s="1">
        <f t="shared" ca="1" si="240"/>
        <v>0</v>
      </c>
      <c r="AA821" s="1">
        <f t="shared" ca="1" si="240"/>
        <v>72.060138248847892</v>
      </c>
      <c r="AB821" s="1">
        <f t="shared" ca="1" si="240"/>
        <v>0</v>
      </c>
      <c r="AC821" s="1">
        <f t="shared" ca="1" si="240"/>
        <v>38.250225</v>
      </c>
      <c r="AD821" s="1">
        <f t="shared" ca="1" si="240"/>
        <v>38.250225</v>
      </c>
      <c r="AE821" s="1">
        <f t="shared" ca="1" si="240"/>
        <v>38.250225</v>
      </c>
      <c r="AF821" s="1">
        <f t="shared" ca="1" si="240"/>
        <v>38.250225</v>
      </c>
      <c r="AG821" s="1">
        <f t="shared" ca="1" si="240"/>
        <v>38.250225</v>
      </c>
      <c r="AH821" s="1">
        <f t="shared" ca="1" si="240"/>
        <v>57.375337500000001</v>
      </c>
      <c r="AI821" s="1">
        <f t="shared" ca="1" si="232"/>
        <v>38.250225</v>
      </c>
    </row>
    <row r="822" spans="2:35" x14ac:dyDescent="0.15">
      <c r="B822" s="1" t="str">
        <f t="shared" si="227"/>
        <v>暗系28</v>
      </c>
      <c r="C822" s="1">
        <f t="shared" si="237"/>
        <v>28</v>
      </c>
      <c r="D822" s="14" t="s">
        <v>98</v>
      </c>
      <c r="E822" s="14">
        <f t="shared" si="238"/>
        <v>9</v>
      </c>
      <c r="F822" s="1" t="str">
        <f t="shared" si="225"/>
        <v>黑暗</v>
      </c>
      <c r="H822" s="1">
        <f t="shared" ca="1" si="226"/>
        <v>754.80663571797402</v>
      </c>
      <c r="I822" s="1">
        <f t="shared" ca="1" si="239"/>
        <v>150</v>
      </c>
      <c r="J822" s="1">
        <f t="shared" ca="1" si="239"/>
        <v>321.76585365853703</v>
      </c>
      <c r="K822" s="1">
        <f t="shared" ca="1" si="239"/>
        <v>39.666899999999998</v>
      </c>
      <c r="L822" s="1">
        <f t="shared" ca="1" si="239"/>
        <v>321.76585365853703</v>
      </c>
      <c r="M822" s="1">
        <f t="shared" ca="1" si="239"/>
        <v>39.666899999999998</v>
      </c>
      <c r="N822" s="1">
        <f t="shared" ca="1" si="239"/>
        <v>0.2</v>
      </c>
      <c r="O822" s="1">
        <f t="shared" ca="1" si="239"/>
        <v>0.2</v>
      </c>
      <c r="P822" s="1">
        <f t="shared" ca="1" si="239"/>
        <v>0.36</v>
      </c>
      <c r="Q822" s="1">
        <f t="shared" ca="1" si="239"/>
        <v>0.1</v>
      </c>
      <c r="R822" s="1">
        <f t="shared" ca="1" si="239"/>
        <v>2</v>
      </c>
      <c r="S822" s="1">
        <f t="shared" ca="1" si="240"/>
        <v>0.1</v>
      </c>
      <c r="T822" s="1">
        <f t="shared" ca="1" si="240"/>
        <v>0.9</v>
      </c>
      <c r="U822" s="1">
        <f t="shared" ca="1" si="240"/>
        <v>54.133333333333297</v>
      </c>
      <c r="V822" s="1">
        <f t="shared" ca="1" si="240"/>
        <v>0</v>
      </c>
      <c r="W822" s="1">
        <f t="shared" ca="1" si="240"/>
        <v>0</v>
      </c>
      <c r="X822" s="1">
        <f t="shared" ca="1" si="240"/>
        <v>0</v>
      </c>
      <c r="Y822" s="1">
        <f t="shared" ca="1" si="240"/>
        <v>0</v>
      </c>
      <c r="Z822" s="1">
        <f t="shared" ca="1" si="240"/>
        <v>0</v>
      </c>
      <c r="AA822" s="1">
        <f t="shared" ca="1" si="240"/>
        <v>78.570731707317151</v>
      </c>
      <c r="AB822" s="1">
        <f t="shared" ca="1" si="240"/>
        <v>0</v>
      </c>
      <c r="AC822" s="1">
        <f t="shared" ca="1" si="240"/>
        <v>39.666899999999998</v>
      </c>
      <c r="AD822" s="1">
        <f t="shared" ca="1" si="240"/>
        <v>39.666899999999998</v>
      </c>
      <c r="AE822" s="1">
        <f t="shared" ca="1" si="240"/>
        <v>39.666899999999998</v>
      </c>
      <c r="AF822" s="1">
        <f t="shared" ca="1" si="240"/>
        <v>39.666899999999998</v>
      </c>
      <c r="AG822" s="1">
        <f t="shared" ca="1" si="240"/>
        <v>39.666899999999998</v>
      </c>
      <c r="AH822" s="1">
        <f t="shared" ca="1" si="240"/>
        <v>59.500349999999997</v>
      </c>
      <c r="AI822" s="1">
        <f t="shared" ca="1" si="232"/>
        <v>39.666899999999998</v>
      </c>
    </row>
    <row r="823" spans="2:35" x14ac:dyDescent="0.15">
      <c r="B823" s="1" t="str">
        <f t="shared" si="227"/>
        <v>暗系29</v>
      </c>
      <c r="C823" s="1">
        <f t="shared" si="237"/>
        <v>29</v>
      </c>
      <c r="D823" s="14" t="s">
        <v>98</v>
      </c>
      <c r="E823" s="14">
        <f t="shared" si="238"/>
        <v>9</v>
      </c>
      <c r="F823" s="1" t="str">
        <f t="shared" si="225"/>
        <v>黑暗</v>
      </c>
      <c r="H823" s="1">
        <f t="shared" ca="1" si="226"/>
        <v>786.18076141569497</v>
      </c>
      <c r="I823" s="1">
        <f t="shared" ref="I823:R832" ca="1" si="241">mVlookup($C823,monsterBaseDate,I$2,FALSE)*(1+mVlookup($E823,monsterType,I$2,FALSE))</f>
        <v>150</v>
      </c>
      <c r="J823" s="1">
        <f t="shared" ca="1" si="241"/>
        <v>335.92289227166299</v>
      </c>
      <c r="K823" s="1">
        <f t="shared" ca="1" si="241"/>
        <v>41.083575000000003</v>
      </c>
      <c r="L823" s="1">
        <f t="shared" ca="1" si="241"/>
        <v>335.92289227166299</v>
      </c>
      <c r="M823" s="1">
        <f t="shared" ca="1" si="241"/>
        <v>41.083575000000003</v>
      </c>
      <c r="N823" s="1">
        <f t="shared" ca="1" si="241"/>
        <v>0.2</v>
      </c>
      <c r="O823" s="1">
        <f t="shared" ca="1" si="241"/>
        <v>0.2</v>
      </c>
      <c r="P823" s="1">
        <f t="shared" ca="1" si="241"/>
        <v>0.36</v>
      </c>
      <c r="Q823" s="1">
        <f t="shared" ca="1" si="241"/>
        <v>0.1</v>
      </c>
      <c r="R823" s="1">
        <f t="shared" ca="1" si="241"/>
        <v>2</v>
      </c>
      <c r="S823" s="1">
        <f t="shared" ref="S823:AH838" ca="1" si="242">mVlookup($C823,monsterBaseDate,S$2,FALSE)*(1+mVlookup($E823,monsterType,S$2,FALSE))</f>
        <v>0.1</v>
      </c>
      <c r="T823" s="1">
        <f t="shared" ca="1" si="242"/>
        <v>0.9</v>
      </c>
      <c r="U823" s="1">
        <f t="shared" ca="1" si="242"/>
        <v>56.066666666666698</v>
      </c>
      <c r="V823" s="1">
        <f t="shared" ca="1" si="242"/>
        <v>0</v>
      </c>
      <c r="W823" s="1">
        <f t="shared" ca="1" si="242"/>
        <v>0</v>
      </c>
      <c r="X823" s="1">
        <f t="shared" ca="1" si="242"/>
        <v>0</v>
      </c>
      <c r="Y823" s="1">
        <f t="shared" ca="1" si="242"/>
        <v>0</v>
      </c>
      <c r="Z823" s="1">
        <f t="shared" ca="1" si="242"/>
        <v>0</v>
      </c>
      <c r="AA823" s="1">
        <f t="shared" ca="1" si="242"/>
        <v>85.45406908665106</v>
      </c>
      <c r="AB823" s="1">
        <f t="shared" ca="1" si="240"/>
        <v>0</v>
      </c>
      <c r="AC823" s="1">
        <f t="shared" ca="1" si="242"/>
        <v>41.083575000000003</v>
      </c>
      <c r="AD823" s="1">
        <f t="shared" ca="1" si="242"/>
        <v>41.083575000000003</v>
      </c>
      <c r="AE823" s="1">
        <f t="shared" ca="1" si="242"/>
        <v>41.083575000000003</v>
      </c>
      <c r="AF823" s="1">
        <f t="shared" ca="1" si="242"/>
        <v>41.083575000000003</v>
      </c>
      <c r="AG823" s="1">
        <f t="shared" ca="1" si="242"/>
        <v>41.083575000000003</v>
      </c>
      <c r="AH823" s="1">
        <f t="shared" ca="1" si="242"/>
        <v>61.625362500000008</v>
      </c>
      <c r="AI823" s="1">
        <f t="shared" ca="1" si="232"/>
        <v>41.083575000000003</v>
      </c>
    </row>
    <row r="824" spans="2:35" x14ac:dyDescent="0.15">
      <c r="B824" s="1" t="str">
        <f t="shared" si="227"/>
        <v>暗系30</v>
      </c>
      <c r="C824" s="1">
        <f t="shared" si="237"/>
        <v>30</v>
      </c>
      <c r="D824" s="14" t="s">
        <v>98</v>
      </c>
      <c r="E824" s="14">
        <f t="shared" si="238"/>
        <v>9</v>
      </c>
      <c r="F824" s="1" t="str">
        <f t="shared" si="225"/>
        <v>黑暗</v>
      </c>
      <c r="H824" s="1">
        <f t="shared" ca="1" si="226"/>
        <v>817.85949027552897</v>
      </c>
      <c r="I824" s="1">
        <f t="shared" ca="1" si="241"/>
        <v>150</v>
      </c>
      <c r="J824" s="1">
        <f t="shared" ca="1" si="241"/>
        <v>350.28630460448602</v>
      </c>
      <c r="K824" s="1">
        <f t="shared" ca="1" si="241"/>
        <v>42.500250000000001</v>
      </c>
      <c r="L824" s="1">
        <f t="shared" ca="1" si="241"/>
        <v>350.28630460448602</v>
      </c>
      <c r="M824" s="1">
        <f t="shared" ca="1" si="241"/>
        <v>42.500250000000001</v>
      </c>
      <c r="N824" s="1">
        <f t="shared" ca="1" si="241"/>
        <v>0.2</v>
      </c>
      <c r="O824" s="1">
        <f t="shared" ca="1" si="241"/>
        <v>0.2</v>
      </c>
      <c r="P824" s="1">
        <f t="shared" ca="1" si="241"/>
        <v>0.36</v>
      </c>
      <c r="Q824" s="1">
        <f t="shared" ca="1" si="241"/>
        <v>0.1</v>
      </c>
      <c r="R824" s="1">
        <f t="shared" ca="1" si="241"/>
        <v>2</v>
      </c>
      <c r="S824" s="1">
        <f t="shared" ca="1" si="242"/>
        <v>0.1</v>
      </c>
      <c r="T824" s="1">
        <f t="shared" ca="1" si="242"/>
        <v>0.9</v>
      </c>
      <c r="U824" s="1">
        <f t="shared" ca="1" si="242"/>
        <v>58</v>
      </c>
      <c r="V824" s="1">
        <f t="shared" ca="1" si="242"/>
        <v>0</v>
      </c>
      <c r="W824" s="1">
        <f t="shared" ca="1" si="242"/>
        <v>0</v>
      </c>
      <c r="X824" s="1">
        <f t="shared" ca="1" si="242"/>
        <v>0</v>
      </c>
      <c r="Y824" s="1">
        <f t="shared" ca="1" si="242"/>
        <v>0</v>
      </c>
      <c r="Z824" s="1">
        <f t="shared" ca="1" si="242"/>
        <v>0</v>
      </c>
      <c r="AA824" s="1">
        <f t="shared" ca="1" si="242"/>
        <v>92.72284533648164</v>
      </c>
      <c r="AB824" s="1">
        <f t="shared" ca="1" si="240"/>
        <v>0</v>
      </c>
      <c r="AC824" s="1">
        <f t="shared" ca="1" si="242"/>
        <v>42.500250000000001</v>
      </c>
      <c r="AD824" s="1">
        <f t="shared" ca="1" si="242"/>
        <v>42.500250000000001</v>
      </c>
      <c r="AE824" s="1">
        <f t="shared" ca="1" si="242"/>
        <v>42.500250000000001</v>
      </c>
      <c r="AF824" s="1">
        <f t="shared" ca="1" si="242"/>
        <v>42.500250000000001</v>
      </c>
      <c r="AG824" s="1">
        <f t="shared" ca="1" si="242"/>
        <v>42.500250000000001</v>
      </c>
      <c r="AH824" s="1">
        <f t="shared" ca="1" si="242"/>
        <v>63.750375000000005</v>
      </c>
      <c r="AI824" s="1">
        <f t="shared" ca="1" si="232"/>
        <v>42.500250000000001</v>
      </c>
    </row>
    <row r="825" spans="2:35" x14ac:dyDescent="0.15">
      <c r="B825" s="1" t="str">
        <f t="shared" si="227"/>
        <v>暗系31</v>
      </c>
      <c r="C825" s="1">
        <f t="shared" si="237"/>
        <v>31</v>
      </c>
      <c r="D825" s="14" t="s">
        <v>98</v>
      </c>
      <c r="E825" s="14">
        <f t="shared" si="238"/>
        <v>9</v>
      </c>
      <c r="F825" s="1" t="str">
        <f t="shared" si="225"/>
        <v>黑暗</v>
      </c>
      <c r="H825" s="1">
        <f t="shared" ca="1" si="226"/>
        <v>849.84282229747703</v>
      </c>
      <c r="I825" s="1">
        <f t="shared" ca="1" si="241"/>
        <v>150</v>
      </c>
      <c r="J825" s="1">
        <f t="shared" ca="1" si="241"/>
        <v>364.85892857142898</v>
      </c>
      <c r="K825" s="1">
        <f t="shared" ca="1" si="241"/>
        <v>43.916924999999999</v>
      </c>
      <c r="L825" s="1">
        <f t="shared" ca="1" si="241"/>
        <v>364.85892857142898</v>
      </c>
      <c r="M825" s="1">
        <f t="shared" ca="1" si="241"/>
        <v>43.916924999999999</v>
      </c>
      <c r="N825" s="1">
        <f t="shared" ca="1" si="241"/>
        <v>0.2</v>
      </c>
      <c r="O825" s="1">
        <f t="shared" ca="1" si="241"/>
        <v>0.2</v>
      </c>
      <c r="P825" s="1">
        <f t="shared" ca="1" si="241"/>
        <v>0.36</v>
      </c>
      <c r="Q825" s="1">
        <f t="shared" ca="1" si="241"/>
        <v>0.1</v>
      </c>
      <c r="R825" s="1">
        <f t="shared" ca="1" si="241"/>
        <v>2</v>
      </c>
      <c r="S825" s="1">
        <f t="shared" ca="1" si="242"/>
        <v>0.1</v>
      </c>
      <c r="T825" s="1">
        <f t="shared" ca="1" si="242"/>
        <v>0.9</v>
      </c>
      <c r="U825" s="1">
        <f t="shared" ca="1" si="242"/>
        <v>59.933333333333302</v>
      </c>
      <c r="V825" s="1">
        <f t="shared" ca="1" si="242"/>
        <v>0</v>
      </c>
      <c r="W825" s="1">
        <f t="shared" ca="1" si="242"/>
        <v>0</v>
      </c>
      <c r="X825" s="1">
        <f t="shared" ca="1" si="242"/>
        <v>0</v>
      </c>
      <c r="Y825" s="1">
        <f t="shared" ca="1" si="242"/>
        <v>0</v>
      </c>
      <c r="Z825" s="1">
        <f t="shared" ca="1" si="242"/>
        <v>0</v>
      </c>
      <c r="AA825" s="1">
        <f t="shared" ca="1" si="242"/>
        <v>100.39017857142855</v>
      </c>
      <c r="AB825" s="1">
        <f t="shared" ca="1" si="240"/>
        <v>0</v>
      </c>
      <c r="AC825" s="1">
        <f t="shared" ca="1" si="242"/>
        <v>43.916924999999999</v>
      </c>
      <c r="AD825" s="1">
        <f t="shared" ca="1" si="242"/>
        <v>43.916924999999999</v>
      </c>
      <c r="AE825" s="1">
        <f t="shared" ca="1" si="242"/>
        <v>43.916924999999999</v>
      </c>
      <c r="AF825" s="1">
        <f t="shared" ca="1" si="242"/>
        <v>43.916924999999999</v>
      </c>
      <c r="AG825" s="1">
        <f t="shared" ca="1" si="242"/>
        <v>43.916924999999999</v>
      </c>
      <c r="AH825" s="1">
        <f t="shared" ca="1" si="242"/>
        <v>65.875387500000002</v>
      </c>
      <c r="AI825" s="1">
        <f t="shared" ca="1" si="232"/>
        <v>43.916924999999999</v>
      </c>
    </row>
    <row r="826" spans="2:35" x14ac:dyDescent="0.15">
      <c r="B826" s="1" t="str">
        <f t="shared" si="227"/>
        <v>暗系32</v>
      </c>
      <c r="C826" s="1">
        <f t="shared" si="237"/>
        <v>32</v>
      </c>
      <c r="D826" s="14" t="s">
        <v>98</v>
      </c>
      <c r="E826" s="14">
        <f t="shared" si="238"/>
        <v>9</v>
      </c>
      <c r="F826" s="1" t="str">
        <f t="shared" si="225"/>
        <v>黑暗</v>
      </c>
      <c r="H826" s="1">
        <f t="shared" ca="1" si="226"/>
        <v>882.13075748153904</v>
      </c>
      <c r="I826" s="1">
        <f t="shared" ca="1" si="241"/>
        <v>150</v>
      </c>
      <c r="J826" s="1">
        <f t="shared" ca="1" si="241"/>
        <v>379.64369747899201</v>
      </c>
      <c r="K826" s="1">
        <f t="shared" ca="1" si="241"/>
        <v>45.333599999999997</v>
      </c>
      <c r="L826" s="1">
        <f t="shared" ca="1" si="241"/>
        <v>379.64369747899201</v>
      </c>
      <c r="M826" s="1">
        <f t="shared" ca="1" si="241"/>
        <v>45.333599999999997</v>
      </c>
      <c r="N826" s="1">
        <f t="shared" ca="1" si="241"/>
        <v>0.2</v>
      </c>
      <c r="O826" s="1">
        <f t="shared" ca="1" si="241"/>
        <v>0.2</v>
      </c>
      <c r="P826" s="1">
        <f t="shared" ca="1" si="241"/>
        <v>0.36</v>
      </c>
      <c r="Q826" s="1">
        <f t="shared" ca="1" si="241"/>
        <v>0.1</v>
      </c>
      <c r="R826" s="1">
        <f t="shared" ca="1" si="241"/>
        <v>2</v>
      </c>
      <c r="S826" s="1">
        <f t="shared" ca="1" si="242"/>
        <v>0.1</v>
      </c>
      <c r="T826" s="1">
        <f t="shared" ca="1" si="242"/>
        <v>0.9</v>
      </c>
      <c r="U826" s="1">
        <f t="shared" ca="1" si="242"/>
        <v>61.866666666666703</v>
      </c>
      <c r="V826" s="1">
        <f t="shared" ca="1" si="242"/>
        <v>0</v>
      </c>
      <c r="W826" s="1">
        <f t="shared" ca="1" si="242"/>
        <v>0</v>
      </c>
      <c r="X826" s="1">
        <f t="shared" ca="1" si="242"/>
        <v>0</v>
      </c>
      <c r="Y826" s="1">
        <f t="shared" ca="1" si="242"/>
        <v>0</v>
      </c>
      <c r="Z826" s="1">
        <f t="shared" ca="1" si="242"/>
        <v>0</v>
      </c>
      <c r="AA826" s="1">
        <f t="shared" ca="1" si="242"/>
        <v>108.46962785114042</v>
      </c>
      <c r="AB826" s="1">
        <f t="shared" ca="1" si="240"/>
        <v>0</v>
      </c>
      <c r="AC826" s="1">
        <f t="shared" ca="1" si="242"/>
        <v>45.333599999999997</v>
      </c>
      <c r="AD826" s="1">
        <f t="shared" ca="1" si="242"/>
        <v>45.333599999999997</v>
      </c>
      <c r="AE826" s="1">
        <f t="shared" ca="1" si="242"/>
        <v>45.333599999999997</v>
      </c>
      <c r="AF826" s="1">
        <f t="shared" ca="1" si="242"/>
        <v>45.333599999999997</v>
      </c>
      <c r="AG826" s="1">
        <f t="shared" ca="1" si="242"/>
        <v>45.333599999999997</v>
      </c>
      <c r="AH826" s="1">
        <f t="shared" ca="1" si="242"/>
        <v>68.000399999999999</v>
      </c>
      <c r="AI826" s="1">
        <f t="shared" ca="1" si="232"/>
        <v>45.333599999999997</v>
      </c>
    </row>
    <row r="827" spans="2:35" x14ac:dyDescent="0.15">
      <c r="B827" s="1" t="str">
        <f t="shared" si="227"/>
        <v>暗系33</v>
      </c>
      <c r="C827" s="1">
        <f t="shared" si="237"/>
        <v>33</v>
      </c>
      <c r="D827" s="14" t="s">
        <v>98</v>
      </c>
      <c r="E827" s="14">
        <f t="shared" si="238"/>
        <v>9</v>
      </c>
      <c r="F827" s="1" t="str">
        <f t="shared" si="225"/>
        <v>黑暗</v>
      </c>
      <c r="H827" s="1">
        <f t="shared" ca="1" si="226"/>
        <v>914.72329582771499</v>
      </c>
      <c r="I827" s="1">
        <f t="shared" ca="1" si="241"/>
        <v>150</v>
      </c>
      <c r="J827" s="1">
        <f t="shared" ca="1" si="241"/>
        <v>394.64364406779703</v>
      </c>
      <c r="K827" s="1">
        <f t="shared" ca="1" si="241"/>
        <v>46.750275000000002</v>
      </c>
      <c r="L827" s="1">
        <f t="shared" ca="1" si="241"/>
        <v>394.64364406779703</v>
      </c>
      <c r="M827" s="1">
        <f t="shared" ca="1" si="241"/>
        <v>46.750275000000002</v>
      </c>
      <c r="N827" s="1">
        <f t="shared" ca="1" si="241"/>
        <v>0.2</v>
      </c>
      <c r="O827" s="1">
        <f t="shared" ca="1" si="241"/>
        <v>0.2</v>
      </c>
      <c r="P827" s="1">
        <f t="shared" ca="1" si="241"/>
        <v>0.36</v>
      </c>
      <c r="Q827" s="1">
        <f t="shared" ca="1" si="241"/>
        <v>0.1</v>
      </c>
      <c r="R827" s="1">
        <f t="shared" ca="1" si="241"/>
        <v>2</v>
      </c>
      <c r="S827" s="1">
        <f t="shared" ca="1" si="242"/>
        <v>0.1</v>
      </c>
      <c r="T827" s="1">
        <f t="shared" ca="1" si="242"/>
        <v>0.9</v>
      </c>
      <c r="U827" s="1">
        <f t="shared" ca="1" si="242"/>
        <v>63.8</v>
      </c>
      <c r="V827" s="1">
        <f t="shared" ca="1" si="242"/>
        <v>0</v>
      </c>
      <c r="W827" s="1">
        <f t="shared" ca="1" si="242"/>
        <v>0</v>
      </c>
      <c r="X827" s="1">
        <f t="shared" ca="1" si="242"/>
        <v>0</v>
      </c>
      <c r="Y827" s="1">
        <f t="shared" ca="1" si="242"/>
        <v>0</v>
      </c>
      <c r="Z827" s="1">
        <f t="shared" ca="1" si="242"/>
        <v>0</v>
      </c>
      <c r="AA827" s="1">
        <f t="shared" ca="1" si="242"/>
        <v>116.97521186440682</v>
      </c>
      <c r="AB827" s="1">
        <f t="shared" ca="1" si="240"/>
        <v>0</v>
      </c>
      <c r="AC827" s="1">
        <f t="shared" ca="1" si="242"/>
        <v>46.750275000000002</v>
      </c>
      <c r="AD827" s="1">
        <f t="shared" ca="1" si="242"/>
        <v>46.750275000000002</v>
      </c>
      <c r="AE827" s="1">
        <f t="shared" ca="1" si="242"/>
        <v>46.750275000000002</v>
      </c>
      <c r="AF827" s="1">
        <f t="shared" ca="1" si="242"/>
        <v>46.750275000000002</v>
      </c>
      <c r="AG827" s="1">
        <f t="shared" ca="1" si="242"/>
        <v>46.750275000000002</v>
      </c>
      <c r="AH827" s="1">
        <f t="shared" ca="1" si="242"/>
        <v>70.12541250000001</v>
      </c>
      <c r="AI827" s="1">
        <f t="shared" ca="1" si="232"/>
        <v>46.750275000000002</v>
      </c>
    </row>
    <row r="828" spans="2:35" x14ac:dyDescent="0.15">
      <c r="B828" s="1" t="str">
        <f t="shared" si="227"/>
        <v>暗系34</v>
      </c>
      <c r="C828" s="1">
        <f t="shared" si="237"/>
        <v>34</v>
      </c>
      <c r="D828" s="14" t="s">
        <v>98</v>
      </c>
      <c r="E828" s="14">
        <f t="shared" si="238"/>
        <v>9</v>
      </c>
      <c r="F828" s="1" t="str">
        <f t="shared" si="225"/>
        <v>黑暗</v>
      </c>
      <c r="H828" s="1">
        <f t="shared" ca="1" si="226"/>
        <v>983.66060335075701</v>
      </c>
      <c r="I828" s="1">
        <f t="shared" ca="1" si="241"/>
        <v>150</v>
      </c>
      <c r="J828" s="1">
        <f t="shared" ca="1" si="241"/>
        <v>409.86190476190501</v>
      </c>
      <c r="K828" s="1">
        <f t="shared" ca="1" si="241"/>
        <v>48.16695</v>
      </c>
      <c r="L828" s="1">
        <f t="shared" ca="1" si="241"/>
        <v>409.86190476190501</v>
      </c>
      <c r="M828" s="1">
        <f t="shared" ca="1" si="241"/>
        <v>48.16695</v>
      </c>
      <c r="N828" s="1">
        <f t="shared" ca="1" si="241"/>
        <v>0.2</v>
      </c>
      <c r="O828" s="1">
        <f t="shared" ca="1" si="241"/>
        <v>0.2</v>
      </c>
      <c r="P828" s="1">
        <f t="shared" ca="1" si="241"/>
        <v>0.36</v>
      </c>
      <c r="Q828" s="1">
        <f t="shared" ca="1" si="241"/>
        <v>0.1</v>
      </c>
      <c r="R828" s="1">
        <f t="shared" ca="1" si="241"/>
        <v>2</v>
      </c>
      <c r="S828" s="1">
        <f t="shared" ca="1" si="242"/>
        <v>0.1</v>
      </c>
      <c r="T828" s="1">
        <f t="shared" ca="1" si="242"/>
        <v>0.9</v>
      </c>
      <c r="U828" s="1">
        <f t="shared" ca="1" si="242"/>
        <v>65.733333333333306</v>
      </c>
      <c r="V828" s="1">
        <f t="shared" ca="1" si="242"/>
        <v>0</v>
      </c>
      <c r="W828" s="1">
        <f t="shared" ca="1" si="242"/>
        <v>0</v>
      </c>
      <c r="X828" s="1">
        <f t="shared" ca="1" si="242"/>
        <v>0</v>
      </c>
      <c r="Y828" s="1">
        <f t="shared" ca="1" si="242"/>
        <v>0</v>
      </c>
      <c r="Z828" s="1">
        <f t="shared" ca="1" si="242"/>
        <v>0</v>
      </c>
      <c r="AA828" s="1">
        <f t="shared" ca="1" si="242"/>
        <v>125.92142857142865</v>
      </c>
      <c r="AB828" s="1">
        <f t="shared" ca="1" si="240"/>
        <v>0</v>
      </c>
      <c r="AC828" s="1">
        <f t="shared" ca="1" si="242"/>
        <v>48.16695</v>
      </c>
      <c r="AD828" s="1">
        <f t="shared" ca="1" si="242"/>
        <v>48.16695</v>
      </c>
      <c r="AE828" s="1">
        <f t="shared" ca="1" si="242"/>
        <v>48.16695</v>
      </c>
      <c r="AF828" s="1">
        <f t="shared" ca="1" si="242"/>
        <v>48.16695</v>
      </c>
      <c r="AG828" s="1">
        <f t="shared" ca="1" si="242"/>
        <v>48.16695</v>
      </c>
      <c r="AH828" s="1">
        <f t="shared" ca="1" si="242"/>
        <v>72.250425000000007</v>
      </c>
      <c r="AI828" s="1">
        <f t="shared" ca="1" si="232"/>
        <v>48.16695</v>
      </c>
    </row>
    <row r="829" spans="2:35" x14ac:dyDescent="0.15">
      <c r="B829" s="1" t="str">
        <f t="shared" si="227"/>
        <v>暗系35</v>
      </c>
      <c r="C829" s="1">
        <f t="shared" si="237"/>
        <v>35</v>
      </c>
      <c r="D829" s="14" t="s">
        <v>98</v>
      </c>
      <c r="E829" s="14">
        <f t="shared" si="238"/>
        <v>9</v>
      </c>
      <c r="F829" s="1" t="str">
        <f t="shared" si="225"/>
        <v>黑暗</v>
      </c>
      <c r="H829" s="1">
        <f t="shared" ca="1" si="226"/>
        <v>1018.12508607825</v>
      </c>
      <c r="I829" s="1">
        <f t="shared" ca="1" si="241"/>
        <v>150</v>
      </c>
      <c r="J829" s="1">
        <f t="shared" ca="1" si="241"/>
        <v>425.30172413793099</v>
      </c>
      <c r="K829" s="1">
        <f t="shared" ca="1" si="241"/>
        <v>49.583624999999998</v>
      </c>
      <c r="L829" s="1">
        <f t="shared" ca="1" si="241"/>
        <v>425.30172413793099</v>
      </c>
      <c r="M829" s="1">
        <f t="shared" ca="1" si="241"/>
        <v>49.583624999999998</v>
      </c>
      <c r="N829" s="1">
        <f t="shared" ca="1" si="241"/>
        <v>0.2</v>
      </c>
      <c r="O829" s="1">
        <f t="shared" ca="1" si="241"/>
        <v>0.2</v>
      </c>
      <c r="P829" s="1">
        <f t="shared" ca="1" si="241"/>
        <v>0.36</v>
      </c>
      <c r="Q829" s="1">
        <f t="shared" ca="1" si="241"/>
        <v>0.1</v>
      </c>
      <c r="R829" s="1">
        <f t="shared" ca="1" si="241"/>
        <v>2</v>
      </c>
      <c r="S829" s="1">
        <f t="shared" ca="1" si="242"/>
        <v>0.1</v>
      </c>
      <c r="T829" s="1">
        <f t="shared" ca="1" si="242"/>
        <v>0.9</v>
      </c>
      <c r="U829" s="1">
        <f t="shared" ca="1" si="242"/>
        <v>67.6666666666667</v>
      </c>
      <c r="V829" s="1">
        <f t="shared" ca="1" si="242"/>
        <v>0</v>
      </c>
      <c r="W829" s="1">
        <f t="shared" ca="1" si="242"/>
        <v>0</v>
      </c>
      <c r="X829" s="1">
        <f t="shared" ca="1" si="242"/>
        <v>0</v>
      </c>
      <c r="Y829" s="1">
        <f t="shared" ca="1" si="242"/>
        <v>0</v>
      </c>
      <c r="Z829" s="1">
        <f t="shared" ca="1" si="242"/>
        <v>0</v>
      </c>
      <c r="AA829" s="1">
        <f t="shared" ca="1" si="242"/>
        <v>135.32327586206895</v>
      </c>
      <c r="AB829" s="1">
        <f t="shared" ca="1" si="242"/>
        <v>0</v>
      </c>
      <c r="AC829" s="1">
        <f t="shared" ca="1" si="242"/>
        <v>49.583624999999998</v>
      </c>
      <c r="AD829" s="1">
        <f t="shared" ca="1" si="242"/>
        <v>49.583624999999998</v>
      </c>
      <c r="AE829" s="1">
        <f t="shared" ca="1" si="242"/>
        <v>49.583624999999998</v>
      </c>
      <c r="AF829" s="1">
        <f t="shared" ca="1" si="242"/>
        <v>49.583624999999998</v>
      </c>
      <c r="AG829" s="1">
        <f t="shared" ca="1" si="242"/>
        <v>49.583624999999998</v>
      </c>
      <c r="AH829" s="1">
        <f t="shared" ca="1" si="242"/>
        <v>74.375437500000004</v>
      </c>
      <c r="AI829" s="1">
        <f t="shared" ca="1" si="232"/>
        <v>49.583624999999998</v>
      </c>
    </row>
    <row r="830" spans="2:35" x14ac:dyDescent="0.15">
      <c r="B830" s="1" t="str">
        <f t="shared" si="227"/>
        <v>暗系36</v>
      </c>
      <c r="C830" s="1">
        <f t="shared" si="237"/>
        <v>36</v>
      </c>
      <c r="D830" s="14" t="s">
        <v>98</v>
      </c>
      <c r="E830" s="14">
        <f t="shared" si="238"/>
        <v>9</v>
      </c>
      <c r="F830" s="1" t="str">
        <f t="shared" si="225"/>
        <v>黑暗</v>
      </c>
      <c r="H830" s="1">
        <f t="shared" ca="1" si="226"/>
        <v>1052.9057567206801</v>
      </c>
      <c r="I830" s="1">
        <f t="shared" ca="1" si="241"/>
        <v>150</v>
      </c>
      <c r="J830" s="1">
        <f t="shared" ca="1" si="241"/>
        <v>440.96645962732902</v>
      </c>
      <c r="K830" s="1">
        <f t="shared" ca="1" si="241"/>
        <v>51.000300000000003</v>
      </c>
      <c r="L830" s="1">
        <f t="shared" ca="1" si="241"/>
        <v>440.96645962732902</v>
      </c>
      <c r="M830" s="1">
        <f t="shared" ca="1" si="241"/>
        <v>51.000300000000003</v>
      </c>
      <c r="N830" s="1">
        <f t="shared" ca="1" si="241"/>
        <v>0.2</v>
      </c>
      <c r="O830" s="1">
        <f t="shared" ca="1" si="241"/>
        <v>0.2</v>
      </c>
      <c r="P830" s="1">
        <f t="shared" ca="1" si="241"/>
        <v>0.36</v>
      </c>
      <c r="Q830" s="1">
        <f t="shared" ca="1" si="241"/>
        <v>0.1</v>
      </c>
      <c r="R830" s="1">
        <f t="shared" ca="1" si="241"/>
        <v>2</v>
      </c>
      <c r="S830" s="1">
        <f t="shared" ca="1" si="242"/>
        <v>0.1</v>
      </c>
      <c r="T830" s="1">
        <f t="shared" ca="1" si="242"/>
        <v>0.9</v>
      </c>
      <c r="U830" s="1">
        <f t="shared" ca="1" si="242"/>
        <v>69.599999999999994</v>
      </c>
      <c r="V830" s="1">
        <f t="shared" ca="1" si="242"/>
        <v>0</v>
      </c>
      <c r="W830" s="1">
        <f t="shared" ca="1" si="242"/>
        <v>0</v>
      </c>
      <c r="X830" s="1">
        <f t="shared" ca="1" si="242"/>
        <v>0</v>
      </c>
      <c r="Y830" s="1">
        <f t="shared" ca="1" si="242"/>
        <v>0</v>
      </c>
      <c r="Z830" s="1">
        <f t="shared" ca="1" si="242"/>
        <v>0</v>
      </c>
      <c r="AA830" s="1">
        <f t="shared" ca="1" si="242"/>
        <v>145.19627329192545</v>
      </c>
      <c r="AB830" s="1">
        <f t="shared" ca="1" si="242"/>
        <v>0</v>
      </c>
      <c r="AC830" s="1">
        <f t="shared" ca="1" si="242"/>
        <v>51.000300000000003</v>
      </c>
      <c r="AD830" s="1">
        <f t="shared" ca="1" si="242"/>
        <v>51.000300000000003</v>
      </c>
      <c r="AE830" s="1">
        <f t="shared" ca="1" si="242"/>
        <v>51.000300000000003</v>
      </c>
      <c r="AF830" s="1">
        <f t="shared" ca="1" si="242"/>
        <v>51.000300000000003</v>
      </c>
      <c r="AG830" s="1">
        <f t="shared" ca="1" si="242"/>
        <v>51.000300000000003</v>
      </c>
      <c r="AH830" s="1">
        <f t="shared" ca="1" si="242"/>
        <v>76.500450000000001</v>
      </c>
      <c r="AI830" s="1">
        <f t="shared" ca="1" si="232"/>
        <v>51.000300000000003</v>
      </c>
    </row>
    <row r="831" spans="2:35" x14ac:dyDescent="0.15">
      <c r="B831" s="1" t="str">
        <f t="shared" si="227"/>
        <v>暗系37</v>
      </c>
      <c r="C831" s="1">
        <f t="shared" si="237"/>
        <v>37</v>
      </c>
      <c r="D831" s="14" t="s">
        <v>98</v>
      </c>
      <c r="E831" s="14">
        <f t="shared" si="238"/>
        <v>9</v>
      </c>
      <c r="F831" s="1" t="str">
        <f t="shared" si="225"/>
        <v>黑暗</v>
      </c>
      <c r="H831" s="1">
        <f t="shared" ca="1" si="226"/>
        <v>1088.0026152780299</v>
      </c>
      <c r="I831" s="1">
        <f t="shared" ca="1" si="241"/>
        <v>150</v>
      </c>
      <c r="J831" s="1">
        <f t="shared" ca="1" si="241"/>
        <v>456.85958646616501</v>
      </c>
      <c r="K831" s="1">
        <f t="shared" ca="1" si="241"/>
        <v>52.416975000000001</v>
      </c>
      <c r="L831" s="1">
        <f t="shared" ca="1" si="241"/>
        <v>456.85958646616501</v>
      </c>
      <c r="M831" s="1">
        <f t="shared" ca="1" si="241"/>
        <v>52.416975000000001</v>
      </c>
      <c r="N831" s="1">
        <f t="shared" ca="1" si="241"/>
        <v>0.2</v>
      </c>
      <c r="O831" s="1">
        <f t="shared" ca="1" si="241"/>
        <v>0.2</v>
      </c>
      <c r="P831" s="1">
        <f t="shared" ca="1" si="241"/>
        <v>0.36</v>
      </c>
      <c r="Q831" s="1">
        <f t="shared" ca="1" si="241"/>
        <v>0.1</v>
      </c>
      <c r="R831" s="1">
        <f t="shared" ca="1" si="241"/>
        <v>2</v>
      </c>
      <c r="S831" s="1">
        <f t="shared" ca="1" si="242"/>
        <v>0.1</v>
      </c>
      <c r="T831" s="1">
        <f t="shared" ca="1" si="242"/>
        <v>0.9</v>
      </c>
      <c r="U831" s="1">
        <f t="shared" ca="1" si="242"/>
        <v>71.533333333333303</v>
      </c>
      <c r="V831" s="1">
        <f t="shared" ca="1" si="242"/>
        <v>0</v>
      </c>
      <c r="W831" s="1">
        <f t="shared" ca="1" si="242"/>
        <v>0</v>
      </c>
      <c r="X831" s="1">
        <f t="shared" ca="1" si="242"/>
        <v>0</v>
      </c>
      <c r="Y831" s="1">
        <f t="shared" ca="1" si="242"/>
        <v>0</v>
      </c>
      <c r="Z831" s="1">
        <f t="shared" ca="1" si="242"/>
        <v>0</v>
      </c>
      <c r="AA831" s="1">
        <f t="shared" ca="1" si="242"/>
        <v>155.5564849624065</v>
      </c>
      <c r="AB831" s="1">
        <f t="shared" ca="1" si="242"/>
        <v>0</v>
      </c>
      <c r="AC831" s="1">
        <f t="shared" ca="1" si="242"/>
        <v>52.416975000000001</v>
      </c>
      <c r="AD831" s="1">
        <f t="shared" ca="1" si="242"/>
        <v>52.416975000000001</v>
      </c>
      <c r="AE831" s="1">
        <f t="shared" ca="1" si="242"/>
        <v>52.416975000000001</v>
      </c>
      <c r="AF831" s="1">
        <f t="shared" ca="1" si="242"/>
        <v>52.416975000000001</v>
      </c>
      <c r="AG831" s="1">
        <f t="shared" ca="1" si="242"/>
        <v>52.416975000000001</v>
      </c>
      <c r="AH831" s="1">
        <f t="shared" ca="1" si="242"/>
        <v>78.625462499999998</v>
      </c>
      <c r="AI831" s="1">
        <f t="shared" ca="1" si="232"/>
        <v>52.416975000000001</v>
      </c>
    </row>
    <row r="832" spans="2:35" x14ac:dyDescent="0.15">
      <c r="B832" s="1" t="str">
        <f t="shared" si="227"/>
        <v>暗系38</v>
      </c>
      <c r="C832" s="1">
        <f t="shared" si="237"/>
        <v>38</v>
      </c>
      <c r="D832" s="14" t="s">
        <v>98</v>
      </c>
      <c r="E832" s="14">
        <f t="shared" si="238"/>
        <v>9</v>
      </c>
      <c r="F832" s="1" t="str">
        <f t="shared" si="225"/>
        <v>黑暗</v>
      </c>
      <c r="H832" s="1">
        <f t="shared" ca="1" si="226"/>
        <v>1123.4156617503199</v>
      </c>
      <c r="I832" s="1">
        <f t="shared" ca="1" si="241"/>
        <v>150</v>
      </c>
      <c r="J832" s="1">
        <f t="shared" ca="1" si="241"/>
        <v>472.98470290771201</v>
      </c>
      <c r="K832" s="1">
        <f t="shared" ca="1" si="241"/>
        <v>53.833649999999999</v>
      </c>
      <c r="L832" s="1">
        <f t="shared" ca="1" si="241"/>
        <v>472.98470290771201</v>
      </c>
      <c r="M832" s="1">
        <f t="shared" ca="1" si="241"/>
        <v>53.833649999999999</v>
      </c>
      <c r="N832" s="1">
        <f t="shared" ca="1" si="241"/>
        <v>0.2</v>
      </c>
      <c r="O832" s="1">
        <f t="shared" ca="1" si="241"/>
        <v>0.2</v>
      </c>
      <c r="P832" s="1">
        <f t="shared" ca="1" si="241"/>
        <v>0.36</v>
      </c>
      <c r="Q832" s="1">
        <f t="shared" ca="1" si="241"/>
        <v>0.1</v>
      </c>
      <c r="R832" s="1">
        <f t="shared" ca="1" si="241"/>
        <v>2</v>
      </c>
      <c r="S832" s="1">
        <f t="shared" ca="1" si="242"/>
        <v>0.1</v>
      </c>
      <c r="T832" s="1">
        <f t="shared" ca="1" si="242"/>
        <v>0.9</v>
      </c>
      <c r="U832" s="1">
        <f t="shared" ca="1" si="242"/>
        <v>73.466666666666697</v>
      </c>
      <c r="V832" s="1">
        <f t="shared" ca="1" si="242"/>
        <v>0</v>
      </c>
      <c r="W832" s="1">
        <f t="shared" ca="1" si="242"/>
        <v>0</v>
      </c>
      <c r="X832" s="1">
        <f t="shared" ca="1" si="242"/>
        <v>0</v>
      </c>
      <c r="Y832" s="1">
        <f t="shared" ca="1" si="242"/>
        <v>0</v>
      </c>
      <c r="Z832" s="1">
        <f t="shared" ca="1" si="242"/>
        <v>0</v>
      </c>
      <c r="AA832" s="1">
        <f t="shared" ca="1" si="242"/>
        <v>166.42054361567699</v>
      </c>
      <c r="AB832" s="1">
        <f t="shared" ca="1" si="242"/>
        <v>0</v>
      </c>
      <c r="AC832" s="1">
        <f t="shared" ca="1" si="242"/>
        <v>53.833649999999999</v>
      </c>
      <c r="AD832" s="1">
        <f t="shared" ca="1" si="242"/>
        <v>53.833649999999999</v>
      </c>
      <c r="AE832" s="1">
        <f t="shared" ca="1" si="242"/>
        <v>53.833649999999999</v>
      </c>
      <c r="AF832" s="1">
        <f t="shared" ca="1" si="242"/>
        <v>53.833649999999999</v>
      </c>
      <c r="AG832" s="1">
        <f t="shared" ca="1" si="242"/>
        <v>53.833649999999999</v>
      </c>
      <c r="AH832" s="1">
        <f t="shared" ca="1" si="242"/>
        <v>80.750474999999994</v>
      </c>
      <c r="AI832" s="1">
        <f t="shared" ca="1" si="232"/>
        <v>53.833649999999999</v>
      </c>
    </row>
    <row r="833" spans="2:35" x14ac:dyDescent="0.15">
      <c r="B833" s="1" t="str">
        <f t="shared" si="227"/>
        <v>暗系39</v>
      </c>
      <c r="C833" s="1">
        <f t="shared" si="237"/>
        <v>39</v>
      </c>
      <c r="D833" s="14" t="s">
        <v>98</v>
      </c>
      <c r="E833" s="14">
        <f t="shared" si="238"/>
        <v>9</v>
      </c>
      <c r="F833" s="1" t="str">
        <f t="shared" si="225"/>
        <v>黑暗</v>
      </c>
      <c r="H833" s="1">
        <f t="shared" ca="1" si="226"/>
        <v>1159.1448961375399</v>
      </c>
      <c r="I833" s="1">
        <f t="shared" ref="I833:R842" ca="1" si="243">mVlookup($C833,monsterBaseDate,I$2,FALSE)*(1+mVlookup($E833,monsterType,I$2,FALSE))</f>
        <v>150</v>
      </c>
      <c r="J833" s="1">
        <f t="shared" ca="1" si="243"/>
        <v>489.34553571428597</v>
      </c>
      <c r="K833" s="1">
        <f t="shared" ca="1" si="243"/>
        <v>55.250324999999997</v>
      </c>
      <c r="L833" s="1">
        <f t="shared" ca="1" si="243"/>
        <v>489.34553571428597</v>
      </c>
      <c r="M833" s="1">
        <f t="shared" ca="1" si="243"/>
        <v>55.250324999999997</v>
      </c>
      <c r="N833" s="1">
        <f t="shared" ca="1" si="243"/>
        <v>0.2</v>
      </c>
      <c r="O833" s="1">
        <f t="shared" ca="1" si="243"/>
        <v>0.2</v>
      </c>
      <c r="P833" s="1">
        <f t="shared" ca="1" si="243"/>
        <v>0.36</v>
      </c>
      <c r="Q833" s="1">
        <f t="shared" ca="1" si="243"/>
        <v>0.1</v>
      </c>
      <c r="R833" s="1">
        <f t="shared" ca="1" si="243"/>
        <v>2</v>
      </c>
      <c r="S833" s="1">
        <f t="shared" ref="S833:AH848" ca="1" si="244">mVlookup($C833,monsterBaseDate,S$2,FALSE)*(1+mVlookup($E833,monsterType,S$2,FALSE))</f>
        <v>0.1</v>
      </c>
      <c r="T833" s="1">
        <f t="shared" ca="1" si="244"/>
        <v>0.9</v>
      </c>
      <c r="U833" s="1">
        <f t="shared" ca="1" si="244"/>
        <v>75.400000000000006</v>
      </c>
      <c r="V833" s="1">
        <f t="shared" ca="1" si="244"/>
        <v>0</v>
      </c>
      <c r="W833" s="1">
        <f t="shared" ca="1" si="244"/>
        <v>0</v>
      </c>
      <c r="X833" s="1">
        <f t="shared" ca="1" si="244"/>
        <v>0</v>
      </c>
      <c r="Y833" s="1">
        <f t="shared" ca="1" si="244"/>
        <v>0</v>
      </c>
      <c r="Z833" s="1">
        <f t="shared" ca="1" si="244"/>
        <v>0</v>
      </c>
      <c r="AA833" s="1">
        <f t="shared" ca="1" si="244"/>
        <v>177.8056760204085</v>
      </c>
      <c r="AB833" s="1">
        <f t="shared" ca="1" si="242"/>
        <v>0</v>
      </c>
      <c r="AC833" s="1">
        <f t="shared" ca="1" si="244"/>
        <v>55.250324999999997</v>
      </c>
      <c r="AD833" s="1">
        <f t="shared" ca="1" si="244"/>
        <v>55.250324999999997</v>
      </c>
      <c r="AE833" s="1">
        <f t="shared" ca="1" si="244"/>
        <v>55.250324999999997</v>
      </c>
      <c r="AF833" s="1">
        <f t="shared" ca="1" si="244"/>
        <v>55.250324999999997</v>
      </c>
      <c r="AG833" s="1">
        <f t="shared" ca="1" si="244"/>
        <v>55.250324999999997</v>
      </c>
      <c r="AH833" s="1">
        <f t="shared" ca="1" si="244"/>
        <v>82.875487499999991</v>
      </c>
      <c r="AI833" s="1">
        <f t="shared" ca="1" si="232"/>
        <v>55.250324999999997</v>
      </c>
    </row>
    <row r="834" spans="2:35" x14ac:dyDescent="0.15">
      <c r="B834" s="1" t="str">
        <f t="shared" si="227"/>
        <v>暗系40</v>
      </c>
      <c r="C834" s="1">
        <f t="shared" si="237"/>
        <v>40</v>
      </c>
      <c r="D834" s="14" t="s">
        <v>98</v>
      </c>
      <c r="E834" s="14">
        <f t="shared" si="238"/>
        <v>9</v>
      </c>
      <c r="F834" s="1" t="str">
        <f t="shared" si="225"/>
        <v>黑暗</v>
      </c>
      <c r="H834" s="1">
        <f t="shared" ca="1" si="226"/>
        <v>1195.1903184396899</v>
      </c>
      <c r="I834" s="1">
        <f t="shared" ca="1" si="243"/>
        <v>150</v>
      </c>
      <c r="J834" s="1">
        <f t="shared" ca="1" si="243"/>
        <v>505.94594594594599</v>
      </c>
      <c r="K834" s="1">
        <f t="shared" ca="1" si="243"/>
        <v>56.667000000000002</v>
      </c>
      <c r="L834" s="1">
        <f t="shared" ca="1" si="243"/>
        <v>505.94594594594599</v>
      </c>
      <c r="M834" s="1">
        <f t="shared" ca="1" si="243"/>
        <v>56.667000000000002</v>
      </c>
      <c r="N834" s="1">
        <f t="shared" ca="1" si="243"/>
        <v>0.2</v>
      </c>
      <c r="O834" s="1">
        <f t="shared" ca="1" si="243"/>
        <v>0.2</v>
      </c>
      <c r="P834" s="1">
        <f t="shared" ca="1" si="243"/>
        <v>0.36</v>
      </c>
      <c r="Q834" s="1">
        <f t="shared" ca="1" si="243"/>
        <v>0.1</v>
      </c>
      <c r="R834" s="1">
        <f t="shared" ca="1" si="243"/>
        <v>2</v>
      </c>
      <c r="S834" s="1">
        <f t="shared" ca="1" si="244"/>
        <v>0.1</v>
      </c>
      <c r="T834" s="1">
        <f t="shared" ca="1" si="244"/>
        <v>0.9</v>
      </c>
      <c r="U834" s="1">
        <f t="shared" ca="1" si="244"/>
        <v>77.3333333333333</v>
      </c>
      <c r="V834" s="1">
        <f t="shared" ca="1" si="244"/>
        <v>0</v>
      </c>
      <c r="W834" s="1">
        <f t="shared" ca="1" si="244"/>
        <v>0</v>
      </c>
      <c r="X834" s="1">
        <f t="shared" ca="1" si="244"/>
        <v>0</v>
      </c>
      <c r="Y834" s="1">
        <f t="shared" ca="1" si="244"/>
        <v>0</v>
      </c>
      <c r="Z834" s="1">
        <f t="shared" ca="1" si="244"/>
        <v>0</v>
      </c>
      <c r="AA834" s="1">
        <f t="shared" ca="1" si="244"/>
        <v>189.72972972973048</v>
      </c>
      <c r="AB834" s="1">
        <f t="shared" ca="1" si="242"/>
        <v>0</v>
      </c>
      <c r="AC834" s="1">
        <f t="shared" ca="1" si="244"/>
        <v>56.667000000000002</v>
      </c>
      <c r="AD834" s="1">
        <f t="shared" ca="1" si="244"/>
        <v>56.667000000000002</v>
      </c>
      <c r="AE834" s="1">
        <f t="shared" ca="1" si="244"/>
        <v>56.667000000000002</v>
      </c>
      <c r="AF834" s="1">
        <f t="shared" ca="1" si="244"/>
        <v>56.667000000000002</v>
      </c>
      <c r="AG834" s="1">
        <f t="shared" ca="1" si="244"/>
        <v>56.667000000000002</v>
      </c>
      <c r="AH834" s="1">
        <f t="shared" ca="1" si="244"/>
        <v>85.000500000000002</v>
      </c>
      <c r="AI834" s="1">
        <f t="shared" ca="1" si="232"/>
        <v>56.667000000000002</v>
      </c>
    </row>
    <row r="835" spans="2:35" x14ac:dyDescent="0.15">
      <c r="B835" s="1" t="str">
        <f t="shared" si="227"/>
        <v>暗系41</v>
      </c>
      <c r="C835" s="1">
        <f t="shared" si="237"/>
        <v>41</v>
      </c>
      <c r="D835" s="14" t="s">
        <v>98</v>
      </c>
      <c r="E835" s="14">
        <f t="shared" si="238"/>
        <v>9</v>
      </c>
      <c r="F835" s="1" t="str">
        <f t="shared" ref="F835:F898" si="245">VLOOKUP(E835,monsterType,4,FALSE)</f>
        <v>黑暗</v>
      </c>
      <c r="H835" s="1">
        <f t="shared" ref="H835:H898" ca="1" si="246">mVlookup(C835,monsterBaseDate,H$2,FALSE)*(1+mVlookup(E835,monsterType,H$2,FALSE))*(1+mVlookup(C835,monsterHpRevise,D835,FALSE))</f>
        <v>1231.5519286567701</v>
      </c>
      <c r="I835" s="1">
        <f t="shared" ca="1" si="243"/>
        <v>150</v>
      </c>
      <c r="J835" s="1">
        <f t="shared" ca="1" si="243"/>
        <v>522.78993506493498</v>
      </c>
      <c r="K835" s="1">
        <f t="shared" ca="1" si="243"/>
        <v>58.083674999999999</v>
      </c>
      <c r="L835" s="1">
        <f t="shared" ca="1" si="243"/>
        <v>522.78993506493498</v>
      </c>
      <c r="M835" s="1">
        <f t="shared" ca="1" si="243"/>
        <v>58.083674999999999</v>
      </c>
      <c r="N835" s="1">
        <f t="shared" ca="1" si="243"/>
        <v>0.2</v>
      </c>
      <c r="O835" s="1">
        <f t="shared" ca="1" si="243"/>
        <v>0.2</v>
      </c>
      <c r="P835" s="1">
        <f t="shared" ca="1" si="243"/>
        <v>0.36</v>
      </c>
      <c r="Q835" s="1">
        <f t="shared" ca="1" si="243"/>
        <v>0.1</v>
      </c>
      <c r="R835" s="1">
        <f t="shared" ca="1" si="243"/>
        <v>2</v>
      </c>
      <c r="S835" s="1">
        <f t="shared" ca="1" si="244"/>
        <v>0.1</v>
      </c>
      <c r="T835" s="1">
        <f t="shared" ca="1" si="244"/>
        <v>0.9</v>
      </c>
      <c r="U835" s="1">
        <f t="shared" ca="1" si="244"/>
        <v>79.266666666666694</v>
      </c>
      <c r="V835" s="1">
        <f t="shared" ca="1" si="244"/>
        <v>0</v>
      </c>
      <c r="W835" s="1">
        <f t="shared" ca="1" si="244"/>
        <v>0</v>
      </c>
      <c r="X835" s="1">
        <f t="shared" ca="1" si="244"/>
        <v>0</v>
      </c>
      <c r="Y835" s="1">
        <f t="shared" ca="1" si="244"/>
        <v>0</v>
      </c>
      <c r="Z835" s="1">
        <f t="shared" ca="1" si="244"/>
        <v>0</v>
      </c>
      <c r="AA835" s="1">
        <f t="shared" ca="1" si="244"/>
        <v>202.21120129870201</v>
      </c>
      <c r="AB835" s="1">
        <f t="shared" ca="1" si="242"/>
        <v>0</v>
      </c>
      <c r="AC835" s="1">
        <f t="shared" ca="1" si="244"/>
        <v>58.083674999999999</v>
      </c>
      <c r="AD835" s="1">
        <f t="shared" ca="1" si="244"/>
        <v>58.083674999999999</v>
      </c>
      <c r="AE835" s="1">
        <f t="shared" ca="1" si="244"/>
        <v>58.083674999999999</v>
      </c>
      <c r="AF835" s="1">
        <f t="shared" ca="1" si="244"/>
        <v>58.083674999999999</v>
      </c>
      <c r="AG835" s="1">
        <f t="shared" ca="1" si="244"/>
        <v>58.083674999999999</v>
      </c>
      <c r="AH835" s="1">
        <f t="shared" ca="1" si="244"/>
        <v>87.125512499999999</v>
      </c>
      <c r="AI835" s="1">
        <f t="shared" ca="1" si="232"/>
        <v>58.083674999999999</v>
      </c>
    </row>
    <row r="836" spans="2:35" x14ac:dyDescent="0.15">
      <c r="B836" s="1" t="str">
        <f t="shared" ref="B836:B899" si="247">D836&amp;C836</f>
        <v>暗系42</v>
      </c>
      <c r="C836" s="1">
        <f t="shared" si="237"/>
        <v>42</v>
      </c>
      <c r="D836" s="14" t="s">
        <v>98</v>
      </c>
      <c r="E836" s="14">
        <f t="shared" si="238"/>
        <v>9</v>
      </c>
      <c r="F836" s="1" t="str">
        <f t="shared" si="245"/>
        <v>黑暗</v>
      </c>
      <c r="H836" s="1">
        <f t="shared" ca="1" si="246"/>
        <v>1268.22972678878</v>
      </c>
      <c r="I836" s="1">
        <f t="shared" ca="1" si="243"/>
        <v>150</v>
      </c>
      <c r="J836" s="1">
        <f t="shared" ca="1" si="243"/>
        <v>539.88165137614703</v>
      </c>
      <c r="K836" s="1">
        <f t="shared" ca="1" si="243"/>
        <v>59.500349999999997</v>
      </c>
      <c r="L836" s="1">
        <f t="shared" ca="1" si="243"/>
        <v>539.88165137614703</v>
      </c>
      <c r="M836" s="1">
        <f t="shared" ca="1" si="243"/>
        <v>59.500349999999997</v>
      </c>
      <c r="N836" s="1">
        <f t="shared" ca="1" si="243"/>
        <v>0.2</v>
      </c>
      <c r="O836" s="1">
        <f t="shared" ca="1" si="243"/>
        <v>0.2</v>
      </c>
      <c r="P836" s="1">
        <f t="shared" ca="1" si="243"/>
        <v>0.36</v>
      </c>
      <c r="Q836" s="1">
        <f t="shared" ca="1" si="243"/>
        <v>0.1</v>
      </c>
      <c r="R836" s="1">
        <f t="shared" ca="1" si="243"/>
        <v>2</v>
      </c>
      <c r="S836" s="1">
        <f t="shared" ca="1" si="244"/>
        <v>0.1</v>
      </c>
      <c r="T836" s="1">
        <f t="shared" ca="1" si="244"/>
        <v>0.9</v>
      </c>
      <c r="U836" s="1">
        <f t="shared" ca="1" si="244"/>
        <v>81.2</v>
      </c>
      <c r="V836" s="1">
        <f t="shared" ca="1" si="244"/>
        <v>0</v>
      </c>
      <c r="W836" s="1">
        <f t="shared" ca="1" si="244"/>
        <v>0</v>
      </c>
      <c r="X836" s="1">
        <f t="shared" ca="1" si="244"/>
        <v>0</v>
      </c>
      <c r="Y836" s="1">
        <f t="shared" ca="1" si="244"/>
        <v>0</v>
      </c>
      <c r="Z836" s="1">
        <f t="shared" ca="1" si="244"/>
        <v>0</v>
      </c>
      <c r="AA836" s="1">
        <f t="shared" ca="1" si="244"/>
        <v>215.26926605504551</v>
      </c>
      <c r="AB836" s="1">
        <f t="shared" ca="1" si="242"/>
        <v>0</v>
      </c>
      <c r="AC836" s="1">
        <f t="shared" ca="1" si="244"/>
        <v>59.500349999999997</v>
      </c>
      <c r="AD836" s="1">
        <f t="shared" ca="1" si="244"/>
        <v>59.500349999999997</v>
      </c>
      <c r="AE836" s="1">
        <f t="shared" ca="1" si="244"/>
        <v>59.500349999999997</v>
      </c>
      <c r="AF836" s="1">
        <f t="shared" ca="1" si="244"/>
        <v>59.500349999999997</v>
      </c>
      <c r="AG836" s="1">
        <f t="shared" ca="1" si="244"/>
        <v>59.500349999999997</v>
      </c>
      <c r="AH836" s="1">
        <f t="shared" ca="1" si="244"/>
        <v>89.250524999999996</v>
      </c>
      <c r="AI836" s="1">
        <f t="shared" ca="1" si="232"/>
        <v>59.500349999999997</v>
      </c>
    </row>
    <row r="837" spans="2:35" x14ac:dyDescent="0.15">
      <c r="B837" s="1" t="str">
        <f t="shared" si="247"/>
        <v>暗系43</v>
      </c>
      <c r="C837" s="1">
        <f t="shared" si="237"/>
        <v>43</v>
      </c>
      <c r="D837" s="14" t="s">
        <v>98</v>
      </c>
      <c r="E837" s="14">
        <f t="shared" si="238"/>
        <v>9</v>
      </c>
      <c r="F837" s="1" t="str">
        <f t="shared" si="245"/>
        <v>黑暗</v>
      </c>
      <c r="H837" s="1">
        <f t="shared" ca="1" si="246"/>
        <v>1305.2237128357201</v>
      </c>
      <c r="I837" s="1">
        <f t="shared" ca="1" si="243"/>
        <v>150</v>
      </c>
      <c r="J837" s="1">
        <f t="shared" ca="1" si="243"/>
        <v>557.22539682539696</v>
      </c>
      <c r="K837" s="1">
        <f t="shared" ca="1" si="243"/>
        <v>60.917025000000002</v>
      </c>
      <c r="L837" s="1">
        <f t="shared" ca="1" si="243"/>
        <v>557.22539682539696</v>
      </c>
      <c r="M837" s="1">
        <f t="shared" ca="1" si="243"/>
        <v>60.917025000000002</v>
      </c>
      <c r="N837" s="1">
        <f t="shared" ca="1" si="243"/>
        <v>0.2</v>
      </c>
      <c r="O837" s="1">
        <f t="shared" ca="1" si="243"/>
        <v>0.2</v>
      </c>
      <c r="P837" s="1">
        <f t="shared" ca="1" si="243"/>
        <v>0.36</v>
      </c>
      <c r="Q837" s="1">
        <f t="shared" ca="1" si="243"/>
        <v>0.1</v>
      </c>
      <c r="R837" s="1">
        <f t="shared" ca="1" si="243"/>
        <v>2</v>
      </c>
      <c r="S837" s="1">
        <f t="shared" ca="1" si="244"/>
        <v>0.1</v>
      </c>
      <c r="T837" s="1">
        <f t="shared" ca="1" si="244"/>
        <v>0.9</v>
      </c>
      <c r="U837" s="1">
        <f t="shared" ca="1" si="244"/>
        <v>83.133333333333297</v>
      </c>
      <c r="V837" s="1">
        <f t="shared" ca="1" si="244"/>
        <v>0</v>
      </c>
      <c r="W837" s="1">
        <f t="shared" ca="1" si="244"/>
        <v>0</v>
      </c>
      <c r="X837" s="1">
        <f t="shared" ca="1" si="244"/>
        <v>0</v>
      </c>
      <c r="Y837" s="1">
        <f t="shared" ca="1" si="244"/>
        <v>0</v>
      </c>
      <c r="Z837" s="1">
        <f t="shared" ca="1" si="244"/>
        <v>0</v>
      </c>
      <c r="AA837" s="1">
        <f t="shared" ca="1" si="244"/>
        <v>228.9238095238095</v>
      </c>
      <c r="AB837" s="1">
        <f t="shared" ca="1" si="242"/>
        <v>0</v>
      </c>
      <c r="AC837" s="1">
        <f t="shared" ca="1" si="244"/>
        <v>60.917025000000002</v>
      </c>
      <c r="AD837" s="1">
        <f t="shared" ca="1" si="244"/>
        <v>60.917025000000002</v>
      </c>
      <c r="AE837" s="1">
        <f t="shared" ca="1" si="244"/>
        <v>60.917025000000002</v>
      </c>
      <c r="AF837" s="1">
        <f t="shared" ca="1" si="244"/>
        <v>60.917025000000002</v>
      </c>
      <c r="AG837" s="1">
        <f t="shared" ca="1" si="244"/>
        <v>60.917025000000002</v>
      </c>
      <c r="AH837" s="1">
        <f t="shared" ca="1" si="244"/>
        <v>91.375537500000007</v>
      </c>
      <c r="AI837" s="1">
        <f t="shared" ca="1" si="232"/>
        <v>60.917025000000002</v>
      </c>
    </row>
    <row r="838" spans="2:35" x14ac:dyDescent="0.15">
      <c r="B838" s="1" t="str">
        <f t="shared" si="247"/>
        <v>暗系44</v>
      </c>
      <c r="C838" s="1">
        <f t="shared" si="237"/>
        <v>44</v>
      </c>
      <c r="D838" s="14" t="s">
        <v>98</v>
      </c>
      <c r="E838" s="14">
        <f t="shared" si="238"/>
        <v>9</v>
      </c>
      <c r="F838" s="1" t="str">
        <f t="shared" si="245"/>
        <v>黑暗</v>
      </c>
      <c r="H838" s="1">
        <f t="shared" ca="1" si="246"/>
        <v>1342.53388679759</v>
      </c>
      <c r="I838" s="1">
        <f t="shared" ca="1" si="243"/>
        <v>150</v>
      </c>
      <c r="J838" s="1">
        <f t="shared" ca="1" si="243"/>
        <v>574.82563417890503</v>
      </c>
      <c r="K838" s="1">
        <f t="shared" ca="1" si="243"/>
        <v>62.3337</v>
      </c>
      <c r="L838" s="1">
        <f t="shared" ca="1" si="243"/>
        <v>574.82563417890503</v>
      </c>
      <c r="M838" s="1">
        <f t="shared" ca="1" si="243"/>
        <v>62.3337</v>
      </c>
      <c r="N838" s="1">
        <f t="shared" ca="1" si="243"/>
        <v>0.2</v>
      </c>
      <c r="O838" s="1">
        <f t="shared" ca="1" si="243"/>
        <v>0.2</v>
      </c>
      <c r="P838" s="1">
        <f t="shared" ca="1" si="243"/>
        <v>0.36</v>
      </c>
      <c r="Q838" s="1">
        <f t="shared" ca="1" si="243"/>
        <v>0.1</v>
      </c>
      <c r="R838" s="1">
        <f t="shared" ca="1" si="243"/>
        <v>2</v>
      </c>
      <c r="S838" s="1">
        <f t="shared" ca="1" si="244"/>
        <v>0.1</v>
      </c>
      <c r="T838" s="1">
        <f t="shared" ca="1" si="244"/>
        <v>0.9</v>
      </c>
      <c r="U838" s="1">
        <f t="shared" ca="1" si="244"/>
        <v>85.066666666666706</v>
      </c>
      <c r="V838" s="1">
        <f t="shared" ca="1" si="244"/>
        <v>0</v>
      </c>
      <c r="W838" s="1">
        <f t="shared" ca="1" si="244"/>
        <v>0</v>
      </c>
      <c r="X838" s="1">
        <f t="shared" ca="1" si="244"/>
        <v>0</v>
      </c>
      <c r="Y838" s="1">
        <f t="shared" ca="1" si="244"/>
        <v>0</v>
      </c>
      <c r="Z838" s="1">
        <f t="shared" ca="1" si="244"/>
        <v>0</v>
      </c>
      <c r="AA838" s="1">
        <f t="shared" ca="1" si="244"/>
        <v>243.19546061415303</v>
      </c>
      <c r="AB838" s="1">
        <f t="shared" ca="1" si="242"/>
        <v>0</v>
      </c>
      <c r="AC838" s="1">
        <f t="shared" ca="1" si="244"/>
        <v>62.3337</v>
      </c>
      <c r="AD838" s="1">
        <f t="shared" ca="1" si="244"/>
        <v>62.3337</v>
      </c>
      <c r="AE838" s="1">
        <f t="shared" ca="1" si="244"/>
        <v>62.3337</v>
      </c>
      <c r="AF838" s="1">
        <f t="shared" ca="1" si="244"/>
        <v>62.3337</v>
      </c>
      <c r="AG838" s="1">
        <f t="shared" ca="1" si="244"/>
        <v>62.3337</v>
      </c>
      <c r="AH838" s="1">
        <f t="shared" ca="1" si="244"/>
        <v>93.500550000000004</v>
      </c>
      <c r="AI838" s="1">
        <f t="shared" ca="1" si="232"/>
        <v>62.3337</v>
      </c>
    </row>
    <row r="839" spans="2:35" x14ac:dyDescent="0.15">
      <c r="B839" s="1" t="str">
        <f t="shared" si="247"/>
        <v>暗系45</v>
      </c>
      <c r="C839" s="1">
        <f t="shared" si="237"/>
        <v>45</v>
      </c>
      <c r="D839" s="14" t="s">
        <v>98</v>
      </c>
      <c r="E839" s="14">
        <f t="shared" si="238"/>
        <v>9</v>
      </c>
      <c r="F839" s="1" t="str">
        <f t="shared" si="245"/>
        <v>黑暗</v>
      </c>
      <c r="H839" s="1">
        <f t="shared" ca="1" si="246"/>
        <v>1433.4145567624901</v>
      </c>
      <c r="I839" s="1">
        <f t="shared" ca="1" si="243"/>
        <v>150</v>
      </c>
      <c r="J839" s="1">
        <f t="shared" ca="1" si="243"/>
        <v>592.68699460916503</v>
      </c>
      <c r="K839" s="1">
        <f t="shared" ca="1" si="243"/>
        <v>63.750374999999998</v>
      </c>
      <c r="L839" s="1">
        <f t="shared" ca="1" si="243"/>
        <v>592.68699460916503</v>
      </c>
      <c r="M839" s="1">
        <f t="shared" ca="1" si="243"/>
        <v>63.750374999999998</v>
      </c>
      <c r="N839" s="1">
        <f t="shared" ca="1" si="243"/>
        <v>0.2</v>
      </c>
      <c r="O839" s="1">
        <f t="shared" ca="1" si="243"/>
        <v>0.2</v>
      </c>
      <c r="P839" s="1">
        <f t="shared" ca="1" si="243"/>
        <v>0.36</v>
      </c>
      <c r="Q839" s="1">
        <f t="shared" ca="1" si="243"/>
        <v>0.1</v>
      </c>
      <c r="R839" s="1">
        <f t="shared" ca="1" si="243"/>
        <v>2</v>
      </c>
      <c r="S839" s="1">
        <f t="shared" ca="1" si="244"/>
        <v>0.1</v>
      </c>
      <c r="T839" s="1">
        <f t="shared" ca="1" si="244"/>
        <v>0.9</v>
      </c>
      <c r="U839" s="1">
        <f t="shared" ca="1" si="244"/>
        <v>87</v>
      </c>
      <c r="V839" s="1">
        <f t="shared" ca="1" si="244"/>
        <v>0</v>
      </c>
      <c r="W839" s="1">
        <f t="shared" ca="1" si="244"/>
        <v>0</v>
      </c>
      <c r="X839" s="1">
        <f t="shared" ca="1" si="244"/>
        <v>0</v>
      </c>
      <c r="Y839" s="1">
        <f t="shared" ca="1" si="244"/>
        <v>0</v>
      </c>
      <c r="Z839" s="1">
        <f t="shared" ca="1" si="244"/>
        <v>0</v>
      </c>
      <c r="AA839" s="1">
        <f t="shared" ca="1" si="244"/>
        <v>258.105626684637</v>
      </c>
      <c r="AB839" s="1">
        <f t="shared" ca="1" si="244"/>
        <v>0</v>
      </c>
      <c r="AC839" s="1">
        <f t="shared" ca="1" si="244"/>
        <v>63.750374999999998</v>
      </c>
      <c r="AD839" s="1">
        <f t="shared" ca="1" si="244"/>
        <v>63.750374999999998</v>
      </c>
      <c r="AE839" s="1">
        <f t="shared" ca="1" si="244"/>
        <v>63.750374999999998</v>
      </c>
      <c r="AF839" s="1">
        <f t="shared" ca="1" si="244"/>
        <v>63.750374999999998</v>
      </c>
      <c r="AG839" s="1">
        <f t="shared" ca="1" si="244"/>
        <v>63.750374999999998</v>
      </c>
      <c r="AH839" s="1">
        <f t="shared" ca="1" si="244"/>
        <v>95.625562500000001</v>
      </c>
      <c r="AI839" s="1">
        <f t="shared" ca="1" si="232"/>
        <v>63.750374999999998</v>
      </c>
    </row>
    <row r="840" spans="2:35" x14ac:dyDescent="0.15">
      <c r="B840" s="1" t="str">
        <f t="shared" si="247"/>
        <v>暗系46</v>
      </c>
      <c r="C840" s="1">
        <f t="shared" si="237"/>
        <v>46</v>
      </c>
      <c r="D840" s="14" t="s">
        <v>98</v>
      </c>
      <c r="E840" s="14">
        <f t="shared" si="238"/>
        <v>9</v>
      </c>
      <c r="F840" s="1" t="str">
        <f t="shared" si="245"/>
        <v>黑暗</v>
      </c>
      <c r="H840" s="1">
        <f t="shared" ca="1" si="246"/>
        <v>1472.82114251541</v>
      </c>
      <c r="I840" s="1">
        <f t="shared" ca="1" si="243"/>
        <v>150</v>
      </c>
      <c r="J840" s="1">
        <f t="shared" ca="1" si="243"/>
        <v>610.81428571428603</v>
      </c>
      <c r="K840" s="1">
        <f t="shared" ca="1" si="243"/>
        <v>65.167050000000003</v>
      </c>
      <c r="L840" s="1">
        <f t="shared" ca="1" si="243"/>
        <v>610.81428571428603</v>
      </c>
      <c r="M840" s="1">
        <f t="shared" ca="1" si="243"/>
        <v>65.167050000000003</v>
      </c>
      <c r="N840" s="1">
        <f t="shared" ca="1" si="243"/>
        <v>0.2</v>
      </c>
      <c r="O840" s="1">
        <f t="shared" ca="1" si="243"/>
        <v>0.2</v>
      </c>
      <c r="P840" s="1">
        <f t="shared" ca="1" si="243"/>
        <v>0.36</v>
      </c>
      <c r="Q840" s="1">
        <f t="shared" ca="1" si="243"/>
        <v>0.1</v>
      </c>
      <c r="R840" s="1">
        <f t="shared" ca="1" si="243"/>
        <v>2</v>
      </c>
      <c r="S840" s="1">
        <f t="shared" ca="1" si="244"/>
        <v>0.1</v>
      </c>
      <c r="T840" s="1">
        <f t="shared" ca="1" si="244"/>
        <v>0.9</v>
      </c>
      <c r="U840" s="1">
        <f t="shared" ca="1" si="244"/>
        <v>88.933333333333294</v>
      </c>
      <c r="V840" s="1">
        <f t="shared" ca="1" si="244"/>
        <v>0</v>
      </c>
      <c r="W840" s="1">
        <f t="shared" ca="1" si="244"/>
        <v>0</v>
      </c>
      <c r="X840" s="1">
        <f t="shared" ca="1" si="244"/>
        <v>0</v>
      </c>
      <c r="Y840" s="1">
        <f t="shared" ca="1" si="244"/>
        <v>0</v>
      </c>
      <c r="Z840" s="1">
        <f t="shared" ca="1" si="244"/>
        <v>0</v>
      </c>
      <c r="AA840" s="1">
        <f t="shared" ca="1" si="244"/>
        <v>273.67653061224451</v>
      </c>
      <c r="AB840" s="1">
        <f t="shared" ca="1" si="244"/>
        <v>0</v>
      </c>
      <c r="AC840" s="1">
        <f t="shared" ca="1" si="244"/>
        <v>65.167050000000003</v>
      </c>
      <c r="AD840" s="1">
        <f t="shared" ca="1" si="244"/>
        <v>65.167050000000003</v>
      </c>
      <c r="AE840" s="1">
        <f t="shared" ca="1" si="244"/>
        <v>65.167050000000003</v>
      </c>
      <c r="AF840" s="1">
        <f t="shared" ca="1" si="244"/>
        <v>65.167050000000003</v>
      </c>
      <c r="AG840" s="1">
        <f t="shared" ca="1" si="244"/>
        <v>65.167050000000003</v>
      </c>
      <c r="AH840" s="1">
        <f t="shared" ca="1" si="244"/>
        <v>97.750574999999998</v>
      </c>
      <c r="AI840" s="1">
        <f t="shared" ca="1" si="232"/>
        <v>65.167050000000003</v>
      </c>
    </row>
    <row r="841" spans="2:35" x14ac:dyDescent="0.15">
      <c r="B841" s="1" t="str">
        <f t="shared" si="247"/>
        <v>暗系47</v>
      </c>
      <c r="C841" s="1">
        <f t="shared" si="237"/>
        <v>47</v>
      </c>
      <c r="D841" s="14" t="s">
        <v>98</v>
      </c>
      <c r="E841" s="14">
        <f t="shared" si="238"/>
        <v>9</v>
      </c>
      <c r="F841" s="1" t="str">
        <f t="shared" si="245"/>
        <v>黑暗</v>
      </c>
      <c r="H841" s="1">
        <f t="shared" ca="1" si="246"/>
        <v>1512.5561164829401</v>
      </c>
      <c r="I841" s="1">
        <f t="shared" ca="1" si="243"/>
        <v>150</v>
      </c>
      <c r="J841" s="1">
        <f t="shared" ca="1" si="243"/>
        <v>629.21249999999998</v>
      </c>
      <c r="K841" s="1">
        <f t="shared" ca="1" si="243"/>
        <v>66.583725000000001</v>
      </c>
      <c r="L841" s="1">
        <f t="shared" ca="1" si="243"/>
        <v>629.21249999999998</v>
      </c>
      <c r="M841" s="1">
        <f t="shared" ca="1" si="243"/>
        <v>66.583725000000001</v>
      </c>
      <c r="N841" s="1">
        <f t="shared" ca="1" si="243"/>
        <v>0.2</v>
      </c>
      <c r="O841" s="1">
        <f t="shared" ca="1" si="243"/>
        <v>0.2</v>
      </c>
      <c r="P841" s="1">
        <f t="shared" ca="1" si="243"/>
        <v>0.36</v>
      </c>
      <c r="Q841" s="1">
        <f t="shared" ca="1" si="243"/>
        <v>0.1</v>
      </c>
      <c r="R841" s="1">
        <f t="shared" ca="1" si="243"/>
        <v>2</v>
      </c>
      <c r="S841" s="1">
        <f t="shared" ca="1" si="244"/>
        <v>0.1</v>
      </c>
      <c r="T841" s="1">
        <f t="shared" ca="1" si="244"/>
        <v>0.9</v>
      </c>
      <c r="U841" s="1">
        <f t="shared" ca="1" si="244"/>
        <v>90.866666666666703</v>
      </c>
      <c r="V841" s="1">
        <f t="shared" ca="1" si="244"/>
        <v>0</v>
      </c>
      <c r="W841" s="1">
        <f t="shared" ca="1" si="244"/>
        <v>0</v>
      </c>
      <c r="X841" s="1">
        <f t="shared" ca="1" si="244"/>
        <v>0</v>
      </c>
      <c r="Y841" s="1">
        <f t="shared" ca="1" si="244"/>
        <v>0</v>
      </c>
      <c r="Z841" s="1">
        <f t="shared" ca="1" si="244"/>
        <v>0</v>
      </c>
      <c r="AA841" s="1">
        <f t="shared" ca="1" si="244"/>
        <v>289.93124999999998</v>
      </c>
      <c r="AB841" s="1">
        <f t="shared" ca="1" si="244"/>
        <v>0</v>
      </c>
      <c r="AC841" s="1">
        <f t="shared" ca="1" si="244"/>
        <v>66.583725000000001</v>
      </c>
      <c r="AD841" s="1">
        <f t="shared" ca="1" si="244"/>
        <v>66.583725000000001</v>
      </c>
      <c r="AE841" s="1">
        <f t="shared" ca="1" si="244"/>
        <v>66.583725000000001</v>
      </c>
      <c r="AF841" s="1">
        <f t="shared" ca="1" si="244"/>
        <v>66.583725000000001</v>
      </c>
      <c r="AG841" s="1">
        <f t="shared" ca="1" si="244"/>
        <v>66.583725000000001</v>
      </c>
      <c r="AH841" s="1">
        <f t="shared" ca="1" si="244"/>
        <v>99.875587499999995</v>
      </c>
      <c r="AI841" s="1">
        <f t="shared" ca="1" si="232"/>
        <v>66.583725000000001</v>
      </c>
    </row>
    <row r="842" spans="2:35" x14ac:dyDescent="0.15">
      <c r="B842" s="1" t="str">
        <f t="shared" si="247"/>
        <v>暗系48</v>
      </c>
      <c r="C842" s="1">
        <f t="shared" si="237"/>
        <v>48</v>
      </c>
      <c r="D842" s="14" t="s">
        <v>98</v>
      </c>
      <c r="E842" s="14">
        <f t="shared" si="238"/>
        <v>9</v>
      </c>
      <c r="F842" s="1" t="str">
        <f t="shared" si="245"/>
        <v>黑暗</v>
      </c>
      <c r="H842" s="1">
        <f t="shared" ca="1" si="246"/>
        <v>1552.6194786650699</v>
      </c>
      <c r="I842" s="1">
        <f t="shared" ca="1" si="243"/>
        <v>150</v>
      </c>
      <c r="J842" s="1">
        <f t="shared" ca="1" si="243"/>
        <v>647.88682385575601</v>
      </c>
      <c r="K842" s="1">
        <f t="shared" ca="1" si="243"/>
        <v>68.000399999999999</v>
      </c>
      <c r="L842" s="1">
        <f t="shared" ca="1" si="243"/>
        <v>647.88682385575601</v>
      </c>
      <c r="M842" s="1">
        <f t="shared" ca="1" si="243"/>
        <v>68.000399999999999</v>
      </c>
      <c r="N842" s="1">
        <f t="shared" ca="1" si="243"/>
        <v>0.2</v>
      </c>
      <c r="O842" s="1">
        <f t="shared" ca="1" si="243"/>
        <v>0.2</v>
      </c>
      <c r="P842" s="1">
        <f t="shared" ca="1" si="243"/>
        <v>0.36</v>
      </c>
      <c r="Q842" s="1">
        <f t="shared" ca="1" si="243"/>
        <v>0.1</v>
      </c>
      <c r="R842" s="1">
        <f t="shared" ca="1" si="243"/>
        <v>2</v>
      </c>
      <c r="S842" s="1">
        <f t="shared" ca="1" si="244"/>
        <v>0.1</v>
      </c>
      <c r="T842" s="1">
        <f t="shared" ca="1" si="244"/>
        <v>0.9</v>
      </c>
      <c r="U842" s="1">
        <f t="shared" ca="1" si="244"/>
        <v>92.8</v>
      </c>
      <c r="V842" s="1">
        <f t="shared" ca="1" si="244"/>
        <v>0</v>
      </c>
      <c r="W842" s="1">
        <f t="shared" ca="1" si="244"/>
        <v>0</v>
      </c>
      <c r="X842" s="1">
        <f t="shared" ca="1" si="244"/>
        <v>0</v>
      </c>
      <c r="Y842" s="1">
        <f t="shared" ca="1" si="244"/>
        <v>0</v>
      </c>
      <c r="Z842" s="1">
        <f t="shared" ca="1" si="244"/>
        <v>0</v>
      </c>
      <c r="AA842" s="1">
        <f t="shared" ca="1" si="244"/>
        <v>306.893758668516</v>
      </c>
      <c r="AB842" s="1">
        <f t="shared" ca="1" si="244"/>
        <v>0</v>
      </c>
      <c r="AC842" s="1">
        <f t="shared" ca="1" si="244"/>
        <v>68.000399999999999</v>
      </c>
      <c r="AD842" s="1">
        <f t="shared" ca="1" si="244"/>
        <v>68.000399999999999</v>
      </c>
      <c r="AE842" s="1">
        <f t="shared" ca="1" si="244"/>
        <v>68.000399999999999</v>
      </c>
      <c r="AF842" s="1">
        <f t="shared" ca="1" si="244"/>
        <v>68.000399999999999</v>
      </c>
      <c r="AG842" s="1">
        <f t="shared" ca="1" si="244"/>
        <v>68.000399999999999</v>
      </c>
      <c r="AH842" s="1">
        <f t="shared" ca="1" si="244"/>
        <v>102.00059999999999</v>
      </c>
      <c r="AI842" s="1">
        <f t="shared" ca="1" si="232"/>
        <v>68.000399999999999</v>
      </c>
    </row>
    <row r="843" spans="2:35" x14ac:dyDescent="0.15">
      <c r="B843" s="1" t="str">
        <f t="shared" si="247"/>
        <v>暗系49</v>
      </c>
      <c r="C843" s="1">
        <f t="shared" si="237"/>
        <v>49</v>
      </c>
      <c r="D843" s="14" t="s">
        <v>98</v>
      </c>
      <c r="E843" s="14">
        <f t="shared" si="238"/>
        <v>9</v>
      </c>
      <c r="F843" s="1" t="str">
        <f t="shared" si="245"/>
        <v>黑暗</v>
      </c>
      <c r="H843" s="1">
        <f t="shared" ca="1" si="246"/>
        <v>1593.0112290618199</v>
      </c>
      <c r="I843" s="1">
        <f t="shared" ref="I843:R852" ca="1" si="248">mVlookup($C843,monsterBaseDate,I$2,FALSE)*(1+mVlookup($E843,monsterType,I$2,FALSE))</f>
        <v>150</v>
      </c>
      <c r="J843" s="1">
        <f t="shared" ca="1" si="248"/>
        <v>666.84264705882401</v>
      </c>
      <c r="K843" s="1">
        <f t="shared" ca="1" si="248"/>
        <v>69.417074999999997</v>
      </c>
      <c r="L843" s="1">
        <f t="shared" ca="1" si="248"/>
        <v>666.84264705882401</v>
      </c>
      <c r="M843" s="1">
        <f t="shared" ca="1" si="248"/>
        <v>69.417074999999997</v>
      </c>
      <c r="N843" s="1">
        <f t="shared" ca="1" si="248"/>
        <v>0.2</v>
      </c>
      <c r="O843" s="1">
        <f t="shared" ca="1" si="248"/>
        <v>0.2</v>
      </c>
      <c r="P843" s="1">
        <f t="shared" ca="1" si="248"/>
        <v>0.36</v>
      </c>
      <c r="Q843" s="1">
        <f t="shared" ca="1" si="248"/>
        <v>0.1</v>
      </c>
      <c r="R843" s="1">
        <f t="shared" ca="1" si="248"/>
        <v>2</v>
      </c>
      <c r="S843" s="1">
        <f t="shared" ref="S843:AH858" ca="1" si="249">mVlookup($C843,monsterBaseDate,S$2,FALSE)*(1+mVlookup($E843,monsterType,S$2,FALSE))</f>
        <v>0.1</v>
      </c>
      <c r="T843" s="1">
        <f t="shared" ca="1" si="249"/>
        <v>0.9</v>
      </c>
      <c r="U843" s="1">
        <f t="shared" ca="1" si="249"/>
        <v>94.733333333333306</v>
      </c>
      <c r="V843" s="1">
        <f t="shared" ca="1" si="249"/>
        <v>0</v>
      </c>
      <c r="W843" s="1">
        <f t="shared" ca="1" si="249"/>
        <v>0</v>
      </c>
      <c r="X843" s="1">
        <f t="shared" ca="1" si="249"/>
        <v>0</v>
      </c>
      <c r="Y843" s="1">
        <f t="shared" ca="1" si="249"/>
        <v>0</v>
      </c>
      <c r="Z843" s="1">
        <f t="shared" ca="1" si="249"/>
        <v>0</v>
      </c>
      <c r="AA843" s="1">
        <f t="shared" ca="1" si="249"/>
        <v>324.58897058823601</v>
      </c>
      <c r="AB843" s="1">
        <f t="shared" ca="1" si="244"/>
        <v>0</v>
      </c>
      <c r="AC843" s="1">
        <f t="shared" ca="1" si="249"/>
        <v>69.417074999999997</v>
      </c>
      <c r="AD843" s="1">
        <f t="shared" ca="1" si="249"/>
        <v>69.417074999999997</v>
      </c>
      <c r="AE843" s="1">
        <f t="shared" ca="1" si="249"/>
        <v>69.417074999999997</v>
      </c>
      <c r="AF843" s="1">
        <f t="shared" ca="1" si="249"/>
        <v>69.417074999999997</v>
      </c>
      <c r="AG843" s="1">
        <f t="shared" ca="1" si="249"/>
        <v>69.417074999999997</v>
      </c>
      <c r="AH843" s="1">
        <f t="shared" ca="1" si="249"/>
        <v>104.12561249999999</v>
      </c>
      <c r="AI843" s="1">
        <f t="shared" ca="1" si="232"/>
        <v>69.417074999999997</v>
      </c>
    </row>
    <row r="844" spans="2:35" x14ac:dyDescent="0.15">
      <c r="B844" s="1" t="str">
        <f t="shared" si="247"/>
        <v>暗系50</v>
      </c>
      <c r="C844" s="1">
        <f t="shared" si="237"/>
        <v>50</v>
      </c>
      <c r="D844" s="14" t="s">
        <v>98</v>
      </c>
      <c r="E844" s="14">
        <f t="shared" si="238"/>
        <v>9</v>
      </c>
      <c r="F844" s="1" t="str">
        <f t="shared" si="245"/>
        <v>黑暗</v>
      </c>
      <c r="H844" s="1">
        <f t="shared" ca="1" si="246"/>
        <v>1633.7313676731701</v>
      </c>
      <c r="I844" s="1">
        <f t="shared" ca="1" si="248"/>
        <v>150</v>
      </c>
      <c r="J844" s="1">
        <f t="shared" ca="1" si="248"/>
        <v>686.085572842999</v>
      </c>
      <c r="K844" s="1">
        <f t="shared" ca="1" si="248"/>
        <v>70.833749999999995</v>
      </c>
      <c r="L844" s="1">
        <f t="shared" ca="1" si="248"/>
        <v>686.085572842999</v>
      </c>
      <c r="M844" s="1">
        <f t="shared" ca="1" si="248"/>
        <v>70.833749999999995</v>
      </c>
      <c r="N844" s="1">
        <f t="shared" ca="1" si="248"/>
        <v>0.2</v>
      </c>
      <c r="O844" s="1">
        <f t="shared" ca="1" si="248"/>
        <v>0.2</v>
      </c>
      <c r="P844" s="1">
        <f t="shared" ca="1" si="248"/>
        <v>0.36</v>
      </c>
      <c r="Q844" s="1">
        <f t="shared" ca="1" si="248"/>
        <v>0.1</v>
      </c>
      <c r="R844" s="1">
        <f t="shared" ca="1" si="248"/>
        <v>2</v>
      </c>
      <c r="S844" s="1">
        <f t="shared" ca="1" si="249"/>
        <v>0.1</v>
      </c>
      <c r="T844" s="1">
        <f t="shared" ca="1" si="249"/>
        <v>0.9</v>
      </c>
      <c r="U844" s="1">
        <f t="shared" ca="1" si="249"/>
        <v>96.6666666666667</v>
      </c>
      <c r="V844" s="1">
        <f t="shared" ca="1" si="249"/>
        <v>0</v>
      </c>
      <c r="W844" s="1">
        <f t="shared" ca="1" si="249"/>
        <v>0</v>
      </c>
      <c r="X844" s="1">
        <f t="shared" ca="1" si="249"/>
        <v>0</v>
      </c>
      <c r="Y844" s="1">
        <f t="shared" ca="1" si="249"/>
        <v>0</v>
      </c>
      <c r="Z844" s="1">
        <f t="shared" ca="1" si="249"/>
        <v>0</v>
      </c>
      <c r="AA844" s="1">
        <f t="shared" ca="1" si="249"/>
        <v>343.04278642149899</v>
      </c>
      <c r="AB844" s="1">
        <f t="shared" ca="1" si="244"/>
        <v>0</v>
      </c>
      <c r="AC844" s="1">
        <f t="shared" ca="1" si="249"/>
        <v>70.833749999999995</v>
      </c>
      <c r="AD844" s="1">
        <f t="shared" ca="1" si="249"/>
        <v>70.833749999999995</v>
      </c>
      <c r="AE844" s="1">
        <f t="shared" ca="1" si="249"/>
        <v>70.833749999999995</v>
      </c>
      <c r="AF844" s="1">
        <f t="shared" ca="1" si="249"/>
        <v>70.833749999999995</v>
      </c>
      <c r="AG844" s="1">
        <f t="shared" ca="1" si="249"/>
        <v>70.833749999999995</v>
      </c>
      <c r="AH844" s="1">
        <f t="shared" ca="1" si="249"/>
        <v>106.25062499999999</v>
      </c>
      <c r="AI844" s="1">
        <f t="shared" ca="1" si="232"/>
        <v>70.833749999999995</v>
      </c>
    </row>
    <row r="845" spans="2:35" x14ac:dyDescent="0.15">
      <c r="B845" s="1" t="str">
        <f t="shared" si="247"/>
        <v>暗系51</v>
      </c>
      <c r="C845" s="1">
        <f t="shared" si="237"/>
        <v>51</v>
      </c>
      <c r="D845" s="14" t="s">
        <v>98</v>
      </c>
      <c r="E845" s="14">
        <f t="shared" si="238"/>
        <v>9</v>
      </c>
      <c r="F845" s="1" t="str">
        <f t="shared" si="245"/>
        <v>黑暗</v>
      </c>
      <c r="H845" s="1">
        <f t="shared" ca="1" si="246"/>
        <v>1674.77989449913</v>
      </c>
      <c r="I845" s="1">
        <f t="shared" ca="1" si="248"/>
        <v>150</v>
      </c>
      <c r="J845" s="1">
        <f t="shared" ca="1" si="248"/>
        <v>705.62142857142896</v>
      </c>
      <c r="K845" s="1">
        <f t="shared" ca="1" si="248"/>
        <v>72.250425000000007</v>
      </c>
      <c r="L845" s="1">
        <f t="shared" ca="1" si="248"/>
        <v>705.62142857142896</v>
      </c>
      <c r="M845" s="1">
        <f t="shared" ca="1" si="248"/>
        <v>72.250425000000007</v>
      </c>
      <c r="N845" s="1">
        <f t="shared" ca="1" si="248"/>
        <v>0.2</v>
      </c>
      <c r="O845" s="1">
        <f t="shared" ca="1" si="248"/>
        <v>0.2</v>
      </c>
      <c r="P845" s="1">
        <f t="shared" ca="1" si="248"/>
        <v>0.36</v>
      </c>
      <c r="Q845" s="1">
        <f t="shared" ca="1" si="248"/>
        <v>0.1</v>
      </c>
      <c r="R845" s="1">
        <f t="shared" ca="1" si="248"/>
        <v>2</v>
      </c>
      <c r="S845" s="1">
        <f t="shared" ca="1" si="249"/>
        <v>0.1</v>
      </c>
      <c r="T845" s="1">
        <f t="shared" ca="1" si="249"/>
        <v>0.9</v>
      </c>
      <c r="U845" s="1">
        <f t="shared" ca="1" si="249"/>
        <v>98.6</v>
      </c>
      <c r="V845" s="1">
        <f t="shared" ca="1" si="249"/>
        <v>0</v>
      </c>
      <c r="W845" s="1">
        <f t="shared" ca="1" si="249"/>
        <v>0</v>
      </c>
      <c r="X845" s="1">
        <f t="shared" ca="1" si="249"/>
        <v>0</v>
      </c>
      <c r="Y845" s="1">
        <f t="shared" ca="1" si="249"/>
        <v>0</v>
      </c>
      <c r="Z845" s="1">
        <f t="shared" ca="1" si="249"/>
        <v>0</v>
      </c>
      <c r="AA845" s="1">
        <f t="shared" ca="1" si="249"/>
        <v>362.28214285714353</v>
      </c>
      <c r="AB845" s="1">
        <f t="shared" ca="1" si="244"/>
        <v>0</v>
      </c>
      <c r="AC845" s="1">
        <f t="shared" ca="1" si="249"/>
        <v>72.250425000000007</v>
      </c>
      <c r="AD845" s="1">
        <f t="shared" ca="1" si="249"/>
        <v>72.250425000000007</v>
      </c>
      <c r="AE845" s="1">
        <f t="shared" ca="1" si="249"/>
        <v>72.250425000000007</v>
      </c>
      <c r="AF845" s="1">
        <f t="shared" ca="1" si="249"/>
        <v>72.250425000000007</v>
      </c>
      <c r="AG845" s="1">
        <f t="shared" ca="1" si="249"/>
        <v>72.250425000000007</v>
      </c>
      <c r="AH845" s="1">
        <f t="shared" ca="1" si="249"/>
        <v>108.37563750000001</v>
      </c>
      <c r="AI845" s="1">
        <f t="shared" ca="1" si="232"/>
        <v>72.250425000000007</v>
      </c>
    </row>
    <row r="846" spans="2:35" x14ac:dyDescent="0.15">
      <c r="B846" s="1" t="str">
        <f t="shared" si="247"/>
        <v>暗系52</v>
      </c>
      <c r="C846" s="1">
        <f t="shared" si="237"/>
        <v>52</v>
      </c>
      <c r="D846" s="14" t="s">
        <v>98</v>
      </c>
      <c r="E846" s="14">
        <f t="shared" si="238"/>
        <v>9</v>
      </c>
      <c r="F846" s="1" t="str">
        <f t="shared" si="245"/>
        <v>黑暗</v>
      </c>
      <c r="H846" s="1">
        <f t="shared" ca="1" si="246"/>
        <v>1716.1568095396899</v>
      </c>
      <c r="I846" s="1">
        <f t="shared" ca="1" si="248"/>
        <v>150</v>
      </c>
      <c r="J846" s="1">
        <f t="shared" ca="1" si="248"/>
        <v>725.45627705627703</v>
      </c>
      <c r="K846" s="1">
        <f t="shared" ca="1" si="248"/>
        <v>73.667100000000005</v>
      </c>
      <c r="L846" s="1">
        <f t="shared" ca="1" si="248"/>
        <v>725.45627705627703</v>
      </c>
      <c r="M846" s="1">
        <f t="shared" ca="1" si="248"/>
        <v>73.667100000000005</v>
      </c>
      <c r="N846" s="1">
        <f t="shared" ca="1" si="248"/>
        <v>0.2</v>
      </c>
      <c r="O846" s="1">
        <f t="shared" ca="1" si="248"/>
        <v>0.2</v>
      </c>
      <c r="P846" s="1">
        <f t="shared" ca="1" si="248"/>
        <v>0.36</v>
      </c>
      <c r="Q846" s="1">
        <f t="shared" ca="1" si="248"/>
        <v>0.1</v>
      </c>
      <c r="R846" s="1">
        <f t="shared" ca="1" si="248"/>
        <v>2</v>
      </c>
      <c r="S846" s="1">
        <f t="shared" ca="1" si="249"/>
        <v>0.1</v>
      </c>
      <c r="T846" s="1">
        <f t="shared" ca="1" si="249"/>
        <v>0.9</v>
      </c>
      <c r="U846" s="1">
        <f t="shared" ca="1" si="249"/>
        <v>100.533333333333</v>
      </c>
      <c r="V846" s="1">
        <f t="shared" ca="1" si="249"/>
        <v>0</v>
      </c>
      <c r="W846" s="1">
        <f t="shared" ca="1" si="249"/>
        <v>0</v>
      </c>
      <c r="X846" s="1">
        <f t="shared" ca="1" si="249"/>
        <v>0</v>
      </c>
      <c r="Y846" s="1">
        <f t="shared" ca="1" si="249"/>
        <v>0</v>
      </c>
      <c r="Z846" s="1">
        <f t="shared" ca="1" si="249"/>
        <v>0</v>
      </c>
      <c r="AA846" s="1">
        <f t="shared" ca="1" si="249"/>
        <v>382.33506493506451</v>
      </c>
      <c r="AB846" s="1">
        <f t="shared" ca="1" si="244"/>
        <v>0</v>
      </c>
      <c r="AC846" s="1">
        <f t="shared" ca="1" si="249"/>
        <v>73.667100000000005</v>
      </c>
      <c r="AD846" s="1">
        <f t="shared" ca="1" si="249"/>
        <v>73.667100000000005</v>
      </c>
      <c r="AE846" s="1">
        <f t="shared" ca="1" si="249"/>
        <v>73.667100000000005</v>
      </c>
      <c r="AF846" s="1">
        <f t="shared" ca="1" si="249"/>
        <v>73.667100000000005</v>
      </c>
      <c r="AG846" s="1">
        <f t="shared" ca="1" si="249"/>
        <v>73.667100000000005</v>
      </c>
      <c r="AH846" s="1">
        <f t="shared" ca="1" si="249"/>
        <v>110.50065000000001</v>
      </c>
      <c r="AI846" s="1">
        <f t="shared" ca="1" si="232"/>
        <v>73.667100000000005</v>
      </c>
    </row>
    <row r="847" spans="2:35" x14ac:dyDescent="0.15">
      <c r="B847" s="1" t="str">
        <f t="shared" si="247"/>
        <v>暗系53</v>
      </c>
      <c r="C847" s="1">
        <f t="shared" si="237"/>
        <v>53</v>
      </c>
      <c r="D847" s="14" t="s">
        <v>98</v>
      </c>
      <c r="E847" s="14">
        <f t="shared" si="238"/>
        <v>9</v>
      </c>
      <c r="F847" s="1" t="str">
        <f t="shared" si="245"/>
        <v>黑暗</v>
      </c>
      <c r="H847" s="1">
        <f t="shared" ca="1" si="246"/>
        <v>1757.86211279487</v>
      </c>
      <c r="I847" s="1">
        <f t="shared" ca="1" si="248"/>
        <v>150</v>
      </c>
      <c r="J847" s="1">
        <f t="shared" ca="1" si="248"/>
        <v>745.59642857142899</v>
      </c>
      <c r="K847" s="1">
        <f t="shared" ca="1" si="248"/>
        <v>75.083775000000003</v>
      </c>
      <c r="L847" s="1">
        <f t="shared" ca="1" si="248"/>
        <v>745.59642857142899</v>
      </c>
      <c r="M847" s="1">
        <f t="shared" ca="1" si="248"/>
        <v>75.083775000000003</v>
      </c>
      <c r="N847" s="1">
        <f t="shared" ca="1" si="248"/>
        <v>0.2</v>
      </c>
      <c r="O847" s="1">
        <f t="shared" ca="1" si="248"/>
        <v>0.2</v>
      </c>
      <c r="P847" s="1">
        <f t="shared" ca="1" si="248"/>
        <v>0.36</v>
      </c>
      <c r="Q847" s="1">
        <f t="shared" ca="1" si="248"/>
        <v>0.1</v>
      </c>
      <c r="R847" s="1">
        <f t="shared" ca="1" si="248"/>
        <v>2</v>
      </c>
      <c r="S847" s="1">
        <f t="shared" ca="1" si="249"/>
        <v>0.1</v>
      </c>
      <c r="T847" s="1">
        <f t="shared" ca="1" si="249"/>
        <v>0.9</v>
      </c>
      <c r="U847" s="1">
        <f t="shared" ca="1" si="249"/>
        <v>102.466666666667</v>
      </c>
      <c r="V847" s="1">
        <f t="shared" ca="1" si="249"/>
        <v>0</v>
      </c>
      <c r="W847" s="1">
        <f t="shared" ca="1" si="249"/>
        <v>0</v>
      </c>
      <c r="X847" s="1">
        <f t="shared" ca="1" si="249"/>
        <v>0</v>
      </c>
      <c r="Y847" s="1">
        <f t="shared" ca="1" si="249"/>
        <v>0</v>
      </c>
      <c r="Z847" s="1">
        <f t="shared" ca="1" si="249"/>
        <v>0</v>
      </c>
      <c r="AA847" s="1">
        <f t="shared" ca="1" si="249"/>
        <v>403.2307215743445</v>
      </c>
      <c r="AB847" s="1">
        <f t="shared" ca="1" si="244"/>
        <v>0</v>
      </c>
      <c r="AC847" s="1">
        <f t="shared" ca="1" si="249"/>
        <v>75.083775000000003</v>
      </c>
      <c r="AD847" s="1">
        <f t="shared" ca="1" si="249"/>
        <v>75.083775000000003</v>
      </c>
      <c r="AE847" s="1">
        <f t="shared" ca="1" si="249"/>
        <v>75.083775000000003</v>
      </c>
      <c r="AF847" s="1">
        <f t="shared" ca="1" si="249"/>
        <v>75.083775000000003</v>
      </c>
      <c r="AG847" s="1">
        <f t="shared" ca="1" si="249"/>
        <v>75.083775000000003</v>
      </c>
      <c r="AH847" s="1">
        <f t="shared" ca="1" si="249"/>
        <v>112.6256625</v>
      </c>
      <c r="AI847" s="1">
        <f t="shared" ca="1" si="232"/>
        <v>75.083775000000003</v>
      </c>
    </row>
    <row r="848" spans="2:35" x14ac:dyDescent="0.15">
      <c r="B848" s="1" t="str">
        <f t="shared" si="247"/>
        <v>暗系54</v>
      </c>
      <c r="C848" s="1">
        <f t="shared" si="237"/>
        <v>54</v>
      </c>
      <c r="D848" s="14" t="s">
        <v>98</v>
      </c>
      <c r="E848" s="14">
        <f t="shared" si="238"/>
        <v>9</v>
      </c>
      <c r="F848" s="1" t="str">
        <f t="shared" si="245"/>
        <v>黑暗</v>
      </c>
      <c r="H848" s="1">
        <f t="shared" ca="1" si="246"/>
        <v>1799.89580426465</v>
      </c>
      <c r="I848" s="1">
        <f t="shared" ca="1" si="248"/>
        <v>150</v>
      </c>
      <c r="J848" s="1">
        <f t="shared" ca="1" si="248"/>
        <v>766.048453608248</v>
      </c>
      <c r="K848" s="1">
        <f t="shared" ca="1" si="248"/>
        <v>76.500450000000001</v>
      </c>
      <c r="L848" s="1">
        <f t="shared" ca="1" si="248"/>
        <v>766.048453608248</v>
      </c>
      <c r="M848" s="1">
        <f t="shared" ca="1" si="248"/>
        <v>76.500450000000001</v>
      </c>
      <c r="N848" s="1">
        <f t="shared" ca="1" si="248"/>
        <v>0.2</v>
      </c>
      <c r="O848" s="1">
        <f t="shared" ca="1" si="248"/>
        <v>0.2</v>
      </c>
      <c r="P848" s="1">
        <f t="shared" ca="1" si="248"/>
        <v>0.36</v>
      </c>
      <c r="Q848" s="1">
        <f t="shared" ca="1" si="248"/>
        <v>0.1</v>
      </c>
      <c r="R848" s="1">
        <f t="shared" ca="1" si="248"/>
        <v>2</v>
      </c>
      <c r="S848" s="1">
        <f t="shared" ca="1" si="249"/>
        <v>0.1</v>
      </c>
      <c r="T848" s="1">
        <f t="shared" ca="1" si="249"/>
        <v>0.9</v>
      </c>
      <c r="U848" s="1">
        <f t="shared" ca="1" si="249"/>
        <v>104.4</v>
      </c>
      <c r="V848" s="1">
        <f t="shared" ca="1" si="249"/>
        <v>0</v>
      </c>
      <c r="W848" s="1">
        <f t="shared" ca="1" si="249"/>
        <v>0</v>
      </c>
      <c r="X848" s="1">
        <f t="shared" ca="1" si="249"/>
        <v>0</v>
      </c>
      <c r="Y848" s="1">
        <f t="shared" ca="1" si="249"/>
        <v>0</v>
      </c>
      <c r="Z848" s="1">
        <f t="shared" ca="1" si="249"/>
        <v>0</v>
      </c>
      <c r="AA848" s="1">
        <f t="shared" ca="1" si="249"/>
        <v>424.999484536083</v>
      </c>
      <c r="AB848" s="1">
        <f t="shared" ca="1" si="244"/>
        <v>0</v>
      </c>
      <c r="AC848" s="1">
        <f t="shared" ca="1" si="249"/>
        <v>76.500450000000001</v>
      </c>
      <c r="AD848" s="1">
        <f t="shared" ca="1" si="249"/>
        <v>76.500450000000001</v>
      </c>
      <c r="AE848" s="1">
        <f t="shared" ca="1" si="249"/>
        <v>76.500450000000001</v>
      </c>
      <c r="AF848" s="1">
        <f t="shared" ca="1" si="249"/>
        <v>76.500450000000001</v>
      </c>
      <c r="AG848" s="1">
        <f t="shared" ca="1" si="249"/>
        <v>76.500450000000001</v>
      </c>
      <c r="AH848" s="1">
        <f t="shared" ca="1" si="249"/>
        <v>114.750675</v>
      </c>
      <c r="AI848" s="1">
        <f t="shared" ca="1" si="232"/>
        <v>76.500450000000001</v>
      </c>
    </row>
    <row r="849" spans="2:35" x14ac:dyDescent="0.15">
      <c r="B849" s="1" t="str">
        <f t="shared" si="247"/>
        <v>暗系55</v>
      </c>
      <c r="C849" s="1">
        <f t="shared" si="237"/>
        <v>55</v>
      </c>
      <c r="D849" s="14" t="s">
        <v>98</v>
      </c>
      <c r="E849" s="14">
        <f t="shared" si="238"/>
        <v>9</v>
      </c>
      <c r="F849" s="1" t="str">
        <f t="shared" si="245"/>
        <v>黑暗</v>
      </c>
      <c r="H849" s="1">
        <f t="shared" ca="1" si="246"/>
        <v>1842.25788394904</v>
      </c>
      <c r="I849" s="1">
        <f t="shared" ca="1" si="248"/>
        <v>150</v>
      </c>
      <c r="J849" s="1">
        <f t="shared" ca="1" si="248"/>
        <v>786.81919642857201</v>
      </c>
      <c r="K849" s="1">
        <f t="shared" ca="1" si="248"/>
        <v>77.917124999999999</v>
      </c>
      <c r="L849" s="1">
        <f t="shared" ca="1" si="248"/>
        <v>786.81919642857201</v>
      </c>
      <c r="M849" s="1">
        <f t="shared" ca="1" si="248"/>
        <v>77.917124999999999</v>
      </c>
      <c r="N849" s="1">
        <f t="shared" ca="1" si="248"/>
        <v>0.2</v>
      </c>
      <c r="O849" s="1">
        <f t="shared" ca="1" si="248"/>
        <v>0.2</v>
      </c>
      <c r="P849" s="1">
        <f t="shared" ca="1" si="248"/>
        <v>0.36</v>
      </c>
      <c r="Q849" s="1">
        <f t="shared" ca="1" si="248"/>
        <v>0.1</v>
      </c>
      <c r="R849" s="1">
        <f t="shared" ca="1" si="248"/>
        <v>2</v>
      </c>
      <c r="S849" s="1">
        <f t="shared" ca="1" si="249"/>
        <v>0.1</v>
      </c>
      <c r="T849" s="1">
        <f t="shared" ca="1" si="249"/>
        <v>0.9</v>
      </c>
      <c r="U849" s="1">
        <f t="shared" ca="1" si="249"/>
        <v>106.333333333333</v>
      </c>
      <c r="V849" s="1">
        <f t="shared" ca="1" si="249"/>
        <v>0</v>
      </c>
      <c r="W849" s="1">
        <f t="shared" ca="1" si="249"/>
        <v>0</v>
      </c>
      <c r="X849" s="1">
        <f t="shared" ca="1" si="249"/>
        <v>0</v>
      </c>
      <c r="Y849" s="1">
        <f t="shared" ca="1" si="249"/>
        <v>0</v>
      </c>
      <c r="Z849" s="1">
        <f t="shared" ca="1" si="249"/>
        <v>0</v>
      </c>
      <c r="AA849" s="1">
        <f t="shared" ca="1" si="249"/>
        <v>447.67299107142901</v>
      </c>
      <c r="AB849" s="1">
        <f t="shared" ca="1" si="249"/>
        <v>0</v>
      </c>
      <c r="AC849" s="1">
        <f t="shared" ca="1" si="249"/>
        <v>77.917124999999999</v>
      </c>
      <c r="AD849" s="1">
        <f t="shared" ca="1" si="249"/>
        <v>77.917124999999999</v>
      </c>
      <c r="AE849" s="1">
        <f t="shared" ca="1" si="249"/>
        <v>77.917124999999999</v>
      </c>
      <c r="AF849" s="1">
        <f t="shared" ca="1" si="249"/>
        <v>77.917124999999999</v>
      </c>
      <c r="AG849" s="1">
        <f t="shared" ca="1" si="249"/>
        <v>77.917124999999999</v>
      </c>
      <c r="AH849" s="1">
        <f t="shared" ca="1" si="249"/>
        <v>116.8756875</v>
      </c>
      <c r="AI849" s="1">
        <f t="shared" ca="1" si="232"/>
        <v>77.917124999999999</v>
      </c>
    </row>
    <row r="850" spans="2:35" x14ac:dyDescent="0.15">
      <c r="B850" s="1" t="str">
        <f t="shared" si="247"/>
        <v>暗系56</v>
      </c>
      <c r="C850" s="1">
        <f t="shared" si="237"/>
        <v>56</v>
      </c>
      <c r="D850" s="14" t="s">
        <v>98</v>
      </c>
      <c r="E850" s="14">
        <f t="shared" si="238"/>
        <v>9</v>
      </c>
      <c r="F850" s="1" t="str">
        <f t="shared" si="245"/>
        <v>黑暗</v>
      </c>
      <c r="H850" s="1">
        <f t="shared" ca="1" si="246"/>
        <v>1958.58059015868</v>
      </c>
      <c r="I850" s="1">
        <f t="shared" ca="1" si="248"/>
        <v>150</v>
      </c>
      <c r="J850" s="1">
        <f t="shared" ca="1" si="248"/>
        <v>807.91578947368498</v>
      </c>
      <c r="K850" s="1">
        <f t="shared" ca="1" si="248"/>
        <v>79.333799999999997</v>
      </c>
      <c r="L850" s="1">
        <f t="shared" ca="1" si="248"/>
        <v>807.91578947368498</v>
      </c>
      <c r="M850" s="1">
        <f t="shared" ca="1" si="248"/>
        <v>79.333799999999997</v>
      </c>
      <c r="N850" s="1">
        <f t="shared" ca="1" si="248"/>
        <v>0.2</v>
      </c>
      <c r="O850" s="1">
        <f t="shared" ca="1" si="248"/>
        <v>0.2</v>
      </c>
      <c r="P850" s="1">
        <f t="shared" ca="1" si="248"/>
        <v>0.36</v>
      </c>
      <c r="Q850" s="1">
        <f t="shared" ca="1" si="248"/>
        <v>0.1</v>
      </c>
      <c r="R850" s="1">
        <f t="shared" ca="1" si="248"/>
        <v>2</v>
      </c>
      <c r="S850" s="1">
        <f t="shared" ca="1" si="249"/>
        <v>0.1</v>
      </c>
      <c r="T850" s="1">
        <f t="shared" ca="1" si="249"/>
        <v>0.9</v>
      </c>
      <c r="U850" s="1">
        <f t="shared" ca="1" si="249"/>
        <v>108.26666666666701</v>
      </c>
      <c r="V850" s="1">
        <f t="shared" ca="1" si="249"/>
        <v>0</v>
      </c>
      <c r="W850" s="1">
        <f t="shared" ca="1" si="249"/>
        <v>0</v>
      </c>
      <c r="X850" s="1">
        <f t="shared" ca="1" si="249"/>
        <v>0</v>
      </c>
      <c r="Y850" s="1">
        <f t="shared" ca="1" si="249"/>
        <v>0</v>
      </c>
      <c r="Z850" s="1">
        <f t="shared" ca="1" si="249"/>
        <v>0</v>
      </c>
      <c r="AA850" s="1">
        <f t="shared" ca="1" si="249"/>
        <v>471.28421052631654</v>
      </c>
      <c r="AB850" s="1">
        <f t="shared" ca="1" si="249"/>
        <v>0</v>
      </c>
      <c r="AC850" s="1">
        <f t="shared" ca="1" si="249"/>
        <v>79.333799999999997</v>
      </c>
      <c r="AD850" s="1">
        <f t="shared" ca="1" si="249"/>
        <v>79.333799999999997</v>
      </c>
      <c r="AE850" s="1">
        <f t="shared" ca="1" si="249"/>
        <v>79.333799999999997</v>
      </c>
      <c r="AF850" s="1">
        <f t="shared" ca="1" si="249"/>
        <v>79.333799999999997</v>
      </c>
      <c r="AG850" s="1">
        <f t="shared" ca="1" si="249"/>
        <v>79.333799999999997</v>
      </c>
      <c r="AH850" s="1">
        <f t="shared" ca="1" si="249"/>
        <v>119.00069999999999</v>
      </c>
      <c r="AI850" s="1">
        <f t="shared" ca="1" si="232"/>
        <v>79.333799999999997</v>
      </c>
    </row>
    <row r="851" spans="2:35" x14ac:dyDescent="0.15">
      <c r="B851" s="1" t="str">
        <f t="shared" si="247"/>
        <v>暗系57</v>
      </c>
      <c r="C851" s="1">
        <f t="shared" si="237"/>
        <v>57</v>
      </c>
      <c r="D851" s="14" t="s">
        <v>98</v>
      </c>
      <c r="E851" s="14">
        <f t="shared" si="238"/>
        <v>9</v>
      </c>
      <c r="F851" s="1" t="str">
        <f t="shared" si="245"/>
        <v>黑暗</v>
      </c>
      <c r="H851" s="1">
        <f t="shared" ca="1" si="246"/>
        <v>2003.2799032790199</v>
      </c>
      <c r="I851" s="1">
        <f t="shared" ca="1" si="248"/>
        <v>150</v>
      </c>
      <c r="J851" s="1">
        <f t="shared" ca="1" si="248"/>
        <v>829.34566869301</v>
      </c>
      <c r="K851" s="1">
        <f t="shared" ca="1" si="248"/>
        <v>80.750474999999994</v>
      </c>
      <c r="L851" s="1">
        <f t="shared" ca="1" si="248"/>
        <v>829.34566869301</v>
      </c>
      <c r="M851" s="1">
        <f t="shared" ca="1" si="248"/>
        <v>80.750474999999994</v>
      </c>
      <c r="N851" s="1">
        <f t="shared" ca="1" si="248"/>
        <v>0.2</v>
      </c>
      <c r="O851" s="1">
        <f t="shared" ca="1" si="248"/>
        <v>0.2</v>
      </c>
      <c r="P851" s="1">
        <f t="shared" ca="1" si="248"/>
        <v>0.36</v>
      </c>
      <c r="Q851" s="1">
        <f t="shared" ca="1" si="248"/>
        <v>0.1</v>
      </c>
      <c r="R851" s="1">
        <f t="shared" ca="1" si="248"/>
        <v>2</v>
      </c>
      <c r="S851" s="1">
        <f t="shared" ca="1" si="249"/>
        <v>0.1</v>
      </c>
      <c r="T851" s="1">
        <f t="shared" ca="1" si="249"/>
        <v>0.9</v>
      </c>
      <c r="U851" s="1">
        <f t="shared" ca="1" si="249"/>
        <v>110.2</v>
      </c>
      <c r="V851" s="1">
        <f t="shared" ca="1" si="249"/>
        <v>0</v>
      </c>
      <c r="W851" s="1">
        <f t="shared" ca="1" si="249"/>
        <v>0</v>
      </c>
      <c r="X851" s="1">
        <f t="shared" ca="1" si="249"/>
        <v>0</v>
      </c>
      <c r="Y851" s="1">
        <f t="shared" ca="1" si="249"/>
        <v>0</v>
      </c>
      <c r="Z851" s="1">
        <f t="shared" ca="1" si="249"/>
        <v>0</v>
      </c>
      <c r="AA851" s="1">
        <f t="shared" ca="1" si="249"/>
        <v>495.86751519756899</v>
      </c>
      <c r="AB851" s="1">
        <f t="shared" ca="1" si="249"/>
        <v>0</v>
      </c>
      <c r="AC851" s="1">
        <f t="shared" ca="1" si="249"/>
        <v>80.750474999999994</v>
      </c>
      <c r="AD851" s="1">
        <f t="shared" ca="1" si="249"/>
        <v>80.750474999999994</v>
      </c>
      <c r="AE851" s="1">
        <f t="shared" ca="1" si="249"/>
        <v>80.750474999999994</v>
      </c>
      <c r="AF851" s="1">
        <f t="shared" ca="1" si="249"/>
        <v>80.750474999999994</v>
      </c>
      <c r="AG851" s="1">
        <f t="shared" ca="1" si="249"/>
        <v>80.750474999999994</v>
      </c>
      <c r="AH851" s="1">
        <f t="shared" ca="1" si="249"/>
        <v>121.12571249999999</v>
      </c>
      <c r="AI851" s="1">
        <f t="shared" ref="AI851:AI914" ca="1" si="250">mVlookup($C851,monsterBaseDate,AI$2,FALSE)*(1+mVlookup($E851,monsterType,AI$2,FALSE))</f>
        <v>80.750474999999994</v>
      </c>
    </row>
    <row r="852" spans="2:35" x14ac:dyDescent="0.15">
      <c r="B852" s="1" t="str">
        <f t="shared" si="247"/>
        <v>暗系58</v>
      </c>
      <c r="C852" s="1">
        <f t="shared" si="237"/>
        <v>58</v>
      </c>
      <c r="D852" s="14" t="s">
        <v>98</v>
      </c>
      <c r="E852" s="14">
        <f t="shared" si="238"/>
        <v>9</v>
      </c>
      <c r="F852" s="1" t="str">
        <f t="shared" si="245"/>
        <v>黑暗</v>
      </c>
      <c r="H852" s="1">
        <f t="shared" ca="1" si="246"/>
        <v>2048.3204325300599</v>
      </c>
      <c r="I852" s="1">
        <f t="shared" ca="1" si="248"/>
        <v>150</v>
      </c>
      <c r="J852" s="1">
        <f t="shared" ca="1" si="248"/>
        <v>851.116589861752</v>
      </c>
      <c r="K852" s="1">
        <f t="shared" ca="1" si="248"/>
        <v>82.167150000000007</v>
      </c>
      <c r="L852" s="1">
        <f t="shared" ca="1" si="248"/>
        <v>851.116589861752</v>
      </c>
      <c r="M852" s="1">
        <f t="shared" ca="1" si="248"/>
        <v>82.167150000000007</v>
      </c>
      <c r="N852" s="1">
        <f t="shared" ca="1" si="248"/>
        <v>0.2</v>
      </c>
      <c r="O852" s="1">
        <f t="shared" ca="1" si="248"/>
        <v>0.2</v>
      </c>
      <c r="P852" s="1">
        <f t="shared" ca="1" si="248"/>
        <v>0.36</v>
      </c>
      <c r="Q852" s="1">
        <f t="shared" ca="1" si="248"/>
        <v>0.1</v>
      </c>
      <c r="R852" s="1">
        <f t="shared" ca="1" si="248"/>
        <v>2</v>
      </c>
      <c r="S852" s="1">
        <f t="shared" ca="1" si="249"/>
        <v>0.1</v>
      </c>
      <c r="T852" s="1">
        <f t="shared" ca="1" si="249"/>
        <v>0.9</v>
      </c>
      <c r="U852" s="1">
        <f t="shared" ca="1" si="249"/>
        <v>112.133333333333</v>
      </c>
      <c r="V852" s="1">
        <f t="shared" ca="1" si="249"/>
        <v>0</v>
      </c>
      <c r="W852" s="1">
        <f t="shared" ca="1" si="249"/>
        <v>0</v>
      </c>
      <c r="X852" s="1">
        <f t="shared" ca="1" si="249"/>
        <v>0</v>
      </c>
      <c r="Y852" s="1">
        <f t="shared" ca="1" si="249"/>
        <v>0</v>
      </c>
      <c r="Z852" s="1">
        <f t="shared" ca="1" si="249"/>
        <v>0</v>
      </c>
      <c r="AA852" s="1">
        <f t="shared" ca="1" si="249"/>
        <v>521.45875576036951</v>
      </c>
      <c r="AB852" s="1">
        <f t="shared" ca="1" si="249"/>
        <v>0</v>
      </c>
      <c r="AC852" s="1">
        <f t="shared" ca="1" si="249"/>
        <v>82.167150000000007</v>
      </c>
      <c r="AD852" s="1">
        <f t="shared" ca="1" si="249"/>
        <v>82.167150000000007</v>
      </c>
      <c r="AE852" s="1">
        <f t="shared" ca="1" si="249"/>
        <v>82.167150000000007</v>
      </c>
      <c r="AF852" s="1">
        <f t="shared" ca="1" si="249"/>
        <v>82.167150000000007</v>
      </c>
      <c r="AG852" s="1">
        <f t="shared" ca="1" si="249"/>
        <v>82.167150000000007</v>
      </c>
      <c r="AH852" s="1">
        <f t="shared" ca="1" si="249"/>
        <v>123.25072500000002</v>
      </c>
      <c r="AI852" s="1">
        <f t="shared" ca="1" si="250"/>
        <v>82.167150000000007</v>
      </c>
    </row>
    <row r="853" spans="2:35" x14ac:dyDescent="0.15">
      <c r="B853" s="1" t="str">
        <f t="shared" si="247"/>
        <v>暗系59</v>
      </c>
      <c r="C853" s="1">
        <f t="shared" si="237"/>
        <v>59</v>
      </c>
      <c r="D853" s="14" t="s">
        <v>98</v>
      </c>
      <c r="E853" s="14">
        <f t="shared" si="238"/>
        <v>9</v>
      </c>
      <c r="F853" s="1" t="str">
        <f t="shared" si="245"/>
        <v>黑暗</v>
      </c>
      <c r="H853" s="1">
        <f t="shared" ca="1" si="246"/>
        <v>2093.7021779117799</v>
      </c>
      <c r="I853" s="1">
        <f t="shared" ref="I853:R862" ca="1" si="251">mVlookup($C853,monsterBaseDate,I$2,FALSE)*(1+mVlookup($E853,monsterType,I$2,FALSE))</f>
        <v>150</v>
      </c>
      <c r="J853" s="1">
        <f t="shared" ca="1" si="251"/>
        <v>873.23664596273295</v>
      </c>
      <c r="K853" s="1">
        <f t="shared" ca="1" si="251"/>
        <v>83.583825000000004</v>
      </c>
      <c r="L853" s="1">
        <f t="shared" ca="1" si="251"/>
        <v>873.23664596273295</v>
      </c>
      <c r="M853" s="1">
        <f t="shared" ca="1" si="251"/>
        <v>83.583825000000004</v>
      </c>
      <c r="N853" s="1">
        <f t="shared" ca="1" si="251"/>
        <v>0.2</v>
      </c>
      <c r="O853" s="1">
        <f t="shared" ca="1" si="251"/>
        <v>0.2</v>
      </c>
      <c r="P853" s="1">
        <f t="shared" ca="1" si="251"/>
        <v>0.36</v>
      </c>
      <c r="Q853" s="1">
        <f t="shared" ca="1" si="251"/>
        <v>0.1</v>
      </c>
      <c r="R853" s="1">
        <f t="shared" ca="1" si="251"/>
        <v>2</v>
      </c>
      <c r="S853" s="1">
        <f t="shared" ref="S853:AH868" ca="1" si="252">mVlookup($C853,monsterBaseDate,S$2,FALSE)*(1+mVlookup($E853,monsterType,S$2,FALSE))</f>
        <v>0.1</v>
      </c>
      <c r="T853" s="1">
        <f t="shared" ca="1" si="252"/>
        <v>0.9</v>
      </c>
      <c r="U853" s="1">
        <f t="shared" ca="1" si="252"/>
        <v>114.066666666667</v>
      </c>
      <c r="V853" s="1">
        <f t="shared" ca="1" si="252"/>
        <v>0</v>
      </c>
      <c r="W853" s="1">
        <f t="shared" ca="1" si="252"/>
        <v>0</v>
      </c>
      <c r="X853" s="1">
        <f t="shared" ca="1" si="252"/>
        <v>0</v>
      </c>
      <c r="Y853" s="1">
        <f t="shared" ca="1" si="252"/>
        <v>0</v>
      </c>
      <c r="Z853" s="1">
        <f t="shared" ca="1" si="252"/>
        <v>0</v>
      </c>
      <c r="AA853" s="1">
        <f t="shared" ca="1" si="252"/>
        <v>548.09534161490706</v>
      </c>
      <c r="AB853" s="1">
        <f t="shared" ca="1" si="249"/>
        <v>0</v>
      </c>
      <c r="AC853" s="1">
        <f t="shared" ca="1" si="252"/>
        <v>83.583825000000004</v>
      </c>
      <c r="AD853" s="1">
        <f t="shared" ca="1" si="252"/>
        <v>83.583825000000004</v>
      </c>
      <c r="AE853" s="1">
        <f t="shared" ca="1" si="252"/>
        <v>83.583825000000004</v>
      </c>
      <c r="AF853" s="1">
        <f t="shared" ca="1" si="252"/>
        <v>83.583825000000004</v>
      </c>
      <c r="AG853" s="1">
        <f t="shared" ca="1" si="252"/>
        <v>83.583825000000004</v>
      </c>
      <c r="AH853" s="1">
        <f t="shared" ca="1" si="252"/>
        <v>125.37573750000001</v>
      </c>
      <c r="AI853" s="1">
        <f t="shared" ca="1" si="250"/>
        <v>83.583825000000004</v>
      </c>
    </row>
    <row r="854" spans="2:35" x14ac:dyDescent="0.15">
      <c r="B854" s="1" t="str">
        <f t="shared" si="247"/>
        <v>暗系60</v>
      </c>
      <c r="C854" s="1">
        <f t="shared" si="237"/>
        <v>60</v>
      </c>
      <c r="D854" s="14" t="s">
        <v>98</v>
      </c>
      <c r="E854" s="14">
        <f t="shared" si="238"/>
        <v>9</v>
      </c>
      <c r="F854" s="1" t="str">
        <f t="shared" si="245"/>
        <v>黑暗</v>
      </c>
      <c r="H854" s="1">
        <f t="shared" ca="1" si="246"/>
        <v>2139.4251394242001</v>
      </c>
      <c r="I854" s="1">
        <f t="shared" ca="1" si="251"/>
        <v>150</v>
      </c>
      <c r="J854" s="1">
        <f t="shared" ca="1" si="251"/>
        <v>895.71428571428601</v>
      </c>
      <c r="K854" s="1">
        <f t="shared" ca="1" si="251"/>
        <v>85.000500000000002</v>
      </c>
      <c r="L854" s="1">
        <f t="shared" ca="1" si="251"/>
        <v>895.71428571428601</v>
      </c>
      <c r="M854" s="1">
        <f t="shared" ca="1" si="251"/>
        <v>85.000500000000002</v>
      </c>
      <c r="N854" s="1">
        <f t="shared" ca="1" si="251"/>
        <v>0.2</v>
      </c>
      <c r="O854" s="1">
        <f t="shared" ca="1" si="251"/>
        <v>0.2</v>
      </c>
      <c r="P854" s="1">
        <f t="shared" ca="1" si="251"/>
        <v>0.36</v>
      </c>
      <c r="Q854" s="1">
        <f t="shared" ca="1" si="251"/>
        <v>0.1</v>
      </c>
      <c r="R854" s="1">
        <f t="shared" ca="1" si="251"/>
        <v>2</v>
      </c>
      <c r="S854" s="1">
        <f t="shared" ca="1" si="252"/>
        <v>0.1</v>
      </c>
      <c r="T854" s="1">
        <f t="shared" ca="1" si="252"/>
        <v>0.9</v>
      </c>
      <c r="U854" s="1">
        <f t="shared" ca="1" si="252"/>
        <v>116</v>
      </c>
      <c r="V854" s="1">
        <f t="shared" ca="1" si="252"/>
        <v>0</v>
      </c>
      <c r="W854" s="1">
        <f t="shared" ca="1" si="252"/>
        <v>0</v>
      </c>
      <c r="X854" s="1">
        <f t="shared" ca="1" si="252"/>
        <v>0</v>
      </c>
      <c r="Y854" s="1">
        <f t="shared" ca="1" si="252"/>
        <v>0</v>
      </c>
      <c r="Z854" s="1">
        <f t="shared" ca="1" si="252"/>
        <v>0</v>
      </c>
      <c r="AA854" s="1">
        <f t="shared" ca="1" si="252"/>
        <v>575.81632653061206</v>
      </c>
      <c r="AB854" s="1">
        <f t="shared" ca="1" si="249"/>
        <v>0</v>
      </c>
      <c r="AC854" s="1">
        <f t="shared" ca="1" si="252"/>
        <v>85.000500000000002</v>
      </c>
      <c r="AD854" s="1">
        <f t="shared" ca="1" si="252"/>
        <v>85.000500000000002</v>
      </c>
      <c r="AE854" s="1">
        <f t="shared" ca="1" si="252"/>
        <v>85.000500000000002</v>
      </c>
      <c r="AF854" s="1">
        <f t="shared" ca="1" si="252"/>
        <v>85.000500000000002</v>
      </c>
      <c r="AG854" s="1">
        <f t="shared" ca="1" si="252"/>
        <v>85.000500000000002</v>
      </c>
      <c r="AH854" s="1">
        <f t="shared" ca="1" si="252"/>
        <v>127.50075000000001</v>
      </c>
      <c r="AI854" s="1">
        <f t="shared" ca="1" si="250"/>
        <v>85.000500000000002</v>
      </c>
    </row>
    <row r="855" spans="2:35" x14ac:dyDescent="0.15">
      <c r="B855" s="1" t="str">
        <f t="shared" si="247"/>
        <v>暗系61</v>
      </c>
      <c r="C855" s="1">
        <f t="shared" si="237"/>
        <v>61</v>
      </c>
      <c r="D855" s="14" t="s">
        <v>98</v>
      </c>
      <c r="E855" s="14">
        <f t="shared" si="238"/>
        <v>9</v>
      </c>
      <c r="F855" s="1" t="str">
        <f t="shared" si="245"/>
        <v>黑暗</v>
      </c>
      <c r="H855" s="1">
        <f t="shared" ca="1" si="246"/>
        <v>2185.4893170672999</v>
      </c>
      <c r="I855" s="1">
        <f t="shared" ca="1" si="251"/>
        <v>150</v>
      </c>
      <c r="J855" s="1">
        <f t="shared" ca="1" si="251"/>
        <v>918.55833333333396</v>
      </c>
      <c r="K855" s="1">
        <f t="shared" ca="1" si="251"/>
        <v>86.417175</v>
      </c>
      <c r="L855" s="1">
        <f t="shared" ca="1" si="251"/>
        <v>918.55833333333396</v>
      </c>
      <c r="M855" s="1">
        <f t="shared" ca="1" si="251"/>
        <v>86.417175</v>
      </c>
      <c r="N855" s="1">
        <f t="shared" ca="1" si="251"/>
        <v>0.2</v>
      </c>
      <c r="O855" s="1">
        <f t="shared" ca="1" si="251"/>
        <v>0.2</v>
      </c>
      <c r="P855" s="1">
        <f t="shared" ca="1" si="251"/>
        <v>0.36</v>
      </c>
      <c r="Q855" s="1">
        <f t="shared" ca="1" si="251"/>
        <v>0.1</v>
      </c>
      <c r="R855" s="1">
        <f t="shared" ca="1" si="251"/>
        <v>2</v>
      </c>
      <c r="S855" s="1">
        <f t="shared" ca="1" si="252"/>
        <v>0.1</v>
      </c>
      <c r="T855" s="1">
        <f t="shared" ca="1" si="252"/>
        <v>0.9</v>
      </c>
      <c r="U855" s="1">
        <f t="shared" ca="1" si="252"/>
        <v>117.933333333333</v>
      </c>
      <c r="V855" s="1">
        <f t="shared" ca="1" si="252"/>
        <v>0</v>
      </c>
      <c r="W855" s="1">
        <f t="shared" ca="1" si="252"/>
        <v>0</v>
      </c>
      <c r="X855" s="1">
        <f t="shared" ca="1" si="252"/>
        <v>0</v>
      </c>
      <c r="Y855" s="1">
        <f t="shared" ca="1" si="252"/>
        <v>0</v>
      </c>
      <c r="Z855" s="1">
        <f t="shared" ca="1" si="252"/>
        <v>0</v>
      </c>
      <c r="AA855" s="1">
        <f t="shared" ca="1" si="252"/>
        <v>604.66250000000093</v>
      </c>
      <c r="AB855" s="1">
        <f t="shared" ca="1" si="249"/>
        <v>0</v>
      </c>
      <c r="AC855" s="1">
        <f t="shared" ca="1" si="252"/>
        <v>86.417175</v>
      </c>
      <c r="AD855" s="1">
        <f t="shared" ca="1" si="252"/>
        <v>86.417175</v>
      </c>
      <c r="AE855" s="1">
        <f t="shared" ca="1" si="252"/>
        <v>86.417175</v>
      </c>
      <c r="AF855" s="1">
        <f t="shared" ca="1" si="252"/>
        <v>86.417175</v>
      </c>
      <c r="AG855" s="1">
        <f t="shared" ca="1" si="252"/>
        <v>86.417175</v>
      </c>
      <c r="AH855" s="1">
        <f t="shared" ca="1" si="252"/>
        <v>129.62576250000001</v>
      </c>
      <c r="AI855" s="1">
        <f t="shared" ca="1" si="250"/>
        <v>86.417175</v>
      </c>
    </row>
    <row r="856" spans="2:35" x14ac:dyDescent="0.15">
      <c r="B856" s="1" t="str">
        <f t="shared" si="247"/>
        <v>暗系62</v>
      </c>
      <c r="C856" s="1">
        <f t="shared" si="237"/>
        <v>62</v>
      </c>
      <c r="D856" s="14" t="s">
        <v>98</v>
      </c>
      <c r="E856" s="14">
        <f t="shared" si="238"/>
        <v>9</v>
      </c>
      <c r="F856" s="1" t="str">
        <f t="shared" si="245"/>
        <v>黑暗</v>
      </c>
      <c r="H856" s="1">
        <f t="shared" ca="1" si="246"/>
        <v>2231.8947108410998</v>
      </c>
      <c r="I856" s="1">
        <f t="shared" ca="1" si="251"/>
        <v>150</v>
      </c>
      <c r="J856" s="1">
        <f t="shared" ca="1" si="251"/>
        <v>941.77800963081904</v>
      </c>
      <c r="K856" s="1">
        <f t="shared" ca="1" si="251"/>
        <v>87.833849999999998</v>
      </c>
      <c r="L856" s="1">
        <f t="shared" ca="1" si="251"/>
        <v>941.77800963081904</v>
      </c>
      <c r="M856" s="1">
        <f t="shared" ca="1" si="251"/>
        <v>87.833849999999998</v>
      </c>
      <c r="N856" s="1">
        <f t="shared" ca="1" si="251"/>
        <v>0.2</v>
      </c>
      <c r="O856" s="1">
        <f t="shared" ca="1" si="251"/>
        <v>0.2</v>
      </c>
      <c r="P856" s="1">
        <f t="shared" ca="1" si="251"/>
        <v>0.36</v>
      </c>
      <c r="Q856" s="1">
        <f t="shared" ca="1" si="251"/>
        <v>0.1</v>
      </c>
      <c r="R856" s="1">
        <f t="shared" ca="1" si="251"/>
        <v>2</v>
      </c>
      <c r="S856" s="1">
        <f t="shared" ca="1" si="252"/>
        <v>0.1</v>
      </c>
      <c r="T856" s="1">
        <f t="shared" ca="1" si="252"/>
        <v>0.9</v>
      </c>
      <c r="U856" s="1">
        <f t="shared" ca="1" si="252"/>
        <v>119.866666666667</v>
      </c>
      <c r="V856" s="1">
        <f t="shared" ca="1" si="252"/>
        <v>0</v>
      </c>
      <c r="W856" s="1">
        <f t="shared" ca="1" si="252"/>
        <v>0</v>
      </c>
      <c r="X856" s="1">
        <f t="shared" ca="1" si="252"/>
        <v>0</v>
      </c>
      <c r="Y856" s="1">
        <f t="shared" ca="1" si="252"/>
        <v>0</v>
      </c>
      <c r="Z856" s="1">
        <f t="shared" ca="1" si="252"/>
        <v>0</v>
      </c>
      <c r="AA856" s="1">
        <f t="shared" ca="1" si="252"/>
        <v>634.6764847512045</v>
      </c>
      <c r="AB856" s="1">
        <f t="shared" ca="1" si="249"/>
        <v>0</v>
      </c>
      <c r="AC856" s="1">
        <f t="shared" ca="1" si="252"/>
        <v>87.833849999999998</v>
      </c>
      <c r="AD856" s="1">
        <f t="shared" ca="1" si="252"/>
        <v>87.833849999999998</v>
      </c>
      <c r="AE856" s="1">
        <f t="shared" ca="1" si="252"/>
        <v>87.833849999999998</v>
      </c>
      <c r="AF856" s="1">
        <f t="shared" ca="1" si="252"/>
        <v>87.833849999999998</v>
      </c>
      <c r="AG856" s="1">
        <f t="shared" ca="1" si="252"/>
        <v>87.833849999999998</v>
      </c>
      <c r="AH856" s="1">
        <f t="shared" ca="1" si="252"/>
        <v>131.750775</v>
      </c>
      <c r="AI856" s="1">
        <f t="shared" ca="1" si="250"/>
        <v>87.833849999999998</v>
      </c>
    </row>
    <row r="857" spans="2:35" x14ac:dyDescent="0.15">
      <c r="B857" s="1" t="str">
        <f t="shared" si="247"/>
        <v>暗系63</v>
      </c>
      <c r="C857" s="1">
        <f t="shared" si="237"/>
        <v>63</v>
      </c>
      <c r="D857" s="14" t="s">
        <v>98</v>
      </c>
      <c r="E857" s="14">
        <f t="shared" si="238"/>
        <v>9</v>
      </c>
      <c r="F857" s="1" t="str">
        <f t="shared" si="245"/>
        <v>黑暗</v>
      </c>
      <c r="H857" s="1">
        <f t="shared" ca="1" si="246"/>
        <v>2278.6413207455798</v>
      </c>
      <c r="I857" s="1">
        <f t="shared" ca="1" si="251"/>
        <v>150</v>
      </c>
      <c r="J857" s="1">
        <f t="shared" ca="1" si="251"/>
        <v>965.38295454545505</v>
      </c>
      <c r="K857" s="1">
        <f t="shared" ca="1" si="251"/>
        <v>89.250524999999996</v>
      </c>
      <c r="L857" s="1">
        <f t="shared" ca="1" si="251"/>
        <v>965.38295454545505</v>
      </c>
      <c r="M857" s="1">
        <f t="shared" ca="1" si="251"/>
        <v>89.250524999999996</v>
      </c>
      <c r="N857" s="1">
        <f t="shared" ca="1" si="251"/>
        <v>0.2</v>
      </c>
      <c r="O857" s="1">
        <f t="shared" ca="1" si="251"/>
        <v>0.2</v>
      </c>
      <c r="P857" s="1">
        <f t="shared" ca="1" si="251"/>
        <v>0.36</v>
      </c>
      <c r="Q857" s="1">
        <f t="shared" ca="1" si="251"/>
        <v>0.1</v>
      </c>
      <c r="R857" s="1">
        <f t="shared" ca="1" si="251"/>
        <v>2</v>
      </c>
      <c r="S857" s="1">
        <f t="shared" ca="1" si="252"/>
        <v>0.1</v>
      </c>
      <c r="T857" s="1">
        <f t="shared" ca="1" si="252"/>
        <v>0.9</v>
      </c>
      <c r="U857" s="1">
        <f t="shared" ca="1" si="252"/>
        <v>121.8</v>
      </c>
      <c r="V857" s="1">
        <f t="shared" ca="1" si="252"/>
        <v>0</v>
      </c>
      <c r="W857" s="1">
        <f t="shared" ca="1" si="252"/>
        <v>0</v>
      </c>
      <c r="X857" s="1">
        <f t="shared" ca="1" si="252"/>
        <v>0</v>
      </c>
      <c r="Y857" s="1">
        <f t="shared" ca="1" si="252"/>
        <v>0</v>
      </c>
      <c r="Z857" s="1">
        <f t="shared" ca="1" si="252"/>
        <v>0</v>
      </c>
      <c r="AA857" s="1">
        <f t="shared" ca="1" si="252"/>
        <v>665.90284090909199</v>
      </c>
      <c r="AB857" s="1">
        <f t="shared" ca="1" si="249"/>
        <v>0</v>
      </c>
      <c r="AC857" s="1">
        <f t="shared" ca="1" si="252"/>
        <v>89.250524999999996</v>
      </c>
      <c r="AD857" s="1">
        <f t="shared" ca="1" si="252"/>
        <v>89.250524999999996</v>
      </c>
      <c r="AE857" s="1">
        <f t="shared" ca="1" si="252"/>
        <v>89.250524999999996</v>
      </c>
      <c r="AF857" s="1">
        <f t="shared" ca="1" si="252"/>
        <v>89.250524999999996</v>
      </c>
      <c r="AG857" s="1">
        <f t="shared" ca="1" si="252"/>
        <v>89.250524999999996</v>
      </c>
      <c r="AH857" s="1">
        <f t="shared" ca="1" si="252"/>
        <v>133.8757875</v>
      </c>
      <c r="AI857" s="1">
        <f t="shared" ca="1" si="250"/>
        <v>89.250524999999996</v>
      </c>
    </row>
    <row r="858" spans="2:35" x14ac:dyDescent="0.15">
      <c r="B858" s="1" t="str">
        <f t="shared" si="247"/>
        <v>暗系64</v>
      </c>
      <c r="C858" s="1">
        <f t="shared" si="237"/>
        <v>64</v>
      </c>
      <c r="D858" s="14" t="s">
        <v>98</v>
      </c>
      <c r="E858" s="14">
        <f t="shared" si="238"/>
        <v>9</v>
      </c>
      <c r="F858" s="1" t="str">
        <f t="shared" si="245"/>
        <v>黑暗</v>
      </c>
      <c r="H858" s="1">
        <f t="shared" ca="1" si="246"/>
        <v>2325.7291467807499</v>
      </c>
      <c r="I858" s="1">
        <f t="shared" ca="1" si="251"/>
        <v>150</v>
      </c>
      <c r="J858" s="1">
        <f t="shared" ca="1" si="251"/>
        <v>989.38325123152799</v>
      </c>
      <c r="K858" s="1">
        <f t="shared" ca="1" si="251"/>
        <v>90.667199999999994</v>
      </c>
      <c r="L858" s="1">
        <f t="shared" ca="1" si="251"/>
        <v>989.38325123152799</v>
      </c>
      <c r="M858" s="1">
        <f t="shared" ca="1" si="251"/>
        <v>90.667199999999994</v>
      </c>
      <c r="N858" s="1">
        <f t="shared" ca="1" si="251"/>
        <v>0.2</v>
      </c>
      <c r="O858" s="1">
        <f t="shared" ca="1" si="251"/>
        <v>0.2</v>
      </c>
      <c r="P858" s="1">
        <f t="shared" ca="1" si="251"/>
        <v>0.36</v>
      </c>
      <c r="Q858" s="1">
        <f t="shared" ca="1" si="251"/>
        <v>0.1</v>
      </c>
      <c r="R858" s="1">
        <f t="shared" ca="1" si="251"/>
        <v>2</v>
      </c>
      <c r="S858" s="1">
        <f t="shared" ca="1" si="252"/>
        <v>0.1</v>
      </c>
      <c r="T858" s="1">
        <f t="shared" ca="1" si="252"/>
        <v>0.9</v>
      </c>
      <c r="U858" s="1">
        <f t="shared" ca="1" si="252"/>
        <v>123.73333333333299</v>
      </c>
      <c r="V858" s="1">
        <f t="shared" ca="1" si="252"/>
        <v>0</v>
      </c>
      <c r="W858" s="1">
        <f t="shared" ca="1" si="252"/>
        <v>0</v>
      </c>
      <c r="X858" s="1">
        <f t="shared" ca="1" si="252"/>
        <v>0</v>
      </c>
      <c r="Y858" s="1">
        <f t="shared" ca="1" si="252"/>
        <v>0</v>
      </c>
      <c r="Z858" s="1">
        <f t="shared" ca="1" si="252"/>
        <v>0</v>
      </c>
      <c r="AA858" s="1">
        <f t="shared" ca="1" si="252"/>
        <v>698.3881773399014</v>
      </c>
      <c r="AB858" s="1">
        <f t="shared" ca="1" si="249"/>
        <v>0</v>
      </c>
      <c r="AC858" s="1">
        <f t="shared" ca="1" si="252"/>
        <v>90.667199999999994</v>
      </c>
      <c r="AD858" s="1">
        <f t="shared" ca="1" si="252"/>
        <v>90.667199999999994</v>
      </c>
      <c r="AE858" s="1">
        <f t="shared" ca="1" si="252"/>
        <v>90.667199999999994</v>
      </c>
      <c r="AF858" s="1">
        <f t="shared" ca="1" si="252"/>
        <v>90.667199999999994</v>
      </c>
      <c r="AG858" s="1">
        <f t="shared" ca="1" si="252"/>
        <v>90.667199999999994</v>
      </c>
      <c r="AH858" s="1">
        <f t="shared" ca="1" si="252"/>
        <v>136.0008</v>
      </c>
      <c r="AI858" s="1">
        <f t="shared" ca="1" si="250"/>
        <v>90.667199999999994</v>
      </c>
    </row>
    <row r="859" spans="2:35" x14ac:dyDescent="0.15">
      <c r="B859" s="1" t="str">
        <f t="shared" si="247"/>
        <v>暗系65</v>
      </c>
      <c r="C859" s="1">
        <f t="shared" si="237"/>
        <v>65</v>
      </c>
      <c r="D859" s="14" t="s">
        <v>98</v>
      </c>
      <c r="E859" s="14">
        <f t="shared" si="238"/>
        <v>9</v>
      </c>
      <c r="F859" s="1" t="str">
        <f t="shared" si="245"/>
        <v>黑暗</v>
      </c>
      <c r="H859" s="1">
        <f t="shared" ca="1" si="246"/>
        <v>2373.1581889466202</v>
      </c>
      <c r="I859" s="1">
        <f t="shared" ca="1" si="251"/>
        <v>150</v>
      </c>
      <c r="J859" s="1">
        <f t="shared" ca="1" si="251"/>
        <v>1013.78945182724</v>
      </c>
      <c r="K859" s="1">
        <f t="shared" ca="1" si="251"/>
        <v>92.083875000000006</v>
      </c>
      <c r="L859" s="1">
        <f t="shared" ca="1" si="251"/>
        <v>1013.78945182724</v>
      </c>
      <c r="M859" s="1">
        <f t="shared" ca="1" si="251"/>
        <v>92.083875000000006</v>
      </c>
      <c r="N859" s="1">
        <f t="shared" ca="1" si="251"/>
        <v>0.2</v>
      </c>
      <c r="O859" s="1">
        <f t="shared" ca="1" si="251"/>
        <v>0.2</v>
      </c>
      <c r="P859" s="1">
        <f t="shared" ca="1" si="251"/>
        <v>0.36</v>
      </c>
      <c r="Q859" s="1">
        <f t="shared" ca="1" si="251"/>
        <v>0.1</v>
      </c>
      <c r="R859" s="1">
        <f t="shared" ca="1" si="251"/>
        <v>2</v>
      </c>
      <c r="S859" s="1">
        <f t="shared" ca="1" si="252"/>
        <v>0.1</v>
      </c>
      <c r="T859" s="1">
        <f t="shared" ca="1" si="252"/>
        <v>0.9</v>
      </c>
      <c r="U859" s="1">
        <f t="shared" ca="1" si="252"/>
        <v>125.666666666667</v>
      </c>
      <c r="V859" s="1">
        <f t="shared" ca="1" si="252"/>
        <v>0</v>
      </c>
      <c r="W859" s="1">
        <f t="shared" ca="1" si="252"/>
        <v>0</v>
      </c>
      <c r="X859" s="1">
        <f t="shared" ca="1" si="252"/>
        <v>0</v>
      </c>
      <c r="Y859" s="1">
        <f t="shared" ca="1" si="252"/>
        <v>0</v>
      </c>
      <c r="Z859" s="1">
        <f t="shared" ca="1" si="252"/>
        <v>0</v>
      </c>
      <c r="AA859" s="1">
        <f t="shared" ca="1" si="252"/>
        <v>732.18127076411997</v>
      </c>
      <c r="AB859" s="1">
        <f t="shared" ca="1" si="252"/>
        <v>0</v>
      </c>
      <c r="AC859" s="1">
        <f t="shared" ca="1" si="252"/>
        <v>92.083875000000006</v>
      </c>
      <c r="AD859" s="1">
        <f t="shared" ca="1" si="252"/>
        <v>92.083875000000006</v>
      </c>
      <c r="AE859" s="1">
        <f t="shared" ca="1" si="252"/>
        <v>92.083875000000006</v>
      </c>
      <c r="AF859" s="1">
        <f t="shared" ca="1" si="252"/>
        <v>92.083875000000006</v>
      </c>
      <c r="AG859" s="1">
        <f t="shared" ca="1" si="252"/>
        <v>92.083875000000006</v>
      </c>
      <c r="AH859" s="1">
        <f t="shared" ca="1" si="252"/>
        <v>138.12581249999999</v>
      </c>
      <c r="AI859" s="1">
        <f t="shared" ca="1" si="250"/>
        <v>92.083875000000006</v>
      </c>
    </row>
    <row r="860" spans="2:35" x14ac:dyDescent="0.15">
      <c r="B860" s="1" t="str">
        <f t="shared" si="247"/>
        <v>暗系66</v>
      </c>
      <c r="C860" s="1">
        <f t="shared" si="237"/>
        <v>66</v>
      </c>
      <c r="D860" s="14" t="s">
        <v>98</v>
      </c>
      <c r="E860" s="14">
        <f t="shared" si="238"/>
        <v>9</v>
      </c>
      <c r="F860" s="1" t="str">
        <f t="shared" si="245"/>
        <v>黑暗</v>
      </c>
      <c r="H860" s="1">
        <f t="shared" ca="1" si="246"/>
        <v>2420.92844724317</v>
      </c>
      <c r="I860" s="1">
        <f t="shared" ca="1" si="251"/>
        <v>150</v>
      </c>
      <c r="J860" s="1">
        <f t="shared" ca="1" si="251"/>
        <v>1038.61260504202</v>
      </c>
      <c r="K860" s="1">
        <f t="shared" ca="1" si="251"/>
        <v>93.500550000000004</v>
      </c>
      <c r="L860" s="1">
        <f t="shared" ca="1" si="251"/>
        <v>1038.61260504202</v>
      </c>
      <c r="M860" s="1">
        <f t="shared" ca="1" si="251"/>
        <v>93.500550000000004</v>
      </c>
      <c r="N860" s="1">
        <f t="shared" ca="1" si="251"/>
        <v>0.2</v>
      </c>
      <c r="O860" s="1">
        <f t="shared" ca="1" si="251"/>
        <v>0.2</v>
      </c>
      <c r="P860" s="1">
        <f t="shared" ca="1" si="251"/>
        <v>0.36</v>
      </c>
      <c r="Q860" s="1">
        <f t="shared" ca="1" si="251"/>
        <v>0.1</v>
      </c>
      <c r="R860" s="1">
        <f t="shared" ca="1" si="251"/>
        <v>2</v>
      </c>
      <c r="S860" s="1">
        <f t="shared" ca="1" si="252"/>
        <v>0.1</v>
      </c>
      <c r="T860" s="1">
        <f t="shared" ca="1" si="252"/>
        <v>0.9</v>
      </c>
      <c r="U860" s="1">
        <f t="shared" ca="1" si="252"/>
        <v>127.6</v>
      </c>
      <c r="V860" s="1">
        <f t="shared" ca="1" si="252"/>
        <v>0</v>
      </c>
      <c r="W860" s="1">
        <f t="shared" ca="1" si="252"/>
        <v>0</v>
      </c>
      <c r="X860" s="1">
        <f t="shared" ca="1" si="252"/>
        <v>0</v>
      </c>
      <c r="Y860" s="1">
        <f t="shared" ca="1" si="252"/>
        <v>0</v>
      </c>
      <c r="Z860" s="1">
        <f t="shared" ca="1" si="252"/>
        <v>0</v>
      </c>
      <c r="AA860" s="1">
        <f t="shared" ca="1" si="252"/>
        <v>767.33319327731101</v>
      </c>
      <c r="AB860" s="1">
        <f t="shared" ca="1" si="252"/>
        <v>0</v>
      </c>
      <c r="AC860" s="1">
        <f t="shared" ca="1" si="252"/>
        <v>93.500550000000004</v>
      </c>
      <c r="AD860" s="1">
        <f t="shared" ca="1" si="252"/>
        <v>93.500550000000004</v>
      </c>
      <c r="AE860" s="1">
        <f t="shared" ca="1" si="252"/>
        <v>93.500550000000004</v>
      </c>
      <c r="AF860" s="1">
        <f t="shared" ca="1" si="252"/>
        <v>93.500550000000004</v>
      </c>
      <c r="AG860" s="1">
        <f t="shared" ca="1" si="252"/>
        <v>93.500550000000004</v>
      </c>
      <c r="AH860" s="1">
        <f t="shared" ca="1" si="252"/>
        <v>140.25082500000002</v>
      </c>
      <c r="AI860" s="1">
        <f t="shared" ca="1" si="250"/>
        <v>93.500550000000004</v>
      </c>
    </row>
    <row r="861" spans="2:35" x14ac:dyDescent="0.15">
      <c r="B861" s="1" t="str">
        <f t="shared" si="247"/>
        <v>暗系67</v>
      </c>
      <c r="C861" s="1">
        <f t="shared" si="237"/>
        <v>67</v>
      </c>
      <c r="D861" s="14" t="s">
        <v>98</v>
      </c>
      <c r="E861" s="14">
        <f t="shared" si="238"/>
        <v>9</v>
      </c>
      <c r="F861" s="1" t="str">
        <f t="shared" si="245"/>
        <v>黑暗</v>
      </c>
      <c r="H861" s="1">
        <f t="shared" ca="1" si="246"/>
        <v>2566.4914899863102</v>
      </c>
      <c r="I861" s="1">
        <f t="shared" ca="1" si="251"/>
        <v>150</v>
      </c>
      <c r="J861" s="1">
        <f t="shared" ca="1" si="251"/>
        <v>1063.86428571429</v>
      </c>
      <c r="K861" s="1">
        <f t="shared" ca="1" si="251"/>
        <v>94.917225000000002</v>
      </c>
      <c r="L861" s="1">
        <f t="shared" ca="1" si="251"/>
        <v>1063.86428571429</v>
      </c>
      <c r="M861" s="1">
        <f t="shared" ca="1" si="251"/>
        <v>94.917225000000002</v>
      </c>
      <c r="N861" s="1">
        <f t="shared" ca="1" si="251"/>
        <v>0.2</v>
      </c>
      <c r="O861" s="1">
        <f t="shared" ca="1" si="251"/>
        <v>0.2</v>
      </c>
      <c r="P861" s="1">
        <f t="shared" ca="1" si="251"/>
        <v>0.36</v>
      </c>
      <c r="Q861" s="1">
        <f t="shared" ca="1" si="251"/>
        <v>0.1</v>
      </c>
      <c r="R861" s="1">
        <f t="shared" ca="1" si="251"/>
        <v>2</v>
      </c>
      <c r="S861" s="1">
        <f t="shared" ca="1" si="252"/>
        <v>0.1</v>
      </c>
      <c r="T861" s="1">
        <f t="shared" ca="1" si="252"/>
        <v>0.9</v>
      </c>
      <c r="U861" s="1">
        <f t="shared" ca="1" si="252"/>
        <v>129.53333333333299</v>
      </c>
      <c r="V861" s="1">
        <f t="shared" ca="1" si="252"/>
        <v>0</v>
      </c>
      <c r="W861" s="1">
        <f t="shared" ca="1" si="252"/>
        <v>0</v>
      </c>
      <c r="X861" s="1">
        <f t="shared" ca="1" si="252"/>
        <v>0</v>
      </c>
      <c r="Y861" s="1">
        <f t="shared" ca="1" si="252"/>
        <v>0</v>
      </c>
      <c r="Z861" s="1">
        <f t="shared" ca="1" si="252"/>
        <v>0</v>
      </c>
      <c r="AA861" s="1">
        <f t="shared" ca="1" si="252"/>
        <v>803.89744897959304</v>
      </c>
      <c r="AB861" s="1">
        <f t="shared" ca="1" si="252"/>
        <v>0</v>
      </c>
      <c r="AC861" s="1">
        <f t="shared" ca="1" si="252"/>
        <v>94.917225000000002</v>
      </c>
      <c r="AD861" s="1">
        <f t="shared" ca="1" si="252"/>
        <v>94.917225000000002</v>
      </c>
      <c r="AE861" s="1">
        <f t="shared" ca="1" si="252"/>
        <v>94.917225000000002</v>
      </c>
      <c r="AF861" s="1">
        <f t="shared" ca="1" si="252"/>
        <v>94.917225000000002</v>
      </c>
      <c r="AG861" s="1">
        <f t="shared" ca="1" si="252"/>
        <v>94.917225000000002</v>
      </c>
      <c r="AH861" s="1">
        <f t="shared" ca="1" si="252"/>
        <v>142.37583749999999</v>
      </c>
      <c r="AI861" s="1">
        <f t="shared" ca="1" si="250"/>
        <v>94.917225000000002</v>
      </c>
    </row>
    <row r="862" spans="2:35" x14ac:dyDescent="0.15">
      <c r="B862" s="1" t="str">
        <f t="shared" si="247"/>
        <v>暗系68</v>
      </c>
      <c r="C862" s="1">
        <f t="shared" si="237"/>
        <v>68</v>
      </c>
      <c r="D862" s="14" t="s">
        <v>98</v>
      </c>
      <c r="E862" s="14">
        <f t="shared" si="238"/>
        <v>9</v>
      </c>
      <c r="F862" s="1" t="str">
        <f t="shared" si="245"/>
        <v>黑暗</v>
      </c>
      <c r="H862" s="1">
        <f t="shared" ca="1" si="246"/>
        <v>2616.8565800330298</v>
      </c>
      <c r="I862" s="1">
        <f t="shared" ca="1" si="251"/>
        <v>150</v>
      </c>
      <c r="J862" s="1">
        <f t="shared" ca="1" si="251"/>
        <v>1089.5566265060199</v>
      </c>
      <c r="K862" s="1">
        <f t="shared" ca="1" si="251"/>
        <v>96.3339</v>
      </c>
      <c r="L862" s="1">
        <f t="shared" ca="1" si="251"/>
        <v>1089.5566265060199</v>
      </c>
      <c r="M862" s="1">
        <f t="shared" ca="1" si="251"/>
        <v>96.3339</v>
      </c>
      <c r="N862" s="1">
        <f t="shared" ca="1" si="251"/>
        <v>0.2</v>
      </c>
      <c r="O862" s="1">
        <f t="shared" ca="1" si="251"/>
        <v>0.2</v>
      </c>
      <c r="P862" s="1">
        <f t="shared" ca="1" si="251"/>
        <v>0.36</v>
      </c>
      <c r="Q862" s="1">
        <f t="shared" ca="1" si="251"/>
        <v>0.1</v>
      </c>
      <c r="R862" s="1">
        <f t="shared" ca="1" si="251"/>
        <v>2</v>
      </c>
      <c r="S862" s="1">
        <f t="shared" ca="1" si="252"/>
        <v>0.1</v>
      </c>
      <c r="T862" s="1">
        <f t="shared" ca="1" si="252"/>
        <v>0.9</v>
      </c>
      <c r="U862" s="1">
        <f t="shared" ca="1" si="252"/>
        <v>131.46666666666701</v>
      </c>
      <c r="V862" s="1">
        <f t="shared" ca="1" si="252"/>
        <v>0</v>
      </c>
      <c r="W862" s="1">
        <f t="shared" ca="1" si="252"/>
        <v>0</v>
      </c>
      <c r="X862" s="1">
        <f t="shared" ca="1" si="252"/>
        <v>0</v>
      </c>
      <c r="Y862" s="1">
        <f t="shared" ca="1" si="252"/>
        <v>0</v>
      </c>
      <c r="Z862" s="1">
        <f t="shared" ca="1" si="252"/>
        <v>0</v>
      </c>
      <c r="AA862" s="1">
        <f t="shared" ca="1" si="252"/>
        <v>841.93012048192804</v>
      </c>
      <c r="AB862" s="1">
        <f t="shared" ca="1" si="252"/>
        <v>0</v>
      </c>
      <c r="AC862" s="1">
        <f t="shared" ca="1" si="252"/>
        <v>96.3339</v>
      </c>
      <c r="AD862" s="1">
        <f t="shared" ca="1" si="252"/>
        <v>96.3339</v>
      </c>
      <c r="AE862" s="1">
        <f t="shared" ca="1" si="252"/>
        <v>96.3339</v>
      </c>
      <c r="AF862" s="1">
        <f t="shared" ca="1" si="252"/>
        <v>96.3339</v>
      </c>
      <c r="AG862" s="1">
        <f t="shared" ca="1" si="252"/>
        <v>96.3339</v>
      </c>
      <c r="AH862" s="1">
        <f t="shared" ca="1" si="252"/>
        <v>144.50085000000001</v>
      </c>
      <c r="AI862" s="1">
        <f t="shared" ca="1" si="250"/>
        <v>96.3339</v>
      </c>
    </row>
    <row r="863" spans="2:35" x14ac:dyDescent="0.15">
      <c r="B863" s="1" t="str">
        <f t="shared" si="247"/>
        <v>暗系69</v>
      </c>
      <c r="C863" s="1">
        <f t="shared" si="237"/>
        <v>69</v>
      </c>
      <c r="D863" s="14" t="s">
        <v>98</v>
      </c>
      <c r="E863" s="14">
        <f t="shared" si="238"/>
        <v>9</v>
      </c>
      <c r="F863" s="1" t="str">
        <f t="shared" si="245"/>
        <v>黑暗</v>
      </c>
      <c r="H863" s="1">
        <f t="shared" ca="1" si="246"/>
        <v>2667.5763538124702</v>
      </c>
      <c r="I863" s="1">
        <f t="shared" ref="I863:R872" ca="1" si="253">mVlookup($C863,monsterBaseDate,I$2,FALSE)*(1+mVlookup($E863,monsterType,I$2,FALSE))</f>
        <v>150</v>
      </c>
      <c r="J863" s="1">
        <f t="shared" ca="1" si="253"/>
        <v>1115.7023519163799</v>
      </c>
      <c r="K863" s="1">
        <f t="shared" ca="1" si="253"/>
        <v>97.750574999999998</v>
      </c>
      <c r="L863" s="1">
        <f t="shared" ca="1" si="253"/>
        <v>1115.7023519163799</v>
      </c>
      <c r="M863" s="1">
        <f t="shared" ca="1" si="253"/>
        <v>97.750574999999998</v>
      </c>
      <c r="N863" s="1">
        <f t="shared" ca="1" si="253"/>
        <v>0.2</v>
      </c>
      <c r="O863" s="1">
        <f t="shared" ca="1" si="253"/>
        <v>0.2</v>
      </c>
      <c r="P863" s="1">
        <f t="shared" ca="1" si="253"/>
        <v>0.36</v>
      </c>
      <c r="Q863" s="1">
        <f t="shared" ca="1" si="253"/>
        <v>0.1</v>
      </c>
      <c r="R863" s="1">
        <f t="shared" ca="1" si="253"/>
        <v>2</v>
      </c>
      <c r="S863" s="1">
        <f t="shared" ref="S863:AH878" ca="1" si="254">mVlookup($C863,monsterBaseDate,S$2,FALSE)*(1+mVlookup($E863,monsterType,S$2,FALSE))</f>
        <v>0.1</v>
      </c>
      <c r="T863" s="1">
        <f t="shared" ca="1" si="254"/>
        <v>0.9</v>
      </c>
      <c r="U863" s="1">
        <f t="shared" ca="1" si="254"/>
        <v>133.4</v>
      </c>
      <c r="V863" s="1">
        <f t="shared" ca="1" si="254"/>
        <v>0</v>
      </c>
      <c r="W863" s="1">
        <f t="shared" ca="1" si="254"/>
        <v>0</v>
      </c>
      <c r="X863" s="1">
        <f t="shared" ca="1" si="254"/>
        <v>0</v>
      </c>
      <c r="Y863" s="1">
        <f t="shared" ca="1" si="254"/>
        <v>0</v>
      </c>
      <c r="Z863" s="1">
        <f t="shared" ca="1" si="254"/>
        <v>0</v>
      </c>
      <c r="AA863" s="1">
        <f t="shared" ca="1" si="254"/>
        <v>881.49002613240452</v>
      </c>
      <c r="AB863" s="1">
        <f t="shared" ca="1" si="252"/>
        <v>0</v>
      </c>
      <c r="AC863" s="1">
        <f t="shared" ca="1" si="254"/>
        <v>97.750574999999998</v>
      </c>
      <c r="AD863" s="1">
        <f t="shared" ca="1" si="254"/>
        <v>97.750574999999998</v>
      </c>
      <c r="AE863" s="1">
        <f t="shared" ca="1" si="254"/>
        <v>97.750574999999998</v>
      </c>
      <c r="AF863" s="1">
        <f t="shared" ca="1" si="254"/>
        <v>97.750574999999998</v>
      </c>
      <c r="AG863" s="1">
        <f t="shared" ca="1" si="254"/>
        <v>97.750574999999998</v>
      </c>
      <c r="AH863" s="1">
        <f t="shared" ca="1" si="254"/>
        <v>146.62586249999998</v>
      </c>
      <c r="AI863" s="1">
        <f t="shared" ca="1" si="250"/>
        <v>97.750574999999998</v>
      </c>
    </row>
    <row r="864" spans="2:35" x14ac:dyDescent="0.15">
      <c r="B864" s="1" t="str">
        <f t="shared" si="247"/>
        <v>暗系70</v>
      </c>
      <c r="C864" s="1">
        <f t="shared" si="237"/>
        <v>70</v>
      </c>
      <c r="D864" s="14" t="s">
        <v>98</v>
      </c>
      <c r="E864" s="14">
        <f t="shared" si="238"/>
        <v>9</v>
      </c>
      <c r="F864" s="1" t="str">
        <f t="shared" si="245"/>
        <v>黑暗</v>
      </c>
      <c r="H864" s="1">
        <f t="shared" ca="1" si="246"/>
        <v>2718.65081132463</v>
      </c>
      <c r="I864" s="1">
        <f t="shared" ca="1" si="253"/>
        <v>150</v>
      </c>
      <c r="J864" s="1">
        <f t="shared" ca="1" si="253"/>
        <v>1142.31481481482</v>
      </c>
      <c r="K864" s="1">
        <f t="shared" ca="1" si="253"/>
        <v>99.167249999999996</v>
      </c>
      <c r="L864" s="1">
        <f t="shared" ca="1" si="253"/>
        <v>1142.31481481482</v>
      </c>
      <c r="M864" s="1">
        <f t="shared" ca="1" si="253"/>
        <v>99.167249999999996</v>
      </c>
      <c r="N864" s="1">
        <f t="shared" ca="1" si="253"/>
        <v>0.2</v>
      </c>
      <c r="O864" s="1">
        <f t="shared" ca="1" si="253"/>
        <v>0.2</v>
      </c>
      <c r="P864" s="1">
        <f t="shared" ca="1" si="253"/>
        <v>0.36</v>
      </c>
      <c r="Q864" s="1">
        <f t="shared" ca="1" si="253"/>
        <v>0.1</v>
      </c>
      <c r="R864" s="1">
        <f t="shared" ca="1" si="253"/>
        <v>2</v>
      </c>
      <c r="S864" s="1">
        <f t="shared" ca="1" si="254"/>
        <v>0.1</v>
      </c>
      <c r="T864" s="1">
        <f t="shared" ca="1" si="254"/>
        <v>0.9</v>
      </c>
      <c r="U864" s="1">
        <f t="shared" ca="1" si="254"/>
        <v>135.333333333333</v>
      </c>
      <c r="V864" s="1">
        <f t="shared" ca="1" si="254"/>
        <v>0</v>
      </c>
      <c r="W864" s="1">
        <f t="shared" ca="1" si="254"/>
        <v>0</v>
      </c>
      <c r="X864" s="1">
        <f t="shared" ca="1" si="254"/>
        <v>0</v>
      </c>
      <c r="Y864" s="1">
        <f t="shared" ca="1" si="254"/>
        <v>0</v>
      </c>
      <c r="Z864" s="1">
        <f t="shared" ca="1" si="254"/>
        <v>0</v>
      </c>
      <c r="AA864" s="1">
        <f t="shared" ca="1" si="254"/>
        <v>922.63888888888937</v>
      </c>
      <c r="AB864" s="1">
        <f t="shared" ca="1" si="252"/>
        <v>0</v>
      </c>
      <c r="AC864" s="1">
        <f t="shared" ca="1" si="254"/>
        <v>99.167249999999996</v>
      </c>
      <c r="AD864" s="1">
        <f t="shared" ca="1" si="254"/>
        <v>99.167249999999996</v>
      </c>
      <c r="AE864" s="1">
        <f t="shared" ca="1" si="254"/>
        <v>99.167249999999996</v>
      </c>
      <c r="AF864" s="1">
        <f t="shared" ca="1" si="254"/>
        <v>99.167249999999996</v>
      </c>
      <c r="AG864" s="1">
        <f t="shared" ca="1" si="254"/>
        <v>99.167249999999996</v>
      </c>
      <c r="AH864" s="1">
        <f t="shared" ca="1" si="254"/>
        <v>148.75087500000001</v>
      </c>
      <c r="AI864" s="1">
        <f t="shared" ca="1" si="250"/>
        <v>99.167249999999996</v>
      </c>
    </row>
    <row r="865" spans="2:35" x14ac:dyDescent="0.15">
      <c r="B865" s="1" t="str">
        <f t="shared" si="247"/>
        <v>暗系71</v>
      </c>
      <c r="C865" s="1">
        <f t="shared" si="237"/>
        <v>71</v>
      </c>
      <c r="D865" s="14" t="s">
        <v>98</v>
      </c>
      <c r="E865" s="14">
        <f t="shared" si="238"/>
        <v>9</v>
      </c>
      <c r="F865" s="1" t="str">
        <f t="shared" si="245"/>
        <v>黑暗</v>
      </c>
      <c r="H865" s="1">
        <f t="shared" ca="1" si="246"/>
        <v>2770.0799525695202</v>
      </c>
      <c r="I865" s="1">
        <f t="shared" ca="1" si="253"/>
        <v>150</v>
      </c>
      <c r="J865" s="1">
        <f t="shared" ca="1" si="253"/>
        <v>1169.40803571429</v>
      </c>
      <c r="K865" s="1">
        <f t="shared" ca="1" si="253"/>
        <v>100.58392499999999</v>
      </c>
      <c r="L865" s="1">
        <f t="shared" ca="1" si="253"/>
        <v>1169.40803571429</v>
      </c>
      <c r="M865" s="1">
        <f t="shared" ca="1" si="253"/>
        <v>100.58392499999999</v>
      </c>
      <c r="N865" s="1">
        <f t="shared" ca="1" si="253"/>
        <v>0.2</v>
      </c>
      <c r="O865" s="1">
        <f t="shared" ca="1" si="253"/>
        <v>0.2</v>
      </c>
      <c r="P865" s="1">
        <f t="shared" ca="1" si="253"/>
        <v>0.36</v>
      </c>
      <c r="Q865" s="1">
        <f t="shared" ca="1" si="253"/>
        <v>0.1</v>
      </c>
      <c r="R865" s="1">
        <f t="shared" ca="1" si="253"/>
        <v>2</v>
      </c>
      <c r="S865" s="1">
        <f t="shared" ca="1" si="254"/>
        <v>0.1</v>
      </c>
      <c r="T865" s="1">
        <f t="shared" ca="1" si="254"/>
        <v>0.9</v>
      </c>
      <c r="U865" s="1">
        <f t="shared" ca="1" si="254"/>
        <v>137.26666666666699</v>
      </c>
      <c r="V865" s="1">
        <f t="shared" ca="1" si="254"/>
        <v>0</v>
      </c>
      <c r="W865" s="1">
        <f t="shared" ca="1" si="254"/>
        <v>0</v>
      </c>
      <c r="X865" s="1">
        <f t="shared" ca="1" si="254"/>
        <v>0</v>
      </c>
      <c r="Y865" s="1">
        <f t="shared" ca="1" si="254"/>
        <v>0</v>
      </c>
      <c r="Z865" s="1">
        <f t="shared" ca="1" si="254"/>
        <v>0</v>
      </c>
      <c r="AA865" s="1">
        <f t="shared" ca="1" si="254"/>
        <v>965.44151785714348</v>
      </c>
      <c r="AB865" s="1">
        <f t="shared" ca="1" si="252"/>
        <v>0</v>
      </c>
      <c r="AC865" s="1">
        <f t="shared" ca="1" si="254"/>
        <v>100.58392499999999</v>
      </c>
      <c r="AD865" s="1">
        <f t="shared" ca="1" si="254"/>
        <v>100.58392499999999</v>
      </c>
      <c r="AE865" s="1">
        <f t="shared" ca="1" si="254"/>
        <v>100.58392499999999</v>
      </c>
      <c r="AF865" s="1">
        <f t="shared" ca="1" si="254"/>
        <v>100.58392499999999</v>
      </c>
      <c r="AG865" s="1">
        <f t="shared" ca="1" si="254"/>
        <v>100.58392499999999</v>
      </c>
      <c r="AH865" s="1">
        <f t="shared" ca="1" si="254"/>
        <v>150.87588749999998</v>
      </c>
      <c r="AI865" s="1">
        <f t="shared" ca="1" si="250"/>
        <v>100.58392499999999</v>
      </c>
    </row>
    <row r="866" spans="2:35" x14ac:dyDescent="0.15">
      <c r="B866" s="1" t="str">
        <f t="shared" si="247"/>
        <v>暗系72</v>
      </c>
      <c r="C866" s="1">
        <f t="shared" si="237"/>
        <v>72</v>
      </c>
      <c r="D866" s="14" t="s">
        <v>98</v>
      </c>
      <c r="E866" s="14">
        <f t="shared" si="238"/>
        <v>9</v>
      </c>
      <c r="F866" s="1" t="str">
        <f t="shared" si="245"/>
        <v>黑暗</v>
      </c>
      <c r="H866" s="1">
        <f t="shared" ca="1" si="246"/>
        <v>2821.8637775471302</v>
      </c>
      <c r="I866" s="1">
        <f t="shared" ca="1" si="253"/>
        <v>150</v>
      </c>
      <c r="J866" s="1">
        <f t="shared" ca="1" si="253"/>
        <v>1196.9967450271299</v>
      </c>
      <c r="K866" s="1">
        <f t="shared" ca="1" si="253"/>
        <v>102.00060000000001</v>
      </c>
      <c r="L866" s="1">
        <f t="shared" ca="1" si="253"/>
        <v>1196.9967450271299</v>
      </c>
      <c r="M866" s="1">
        <f t="shared" ca="1" si="253"/>
        <v>102.00060000000001</v>
      </c>
      <c r="N866" s="1">
        <f t="shared" ca="1" si="253"/>
        <v>0.2</v>
      </c>
      <c r="O866" s="1">
        <f t="shared" ca="1" si="253"/>
        <v>0.2</v>
      </c>
      <c r="P866" s="1">
        <f t="shared" ca="1" si="253"/>
        <v>0.36</v>
      </c>
      <c r="Q866" s="1">
        <f t="shared" ca="1" si="253"/>
        <v>0.1</v>
      </c>
      <c r="R866" s="1">
        <f t="shared" ca="1" si="253"/>
        <v>2</v>
      </c>
      <c r="S866" s="1">
        <f t="shared" ca="1" si="254"/>
        <v>0.1</v>
      </c>
      <c r="T866" s="1">
        <f t="shared" ca="1" si="254"/>
        <v>0.9</v>
      </c>
      <c r="U866" s="1">
        <f t="shared" ca="1" si="254"/>
        <v>139.19999999999999</v>
      </c>
      <c r="V866" s="1">
        <f t="shared" ca="1" si="254"/>
        <v>0</v>
      </c>
      <c r="W866" s="1">
        <f t="shared" ca="1" si="254"/>
        <v>0</v>
      </c>
      <c r="X866" s="1">
        <f t="shared" ca="1" si="254"/>
        <v>0</v>
      </c>
      <c r="Y866" s="1">
        <f t="shared" ca="1" si="254"/>
        <v>0</v>
      </c>
      <c r="Z866" s="1">
        <f t="shared" ca="1" si="254"/>
        <v>0</v>
      </c>
      <c r="AA866" s="1">
        <f t="shared" ca="1" si="254"/>
        <v>1009.966003616637</v>
      </c>
      <c r="AB866" s="1">
        <f t="shared" ca="1" si="252"/>
        <v>0</v>
      </c>
      <c r="AC866" s="1">
        <f t="shared" ca="1" si="254"/>
        <v>102.00060000000001</v>
      </c>
      <c r="AD866" s="1">
        <f t="shared" ca="1" si="254"/>
        <v>102.00060000000001</v>
      </c>
      <c r="AE866" s="1">
        <f t="shared" ca="1" si="254"/>
        <v>102.00060000000001</v>
      </c>
      <c r="AF866" s="1">
        <f t="shared" ca="1" si="254"/>
        <v>102.00060000000001</v>
      </c>
      <c r="AG866" s="1">
        <f t="shared" ca="1" si="254"/>
        <v>102.00060000000001</v>
      </c>
      <c r="AH866" s="1">
        <f t="shared" ca="1" si="254"/>
        <v>153.0009</v>
      </c>
      <c r="AI866" s="1">
        <f t="shared" ca="1" si="250"/>
        <v>102.00060000000001</v>
      </c>
    </row>
    <row r="867" spans="2:35" x14ac:dyDescent="0.15">
      <c r="B867" s="1" t="str">
        <f t="shared" si="247"/>
        <v>暗系73</v>
      </c>
      <c r="C867" s="1">
        <f t="shared" si="237"/>
        <v>73</v>
      </c>
      <c r="D867" s="14" t="s">
        <v>98</v>
      </c>
      <c r="E867" s="14">
        <f t="shared" si="238"/>
        <v>9</v>
      </c>
      <c r="F867" s="1" t="str">
        <f t="shared" si="245"/>
        <v>黑暗</v>
      </c>
      <c r="H867" s="1">
        <f t="shared" ca="1" si="246"/>
        <v>2874.0022862574701</v>
      </c>
      <c r="I867" s="1">
        <f t="shared" ca="1" si="253"/>
        <v>150</v>
      </c>
      <c r="J867" s="1">
        <f t="shared" ca="1" si="253"/>
        <v>1225.0964285714299</v>
      </c>
      <c r="K867" s="1">
        <f t="shared" ca="1" si="253"/>
        <v>103.417275</v>
      </c>
      <c r="L867" s="1">
        <f t="shared" ca="1" si="253"/>
        <v>1225.0964285714299</v>
      </c>
      <c r="M867" s="1">
        <f t="shared" ca="1" si="253"/>
        <v>103.417275</v>
      </c>
      <c r="N867" s="1">
        <f t="shared" ca="1" si="253"/>
        <v>0.2</v>
      </c>
      <c r="O867" s="1">
        <f t="shared" ca="1" si="253"/>
        <v>0.2</v>
      </c>
      <c r="P867" s="1">
        <f t="shared" ca="1" si="253"/>
        <v>0.36</v>
      </c>
      <c r="Q867" s="1">
        <f t="shared" ca="1" si="253"/>
        <v>0.1</v>
      </c>
      <c r="R867" s="1">
        <f t="shared" ca="1" si="253"/>
        <v>2</v>
      </c>
      <c r="S867" s="1">
        <f t="shared" ca="1" si="254"/>
        <v>0.1</v>
      </c>
      <c r="T867" s="1">
        <f t="shared" ca="1" si="254"/>
        <v>0.9</v>
      </c>
      <c r="U867" s="1">
        <f t="shared" ca="1" si="254"/>
        <v>141.13333333333301</v>
      </c>
      <c r="V867" s="1">
        <f t="shared" ca="1" si="254"/>
        <v>0</v>
      </c>
      <c r="W867" s="1">
        <f t="shared" ca="1" si="254"/>
        <v>0</v>
      </c>
      <c r="X867" s="1">
        <f t="shared" ca="1" si="254"/>
        <v>0</v>
      </c>
      <c r="Y867" s="1">
        <f t="shared" ca="1" si="254"/>
        <v>0</v>
      </c>
      <c r="Z867" s="1">
        <f t="shared" ca="1" si="254"/>
        <v>0</v>
      </c>
      <c r="AA867" s="1">
        <f t="shared" ca="1" si="254"/>
        <v>1056.283928571429</v>
      </c>
      <c r="AB867" s="1">
        <f t="shared" ca="1" si="252"/>
        <v>0</v>
      </c>
      <c r="AC867" s="1">
        <f t="shared" ca="1" si="254"/>
        <v>103.417275</v>
      </c>
      <c r="AD867" s="1">
        <f t="shared" ca="1" si="254"/>
        <v>103.417275</v>
      </c>
      <c r="AE867" s="1">
        <f t="shared" ca="1" si="254"/>
        <v>103.417275</v>
      </c>
      <c r="AF867" s="1">
        <f t="shared" ca="1" si="254"/>
        <v>103.417275</v>
      </c>
      <c r="AG867" s="1">
        <f t="shared" ca="1" si="254"/>
        <v>103.417275</v>
      </c>
      <c r="AH867" s="1">
        <f t="shared" ca="1" si="254"/>
        <v>155.1259125</v>
      </c>
      <c r="AI867" s="1">
        <f t="shared" ca="1" si="250"/>
        <v>103.417275</v>
      </c>
    </row>
    <row r="868" spans="2:35" x14ac:dyDescent="0.15">
      <c r="B868" s="1" t="str">
        <f t="shared" si="247"/>
        <v>暗系74</v>
      </c>
      <c r="C868" s="1">
        <f t="shared" si="237"/>
        <v>74</v>
      </c>
      <c r="D868" s="14" t="s">
        <v>98</v>
      </c>
      <c r="E868" s="14">
        <f t="shared" si="238"/>
        <v>9</v>
      </c>
      <c r="F868" s="1" t="str">
        <f t="shared" si="245"/>
        <v>黑暗</v>
      </c>
      <c r="H868" s="1">
        <f t="shared" ca="1" si="246"/>
        <v>2926.4954787005299</v>
      </c>
      <c r="I868" s="1">
        <f t="shared" ca="1" si="253"/>
        <v>150</v>
      </c>
      <c r="J868" s="1">
        <f t="shared" ca="1" si="253"/>
        <v>1253.7233766233801</v>
      </c>
      <c r="K868" s="1">
        <f t="shared" ca="1" si="253"/>
        <v>104.83395</v>
      </c>
      <c r="L868" s="1">
        <f t="shared" ca="1" si="253"/>
        <v>1253.7233766233801</v>
      </c>
      <c r="M868" s="1">
        <f t="shared" ca="1" si="253"/>
        <v>104.83395</v>
      </c>
      <c r="N868" s="1">
        <f t="shared" ca="1" si="253"/>
        <v>0.2</v>
      </c>
      <c r="O868" s="1">
        <f t="shared" ca="1" si="253"/>
        <v>0.2</v>
      </c>
      <c r="P868" s="1">
        <f t="shared" ca="1" si="253"/>
        <v>0.36</v>
      </c>
      <c r="Q868" s="1">
        <f t="shared" ca="1" si="253"/>
        <v>0.1</v>
      </c>
      <c r="R868" s="1">
        <f t="shared" ca="1" si="253"/>
        <v>2</v>
      </c>
      <c r="S868" s="1">
        <f t="shared" ca="1" si="254"/>
        <v>0.1</v>
      </c>
      <c r="T868" s="1">
        <f t="shared" ca="1" si="254"/>
        <v>0.9</v>
      </c>
      <c r="U868" s="1">
        <f t="shared" ca="1" si="254"/>
        <v>143.066666666667</v>
      </c>
      <c r="V868" s="1">
        <f t="shared" ca="1" si="254"/>
        <v>0</v>
      </c>
      <c r="W868" s="1">
        <f t="shared" ca="1" si="254"/>
        <v>0</v>
      </c>
      <c r="X868" s="1">
        <f t="shared" ca="1" si="254"/>
        <v>0</v>
      </c>
      <c r="Y868" s="1">
        <f t="shared" ca="1" si="254"/>
        <v>0</v>
      </c>
      <c r="Z868" s="1">
        <f t="shared" ca="1" si="254"/>
        <v>0</v>
      </c>
      <c r="AA868" s="1">
        <f t="shared" ca="1" si="254"/>
        <v>1104.4705936920241</v>
      </c>
      <c r="AB868" s="1">
        <f t="shared" ca="1" si="252"/>
        <v>0</v>
      </c>
      <c r="AC868" s="1">
        <f t="shared" ca="1" si="254"/>
        <v>104.83395</v>
      </c>
      <c r="AD868" s="1">
        <f t="shared" ca="1" si="254"/>
        <v>104.83395</v>
      </c>
      <c r="AE868" s="1">
        <f t="shared" ca="1" si="254"/>
        <v>104.83395</v>
      </c>
      <c r="AF868" s="1">
        <f t="shared" ca="1" si="254"/>
        <v>104.83395</v>
      </c>
      <c r="AG868" s="1">
        <f t="shared" ca="1" si="254"/>
        <v>104.83395</v>
      </c>
      <c r="AH868" s="1">
        <f t="shared" ca="1" si="254"/>
        <v>157.250925</v>
      </c>
      <c r="AI868" s="1">
        <f t="shared" ca="1" si="250"/>
        <v>104.83395</v>
      </c>
    </row>
    <row r="869" spans="2:35" x14ac:dyDescent="0.15">
      <c r="B869" s="1" t="str">
        <f t="shared" si="247"/>
        <v>暗系75</v>
      </c>
      <c r="C869" s="1">
        <f t="shared" si="237"/>
        <v>75</v>
      </c>
      <c r="D869" s="14" t="s">
        <v>98</v>
      </c>
      <c r="E869" s="14">
        <f t="shared" si="238"/>
        <v>9</v>
      </c>
      <c r="F869" s="1" t="str">
        <f t="shared" si="245"/>
        <v>黑暗</v>
      </c>
      <c r="H869" s="1">
        <f t="shared" ca="1" si="246"/>
        <v>2979.3433548763101</v>
      </c>
      <c r="I869" s="1">
        <f t="shared" ca="1" si="253"/>
        <v>150</v>
      </c>
      <c r="J869" s="1">
        <f t="shared" ca="1" si="253"/>
        <v>1282.89473684211</v>
      </c>
      <c r="K869" s="1">
        <f t="shared" ca="1" si="253"/>
        <v>106.250625</v>
      </c>
      <c r="L869" s="1">
        <f t="shared" ca="1" si="253"/>
        <v>1282.89473684211</v>
      </c>
      <c r="M869" s="1">
        <f t="shared" ca="1" si="253"/>
        <v>106.250625</v>
      </c>
      <c r="N869" s="1">
        <f t="shared" ca="1" si="253"/>
        <v>0.2</v>
      </c>
      <c r="O869" s="1">
        <f t="shared" ca="1" si="253"/>
        <v>0.2</v>
      </c>
      <c r="P869" s="1">
        <f t="shared" ca="1" si="253"/>
        <v>0.36</v>
      </c>
      <c r="Q869" s="1">
        <f t="shared" ca="1" si="253"/>
        <v>0.1</v>
      </c>
      <c r="R869" s="1">
        <f t="shared" ca="1" si="253"/>
        <v>2</v>
      </c>
      <c r="S869" s="1">
        <f t="shared" ca="1" si="254"/>
        <v>0.1</v>
      </c>
      <c r="T869" s="1">
        <f t="shared" ca="1" si="254"/>
        <v>0.9</v>
      </c>
      <c r="U869" s="1">
        <f t="shared" ca="1" si="254"/>
        <v>145</v>
      </c>
      <c r="V869" s="1">
        <f t="shared" ca="1" si="254"/>
        <v>0</v>
      </c>
      <c r="W869" s="1">
        <f t="shared" ca="1" si="254"/>
        <v>0</v>
      </c>
      <c r="X869" s="1">
        <f t="shared" ca="1" si="254"/>
        <v>0</v>
      </c>
      <c r="Y869" s="1">
        <f t="shared" ca="1" si="254"/>
        <v>0</v>
      </c>
      <c r="Z869" s="1">
        <f t="shared" ca="1" si="254"/>
        <v>0</v>
      </c>
      <c r="AA869" s="1">
        <f t="shared" ca="1" si="254"/>
        <v>1154.6052631578959</v>
      </c>
      <c r="AB869" s="1">
        <f t="shared" ca="1" si="254"/>
        <v>0</v>
      </c>
      <c r="AC869" s="1">
        <f t="shared" ca="1" si="254"/>
        <v>106.250625</v>
      </c>
      <c r="AD869" s="1">
        <f t="shared" ca="1" si="254"/>
        <v>106.250625</v>
      </c>
      <c r="AE869" s="1">
        <f t="shared" ca="1" si="254"/>
        <v>106.250625</v>
      </c>
      <c r="AF869" s="1">
        <f t="shared" ca="1" si="254"/>
        <v>106.250625</v>
      </c>
      <c r="AG869" s="1">
        <f t="shared" ca="1" si="254"/>
        <v>106.250625</v>
      </c>
      <c r="AH869" s="1">
        <f t="shared" ca="1" si="254"/>
        <v>159.37593749999999</v>
      </c>
      <c r="AI869" s="1">
        <f t="shared" ca="1" si="250"/>
        <v>106.250625</v>
      </c>
    </row>
    <row r="870" spans="2:35" x14ac:dyDescent="0.15">
      <c r="B870" s="1" t="str">
        <f t="shared" si="247"/>
        <v>暗系76</v>
      </c>
      <c r="C870" s="1">
        <f t="shared" si="237"/>
        <v>76</v>
      </c>
      <c r="D870" s="14" t="s">
        <v>98</v>
      </c>
      <c r="E870" s="14">
        <f t="shared" si="238"/>
        <v>9</v>
      </c>
      <c r="F870" s="1" t="str">
        <f t="shared" si="245"/>
        <v>黑暗</v>
      </c>
      <c r="H870" s="1">
        <f t="shared" ca="1" si="246"/>
        <v>3032.5459147848201</v>
      </c>
      <c r="I870" s="1">
        <f t="shared" ca="1" si="253"/>
        <v>150</v>
      </c>
      <c r="J870" s="1">
        <f t="shared" ca="1" si="253"/>
        <v>1312.62857142857</v>
      </c>
      <c r="K870" s="1">
        <f t="shared" ca="1" si="253"/>
        <v>107.6673</v>
      </c>
      <c r="L870" s="1">
        <f t="shared" ca="1" si="253"/>
        <v>1312.62857142857</v>
      </c>
      <c r="M870" s="1">
        <f t="shared" ca="1" si="253"/>
        <v>107.6673</v>
      </c>
      <c r="N870" s="1">
        <f t="shared" ca="1" si="253"/>
        <v>0.2</v>
      </c>
      <c r="O870" s="1">
        <f t="shared" ca="1" si="253"/>
        <v>0.2</v>
      </c>
      <c r="P870" s="1">
        <f t="shared" ca="1" si="253"/>
        <v>0.36</v>
      </c>
      <c r="Q870" s="1">
        <f t="shared" ca="1" si="253"/>
        <v>0.1</v>
      </c>
      <c r="R870" s="1">
        <f t="shared" ca="1" si="253"/>
        <v>2</v>
      </c>
      <c r="S870" s="1">
        <f t="shared" ca="1" si="254"/>
        <v>0.1</v>
      </c>
      <c r="T870" s="1">
        <f t="shared" ca="1" si="254"/>
        <v>0.9</v>
      </c>
      <c r="U870" s="1">
        <f t="shared" ca="1" si="254"/>
        <v>146.933333333333</v>
      </c>
      <c r="V870" s="1">
        <f t="shared" ca="1" si="254"/>
        <v>0</v>
      </c>
      <c r="W870" s="1">
        <f t="shared" ca="1" si="254"/>
        <v>0</v>
      </c>
      <c r="X870" s="1">
        <f t="shared" ca="1" si="254"/>
        <v>0</v>
      </c>
      <c r="Y870" s="1">
        <f t="shared" ca="1" si="254"/>
        <v>0</v>
      </c>
      <c r="Z870" s="1">
        <f t="shared" ca="1" si="254"/>
        <v>0</v>
      </c>
      <c r="AA870" s="1">
        <f t="shared" ca="1" si="254"/>
        <v>1206.7714285714289</v>
      </c>
      <c r="AB870" s="1">
        <f t="shared" ca="1" si="254"/>
        <v>0</v>
      </c>
      <c r="AC870" s="1">
        <f t="shared" ca="1" si="254"/>
        <v>107.6673</v>
      </c>
      <c r="AD870" s="1">
        <f t="shared" ca="1" si="254"/>
        <v>107.6673</v>
      </c>
      <c r="AE870" s="1">
        <f t="shared" ca="1" si="254"/>
        <v>107.6673</v>
      </c>
      <c r="AF870" s="1">
        <f t="shared" ca="1" si="254"/>
        <v>107.6673</v>
      </c>
      <c r="AG870" s="1">
        <f t="shared" ca="1" si="254"/>
        <v>107.6673</v>
      </c>
      <c r="AH870" s="1">
        <f t="shared" ca="1" si="254"/>
        <v>161.50094999999999</v>
      </c>
      <c r="AI870" s="1">
        <f t="shared" ca="1" si="250"/>
        <v>107.6673</v>
      </c>
    </row>
    <row r="871" spans="2:35" x14ac:dyDescent="0.15">
      <c r="B871" s="1" t="str">
        <f t="shared" si="247"/>
        <v>暗系77</v>
      </c>
      <c r="C871" s="1">
        <f t="shared" ref="C871:C934" si="255">C772</f>
        <v>77</v>
      </c>
      <c r="D871" s="14" t="s">
        <v>98</v>
      </c>
      <c r="E871" s="14">
        <f t="shared" ref="E871:E934" si="256">E772+1</f>
        <v>9</v>
      </c>
      <c r="F871" s="1" t="str">
        <f t="shared" si="245"/>
        <v>黑暗</v>
      </c>
      <c r="H871" s="1">
        <f t="shared" ca="1" si="246"/>
        <v>3086.10315842605</v>
      </c>
      <c r="I871" s="1">
        <f t="shared" ca="1" si="253"/>
        <v>150</v>
      </c>
      <c r="J871" s="1">
        <f t="shared" ca="1" si="253"/>
        <v>1342.94391891892</v>
      </c>
      <c r="K871" s="1">
        <f t="shared" ca="1" si="253"/>
        <v>109.083975</v>
      </c>
      <c r="L871" s="1">
        <f t="shared" ca="1" si="253"/>
        <v>1342.94391891892</v>
      </c>
      <c r="M871" s="1">
        <f t="shared" ca="1" si="253"/>
        <v>109.083975</v>
      </c>
      <c r="N871" s="1">
        <f t="shared" ca="1" si="253"/>
        <v>0.2</v>
      </c>
      <c r="O871" s="1">
        <f t="shared" ca="1" si="253"/>
        <v>0.2</v>
      </c>
      <c r="P871" s="1">
        <f t="shared" ca="1" si="253"/>
        <v>0.36</v>
      </c>
      <c r="Q871" s="1">
        <f t="shared" ca="1" si="253"/>
        <v>0.1</v>
      </c>
      <c r="R871" s="1">
        <f t="shared" ca="1" si="253"/>
        <v>2</v>
      </c>
      <c r="S871" s="1">
        <f t="shared" ca="1" si="254"/>
        <v>0.1</v>
      </c>
      <c r="T871" s="1">
        <f t="shared" ca="1" si="254"/>
        <v>0.9</v>
      </c>
      <c r="U871" s="1">
        <f t="shared" ca="1" si="254"/>
        <v>148.86666666666699</v>
      </c>
      <c r="V871" s="1">
        <f t="shared" ca="1" si="254"/>
        <v>0</v>
      </c>
      <c r="W871" s="1">
        <f t="shared" ca="1" si="254"/>
        <v>0</v>
      </c>
      <c r="X871" s="1">
        <f t="shared" ca="1" si="254"/>
        <v>0</v>
      </c>
      <c r="Y871" s="1">
        <f t="shared" ca="1" si="254"/>
        <v>0</v>
      </c>
      <c r="Z871" s="1">
        <f t="shared" ca="1" si="254"/>
        <v>0</v>
      </c>
      <c r="AA871" s="1">
        <f t="shared" ca="1" si="254"/>
        <v>1261.0570945945965</v>
      </c>
      <c r="AB871" s="1">
        <f t="shared" ca="1" si="254"/>
        <v>0</v>
      </c>
      <c r="AC871" s="1">
        <f t="shared" ca="1" si="254"/>
        <v>109.083975</v>
      </c>
      <c r="AD871" s="1">
        <f t="shared" ca="1" si="254"/>
        <v>109.083975</v>
      </c>
      <c r="AE871" s="1">
        <f t="shared" ca="1" si="254"/>
        <v>109.083975</v>
      </c>
      <c r="AF871" s="1">
        <f t="shared" ca="1" si="254"/>
        <v>109.083975</v>
      </c>
      <c r="AG871" s="1">
        <f t="shared" ca="1" si="254"/>
        <v>109.083975</v>
      </c>
      <c r="AH871" s="1">
        <f t="shared" ca="1" si="254"/>
        <v>163.62596249999999</v>
      </c>
      <c r="AI871" s="1">
        <f t="shared" ca="1" si="250"/>
        <v>109.083975</v>
      </c>
    </row>
    <row r="872" spans="2:35" x14ac:dyDescent="0.15">
      <c r="B872" s="1" t="str">
        <f t="shared" si="247"/>
        <v>暗系78</v>
      </c>
      <c r="C872" s="1">
        <f t="shared" si="255"/>
        <v>78</v>
      </c>
      <c r="D872" s="14" t="s">
        <v>98</v>
      </c>
      <c r="E872" s="14">
        <f t="shared" si="256"/>
        <v>9</v>
      </c>
      <c r="F872" s="1" t="str">
        <f t="shared" si="245"/>
        <v>黑暗</v>
      </c>
      <c r="H872" s="1">
        <f t="shared" ca="1" si="246"/>
        <v>3265.0137580279402</v>
      </c>
      <c r="I872" s="1">
        <f t="shared" ca="1" si="253"/>
        <v>150</v>
      </c>
      <c r="J872" s="1">
        <f t="shared" ca="1" si="253"/>
        <v>1373.8608610567501</v>
      </c>
      <c r="K872" s="1">
        <f t="shared" ca="1" si="253"/>
        <v>110.50064999999999</v>
      </c>
      <c r="L872" s="1">
        <f t="shared" ca="1" si="253"/>
        <v>1373.8608610567501</v>
      </c>
      <c r="M872" s="1">
        <f t="shared" ca="1" si="253"/>
        <v>110.50064999999999</v>
      </c>
      <c r="N872" s="1">
        <f t="shared" ca="1" si="253"/>
        <v>0.2</v>
      </c>
      <c r="O872" s="1">
        <f t="shared" ca="1" si="253"/>
        <v>0.2</v>
      </c>
      <c r="P872" s="1">
        <f t="shared" ca="1" si="253"/>
        <v>0.36</v>
      </c>
      <c r="Q872" s="1">
        <f t="shared" ca="1" si="253"/>
        <v>0.1</v>
      </c>
      <c r="R872" s="1">
        <f t="shared" ca="1" si="253"/>
        <v>2</v>
      </c>
      <c r="S872" s="1">
        <f t="shared" ca="1" si="254"/>
        <v>0.1</v>
      </c>
      <c r="T872" s="1">
        <f t="shared" ca="1" si="254"/>
        <v>0.9</v>
      </c>
      <c r="U872" s="1">
        <f t="shared" ca="1" si="254"/>
        <v>150.80000000000001</v>
      </c>
      <c r="V872" s="1">
        <f t="shared" ca="1" si="254"/>
        <v>0</v>
      </c>
      <c r="W872" s="1">
        <f t="shared" ca="1" si="254"/>
        <v>0</v>
      </c>
      <c r="X872" s="1">
        <f t="shared" ca="1" si="254"/>
        <v>0</v>
      </c>
      <c r="Y872" s="1">
        <f t="shared" ca="1" si="254"/>
        <v>0</v>
      </c>
      <c r="Z872" s="1">
        <f t="shared" ca="1" si="254"/>
        <v>0</v>
      </c>
      <c r="AA872" s="1">
        <f t="shared" ca="1" si="254"/>
        <v>1317.555088062624</v>
      </c>
      <c r="AB872" s="1">
        <f t="shared" ca="1" si="254"/>
        <v>0</v>
      </c>
      <c r="AC872" s="1">
        <f t="shared" ca="1" si="254"/>
        <v>110.50064999999999</v>
      </c>
      <c r="AD872" s="1">
        <f t="shared" ca="1" si="254"/>
        <v>110.50064999999999</v>
      </c>
      <c r="AE872" s="1">
        <f t="shared" ca="1" si="254"/>
        <v>110.50064999999999</v>
      </c>
      <c r="AF872" s="1">
        <f t="shared" ca="1" si="254"/>
        <v>110.50064999999999</v>
      </c>
      <c r="AG872" s="1">
        <f t="shared" ca="1" si="254"/>
        <v>110.50064999999999</v>
      </c>
      <c r="AH872" s="1">
        <f t="shared" ca="1" si="254"/>
        <v>165.75097499999998</v>
      </c>
      <c r="AI872" s="1">
        <f t="shared" ca="1" si="250"/>
        <v>110.50064999999999</v>
      </c>
    </row>
    <row r="873" spans="2:35" x14ac:dyDescent="0.15">
      <c r="B873" s="1" t="str">
        <f t="shared" si="247"/>
        <v>暗系79</v>
      </c>
      <c r="C873" s="1">
        <f t="shared" si="255"/>
        <v>79</v>
      </c>
      <c r="D873" s="14" t="s">
        <v>98</v>
      </c>
      <c r="E873" s="14">
        <f t="shared" si="256"/>
        <v>9</v>
      </c>
      <c r="F873" s="1" t="str">
        <f t="shared" si="245"/>
        <v>黑暗</v>
      </c>
      <c r="H873" s="1">
        <f t="shared" ca="1" si="246"/>
        <v>3321.4406308369598</v>
      </c>
      <c r="I873" s="1">
        <f t="shared" ref="I873:R882" ca="1" si="257">mVlookup($C873,monsterBaseDate,I$2,FALSE)*(1+mVlookup($E873,monsterType,I$2,FALSE))</f>
        <v>150</v>
      </c>
      <c r="J873" s="1">
        <f t="shared" ca="1" si="257"/>
        <v>1405.4005952381001</v>
      </c>
      <c r="K873" s="1">
        <f t="shared" ca="1" si="257"/>
        <v>111.91732500000001</v>
      </c>
      <c r="L873" s="1">
        <f t="shared" ca="1" si="257"/>
        <v>1405.4005952381001</v>
      </c>
      <c r="M873" s="1">
        <f t="shared" ca="1" si="257"/>
        <v>111.91732500000001</v>
      </c>
      <c r="N873" s="1">
        <f t="shared" ca="1" si="257"/>
        <v>0.2</v>
      </c>
      <c r="O873" s="1">
        <f t="shared" ca="1" si="257"/>
        <v>0.2</v>
      </c>
      <c r="P873" s="1">
        <f t="shared" ca="1" si="257"/>
        <v>0.36</v>
      </c>
      <c r="Q873" s="1">
        <f t="shared" ca="1" si="257"/>
        <v>0.1</v>
      </c>
      <c r="R873" s="1">
        <f t="shared" ca="1" si="257"/>
        <v>2</v>
      </c>
      <c r="S873" s="1">
        <f t="shared" ref="S873:AH888" ca="1" si="258">mVlookup($C873,monsterBaseDate,S$2,FALSE)*(1+mVlookup($E873,monsterType,S$2,FALSE))</f>
        <v>0.1</v>
      </c>
      <c r="T873" s="1">
        <f t="shared" ca="1" si="258"/>
        <v>0.9</v>
      </c>
      <c r="U873" s="1">
        <f t="shared" ca="1" si="258"/>
        <v>152.73333333333301</v>
      </c>
      <c r="V873" s="1">
        <f t="shared" ca="1" si="258"/>
        <v>0</v>
      </c>
      <c r="W873" s="1">
        <f t="shared" ca="1" si="258"/>
        <v>0</v>
      </c>
      <c r="X873" s="1">
        <f t="shared" ca="1" si="258"/>
        <v>0</v>
      </c>
      <c r="Y873" s="1">
        <f t="shared" ca="1" si="258"/>
        <v>0</v>
      </c>
      <c r="Z873" s="1">
        <f t="shared" ca="1" si="258"/>
        <v>0</v>
      </c>
      <c r="AA873" s="1">
        <f t="shared" ca="1" si="258"/>
        <v>1376.3633928571439</v>
      </c>
      <c r="AB873" s="1">
        <f t="shared" ca="1" si="254"/>
        <v>0</v>
      </c>
      <c r="AC873" s="1">
        <f t="shared" ca="1" si="258"/>
        <v>111.91732500000001</v>
      </c>
      <c r="AD873" s="1">
        <f t="shared" ca="1" si="258"/>
        <v>111.91732500000001</v>
      </c>
      <c r="AE873" s="1">
        <f t="shared" ca="1" si="258"/>
        <v>111.91732500000001</v>
      </c>
      <c r="AF873" s="1">
        <f t="shared" ca="1" si="258"/>
        <v>111.91732500000001</v>
      </c>
      <c r="AG873" s="1">
        <f t="shared" ca="1" si="258"/>
        <v>111.91732500000001</v>
      </c>
      <c r="AH873" s="1">
        <f t="shared" ca="1" si="258"/>
        <v>167.87598750000001</v>
      </c>
      <c r="AI873" s="1">
        <f t="shared" ca="1" si="250"/>
        <v>111.91732500000001</v>
      </c>
    </row>
    <row r="874" spans="2:35" x14ac:dyDescent="0.15">
      <c r="B874" s="1" t="str">
        <f t="shared" si="247"/>
        <v>暗系80</v>
      </c>
      <c r="C874" s="1">
        <f t="shared" si="255"/>
        <v>80</v>
      </c>
      <c r="D874" s="14" t="s">
        <v>98</v>
      </c>
      <c r="E874" s="14">
        <f t="shared" si="256"/>
        <v>9</v>
      </c>
      <c r="F874" s="1" t="str">
        <f t="shared" si="245"/>
        <v>黑暗</v>
      </c>
      <c r="H874" s="1">
        <f t="shared" ca="1" si="246"/>
        <v>3378.2363067362398</v>
      </c>
      <c r="I874" s="1">
        <f t="shared" ca="1" si="257"/>
        <v>150</v>
      </c>
      <c r="J874" s="1">
        <f t="shared" ca="1" si="257"/>
        <v>1437.5855130784701</v>
      </c>
      <c r="K874" s="1">
        <f t="shared" ca="1" si="257"/>
        <v>113.334</v>
      </c>
      <c r="L874" s="1">
        <f t="shared" ca="1" si="257"/>
        <v>1437.5855130784701</v>
      </c>
      <c r="M874" s="1">
        <f t="shared" ca="1" si="257"/>
        <v>113.334</v>
      </c>
      <c r="N874" s="1">
        <f t="shared" ca="1" si="257"/>
        <v>0.2</v>
      </c>
      <c r="O874" s="1">
        <f t="shared" ca="1" si="257"/>
        <v>0.2</v>
      </c>
      <c r="P874" s="1">
        <f t="shared" ca="1" si="257"/>
        <v>0.36</v>
      </c>
      <c r="Q874" s="1">
        <f t="shared" ca="1" si="257"/>
        <v>0.1</v>
      </c>
      <c r="R874" s="1">
        <f t="shared" ca="1" si="257"/>
        <v>2</v>
      </c>
      <c r="S874" s="1">
        <f t="shared" ca="1" si="258"/>
        <v>0.1</v>
      </c>
      <c r="T874" s="1">
        <f t="shared" ca="1" si="258"/>
        <v>0.9</v>
      </c>
      <c r="U874" s="1">
        <f t="shared" ca="1" si="258"/>
        <v>154.666666666667</v>
      </c>
      <c r="V874" s="1">
        <f t="shared" ca="1" si="258"/>
        <v>0</v>
      </c>
      <c r="W874" s="1">
        <f t="shared" ca="1" si="258"/>
        <v>0</v>
      </c>
      <c r="X874" s="1">
        <f t="shared" ca="1" si="258"/>
        <v>0</v>
      </c>
      <c r="Y874" s="1">
        <f t="shared" ca="1" si="258"/>
        <v>0</v>
      </c>
      <c r="Z874" s="1">
        <f t="shared" ca="1" si="258"/>
        <v>0</v>
      </c>
      <c r="AA874" s="1">
        <f t="shared" ca="1" si="258"/>
        <v>1437.5855130784726</v>
      </c>
      <c r="AB874" s="1">
        <f t="shared" ca="1" si="254"/>
        <v>0</v>
      </c>
      <c r="AC874" s="1">
        <f t="shared" ca="1" si="258"/>
        <v>113.334</v>
      </c>
      <c r="AD874" s="1">
        <f t="shared" ca="1" si="258"/>
        <v>113.334</v>
      </c>
      <c r="AE874" s="1">
        <f t="shared" ca="1" si="258"/>
        <v>113.334</v>
      </c>
      <c r="AF874" s="1">
        <f t="shared" ca="1" si="258"/>
        <v>113.334</v>
      </c>
      <c r="AG874" s="1">
        <f t="shared" ca="1" si="258"/>
        <v>113.334</v>
      </c>
      <c r="AH874" s="1">
        <f t="shared" ca="1" si="258"/>
        <v>170.001</v>
      </c>
      <c r="AI874" s="1">
        <f t="shared" ca="1" si="250"/>
        <v>113.334</v>
      </c>
    </row>
    <row r="875" spans="2:35" x14ac:dyDescent="0.15">
      <c r="B875" s="1" t="str">
        <f t="shared" si="247"/>
        <v>暗系81</v>
      </c>
      <c r="C875" s="1">
        <f t="shared" si="255"/>
        <v>81</v>
      </c>
      <c r="D875" s="14" t="s">
        <v>98</v>
      </c>
      <c r="E875" s="14">
        <f t="shared" si="256"/>
        <v>9</v>
      </c>
      <c r="F875" s="1" t="str">
        <f t="shared" si="245"/>
        <v>黑暗</v>
      </c>
      <c r="H875" s="1">
        <f t="shared" ca="1" si="246"/>
        <v>3435.4007857257702</v>
      </c>
      <c r="I875" s="1">
        <f t="shared" ca="1" si="257"/>
        <v>150</v>
      </c>
      <c r="J875" s="1">
        <f t="shared" ca="1" si="257"/>
        <v>1470.43928571429</v>
      </c>
      <c r="K875" s="1">
        <f t="shared" ca="1" si="257"/>
        <v>114.750675</v>
      </c>
      <c r="L875" s="1">
        <f t="shared" ca="1" si="257"/>
        <v>1470.43928571429</v>
      </c>
      <c r="M875" s="1">
        <f t="shared" ca="1" si="257"/>
        <v>114.750675</v>
      </c>
      <c r="N875" s="1">
        <f t="shared" ca="1" si="257"/>
        <v>0.2</v>
      </c>
      <c r="O875" s="1">
        <f t="shared" ca="1" si="257"/>
        <v>0.2</v>
      </c>
      <c r="P875" s="1">
        <f t="shared" ca="1" si="257"/>
        <v>0.36</v>
      </c>
      <c r="Q875" s="1">
        <f t="shared" ca="1" si="257"/>
        <v>0.1</v>
      </c>
      <c r="R875" s="1">
        <f t="shared" ca="1" si="257"/>
        <v>2</v>
      </c>
      <c r="S875" s="1">
        <f t="shared" ca="1" si="258"/>
        <v>0.1</v>
      </c>
      <c r="T875" s="1">
        <f t="shared" ca="1" si="258"/>
        <v>0.9</v>
      </c>
      <c r="U875" s="1">
        <f t="shared" ca="1" si="258"/>
        <v>156.6</v>
      </c>
      <c r="V875" s="1">
        <f t="shared" ca="1" si="258"/>
        <v>0</v>
      </c>
      <c r="W875" s="1">
        <f t="shared" ca="1" si="258"/>
        <v>0</v>
      </c>
      <c r="X875" s="1">
        <f t="shared" ca="1" si="258"/>
        <v>0</v>
      </c>
      <c r="Y875" s="1">
        <f t="shared" ca="1" si="258"/>
        <v>0</v>
      </c>
      <c r="Z875" s="1">
        <f t="shared" ca="1" si="258"/>
        <v>0</v>
      </c>
      <c r="AA875" s="1">
        <f t="shared" ca="1" si="258"/>
        <v>1501.3308673469401</v>
      </c>
      <c r="AB875" s="1">
        <f t="shared" ca="1" si="254"/>
        <v>0</v>
      </c>
      <c r="AC875" s="1">
        <f t="shared" ca="1" si="258"/>
        <v>114.750675</v>
      </c>
      <c r="AD875" s="1">
        <f t="shared" ca="1" si="258"/>
        <v>114.750675</v>
      </c>
      <c r="AE875" s="1">
        <f t="shared" ca="1" si="258"/>
        <v>114.750675</v>
      </c>
      <c r="AF875" s="1">
        <f t="shared" ca="1" si="258"/>
        <v>114.750675</v>
      </c>
      <c r="AG875" s="1">
        <f t="shared" ca="1" si="258"/>
        <v>114.750675</v>
      </c>
      <c r="AH875" s="1">
        <f t="shared" ca="1" si="258"/>
        <v>172.1260125</v>
      </c>
      <c r="AI875" s="1">
        <f t="shared" ca="1" si="250"/>
        <v>114.750675</v>
      </c>
    </row>
    <row r="876" spans="2:35" x14ac:dyDescent="0.15">
      <c r="B876" s="1" t="str">
        <f t="shared" si="247"/>
        <v>暗系82</v>
      </c>
      <c r="C876" s="1">
        <f t="shared" si="255"/>
        <v>82</v>
      </c>
      <c r="D876" s="14" t="s">
        <v>98</v>
      </c>
      <c r="E876" s="14">
        <f t="shared" si="256"/>
        <v>9</v>
      </c>
      <c r="F876" s="1" t="str">
        <f t="shared" si="245"/>
        <v>黑暗</v>
      </c>
      <c r="H876" s="1">
        <f t="shared" ca="1" si="246"/>
        <v>3492.9340678055601</v>
      </c>
      <c r="I876" s="1">
        <f t="shared" ca="1" si="257"/>
        <v>150</v>
      </c>
      <c r="J876" s="1">
        <f t="shared" ca="1" si="257"/>
        <v>1503.98695652174</v>
      </c>
      <c r="K876" s="1">
        <f t="shared" ca="1" si="257"/>
        <v>116.16735</v>
      </c>
      <c r="L876" s="1">
        <f t="shared" ca="1" si="257"/>
        <v>1503.98695652174</v>
      </c>
      <c r="M876" s="1">
        <f t="shared" ca="1" si="257"/>
        <v>116.16735</v>
      </c>
      <c r="N876" s="1">
        <f t="shared" ca="1" si="257"/>
        <v>0.2</v>
      </c>
      <c r="O876" s="1">
        <f t="shared" ca="1" si="257"/>
        <v>0.2</v>
      </c>
      <c r="P876" s="1">
        <f t="shared" ca="1" si="257"/>
        <v>0.36</v>
      </c>
      <c r="Q876" s="1">
        <f t="shared" ca="1" si="257"/>
        <v>0.1</v>
      </c>
      <c r="R876" s="1">
        <f t="shared" ca="1" si="257"/>
        <v>2</v>
      </c>
      <c r="S876" s="1">
        <f t="shared" ca="1" si="258"/>
        <v>0.1</v>
      </c>
      <c r="T876" s="1">
        <f t="shared" ca="1" si="258"/>
        <v>0.9</v>
      </c>
      <c r="U876" s="1">
        <f t="shared" ca="1" si="258"/>
        <v>158.53333333333299</v>
      </c>
      <c r="V876" s="1">
        <f t="shared" ca="1" si="258"/>
        <v>0</v>
      </c>
      <c r="W876" s="1">
        <f t="shared" ca="1" si="258"/>
        <v>0</v>
      </c>
      <c r="X876" s="1">
        <f t="shared" ca="1" si="258"/>
        <v>0</v>
      </c>
      <c r="Y876" s="1">
        <f t="shared" ca="1" si="258"/>
        <v>0</v>
      </c>
      <c r="Z876" s="1">
        <f t="shared" ca="1" si="258"/>
        <v>0</v>
      </c>
      <c r="AA876" s="1">
        <f t="shared" ca="1" si="258"/>
        <v>1567.715217391305</v>
      </c>
      <c r="AB876" s="1">
        <f t="shared" ca="1" si="254"/>
        <v>0</v>
      </c>
      <c r="AC876" s="1">
        <f t="shared" ca="1" si="258"/>
        <v>116.16735</v>
      </c>
      <c r="AD876" s="1">
        <f t="shared" ca="1" si="258"/>
        <v>116.16735</v>
      </c>
      <c r="AE876" s="1">
        <f t="shared" ca="1" si="258"/>
        <v>116.16735</v>
      </c>
      <c r="AF876" s="1">
        <f t="shared" ca="1" si="258"/>
        <v>116.16735</v>
      </c>
      <c r="AG876" s="1">
        <f t="shared" ca="1" si="258"/>
        <v>116.16735</v>
      </c>
      <c r="AH876" s="1">
        <f t="shared" ca="1" si="258"/>
        <v>174.251025</v>
      </c>
      <c r="AI876" s="1">
        <f t="shared" ca="1" si="250"/>
        <v>116.16735</v>
      </c>
    </row>
    <row r="877" spans="2:35" x14ac:dyDescent="0.15">
      <c r="B877" s="1" t="str">
        <f t="shared" si="247"/>
        <v>暗系83</v>
      </c>
      <c r="C877" s="1">
        <f t="shared" si="255"/>
        <v>83</v>
      </c>
      <c r="D877" s="14" t="s">
        <v>98</v>
      </c>
      <c r="E877" s="14">
        <f t="shared" si="256"/>
        <v>9</v>
      </c>
      <c r="F877" s="1" t="str">
        <f t="shared" si="245"/>
        <v>黑暗</v>
      </c>
      <c r="H877" s="1">
        <f t="shared" ca="1" si="246"/>
        <v>3550.8361529755998</v>
      </c>
      <c r="I877" s="1">
        <f t="shared" ca="1" si="257"/>
        <v>150</v>
      </c>
      <c r="J877" s="1">
        <f t="shared" ca="1" si="257"/>
        <v>1538.25504201681</v>
      </c>
      <c r="K877" s="1">
        <f t="shared" ca="1" si="257"/>
        <v>117.584025</v>
      </c>
      <c r="L877" s="1">
        <f t="shared" ca="1" si="257"/>
        <v>1538.25504201681</v>
      </c>
      <c r="M877" s="1">
        <f t="shared" ca="1" si="257"/>
        <v>117.584025</v>
      </c>
      <c r="N877" s="1">
        <f t="shared" ca="1" si="257"/>
        <v>0.2</v>
      </c>
      <c r="O877" s="1">
        <f t="shared" ca="1" si="257"/>
        <v>0.2</v>
      </c>
      <c r="P877" s="1">
        <f t="shared" ca="1" si="257"/>
        <v>0.36</v>
      </c>
      <c r="Q877" s="1">
        <f t="shared" ca="1" si="257"/>
        <v>0.1</v>
      </c>
      <c r="R877" s="1">
        <f t="shared" ca="1" si="257"/>
        <v>2</v>
      </c>
      <c r="S877" s="1">
        <f t="shared" ca="1" si="258"/>
        <v>0.1</v>
      </c>
      <c r="T877" s="1">
        <f t="shared" ca="1" si="258"/>
        <v>0.9</v>
      </c>
      <c r="U877" s="1">
        <f t="shared" ca="1" si="258"/>
        <v>160.46666666666701</v>
      </c>
      <c r="V877" s="1">
        <f t="shared" ca="1" si="258"/>
        <v>0</v>
      </c>
      <c r="W877" s="1">
        <f t="shared" ca="1" si="258"/>
        <v>0</v>
      </c>
      <c r="X877" s="1">
        <f t="shared" ca="1" si="258"/>
        <v>0</v>
      </c>
      <c r="Y877" s="1">
        <f t="shared" ca="1" si="258"/>
        <v>0</v>
      </c>
      <c r="Z877" s="1">
        <f t="shared" ca="1" si="258"/>
        <v>0</v>
      </c>
      <c r="AA877" s="1">
        <f t="shared" ca="1" si="258"/>
        <v>1636.8611344537799</v>
      </c>
      <c r="AB877" s="1">
        <f t="shared" ca="1" si="254"/>
        <v>0</v>
      </c>
      <c r="AC877" s="1">
        <f t="shared" ca="1" si="258"/>
        <v>117.584025</v>
      </c>
      <c r="AD877" s="1">
        <f t="shared" ca="1" si="258"/>
        <v>117.584025</v>
      </c>
      <c r="AE877" s="1">
        <f t="shared" ca="1" si="258"/>
        <v>117.584025</v>
      </c>
      <c r="AF877" s="1">
        <f t="shared" ca="1" si="258"/>
        <v>117.584025</v>
      </c>
      <c r="AG877" s="1">
        <f t="shared" ca="1" si="258"/>
        <v>117.584025</v>
      </c>
      <c r="AH877" s="1">
        <f t="shared" ca="1" si="258"/>
        <v>176.3760375</v>
      </c>
      <c r="AI877" s="1">
        <f t="shared" ca="1" si="250"/>
        <v>117.584025</v>
      </c>
    </row>
    <row r="878" spans="2:35" x14ac:dyDescent="0.15">
      <c r="B878" s="1" t="str">
        <f t="shared" si="247"/>
        <v>暗系84</v>
      </c>
      <c r="C878" s="1">
        <f t="shared" si="255"/>
        <v>84</v>
      </c>
      <c r="D878" s="14" t="s">
        <v>98</v>
      </c>
      <c r="E878" s="14">
        <f t="shared" si="256"/>
        <v>9</v>
      </c>
      <c r="F878" s="1" t="str">
        <f t="shared" si="245"/>
        <v>黑暗</v>
      </c>
      <c r="H878" s="1">
        <f t="shared" ca="1" si="246"/>
        <v>3609.1070412358999</v>
      </c>
      <c r="I878" s="1">
        <f t="shared" ca="1" si="257"/>
        <v>150</v>
      </c>
      <c r="J878" s="1">
        <f t="shared" ca="1" si="257"/>
        <v>1573.2716417910499</v>
      </c>
      <c r="K878" s="1">
        <f t="shared" ca="1" si="257"/>
        <v>119.00069999999999</v>
      </c>
      <c r="L878" s="1">
        <f t="shared" ca="1" si="257"/>
        <v>1573.2716417910499</v>
      </c>
      <c r="M878" s="1">
        <f t="shared" ca="1" si="257"/>
        <v>119.00069999999999</v>
      </c>
      <c r="N878" s="1">
        <f t="shared" ca="1" si="257"/>
        <v>0.2</v>
      </c>
      <c r="O878" s="1">
        <f t="shared" ca="1" si="257"/>
        <v>0.2</v>
      </c>
      <c r="P878" s="1">
        <f t="shared" ca="1" si="257"/>
        <v>0.36</v>
      </c>
      <c r="Q878" s="1">
        <f t="shared" ca="1" si="257"/>
        <v>0.1</v>
      </c>
      <c r="R878" s="1">
        <f t="shared" ca="1" si="257"/>
        <v>2</v>
      </c>
      <c r="S878" s="1">
        <f t="shared" ca="1" si="258"/>
        <v>0.1</v>
      </c>
      <c r="T878" s="1">
        <f t="shared" ca="1" si="258"/>
        <v>0.9</v>
      </c>
      <c r="U878" s="1">
        <f t="shared" ca="1" si="258"/>
        <v>162.4</v>
      </c>
      <c r="V878" s="1">
        <f t="shared" ca="1" si="258"/>
        <v>0</v>
      </c>
      <c r="W878" s="1">
        <f t="shared" ca="1" si="258"/>
        <v>0</v>
      </c>
      <c r="X878" s="1">
        <f t="shared" ca="1" si="258"/>
        <v>0</v>
      </c>
      <c r="Y878" s="1">
        <f t="shared" ca="1" si="258"/>
        <v>0</v>
      </c>
      <c r="Z878" s="1">
        <f t="shared" ca="1" si="258"/>
        <v>0</v>
      </c>
      <c r="AA878" s="1">
        <f t="shared" ca="1" si="258"/>
        <v>1708.8985074626851</v>
      </c>
      <c r="AB878" s="1">
        <f t="shared" ca="1" si="254"/>
        <v>0</v>
      </c>
      <c r="AC878" s="1">
        <f t="shared" ca="1" si="258"/>
        <v>119.00069999999999</v>
      </c>
      <c r="AD878" s="1">
        <f t="shared" ca="1" si="258"/>
        <v>119.00069999999999</v>
      </c>
      <c r="AE878" s="1">
        <f t="shared" ca="1" si="258"/>
        <v>119.00069999999999</v>
      </c>
      <c r="AF878" s="1">
        <f t="shared" ca="1" si="258"/>
        <v>119.00069999999999</v>
      </c>
      <c r="AG878" s="1">
        <f t="shared" ca="1" si="258"/>
        <v>119.00069999999999</v>
      </c>
      <c r="AH878" s="1">
        <f t="shared" ca="1" si="258"/>
        <v>178.50104999999999</v>
      </c>
      <c r="AI878" s="1">
        <f t="shared" ca="1" si="250"/>
        <v>119.00069999999999</v>
      </c>
    </row>
    <row r="879" spans="2:35" x14ac:dyDescent="0.15">
      <c r="B879" s="1" t="str">
        <f t="shared" si="247"/>
        <v>暗系85</v>
      </c>
      <c r="C879" s="1">
        <f t="shared" si="255"/>
        <v>85</v>
      </c>
      <c r="D879" s="14" t="s">
        <v>98</v>
      </c>
      <c r="E879" s="14">
        <f t="shared" si="256"/>
        <v>9</v>
      </c>
      <c r="F879" s="1" t="str">
        <f t="shared" si="245"/>
        <v>黑暗</v>
      </c>
      <c r="H879" s="1">
        <f t="shared" ca="1" si="246"/>
        <v>3667.74673258645</v>
      </c>
      <c r="I879" s="1">
        <f t="shared" ca="1" si="257"/>
        <v>150</v>
      </c>
      <c r="J879" s="1">
        <f t="shared" ca="1" si="257"/>
        <v>1609.0665584415599</v>
      </c>
      <c r="K879" s="1">
        <f t="shared" ca="1" si="257"/>
        <v>120.41737500000001</v>
      </c>
      <c r="L879" s="1">
        <f t="shared" ca="1" si="257"/>
        <v>1609.0665584415599</v>
      </c>
      <c r="M879" s="1">
        <f t="shared" ca="1" si="257"/>
        <v>120.41737500000001</v>
      </c>
      <c r="N879" s="1">
        <f t="shared" ca="1" si="257"/>
        <v>0.2</v>
      </c>
      <c r="O879" s="1">
        <f t="shared" ca="1" si="257"/>
        <v>0.2</v>
      </c>
      <c r="P879" s="1">
        <f t="shared" ca="1" si="257"/>
        <v>0.36</v>
      </c>
      <c r="Q879" s="1">
        <f t="shared" ca="1" si="257"/>
        <v>0.1</v>
      </c>
      <c r="R879" s="1">
        <f t="shared" ca="1" si="257"/>
        <v>2</v>
      </c>
      <c r="S879" s="1">
        <f t="shared" ca="1" si="258"/>
        <v>0.1</v>
      </c>
      <c r="T879" s="1">
        <f t="shared" ca="1" si="258"/>
        <v>0.9</v>
      </c>
      <c r="U879" s="1">
        <f t="shared" ca="1" si="258"/>
        <v>164.333333333333</v>
      </c>
      <c r="V879" s="1">
        <f t="shared" ca="1" si="258"/>
        <v>0</v>
      </c>
      <c r="W879" s="1">
        <f t="shared" ca="1" si="258"/>
        <v>0</v>
      </c>
      <c r="X879" s="1">
        <f t="shared" ca="1" si="258"/>
        <v>0</v>
      </c>
      <c r="Y879" s="1">
        <f t="shared" ca="1" si="258"/>
        <v>0</v>
      </c>
      <c r="Z879" s="1">
        <f t="shared" ca="1" si="258"/>
        <v>0</v>
      </c>
      <c r="AA879" s="1">
        <f t="shared" ca="1" si="258"/>
        <v>1783.9650974026049</v>
      </c>
      <c r="AB879" s="1">
        <f t="shared" ca="1" si="258"/>
        <v>0</v>
      </c>
      <c r="AC879" s="1">
        <f t="shared" ca="1" si="258"/>
        <v>120.41737500000001</v>
      </c>
      <c r="AD879" s="1">
        <f t="shared" ca="1" si="258"/>
        <v>120.41737500000001</v>
      </c>
      <c r="AE879" s="1">
        <f t="shared" ca="1" si="258"/>
        <v>120.41737500000001</v>
      </c>
      <c r="AF879" s="1">
        <f t="shared" ca="1" si="258"/>
        <v>120.41737500000001</v>
      </c>
      <c r="AG879" s="1">
        <f t="shared" ca="1" si="258"/>
        <v>120.41737500000001</v>
      </c>
      <c r="AH879" s="1">
        <f t="shared" ca="1" si="258"/>
        <v>180.62606250000002</v>
      </c>
      <c r="AI879" s="1">
        <f t="shared" ca="1" si="250"/>
        <v>120.41737500000001</v>
      </c>
    </row>
    <row r="880" spans="2:35" x14ac:dyDescent="0.15">
      <c r="B880" s="1" t="str">
        <f t="shared" si="247"/>
        <v>暗系86</v>
      </c>
      <c r="C880" s="1">
        <f t="shared" si="255"/>
        <v>86</v>
      </c>
      <c r="D880" s="14" t="s">
        <v>98</v>
      </c>
      <c r="E880" s="14">
        <f t="shared" si="256"/>
        <v>9</v>
      </c>
      <c r="F880" s="1" t="str">
        <f t="shared" si="245"/>
        <v>黑暗</v>
      </c>
      <c r="H880" s="1">
        <f t="shared" ca="1" si="246"/>
        <v>3726.7552270272599</v>
      </c>
      <c r="I880" s="1">
        <f t="shared" ca="1" si="257"/>
        <v>150</v>
      </c>
      <c r="J880" s="1">
        <f t="shared" ca="1" si="257"/>
        <v>1645.6714285714299</v>
      </c>
      <c r="K880" s="1">
        <f t="shared" ca="1" si="257"/>
        <v>121.83405</v>
      </c>
      <c r="L880" s="1">
        <f t="shared" ca="1" si="257"/>
        <v>1645.6714285714299</v>
      </c>
      <c r="M880" s="1">
        <f t="shared" ca="1" si="257"/>
        <v>121.83405</v>
      </c>
      <c r="N880" s="1">
        <f t="shared" ca="1" si="257"/>
        <v>0.2</v>
      </c>
      <c r="O880" s="1">
        <f t="shared" ca="1" si="257"/>
        <v>0.2</v>
      </c>
      <c r="P880" s="1">
        <f t="shared" ca="1" si="257"/>
        <v>0.36</v>
      </c>
      <c r="Q880" s="1">
        <f t="shared" ca="1" si="257"/>
        <v>0.1</v>
      </c>
      <c r="R880" s="1">
        <f t="shared" ca="1" si="257"/>
        <v>2</v>
      </c>
      <c r="S880" s="1">
        <f t="shared" ca="1" si="258"/>
        <v>0.1</v>
      </c>
      <c r="T880" s="1">
        <f t="shared" ca="1" si="258"/>
        <v>0.9</v>
      </c>
      <c r="U880" s="1">
        <f t="shared" ca="1" si="258"/>
        <v>166.26666666666699</v>
      </c>
      <c r="V880" s="1">
        <f t="shared" ca="1" si="258"/>
        <v>0</v>
      </c>
      <c r="W880" s="1">
        <f t="shared" ca="1" si="258"/>
        <v>0</v>
      </c>
      <c r="X880" s="1">
        <f t="shared" ca="1" si="258"/>
        <v>0</v>
      </c>
      <c r="Y880" s="1">
        <f t="shared" ca="1" si="258"/>
        <v>0</v>
      </c>
      <c r="Z880" s="1">
        <f t="shared" ca="1" si="258"/>
        <v>0</v>
      </c>
      <c r="AA880" s="1">
        <f t="shared" ca="1" si="258"/>
        <v>1862.2071428571448</v>
      </c>
      <c r="AB880" s="1">
        <f t="shared" ca="1" si="258"/>
        <v>0</v>
      </c>
      <c r="AC880" s="1">
        <f t="shared" ca="1" si="258"/>
        <v>121.83405</v>
      </c>
      <c r="AD880" s="1">
        <f t="shared" ca="1" si="258"/>
        <v>121.83405</v>
      </c>
      <c r="AE880" s="1">
        <f t="shared" ca="1" si="258"/>
        <v>121.83405</v>
      </c>
      <c r="AF880" s="1">
        <f t="shared" ca="1" si="258"/>
        <v>121.83405</v>
      </c>
      <c r="AG880" s="1">
        <f t="shared" ca="1" si="258"/>
        <v>121.83405</v>
      </c>
      <c r="AH880" s="1">
        <f t="shared" ca="1" si="258"/>
        <v>182.75107500000001</v>
      </c>
      <c r="AI880" s="1">
        <f t="shared" ca="1" si="250"/>
        <v>121.83405</v>
      </c>
    </row>
    <row r="881" spans="2:35" x14ac:dyDescent="0.15">
      <c r="B881" s="1" t="str">
        <f t="shared" si="247"/>
        <v>暗系87</v>
      </c>
      <c r="C881" s="1">
        <f t="shared" si="255"/>
        <v>87</v>
      </c>
      <c r="D881" s="14" t="s">
        <v>98</v>
      </c>
      <c r="E881" s="14">
        <f t="shared" si="256"/>
        <v>9</v>
      </c>
      <c r="F881" s="1" t="str">
        <f t="shared" si="245"/>
        <v>黑暗</v>
      </c>
      <c r="H881" s="1">
        <f t="shared" ca="1" si="246"/>
        <v>3786.1325245583198</v>
      </c>
      <c r="I881" s="1">
        <f t="shared" ca="1" si="257"/>
        <v>150</v>
      </c>
      <c r="J881" s="1">
        <f t="shared" ca="1" si="257"/>
        <v>1683.1198660714299</v>
      </c>
      <c r="K881" s="1">
        <f t="shared" ca="1" si="257"/>
        <v>123.250725</v>
      </c>
      <c r="L881" s="1">
        <f t="shared" ca="1" si="257"/>
        <v>1683.1198660714299</v>
      </c>
      <c r="M881" s="1">
        <f t="shared" ca="1" si="257"/>
        <v>123.250725</v>
      </c>
      <c r="N881" s="1">
        <f t="shared" ca="1" si="257"/>
        <v>0.2</v>
      </c>
      <c r="O881" s="1">
        <f t="shared" ca="1" si="257"/>
        <v>0.2</v>
      </c>
      <c r="P881" s="1">
        <f t="shared" ca="1" si="257"/>
        <v>0.36</v>
      </c>
      <c r="Q881" s="1">
        <f t="shared" ca="1" si="257"/>
        <v>0.1</v>
      </c>
      <c r="R881" s="1">
        <f t="shared" ca="1" si="257"/>
        <v>2</v>
      </c>
      <c r="S881" s="1">
        <f t="shared" ca="1" si="258"/>
        <v>0.1</v>
      </c>
      <c r="T881" s="1">
        <f t="shared" ca="1" si="258"/>
        <v>0.9</v>
      </c>
      <c r="U881" s="1">
        <f t="shared" ca="1" si="258"/>
        <v>168.2</v>
      </c>
      <c r="V881" s="1">
        <f t="shared" ca="1" si="258"/>
        <v>0</v>
      </c>
      <c r="W881" s="1">
        <f t="shared" ca="1" si="258"/>
        <v>0</v>
      </c>
      <c r="X881" s="1">
        <f t="shared" ca="1" si="258"/>
        <v>0</v>
      </c>
      <c r="Y881" s="1">
        <f t="shared" ca="1" si="258"/>
        <v>0</v>
      </c>
      <c r="Z881" s="1">
        <f t="shared" ca="1" si="258"/>
        <v>0</v>
      </c>
      <c r="AA881" s="1">
        <f t="shared" ca="1" si="258"/>
        <v>1943.7800223214349</v>
      </c>
      <c r="AB881" s="1">
        <f t="shared" ca="1" si="258"/>
        <v>0</v>
      </c>
      <c r="AC881" s="1">
        <f t="shared" ca="1" si="258"/>
        <v>123.250725</v>
      </c>
      <c r="AD881" s="1">
        <f t="shared" ca="1" si="258"/>
        <v>123.250725</v>
      </c>
      <c r="AE881" s="1">
        <f t="shared" ca="1" si="258"/>
        <v>123.250725</v>
      </c>
      <c r="AF881" s="1">
        <f t="shared" ca="1" si="258"/>
        <v>123.250725</v>
      </c>
      <c r="AG881" s="1">
        <f t="shared" ca="1" si="258"/>
        <v>123.250725</v>
      </c>
      <c r="AH881" s="1">
        <f t="shared" ca="1" si="258"/>
        <v>184.87608750000001</v>
      </c>
      <c r="AI881" s="1">
        <f t="shared" ca="1" si="250"/>
        <v>123.250725</v>
      </c>
    </row>
    <row r="882" spans="2:35" x14ac:dyDescent="0.15">
      <c r="B882" s="1" t="str">
        <f t="shared" si="247"/>
        <v>暗系88</v>
      </c>
      <c r="C882" s="1">
        <f t="shared" si="255"/>
        <v>88</v>
      </c>
      <c r="D882" s="14" t="s">
        <v>98</v>
      </c>
      <c r="E882" s="14">
        <f t="shared" si="256"/>
        <v>9</v>
      </c>
      <c r="F882" s="1" t="str">
        <f t="shared" si="245"/>
        <v>黑暗</v>
      </c>
      <c r="H882" s="1">
        <f t="shared" ca="1" si="246"/>
        <v>3845.87862517964</v>
      </c>
      <c r="I882" s="1">
        <f t="shared" ca="1" si="257"/>
        <v>150</v>
      </c>
      <c r="J882" s="1">
        <f t="shared" ca="1" si="257"/>
        <v>1721.44761904762</v>
      </c>
      <c r="K882" s="1">
        <f t="shared" ca="1" si="257"/>
        <v>124.6674</v>
      </c>
      <c r="L882" s="1">
        <f t="shared" ca="1" si="257"/>
        <v>1721.44761904762</v>
      </c>
      <c r="M882" s="1">
        <f t="shared" ca="1" si="257"/>
        <v>124.6674</v>
      </c>
      <c r="N882" s="1">
        <f t="shared" ca="1" si="257"/>
        <v>0.2</v>
      </c>
      <c r="O882" s="1">
        <f t="shared" ca="1" si="257"/>
        <v>0.2</v>
      </c>
      <c r="P882" s="1">
        <f t="shared" ca="1" si="257"/>
        <v>0.36</v>
      </c>
      <c r="Q882" s="1">
        <f t="shared" ca="1" si="257"/>
        <v>0.1</v>
      </c>
      <c r="R882" s="1">
        <f t="shared" ca="1" si="257"/>
        <v>2</v>
      </c>
      <c r="S882" s="1">
        <f t="shared" ca="1" si="258"/>
        <v>0.1</v>
      </c>
      <c r="T882" s="1">
        <f t="shared" ca="1" si="258"/>
        <v>0.9</v>
      </c>
      <c r="U882" s="1">
        <f t="shared" ca="1" si="258"/>
        <v>170.13333333333301</v>
      </c>
      <c r="V882" s="1">
        <f t="shared" ca="1" si="258"/>
        <v>0</v>
      </c>
      <c r="W882" s="1">
        <f t="shared" ca="1" si="258"/>
        <v>0</v>
      </c>
      <c r="X882" s="1">
        <f t="shared" ca="1" si="258"/>
        <v>0</v>
      </c>
      <c r="Y882" s="1">
        <f t="shared" ca="1" si="258"/>
        <v>0</v>
      </c>
      <c r="Z882" s="1">
        <f t="shared" ca="1" si="258"/>
        <v>0</v>
      </c>
      <c r="AA882" s="1">
        <f t="shared" ca="1" si="258"/>
        <v>2028.8489795918399</v>
      </c>
      <c r="AB882" s="1">
        <f t="shared" ca="1" si="258"/>
        <v>0</v>
      </c>
      <c r="AC882" s="1">
        <f t="shared" ca="1" si="258"/>
        <v>124.6674</v>
      </c>
      <c r="AD882" s="1">
        <f t="shared" ca="1" si="258"/>
        <v>124.6674</v>
      </c>
      <c r="AE882" s="1">
        <f t="shared" ca="1" si="258"/>
        <v>124.6674</v>
      </c>
      <c r="AF882" s="1">
        <f t="shared" ca="1" si="258"/>
        <v>124.6674</v>
      </c>
      <c r="AG882" s="1">
        <f t="shared" ca="1" si="258"/>
        <v>124.6674</v>
      </c>
      <c r="AH882" s="1">
        <f t="shared" ca="1" si="258"/>
        <v>187.00110000000001</v>
      </c>
      <c r="AI882" s="1">
        <f t="shared" ca="1" si="250"/>
        <v>124.6674</v>
      </c>
    </row>
    <row r="883" spans="2:35" x14ac:dyDescent="0.15">
      <c r="B883" s="1" t="str">
        <f t="shared" si="247"/>
        <v>暗系89</v>
      </c>
      <c r="C883" s="1">
        <f t="shared" si="255"/>
        <v>89</v>
      </c>
      <c r="D883" s="14" t="s">
        <v>98</v>
      </c>
      <c r="E883" s="14">
        <f t="shared" si="256"/>
        <v>9</v>
      </c>
      <c r="F883" s="1" t="str">
        <f t="shared" si="245"/>
        <v>黑暗</v>
      </c>
      <c r="H883" s="1">
        <f t="shared" ca="1" si="246"/>
        <v>4062.5622155526498</v>
      </c>
      <c r="I883" s="1">
        <f t="shared" ref="I883:R892" ca="1" si="259">mVlookup($C883,monsterBaseDate,I$2,FALSE)*(1+mVlookup($E883,monsterType,I$2,FALSE))</f>
        <v>150</v>
      </c>
      <c r="J883" s="1">
        <f t="shared" ca="1" si="259"/>
        <v>1760.6927419354899</v>
      </c>
      <c r="K883" s="1">
        <f t="shared" ca="1" si="259"/>
        <v>126.084075</v>
      </c>
      <c r="L883" s="1">
        <f t="shared" ca="1" si="259"/>
        <v>1760.6927419354899</v>
      </c>
      <c r="M883" s="1">
        <f t="shared" ca="1" si="259"/>
        <v>126.084075</v>
      </c>
      <c r="N883" s="1">
        <f t="shared" ca="1" si="259"/>
        <v>0.2</v>
      </c>
      <c r="O883" s="1">
        <f t="shared" ca="1" si="259"/>
        <v>0.2</v>
      </c>
      <c r="P883" s="1">
        <f t="shared" ca="1" si="259"/>
        <v>0.36</v>
      </c>
      <c r="Q883" s="1">
        <f t="shared" ca="1" si="259"/>
        <v>0.1</v>
      </c>
      <c r="R883" s="1">
        <f t="shared" ca="1" si="259"/>
        <v>2</v>
      </c>
      <c r="S883" s="1">
        <f t="shared" ref="S883:AH898" ca="1" si="260">mVlookup($C883,monsterBaseDate,S$2,FALSE)*(1+mVlookup($E883,monsterType,S$2,FALSE))</f>
        <v>0.1</v>
      </c>
      <c r="T883" s="1">
        <f t="shared" ca="1" si="260"/>
        <v>0.9</v>
      </c>
      <c r="U883" s="1">
        <f t="shared" ca="1" si="260"/>
        <v>172.066666666667</v>
      </c>
      <c r="V883" s="1">
        <f t="shared" ca="1" si="260"/>
        <v>0</v>
      </c>
      <c r="W883" s="1">
        <f t="shared" ca="1" si="260"/>
        <v>0</v>
      </c>
      <c r="X883" s="1">
        <f t="shared" ca="1" si="260"/>
        <v>0</v>
      </c>
      <c r="Y883" s="1">
        <f t="shared" ca="1" si="260"/>
        <v>0</v>
      </c>
      <c r="Z883" s="1">
        <f t="shared" ca="1" si="260"/>
        <v>0</v>
      </c>
      <c r="AA883" s="1">
        <f t="shared" ca="1" si="260"/>
        <v>2117.5899193548448</v>
      </c>
      <c r="AB883" s="1">
        <f t="shared" ca="1" si="258"/>
        <v>0</v>
      </c>
      <c r="AC883" s="1">
        <f t="shared" ca="1" si="260"/>
        <v>126.084075</v>
      </c>
      <c r="AD883" s="1">
        <f t="shared" ca="1" si="260"/>
        <v>126.084075</v>
      </c>
      <c r="AE883" s="1">
        <f t="shared" ca="1" si="260"/>
        <v>126.084075</v>
      </c>
      <c r="AF883" s="1">
        <f t="shared" ca="1" si="260"/>
        <v>126.084075</v>
      </c>
      <c r="AG883" s="1">
        <f t="shared" ca="1" si="260"/>
        <v>126.084075</v>
      </c>
      <c r="AH883" s="1">
        <f t="shared" ca="1" si="260"/>
        <v>189.1261125</v>
      </c>
      <c r="AI883" s="1">
        <f t="shared" ca="1" si="250"/>
        <v>126.084075</v>
      </c>
    </row>
    <row r="884" spans="2:35" x14ac:dyDescent="0.15">
      <c r="B884" s="1" t="str">
        <f t="shared" si="247"/>
        <v>暗系90</v>
      </c>
      <c r="C884" s="1">
        <f t="shared" si="255"/>
        <v>90</v>
      </c>
      <c r="D884" s="14" t="s">
        <v>98</v>
      </c>
      <c r="E884" s="14">
        <f t="shared" si="256"/>
        <v>9</v>
      </c>
      <c r="F884" s="1" t="str">
        <f t="shared" si="245"/>
        <v>黑暗</v>
      </c>
      <c r="H884" s="1">
        <f t="shared" ca="1" si="246"/>
        <v>4125.4703642969298</v>
      </c>
      <c r="I884" s="1">
        <f t="shared" ca="1" si="259"/>
        <v>150</v>
      </c>
      <c r="J884" s="1">
        <f t="shared" ca="1" si="259"/>
        <v>1800.8957845433299</v>
      </c>
      <c r="K884" s="1">
        <f t="shared" ca="1" si="259"/>
        <v>127.50075</v>
      </c>
      <c r="L884" s="1">
        <f t="shared" ca="1" si="259"/>
        <v>1800.8957845433299</v>
      </c>
      <c r="M884" s="1">
        <f t="shared" ca="1" si="259"/>
        <v>127.50075</v>
      </c>
      <c r="N884" s="1">
        <f t="shared" ca="1" si="259"/>
        <v>0.2</v>
      </c>
      <c r="O884" s="1">
        <f t="shared" ca="1" si="259"/>
        <v>0.2</v>
      </c>
      <c r="P884" s="1">
        <f t="shared" ca="1" si="259"/>
        <v>0.36</v>
      </c>
      <c r="Q884" s="1">
        <f t="shared" ca="1" si="259"/>
        <v>0.1</v>
      </c>
      <c r="R884" s="1">
        <f t="shared" ca="1" si="259"/>
        <v>2</v>
      </c>
      <c r="S884" s="1">
        <f t="shared" ca="1" si="260"/>
        <v>0.1</v>
      </c>
      <c r="T884" s="1">
        <f t="shared" ca="1" si="260"/>
        <v>0.9</v>
      </c>
      <c r="U884" s="1">
        <f t="shared" ca="1" si="260"/>
        <v>174</v>
      </c>
      <c r="V884" s="1">
        <f t="shared" ca="1" si="260"/>
        <v>0</v>
      </c>
      <c r="W884" s="1">
        <f t="shared" ca="1" si="260"/>
        <v>0</v>
      </c>
      <c r="X884" s="1">
        <f t="shared" ca="1" si="260"/>
        <v>0</v>
      </c>
      <c r="Y884" s="1">
        <f t="shared" ca="1" si="260"/>
        <v>0</v>
      </c>
      <c r="Z884" s="1">
        <f t="shared" ca="1" si="260"/>
        <v>0</v>
      </c>
      <c r="AA884" s="1">
        <f t="shared" ca="1" si="260"/>
        <v>2210.190281030445</v>
      </c>
      <c r="AB884" s="1">
        <f t="shared" ca="1" si="258"/>
        <v>0</v>
      </c>
      <c r="AC884" s="1">
        <f t="shared" ca="1" si="260"/>
        <v>127.50075</v>
      </c>
      <c r="AD884" s="1">
        <f t="shared" ca="1" si="260"/>
        <v>127.50075</v>
      </c>
      <c r="AE884" s="1">
        <f t="shared" ca="1" si="260"/>
        <v>127.50075</v>
      </c>
      <c r="AF884" s="1">
        <f t="shared" ca="1" si="260"/>
        <v>127.50075</v>
      </c>
      <c r="AG884" s="1">
        <f t="shared" ca="1" si="260"/>
        <v>127.50075</v>
      </c>
      <c r="AH884" s="1">
        <f t="shared" ca="1" si="260"/>
        <v>191.251125</v>
      </c>
      <c r="AI884" s="1">
        <f t="shared" ca="1" si="250"/>
        <v>127.50075</v>
      </c>
    </row>
    <row r="885" spans="2:35" x14ac:dyDescent="0.15">
      <c r="B885" s="1" t="str">
        <f t="shared" si="247"/>
        <v>暗系91</v>
      </c>
      <c r="C885" s="1">
        <f t="shared" si="255"/>
        <v>91</v>
      </c>
      <c r="D885" s="14" t="s">
        <v>98</v>
      </c>
      <c r="E885" s="14">
        <f t="shared" si="256"/>
        <v>9</v>
      </c>
      <c r="F885" s="1" t="str">
        <f t="shared" si="245"/>
        <v>黑暗</v>
      </c>
      <c r="H885" s="1">
        <f t="shared" ca="1" si="246"/>
        <v>4188.7620993140299</v>
      </c>
      <c r="I885" s="1">
        <f t="shared" ca="1" si="259"/>
        <v>150</v>
      </c>
      <c r="J885" s="1">
        <f t="shared" ca="1" si="259"/>
        <v>1842.1</v>
      </c>
      <c r="K885" s="1">
        <f t="shared" ca="1" si="259"/>
        <v>128.91742500000001</v>
      </c>
      <c r="L885" s="1">
        <f t="shared" ca="1" si="259"/>
        <v>1842.1</v>
      </c>
      <c r="M885" s="1">
        <f t="shared" ca="1" si="259"/>
        <v>128.91742500000001</v>
      </c>
      <c r="N885" s="1">
        <f t="shared" ca="1" si="259"/>
        <v>0.2</v>
      </c>
      <c r="O885" s="1">
        <f t="shared" ca="1" si="259"/>
        <v>0.2</v>
      </c>
      <c r="P885" s="1">
        <f t="shared" ca="1" si="259"/>
        <v>0.36</v>
      </c>
      <c r="Q885" s="1">
        <f t="shared" ca="1" si="259"/>
        <v>0.1</v>
      </c>
      <c r="R885" s="1">
        <f t="shared" ca="1" si="259"/>
        <v>2</v>
      </c>
      <c r="S885" s="1">
        <f t="shared" ca="1" si="260"/>
        <v>0.1</v>
      </c>
      <c r="T885" s="1">
        <f t="shared" ca="1" si="260"/>
        <v>0.9</v>
      </c>
      <c r="U885" s="1">
        <f t="shared" ca="1" si="260"/>
        <v>175.933333333333</v>
      </c>
      <c r="V885" s="1">
        <f t="shared" ca="1" si="260"/>
        <v>0</v>
      </c>
      <c r="W885" s="1">
        <f t="shared" ca="1" si="260"/>
        <v>0</v>
      </c>
      <c r="X885" s="1">
        <f t="shared" ca="1" si="260"/>
        <v>0</v>
      </c>
      <c r="Y885" s="1">
        <f t="shared" ca="1" si="260"/>
        <v>0</v>
      </c>
      <c r="Z885" s="1">
        <f t="shared" ca="1" si="260"/>
        <v>0</v>
      </c>
      <c r="AA885" s="1">
        <f t="shared" ca="1" si="260"/>
        <v>2306.8500000000004</v>
      </c>
      <c r="AB885" s="1">
        <f t="shared" ca="1" si="258"/>
        <v>0</v>
      </c>
      <c r="AC885" s="1">
        <f t="shared" ca="1" si="260"/>
        <v>128.91742500000001</v>
      </c>
      <c r="AD885" s="1">
        <f t="shared" ca="1" si="260"/>
        <v>128.91742500000001</v>
      </c>
      <c r="AE885" s="1">
        <f t="shared" ca="1" si="260"/>
        <v>128.91742500000001</v>
      </c>
      <c r="AF885" s="1">
        <f t="shared" ca="1" si="260"/>
        <v>128.91742500000001</v>
      </c>
      <c r="AG885" s="1">
        <f t="shared" ca="1" si="260"/>
        <v>128.91742500000001</v>
      </c>
      <c r="AH885" s="1">
        <f t="shared" ca="1" si="260"/>
        <v>193.37613750000003</v>
      </c>
      <c r="AI885" s="1">
        <f t="shared" ca="1" si="250"/>
        <v>128.91742500000001</v>
      </c>
    </row>
    <row r="886" spans="2:35" x14ac:dyDescent="0.15">
      <c r="B886" s="1" t="str">
        <f t="shared" si="247"/>
        <v>暗系92</v>
      </c>
      <c r="C886" s="1">
        <f t="shared" si="255"/>
        <v>92</v>
      </c>
      <c r="D886" s="14" t="s">
        <v>98</v>
      </c>
      <c r="E886" s="14">
        <f t="shared" si="256"/>
        <v>9</v>
      </c>
      <c r="F886" s="1" t="str">
        <f t="shared" si="245"/>
        <v>黑暗</v>
      </c>
      <c r="H886" s="1">
        <f t="shared" ca="1" si="246"/>
        <v>4252.4374206039702</v>
      </c>
      <c r="I886" s="1">
        <f t="shared" ca="1" si="259"/>
        <v>150</v>
      </c>
      <c r="J886" s="1">
        <f t="shared" ca="1" si="259"/>
        <v>1884.35157384988</v>
      </c>
      <c r="K886" s="1">
        <f t="shared" ca="1" si="259"/>
        <v>130.33410000000001</v>
      </c>
      <c r="L886" s="1">
        <f t="shared" ca="1" si="259"/>
        <v>1884.35157384988</v>
      </c>
      <c r="M886" s="1">
        <f t="shared" ca="1" si="259"/>
        <v>130.33410000000001</v>
      </c>
      <c r="N886" s="1">
        <f t="shared" ca="1" si="259"/>
        <v>0.2</v>
      </c>
      <c r="O886" s="1">
        <f t="shared" ca="1" si="259"/>
        <v>0.2</v>
      </c>
      <c r="P886" s="1">
        <f t="shared" ca="1" si="259"/>
        <v>0.36</v>
      </c>
      <c r="Q886" s="1">
        <f t="shared" ca="1" si="259"/>
        <v>0.1</v>
      </c>
      <c r="R886" s="1">
        <f t="shared" ca="1" si="259"/>
        <v>2</v>
      </c>
      <c r="S886" s="1">
        <f t="shared" ca="1" si="260"/>
        <v>0.1</v>
      </c>
      <c r="T886" s="1">
        <f t="shared" ca="1" si="260"/>
        <v>0.9</v>
      </c>
      <c r="U886" s="1">
        <f t="shared" ca="1" si="260"/>
        <v>177.86666666666699</v>
      </c>
      <c r="V886" s="1">
        <f t="shared" ca="1" si="260"/>
        <v>0</v>
      </c>
      <c r="W886" s="1">
        <f t="shared" ca="1" si="260"/>
        <v>0</v>
      </c>
      <c r="X886" s="1">
        <f t="shared" ca="1" si="260"/>
        <v>0</v>
      </c>
      <c r="Y886" s="1">
        <f t="shared" ca="1" si="260"/>
        <v>0</v>
      </c>
      <c r="Z886" s="1">
        <f t="shared" ca="1" si="260"/>
        <v>0</v>
      </c>
      <c r="AA886" s="1">
        <f t="shared" ca="1" si="260"/>
        <v>2407.782566585955</v>
      </c>
      <c r="AB886" s="1">
        <f t="shared" ca="1" si="258"/>
        <v>0</v>
      </c>
      <c r="AC886" s="1">
        <f t="shared" ca="1" si="260"/>
        <v>130.33410000000001</v>
      </c>
      <c r="AD886" s="1">
        <f t="shared" ca="1" si="260"/>
        <v>130.33410000000001</v>
      </c>
      <c r="AE886" s="1">
        <f t="shared" ca="1" si="260"/>
        <v>130.33410000000001</v>
      </c>
      <c r="AF886" s="1">
        <f t="shared" ca="1" si="260"/>
        <v>130.33410000000001</v>
      </c>
      <c r="AG886" s="1">
        <f t="shared" ca="1" si="260"/>
        <v>130.33410000000001</v>
      </c>
      <c r="AH886" s="1">
        <f t="shared" ca="1" si="260"/>
        <v>195.50115</v>
      </c>
      <c r="AI886" s="1">
        <f t="shared" ca="1" si="250"/>
        <v>130.33410000000001</v>
      </c>
    </row>
    <row r="887" spans="2:35" x14ac:dyDescent="0.15">
      <c r="B887" s="1" t="str">
        <f t="shared" si="247"/>
        <v>暗系93</v>
      </c>
      <c r="C887" s="1">
        <f t="shared" si="255"/>
        <v>93</v>
      </c>
      <c r="D887" s="14" t="s">
        <v>98</v>
      </c>
      <c r="E887" s="14">
        <f t="shared" si="256"/>
        <v>9</v>
      </c>
      <c r="F887" s="1" t="str">
        <f t="shared" si="245"/>
        <v>黑暗</v>
      </c>
      <c r="H887" s="1">
        <f t="shared" ca="1" si="246"/>
        <v>4316.4963281667397</v>
      </c>
      <c r="I887" s="1">
        <f t="shared" ca="1" si="259"/>
        <v>150</v>
      </c>
      <c r="J887" s="1">
        <f t="shared" ca="1" si="259"/>
        <v>1927.6998768472899</v>
      </c>
      <c r="K887" s="1">
        <f t="shared" ca="1" si="259"/>
        <v>131.750775</v>
      </c>
      <c r="L887" s="1">
        <f t="shared" ca="1" si="259"/>
        <v>1927.6998768472899</v>
      </c>
      <c r="M887" s="1">
        <f t="shared" ca="1" si="259"/>
        <v>131.750775</v>
      </c>
      <c r="N887" s="1">
        <f t="shared" ca="1" si="259"/>
        <v>0.2</v>
      </c>
      <c r="O887" s="1">
        <f t="shared" ca="1" si="259"/>
        <v>0.2</v>
      </c>
      <c r="P887" s="1">
        <f t="shared" ca="1" si="259"/>
        <v>0.36</v>
      </c>
      <c r="Q887" s="1">
        <f t="shared" ca="1" si="259"/>
        <v>0.1</v>
      </c>
      <c r="R887" s="1">
        <f t="shared" ca="1" si="259"/>
        <v>2</v>
      </c>
      <c r="S887" s="1">
        <f t="shared" ca="1" si="260"/>
        <v>0.1</v>
      </c>
      <c r="T887" s="1">
        <f t="shared" ca="1" si="260"/>
        <v>0.9</v>
      </c>
      <c r="U887" s="1">
        <f t="shared" ca="1" si="260"/>
        <v>179.8</v>
      </c>
      <c r="V887" s="1">
        <f t="shared" ca="1" si="260"/>
        <v>0</v>
      </c>
      <c r="W887" s="1">
        <f t="shared" ca="1" si="260"/>
        <v>0</v>
      </c>
      <c r="X887" s="1">
        <f t="shared" ca="1" si="260"/>
        <v>0</v>
      </c>
      <c r="Y887" s="1">
        <f t="shared" ca="1" si="260"/>
        <v>0</v>
      </c>
      <c r="Z887" s="1">
        <f t="shared" ca="1" si="260"/>
        <v>0</v>
      </c>
      <c r="AA887" s="1">
        <f t="shared" ca="1" si="260"/>
        <v>2513.216194581285</v>
      </c>
      <c r="AB887" s="1">
        <f t="shared" ca="1" si="258"/>
        <v>0</v>
      </c>
      <c r="AC887" s="1">
        <f t="shared" ca="1" si="260"/>
        <v>131.750775</v>
      </c>
      <c r="AD887" s="1">
        <f t="shared" ca="1" si="260"/>
        <v>131.750775</v>
      </c>
      <c r="AE887" s="1">
        <f t="shared" ca="1" si="260"/>
        <v>131.750775</v>
      </c>
      <c r="AF887" s="1">
        <f t="shared" ca="1" si="260"/>
        <v>131.750775</v>
      </c>
      <c r="AG887" s="1">
        <f t="shared" ca="1" si="260"/>
        <v>131.750775</v>
      </c>
      <c r="AH887" s="1">
        <f t="shared" ca="1" si="260"/>
        <v>197.62616250000002</v>
      </c>
      <c r="AI887" s="1">
        <f t="shared" ca="1" si="250"/>
        <v>131.750775</v>
      </c>
    </row>
    <row r="888" spans="2:35" x14ac:dyDescent="0.15">
      <c r="B888" s="1" t="str">
        <f t="shared" si="247"/>
        <v>暗系94</v>
      </c>
      <c r="C888" s="1">
        <f t="shared" si="255"/>
        <v>94</v>
      </c>
      <c r="D888" s="14" t="s">
        <v>98</v>
      </c>
      <c r="E888" s="14">
        <f t="shared" si="256"/>
        <v>9</v>
      </c>
      <c r="F888" s="1" t="str">
        <f t="shared" si="245"/>
        <v>黑暗</v>
      </c>
      <c r="H888" s="1">
        <f t="shared" ca="1" si="246"/>
        <v>4380.9388220023402</v>
      </c>
      <c r="I888" s="1">
        <f t="shared" ca="1" si="259"/>
        <v>150</v>
      </c>
      <c r="J888" s="1">
        <f t="shared" ca="1" si="259"/>
        <v>1972.1977443609101</v>
      </c>
      <c r="K888" s="1">
        <f t="shared" ca="1" si="259"/>
        <v>133.16745</v>
      </c>
      <c r="L888" s="1">
        <f t="shared" ca="1" si="259"/>
        <v>1972.1977443609101</v>
      </c>
      <c r="M888" s="1">
        <f t="shared" ca="1" si="259"/>
        <v>133.16745</v>
      </c>
      <c r="N888" s="1">
        <f t="shared" ca="1" si="259"/>
        <v>0.2</v>
      </c>
      <c r="O888" s="1">
        <f t="shared" ca="1" si="259"/>
        <v>0.2</v>
      </c>
      <c r="P888" s="1">
        <f t="shared" ca="1" si="259"/>
        <v>0.36</v>
      </c>
      <c r="Q888" s="1">
        <f t="shared" ca="1" si="259"/>
        <v>0.1</v>
      </c>
      <c r="R888" s="1">
        <f t="shared" ca="1" si="259"/>
        <v>2</v>
      </c>
      <c r="S888" s="1">
        <f t="shared" ca="1" si="260"/>
        <v>0.1</v>
      </c>
      <c r="T888" s="1">
        <f t="shared" ca="1" si="260"/>
        <v>0.9</v>
      </c>
      <c r="U888" s="1">
        <f t="shared" ca="1" si="260"/>
        <v>181.73333333333301</v>
      </c>
      <c r="V888" s="1">
        <f t="shared" ca="1" si="260"/>
        <v>0</v>
      </c>
      <c r="W888" s="1">
        <f t="shared" ca="1" si="260"/>
        <v>0</v>
      </c>
      <c r="X888" s="1">
        <f t="shared" ca="1" si="260"/>
        <v>0</v>
      </c>
      <c r="Y888" s="1">
        <f t="shared" ca="1" si="260"/>
        <v>0</v>
      </c>
      <c r="Z888" s="1">
        <f t="shared" ca="1" si="260"/>
        <v>0</v>
      </c>
      <c r="AA888" s="1">
        <f t="shared" ca="1" si="260"/>
        <v>2623.395112781955</v>
      </c>
      <c r="AB888" s="1">
        <f t="shared" ca="1" si="258"/>
        <v>0</v>
      </c>
      <c r="AC888" s="1">
        <f t="shared" ca="1" si="260"/>
        <v>133.16745</v>
      </c>
      <c r="AD888" s="1">
        <f t="shared" ca="1" si="260"/>
        <v>133.16745</v>
      </c>
      <c r="AE888" s="1">
        <f t="shared" ca="1" si="260"/>
        <v>133.16745</v>
      </c>
      <c r="AF888" s="1">
        <f t="shared" ca="1" si="260"/>
        <v>133.16745</v>
      </c>
      <c r="AG888" s="1">
        <f t="shared" ca="1" si="260"/>
        <v>133.16745</v>
      </c>
      <c r="AH888" s="1">
        <f t="shared" ca="1" si="260"/>
        <v>199.75117499999999</v>
      </c>
      <c r="AI888" s="1">
        <f t="shared" ca="1" si="250"/>
        <v>133.16745</v>
      </c>
    </row>
    <row r="889" spans="2:35" x14ac:dyDescent="0.15">
      <c r="B889" s="1" t="str">
        <f t="shared" si="247"/>
        <v>暗系95</v>
      </c>
      <c r="C889" s="1">
        <f t="shared" si="255"/>
        <v>95</v>
      </c>
      <c r="D889" s="14" t="s">
        <v>98</v>
      </c>
      <c r="E889" s="14">
        <f t="shared" si="256"/>
        <v>9</v>
      </c>
      <c r="F889" s="1" t="str">
        <f t="shared" si="245"/>
        <v>黑暗</v>
      </c>
      <c r="H889" s="1">
        <f t="shared" ca="1" si="246"/>
        <v>4445.76490211077</v>
      </c>
      <c r="I889" s="1">
        <f t="shared" ca="1" si="259"/>
        <v>150</v>
      </c>
      <c r="J889" s="1">
        <f t="shared" ca="1" si="259"/>
        <v>2017.9017857142901</v>
      </c>
      <c r="K889" s="1">
        <f t="shared" ca="1" si="259"/>
        <v>134.584125</v>
      </c>
      <c r="L889" s="1">
        <f t="shared" ca="1" si="259"/>
        <v>2017.9017857142901</v>
      </c>
      <c r="M889" s="1">
        <f t="shared" ca="1" si="259"/>
        <v>134.584125</v>
      </c>
      <c r="N889" s="1">
        <f t="shared" ca="1" si="259"/>
        <v>0.2</v>
      </c>
      <c r="O889" s="1">
        <f t="shared" ca="1" si="259"/>
        <v>0.2</v>
      </c>
      <c r="P889" s="1">
        <f t="shared" ca="1" si="259"/>
        <v>0.36</v>
      </c>
      <c r="Q889" s="1">
        <f t="shared" ca="1" si="259"/>
        <v>0.1</v>
      </c>
      <c r="R889" s="1">
        <f t="shared" ca="1" si="259"/>
        <v>2</v>
      </c>
      <c r="S889" s="1">
        <f t="shared" ca="1" si="260"/>
        <v>0.1</v>
      </c>
      <c r="T889" s="1">
        <f t="shared" ca="1" si="260"/>
        <v>0.9</v>
      </c>
      <c r="U889" s="1">
        <f t="shared" ca="1" si="260"/>
        <v>183.666666666667</v>
      </c>
      <c r="V889" s="1">
        <f t="shared" ca="1" si="260"/>
        <v>0</v>
      </c>
      <c r="W889" s="1">
        <f t="shared" ca="1" si="260"/>
        <v>0</v>
      </c>
      <c r="X889" s="1">
        <f t="shared" ca="1" si="260"/>
        <v>0</v>
      </c>
      <c r="Y889" s="1">
        <f t="shared" ca="1" si="260"/>
        <v>0</v>
      </c>
      <c r="Z889" s="1">
        <f t="shared" ca="1" si="260"/>
        <v>0</v>
      </c>
      <c r="AA889" s="1">
        <f t="shared" ca="1" si="260"/>
        <v>2738.580994897965</v>
      </c>
      <c r="AB889" s="1">
        <f t="shared" ca="1" si="260"/>
        <v>0</v>
      </c>
      <c r="AC889" s="1">
        <f t="shared" ca="1" si="260"/>
        <v>134.584125</v>
      </c>
      <c r="AD889" s="1">
        <f t="shared" ca="1" si="260"/>
        <v>134.584125</v>
      </c>
      <c r="AE889" s="1">
        <f t="shared" ca="1" si="260"/>
        <v>134.584125</v>
      </c>
      <c r="AF889" s="1">
        <f t="shared" ca="1" si="260"/>
        <v>134.584125</v>
      </c>
      <c r="AG889" s="1">
        <f t="shared" ca="1" si="260"/>
        <v>134.584125</v>
      </c>
      <c r="AH889" s="1">
        <f t="shared" ca="1" si="260"/>
        <v>201.87618750000001</v>
      </c>
      <c r="AI889" s="1">
        <f t="shared" ca="1" si="250"/>
        <v>134.584125</v>
      </c>
    </row>
    <row r="890" spans="2:35" x14ac:dyDescent="0.15">
      <c r="B890" s="1" t="str">
        <f t="shared" si="247"/>
        <v>暗系96</v>
      </c>
      <c r="C890" s="1">
        <f t="shared" si="255"/>
        <v>96</v>
      </c>
      <c r="D890" s="14" t="s">
        <v>98</v>
      </c>
      <c r="E890" s="14">
        <f t="shared" si="256"/>
        <v>9</v>
      </c>
      <c r="F890" s="1" t="str">
        <f t="shared" si="245"/>
        <v>黑暗</v>
      </c>
      <c r="H890" s="1">
        <f t="shared" ca="1" si="246"/>
        <v>4510.9745684920399</v>
      </c>
      <c r="I890" s="1">
        <f t="shared" ca="1" si="259"/>
        <v>150</v>
      </c>
      <c r="J890" s="1">
        <f t="shared" ca="1" si="259"/>
        <v>2064.8727272727301</v>
      </c>
      <c r="K890" s="1">
        <f t="shared" ca="1" si="259"/>
        <v>136.0008</v>
      </c>
      <c r="L890" s="1">
        <f t="shared" ca="1" si="259"/>
        <v>2064.8727272727301</v>
      </c>
      <c r="M890" s="1">
        <f t="shared" ca="1" si="259"/>
        <v>136.0008</v>
      </c>
      <c r="N890" s="1">
        <f t="shared" ca="1" si="259"/>
        <v>0.2</v>
      </c>
      <c r="O890" s="1">
        <f t="shared" ca="1" si="259"/>
        <v>0.2</v>
      </c>
      <c r="P890" s="1">
        <f t="shared" ca="1" si="259"/>
        <v>0.36</v>
      </c>
      <c r="Q890" s="1">
        <f t="shared" ca="1" si="259"/>
        <v>0.1</v>
      </c>
      <c r="R890" s="1">
        <f t="shared" ca="1" si="259"/>
        <v>2</v>
      </c>
      <c r="S890" s="1">
        <f t="shared" ca="1" si="260"/>
        <v>0.1</v>
      </c>
      <c r="T890" s="1">
        <f t="shared" ca="1" si="260"/>
        <v>0.9</v>
      </c>
      <c r="U890" s="1">
        <f t="shared" ca="1" si="260"/>
        <v>185.6</v>
      </c>
      <c r="V890" s="1">
        <f t="shared" ca="1" si="260"/>
        <v>0</v>
      </c>
      <c r="W890" s="1">
        <f t="shared" ca="1" si="260"/>
        <v>0</v>
      </c>
      <c r="X890" s="1">
        <f t="shared" ca="1" si="260"/>
        <v>0</v>
      </c>
      <c r="Y890" s="1">
        <f t="shared" ca="1" si="260"/>
        <v>0</v>
      </c>
      <c r="Z890" s="1">
        <f t="shared" ca="1" si="260"/>
        <v>0</v>
      </c>
      <c r="AA890" s="1">
        <f t="shared" ca="1" si="260"/>
        <v>2859.054545454555</v>
      </c>
      <c r="AB890" s="1">
        <f t="shared" ca="1" si="260"/>
        <v>0</v>
      </c>
      <c r="AC890" s="1">
        <f t="shared" ca="1" si="260"/>
        <v>136.0008</v>
      </c>
      <c r="AD890" s="1">
        <f t="shared" ca="1" si="260"/>
        <v>136.0008</v>
      </c>
      <c r="AE890" s="1">
        <f t="shared" ca="1" si="260"/>
        <v>136.0008</v>
      </c>
      <c r="AF890" s="1">
        <f t="shared" ca="1" si="260"/>
        <v>136.0008</v>
      </c>
      <c r="AG890" s="1">
        <f t="shared" ca="1" si="260"/>
        <v>136.0008</v>
      </c>
      <c r="AH890" s="1">
        <f t="shared" ca="1" si="260"/>
        <v>204.00119999999998</v>
      </c>
      <c r="AI890" s="1">
        <f t="shared" ca="1" si="250"/>
        <v>136.0008</v>
      </c>
    </row>
    <row r="891" spans="2:35" x14ac:dyDescent="0.15">
      <c r="B891" s="1" t="str">
        <f t="shared" si="247"/>
        <v>暗系97</v>
      </c>
      <c r="C891" s="1">
        <f t="shared" si="255"/>
        <v>97</v>
      </c>
      <c r="D891" s="14" t="s">
        <v>98</v>
      </c>
      <c r="E891" s="14">
        <f t="shared" si="256"/>
        <v>9</v>
      </c>
      <c r="F891" s="1" t="str">
        <f t="shared" si="245"/>
        <v>黑暗</v>
      </c>
      <c r="H891" s="1">
        <f t="shared" ca="1" si="246"/>
        <v>4576.56782114613</v>
      </c>
      <c r="I891" s="1">
        <f t="shared" ca="1" si="259"/>
        <v>150</v>
      </c>
      <c r="J891" s="1">
        <f t="shared" ca="1" si="259"/>
        <v>2113.1757936508002</v>
      </c>
      <c r="K891" s="1">
        <f t="shared" ca="1" si="259"/>
        <v>137.417475</v>
      </c>
      <c r="L891" s="1">
        <f t="shared" ca="1" si="259"/>
        <v>2113.1757936508002</v>
      </c>
      <c r="M891" s="1">
        <f t="shared" ca="1" si="259"/>
        <v>137.417475</v>
      </c>
      <c r="N891" s="1">
        <f t="shared" ca="1" si="259"/>
        <v>0.2</v>
      </c>
      <c r="O891" s="1">
        <f t="shared" ca="1" si="259"/>
        <v>0.2</v>
      </c>
      <c r="P891" s="1">
        <f t="shared" ca="1" si="259"/>
        <v>0.36</v>
      </c>
      <c r="Q891" s="1">
        <f t="shared" ca="1" si="259"/>
        <v>0.1</v>
      </c>
      <c r="R891" s="1">
        <f t="shared" ca="1" si="259"/>
        <v>2</v>
      </c>
      <c r="S891" s="1">
        <f t="shared" ca="1" si="260"/>
        <v>0.1</v>
      </c>
      <c r="T891" s="1">
        <f t="shared" ca="1" si="260"/>
        <v>0.9</v>
      </c>
      <c r="U891" s="1">
        <f t="shared" ca="1" si="260"/>
        <v>187.53333333333299</v>
      </c>
      <c r="V891" s="1">
        <f t="shared" ca="1" si="260"/>
        <v>0</v>
      </c>
      <c r="W891" s="1">
        <f t="shared" ca="1" si="260"/>
        <v>0</v>
      </c>
      <c r="X891" s="1">
        <f t="shared" ca="1" si="260"/>
        <v>0</v>
      </c>
      <c r="Y891" s="1">
        <f t="shared" ca="1" si="260"/>
        <v>0</v>
      </c>
      <c r="Z891" s="1">
        <f t="shared" ca="1" si="260"/>
        <v>0</v>
      </c>
      <c r="AA891" s="1">
        <f t="shared" ca="1" si="260"/>
        <v>2985.1172619047702</v>
      </c>
      <c r="AB891" s="1">
        <f t="shared" ca="1" si="260"/>
        <v>0</v>
      </c>
      <c r="AC891" s="1">
        <f t="shared" ca="1" si="260"/>
        <v>137.417475</v>
      </c>
      <c r="AD891" s="1">
        <f t="shared" ca="1" si="260"/>
        <v>137.417475</v>
      </c>
      <c r="AE891" s="1">
        <f t="shared" ca="1" si="260"/>
        <v>137.417475</v>
      </c>
      <c r="AF891" s="1">
        <f t="shared" ca="1" si="260"/>
        <v>137.417475</v>
      </c>
      <c r="AG891" s="1">
        <f t="shared" ca="1" si="260"/>
        <v>137.417475</v>
      </c>
      <c r="AH891" s="1">
        <f t="shared" ca="1" si="260"/>
        <v>206.12621250000001</v>
      </c>
      <c r="AI891" s="1">
        <f t="shared" ca="1" si="250"/>
        <v>137.417475</v>
      </c>
    </row>
    <row r="892" spans="2:35" x14ac:dyDescent="0.15">
      <c r="B892" s="1" t="str">
        <f t="shared" si="247"/>
        <v>暗系98</v>
      </c>
      <c r="C892" s="1">
        <f t="shared" si="255"/>
        <v>98</v>
      </c>
      <c r="D892" s="14" t="s">
        <v>98</v>
      </c>
      <c r="E892" s="14">
        <f t="shared" si="256"/>
        <v>9</v>
      </c>
      <c r="F892" s="1" t="str">
        <f t="shared" si="245"/>
        <v>黑暗</v>
      </c>
      <c r="H892" s="1">
        <f t="shared" ca="1" si="246"/>
        <v>4642.5446600730502</v>
      </c>
      <c r="I892" s="1">
        <f t="shared" ca="1" si="259"/>
        <v>150</v>
      </c>
      <c r="J892" s="1">
        <f t="shared" ca="1" si="259"/>
        <v>2162.8811320754799</v>
      </c>
      <c r="K892" s="1">
        <f t="shared" ca="1" si="259"/>
        <v>138.83414999999999</v>
      </c>
      <c r="L892" s="1">
        <f t="shared" ca="1" si="259"/>
        <v>2162.8811320754799</v>
      </c>
      <c r="M892" s="1">
        <f t="shared" ca="1" si="259"/>
        <v>138.83414999999999</v>
      </c>
      <c r="N892" s="1">
        <f t="shared" ca="1" si="259"/>
        <v>0.2</v>
      </c>
      <c r="O892" s="1">
        <f t="shared" ca="1" si="259"/>
        <v>0.2</v>
      </c>
      <c r="P892" s="1">
        <f t="shared" ca="1" si="259"/>
        <v>0.36</v>
      </c>
      <c r="Q892" s="1">
        <f t="shared" ca="1" si="259"/>
        <v>0.1</v>
      </c>
      <c r="R892" s="1">
        <f t="shared" ca="1" si="259"/>
        <v>2</v>
      </c>
      <c r="S892" s="1">
        <f t="shared" ca="1" si="260"/>
        <v>0.1</v>
      </c>
      <c r="T892" s="1">
        <f t="shared" ca="1" si="260"/>
        <v>0.9</v>
      </c>
      <c r="U892" s="1">
        <f t="shared" ca="1" si="260"/>
        <v>189.46666666666701</v>
      </c>
      <c r="V892" s="1">
        <f t="shared" ca="1" si="260"/>
        <v>0</v>
      </c>
      <c r="W892" s="1">
        <f t="shared" ca="1" si="260"/>
        <v>0</v>
      </c>
      <c r="X892" s="1">
        <f t="shared" ca="1" si="260"/>
        <v>0</v>
      </c>
      <c r="Y892" s="1">
        <f t="shared" ca="1" si="260"/>
        <v>0</v>
      </c>
      <c r="Z892" s="1">
        <f t="shared" ca="1" si="260"/>
        <v>0</v>
      </c>
      <c r="AA892" s="1">
        <f t="shared" ca="1" si="260"/>
        <v>3117.0933962264248</v>
      </c>
      <c r="AB892" s="1">
        <f t="shared" ca="1" si="260"/>
        <v>0</v>
      </c>
      <c r="AC892" s="1">
        <f t="shared" ca="1" si="260"/>
        <v>138.83414999999999</v>
      </c>
      <c r="AD892" s="1">
        <f t="shared" ca="1" si="260"/>
        <v>138.83414999999999</v>
      </c>
      <c r="AE892" s="1">
        <f t="shared" ca="1" si="260"/>
        <v>138.83414999999999</v>
      </c>
      <c r="AF892" s="1">
        <f t="shared" ca="1" si="260"/>
        <v>138.83414999999999</v>
      </c>
      <c r="AG892" s="1">
        <f t="shared" ca="1" si="260"/>
        <v>138.83414999999999</v>
      </c>
      <c r="AH892" s="1">
        <f t="shared" ca="1" si="260"/>
        <v>208.25122499999998</v>
      </c>
      <c r="AI892" s="1">
        <f t="shared" ca="1" si="250"/>
        <v>138.83414999999999</v>
      </c>
    </row>
    <row r="893" spans="2:35" x14ac:dyDescent="0.15">
      <c r="B893" s="1" t="str">
        <f t="shared" si="247"/>
        <v>暗系99</v>
      </c>
      <c r="C893" s="1">
        <f t="shared" si="255"/>
        <v>99</v>
      </c>
      <c r="D893" s="14" t="s">
        <v>98</v>
      </c>
      <c r="E893" s="14">
        <f t="shared" si="256"/>
        <v>9</v>
      </c>
      <c r="F893" s="1" t="str">
        <f t="shared" si="245"/>
        <v>黑暗</v>
      </c>
      <c r="H893" s="1">
        <f t="shared" ca="1" si="246"/>
        <v>4708.9050852728096</v>
      </c>
      <c r="I893" s="1">
        <f t="shared" ref="I893:R902" ca="1" si="261">mVlookup($C893,monsterBaseDate,I$2,FALSE)*(1+mVlookup($E893,monsterType,I$2,FALSE))</f>
        <v>150</v>
      </c>
      <c r="J893" s="1">
        <f t="shared" ca="1" si="261"/>
        <v>2214.0642857142898</v>
      </c>
      <c r="K893" s="1">
        <f t="shared" ca="1" si="261"/>
        <v>140.25082499999999</v>
      </c>
      <c r="L893" s="1">
        <f t="shared" ca="1" si="261"/>
        <v>2214.0642857142898</v>
      </c>
      <c r="M893" s="1">
        <f t="shared" ca="1" si="261"/>
        <v>140.25082499999999</v>
      </c>
      <c r="N893" s="1">
        <f t="shared" ca="1" si="261"/>
        <v>0.2</v>
      </c>
      <c r="O893" s="1">
        <f t="shared" ca="1" si="261"/>
        <v>0.2</v>
      </c>
      <c r="P893" s="1">
        <f t="shared" ca="1" si="261"/>
        <v>0.36</v>
      </c>
      <c r="Q893" s="1">
        <f t="shared" ca="1" si="261"/>
        <v>0.1</v>
      </c>
      <c r="R893" s="1">
        <f t="shared" ca="1" si="261"/>
        <v>2</v>
      </c>
      <c r="S893" s="1">
        <f t="shared" ref="S893:AH908" ca="1" si="262">mVlookup($C893,monsterBaseDate,S$2,FALSE)*(1+mVlookup($E893,monsterType,S$2,FALSE))</f>
        <v>0.1</v>
      </c>
      <c r="T893" s="1">
        <f t="shared" ca="1" si="262"/>
        <v>0.9</v>
      </c>
      <c r="U893" s="1">
        <f t="shared" ca="1" si="262"/>
        <v>191.4</v>
      </c>
      <c r="V893" s="1">
        <f t="shared" ca="1" si="262"/>
        <v>0</v>
      </c>
      <c r="W893" s="1">
        <f t="shared" ca="1" si="262"/>
        <v>0</v>
      </c>
      <c r="X893" s="1">
        <f t="shared" ca="1" si="262"/>
        <v>0</v>
      </c>
      <c r="Y893" s="1">
        <f t="shared" ca="1" si="262"/>
        <v>0</v>
      </c>
      <c r="Z893" s="1">
        <f t="shared" ca="1" si="262"/>
        <v>0</v>
      </c>
      <c r="AA893" s="1">
        <f t="shared" ca="1" si="262"/>
        <v>3255.3321428571448</v>
      </c>
      <c r="AB893" s="1">
        <f t="shared" ca="1" si="260"/>
        <v>0</v>
      </c>
      <c r="AC893" s="1">
        <f t="shared" ca="1" si="262"/>
        <v>140.25082499999999</v>
      </c>
      <c r="AD893" s="1">
        <f t="shared" ca="1" si="262"/>
        <v>140.25082499999999</v>
      </c>
      <c r="AE893" s="1">
        <f t="shared" ca="1" si="262"/>
        <v>140.25082499999999</v>
      </c>
      <c r="AF893" s="1">
        <f t="shared" ca="1" si="262"/>
        <v>140.25082499999999</v>
      </c>
      <c r="AG893" s="1">
        <f t="shared" ca="1" si="262"/>
        <v>140.25082499999999</v>
      </c>
      <c r="AH893" s="1">
        <f t="shared" ca="1" si="262"/>
        <v>210.3762375</v>
      </c>
      <c r="AI893" s="1">
        <f t="shared" ca="1" si="250"/>
        <v>140.25082499999999</v>
      </c>
    </row>
    <row r="894" spans="2:35" x14ac:dyDescent="0.15">
      <c r="B894" s="1" t="str">
        <f t="shared" si="247"/>
        <v>雷系1</v>
      </c>
      <c r="C894" s="1">
        <f t="shared" si="255"/>
        <v>1</v>
      </c>
      <c r="D894" s="14" t="s">
        <v>99</v>
      </c>
      <c r="E894" s="14">
        <f t="shared" si="256"/>
        <v>10</v>
      </c>
      <c r="F894" s="1" t="str">
        <f t="shared" si="245"/>
        <v>电击</v>
      </c>
      <c r="H894" s="1">
        <f t="shared" ca="1" si="246"/>
        <v>11.6833207784558</v>
      </c>
      <c r="I894" s="1">
        <f t="shared" ca="1" si="261"/>
        <v>150</v>
      </c>
      <c r="J894" s="1">
        <f t="shared" ca="1" si="261"/>
        <v>8.0843749999999996</v>
      </c>
      <c r="K894" s="1">
        <f t="shared" ca="1" si="261"/>
        <v>1.4166749999999999</v>
      </c>
      <c r="L894" s="1">
        <f t="shared" ca="1" si="261"/>
        <v>8.0843749999999996</v>
      </c>
      <c r="M894" s="1">
        <f t="shared" ca="1" si="261"/>
        <v>1.4166749999999999</v>
      </c>
      <c r="N894" s="1">
        <f t="shared" ca="1" si="261"/>
        <v>0.2</v>
      </c>
      <c r="O894" s="1">
        <f t="shared" ca="1" si="261"/>
        <v>0.2</v>
      </c>
      <c r="P894" s="1">
        <f t="shared" ca="1" si="261"/>
        <v>0.36</v>
      </c>
      <c r="Q894" s="1">
        <f t="shared" ca="1" si="261"/>
        <v>0.1</v>
      </c>
      <c r="R894" s="1">
        <f t="shared" ca="1" si="261"/>
        <v>2</v>
      </c>
      <c r="S894" s="1">
        <f t="shared" ca="1" si="262"/>
        <v>0.1</v>
      </c>
      <c r="T894" s="1">
        <f t="shared" ca="1" si="262"/>
        <v>0.9</v>
      </c>
      <c r="U894" s="1">
        <f t="shared" ca="1" si="262"/>
        <v>1.93333333333333</v>
      </c>
      <c r="V894" s="1">
        <f t="shared" ca="1" si="262"/>
        <v>0</v>
      </c>
      <c r="W894" s="1">
        <f t="shared" ca="1" si="262"/>
        <v>0</v>
      </c>
      <c r="X894" s="1">
        <f t="shared" ca="1" si="262"/>
        <v>0</v>
      </c>
      <c r="Y894" s="1">
        <f t="shared" ca="1" si="262"/>
        <v>0</v>
      </c>
      <c r="Z894" s="1">
        <f t="shared" ca="1" si="262"/>
        <v>0</v>
      </c>
      <c r="AA894" s="1">
        <f t="shared" ca="1" si="262"/>
        <v>0</v>
      </c>
      <c r="AB894" s="1">
        <f t="shared" ca="1" si="260"/>
        <v>6.0937500000000006E-2</v>
      </c>
      <c r="AC894" s="1">
        <f t="shared" ca="1" si="262"/>
        <v>1.4166749999999999</v>
      </c>
      <c r="AD894" s="1">
        <f t="shared" ca="1" si="262"/>
        <v>1.4166749999999999</v>
      </c>
      <c r="AE894" s="1">
        <f t="shared" ca="1" si="262"/>
        <v>1.4166749999999999</v>
      </c>
      <c r="AF894" s="1">
        <f t="shared" ca="1" si="262"/>
        <v>1.4166749999999999</v>
      </c>
      <c r="AG894" s="1">
        <f t="shared" ca="1" si="262"/>
        <v>1.4166749999999999</v>
      </c>
      <c r="AH894" s="1">
        <f t="shared" ca="1" si="262"/>
        <v>1.4166749999999999</v>
      </c>
      <c r="AI894" s="1">
        <f t="shared" ca="1" si="250"/>
        <v>2.1250125</v>
      </c>
    </row>
    <row r="895" spans="2:35" x14ac:dyDescent="0.15">
      <c r="B895" s="1" t="str">
        <f t="shared" si="247"/>
        <v>雷系2</v>
      </c>
      <c r="C895" s="1">
        <f t="shared" si="255"/>
        <v>2</v>
      </c>
      <c r="D895" s="14" t="s">
        <v>99</v>
      </c>
      <c r="E895" s="14">
        <f t="shared" si="256"/>
        <v>10</v>
      </c>
      <c r="F895" s="1" t="str">
        <f t="shared" si="245"/>
        <v>电击</v>
      </c>
      <c r="H895" s="1">
        <f t="shared" ca="1" si="246"/>
        <v>25.660820909772099</v>
      </c>
      <c r="I895" s="1">
        <f t="shared" ca="1" si="261"/>
        <v>150</v>
      </c>
      <c r="J895" s="1">
        <f t="shared" ca="1" si="261"/>
        <v>16.721476510067099</v>
      </c>
      <c r="K895" s="1">
        <f t="shared" ca="1" si="261"/>
        <v>2.8333499999999998</v>
      </c>
      <c r="L895" s="1">
        <f t="shared" ca="1" si="261"/>
        <v>16.721476510067099</v>
      </c>
      <c r="M895" s="1">
        <f t="shared" ca="1" si="261"/>
        <v>2.8333499999999998</v>
      </c>
      <c r="N895" s="1">
        <f t="shared" ca="1" si="261"/>
        <v>0.2</v>
      </c>
      <c r="O895" s="1">
        <f t="shared" ca="1" si="261"/>
        <v>0.2</v>
      </c>
      <c r="P895" s="1">
        <f t="shared" ca="1" si="261"/>
        <v>0.36</v>
      </c>
      <c r="Q895" s="1">
        <f t="shared" ca="1" si="261"/>
        <v>0.1</v>
      </c>
      <c r="R895" s="1">
        <f t="shared" ca="1" si="261"/>
        <v>2</v>
      </c>
      <c r="S895" s="1">
        <f t="shared" ca="1" si="262"/>
        <v>0.1</v>
      </c>
      <c r="T895" s="1">
        <f t="shared" ca="1" si="262"/>
        <v>0.9</v>
      </c>
      <c r="U895" s="1">
        <f t="shared" ca="1" si="262"/>
        <v>3.8666666666666698</v>
      </c>
      <c r="V895" s="1">
        <f t="shared" ca="1" si="262"/>
        <v>0</v>
      </c>
      <c r="W895" s="1">
        <f t="shared" ca="1" si="262"/>
        <v>0</v>
      </c>
      <c r="X895" s="1">
        <f t="shared" ca="1" si="262"/>
        <v>0</v>
      </c>
      <c r="Y895" s="1">
        <f t="shared" ca="1" si="262"/>
        <v>0</v>
      </c>
      <c r="Z895" s="1">
        <f t="shared" ca="1" si="262"/>
        <v>0</v>
      </c>
      <c r="AA895" s="1">
        <f t="shared" ca="1" si="262"/>
        <v>0</v>
      </c>
      <c r="AB895" s="1">
        <f t="shared" ca="1" si="260"/>
        <v>0.25335570469798652</v>
      </c>
      <c r="AC895" s="1">
        <f t="shared" ca="1" si="262"/>
        <v>2.8333499999999998</v>
      </c>
      <c r="AD895" s="1">
        <f t="shared" ca="1" si="262"/>
        <v>2.8333499999999998</v>
      </c>
      <c r="AE895" s="1">
        <f t="shared" ca="1" si="262"/>
        <v>2.8333499999999998</v>
      </c>
      <c r="AF895" s="1">
        <f t="shared" ca="1" si="262"/>
        <v>2.8333499999999998</v>
      </c>
      <c r="AG895" s="1">
        <f t="shared" ca="1" si="262"/>
        <v>2.8333499999999998</v>
      </c>
      <c r="AH895" s="1">
        <f t="shared" ca="1" si="262"/>
        <v>2.8333499999999998</v>
      </c>
      <c r="AI895" s="1">
        <f t="shared" ca="1" si="250"/>
        <v>4.2500249999999999</v>
      </c>
    </row>
    <row r="896" spans="2:35" x14ac:dyDescent="0.15">
      <c r="B896" s="1" t="str">
        <f t="shared" si="247"/>
        <v>雷系3</v>
      </c>
      <c r="C896" s="1">
        <f t="shared" si="255"/>
        <v>3</v>
      </c>
      <c r="D896" s="14" t="s">
        <v>99</v>
      </c>
      <c r="E896" s="14">
        <f t="shared" si="256"/>
        <v>10</v>
      </c>
      <c r="F896" s="1" t="str">
        <f t="shared" si="245"/>
        <v>电击</v>
      </c>
      <c r="H896" s="1">
        <f t="shared" ca="1" si="246"/>
        <v>41.974985196779599</v>
      </c>
      <c r="I896" s="1">
        <f t="shared" ca="1" si="261"/>
        <v>150</v>
      </c>
      <c r="J896" s="1">
        <f t="shared" ca="1" si="261"/>
        <v>25.956081081081098</v>
      </c>
      <c r="K896" s="1">
        <f t="shared" ca="1" si="261"/>
        <v>4.2500249999999999</v>
      </c>
      <c r="L896" s="1">
        <f t="shared" ca="1" si="261"/>
        <v>25.956081081081098</v>
      </c>
      <c r="M896" s="1">
        <f t="shared" ca="1" si="261"/>
        <v>4.2500249999999999</v>
      </c>
      <c r="N896" s="1">
        <f t="shared" ca="1" si="261"/>
        <v>0.2</v>
      </c>
      <c r="O896" s="1">
        <f t="shared" ca="1" si="261"/>
        <v>0.2</v>
      </c>
      <c r="P896" s="1">
        <f t="shared" ca="1" si="261"/>
        <v>0.36</v>
      </c>
      <c r="Q896" s="1">
        <f t="shared" ca="1" si="261"/>
        <v>0.1</v>
      </c>
      <c r="R896" s="1">
        <f t="shared" ca="1" si="261"/>
        <v>2</v>
      </c>
      <c r="S896" s="1">
        <f t="shared" ca="1" si="262"/>
        <v>0.1</v>
      </c>
      <c r="T896" s="1">
        <f t="shared" ca="1" si="262"/>
        <v>0.9</v>
      </c>
      <c r="U896" s="1">
        <f t="shared" ca="1" si="262"/>
        <v>5.8</v>
      </c>
      <c r="V896" s="1">
        <f t="shared" ca="1" si="262"/>
        <v>0</v>
      </c>
      <c r="W896" s="1">
        <f t="shared" ca="1" si="262"/>
        <v>0</v>
      </c>
      <c r="X896" s="1">
        <f t="shared" ca="1" si="262"/>
        <v>0</v>
      </c>
      <c r="Y896" s="1">
        <f t="shared" ca="1" si="262"/>
        <v>0</v>
      </c>
      <c r="Z896" s="1">
        <f t="shared" ca="1" si="262"/>
        <v>0</v>
      </c>
      <c r="AA896" s="1">
        <f t="shared" ca="1" si="262"/>
        <v>0</v>
      </c>
      <c r="AB896" s="1">
        <f t="shared" ca="1" si="260"/>
        <v>0.59290540540540504</v>
      </c>
      <c r="AC896" s="1">
        <f t="shared" ca="1" si="262"/>
        <v>4.2500249999999999</v>
      </c>
      <c r="AD896" s="1">
        <f t="shared" ca="1" si="262"/>
        <v>4.2500249999999999</v>
      </c>
      <c r="AE896" s="1">
        <f t="shared" ca="1" si="262"/>
        <v>4.2500249999999999</v>
      </c>
      <c r="AF896" s="1">
        <f t="shared" ca="1" si="262"/>
        <v>4.2500249999999999</v>
      </c>
      <c r="AG896" s="1">
        <f t="shared" ca="1" si="262"/>
        <v>4.2500249999999999</v>
      </c>
      <c r="AH896" s="1">
        <f t="shared" ca="1" si="262"/>
        <v>4.2500249999999999</v>
      </c>
      <c r="AI896" s="1">
        <f t="shared" ca="1" si="250"/>
        <v>6.3750374999999995</v>
      </c>
    </row>
    <row r="897" spans="2:35" x14ac:dyDescent="0.15">
      <c r="B897" s="1" t="str">
        <f t="shared" si="247"/>
        <v>雷系4</v>
      </c>
      <c r="C897" s="1">
        <f t="shared" si="255"/>
        <v>4</v>
      </c>
      <c r="D897" s="14" t="s">
        <v>99</v>
      </c>
      <c r="E897" s="14">
        <f t="shared" si="256"/>
        <v>10</v>
      </c>
      <c r="F897" s="1" t="str">
        <f t="shared" si="245"/>
        <v>电击</v>
      </c>
      <c r="H897" s="1">
        <f t="shared" ca="1" si="246"/>
        <v>60.668298442308902</v>
      </c>
      <c r="I897" s="1">
        <f t="shared" ca="1" si="261"/>
        <v>150</v>
      </c>
      <c r="J897" s="1">
        <f t="shared" ca="1" si="261"/>
        <v>35.837837837837803</v>
      </c>
      <c r="K897" s="1">
        <f t="shared" ca="1" si="261"/>
        <v>5.6666999999999996</v>
      </c>
      <c r="L897" s="1">
        <f t="shared" ca="1" si="261"/>
        <v>35.837837837837803</v>
      </c>
      <c r="M897" s="1">
        <f t="shared" ca="1" si="261"/>
        <v>5.6666999999999996</v>
      </c>
      <c r="N897" s="1">
        <f t="shared" ca="1" si="261"/>
        <v>0.2</v>
      </c>
      <c r="O897" s="1">
        <f t="shared" ca="1" si="261"/>
        <v>0.2</v>
      </c>
      <c r="P897" s="1">
        <f t="shared" ca="1" si="261"/>
        <v>0.36</v>
      </c>
      <c r="Q897" s="1">
        <f t="shared" ca="1" si="261"/>
        <v>0.1</v>
      </c>
      <c r="R897" s="1">
        <f t="shared" ca="1" si="261"/>
        <v>2</v>
      </c>
      <c r="S897" s="1">
        <f t="shared" ca="1" si="262"/>
        <v>0.1</v>
      </c>
      <c r="T897" s="1">
        <f t="shared" ca="1" si="262"/>
        <v>0.9</v>
      </c>
      <c r="U897" s="1">
        <f t="shared" ca="1" si="262"/>
        <v>7.7333333333333298</v>
      </c>
      <c r="V897" s="1">
        <f t="shared" ca="1" si="262"/>
        <v>0</v>
      </c>
      <c r="W897" s="1">
        <f t="shared" ca="1" si="262"/>
        <v>0</v>
      </c>
      <c r="X897" s="1">
        <f t="shared" ca="1" si="262"/>
        <v>0</v>
      </c>
      <c r="Y897" s="1">
        <f t="shared" ca="1" si="262"/>
        <v>0</v>
      </c>
      <c r="Z897" s="1">
        <f t="shared" ca="1" si="262"/>
        <v>0</v>
      </c>
      <c r="AA897" s="1">
        <f t="shared" ca="1" si="262"/>
        <v>0</v>
      </c>
      <c r="AB897" s="1">
        <f t="shared" ca="1" si="260"/>
        <v>1.09707666850524</v>
      </c>
      <c r="AC897" s="1">
        <f t="shared" ca="1" si="262"/>
        <v>5.6666999999999996</v>
      </c>
      <c r="AD897" s="1">
        <f t="shared" ca="1" si="262"/>
        <v>5.6666999999999996</v>
      </c>
      <c r="AE897" s="1">
        <f t="shared" ca="1" si="262"/>
        <v>5.6666999999999996</v>
      </c>
      <c r="AF897" s="1">
        <f t="shared" ca="1" si="262"/>
        <v>5.6666999999999996</v>
      </c>
      <c r="AG897" s="1">
        <f t="shared" ca="1" si="262"/>
        <v>5.6666999999999996</v>
      </c>
      <c r="AH897" s="1">
        <f t="shared" ca="1" si="262"/>
        <v>5.6666999999999996</v>
      </c>
      <c r="AI897" s="1">
        <f t="shared" ca="1" si="250"/>
        <v>8.5000499999999999</v>
      </c>
    </row>
    <row r="898" spans="2:35" x14ac:dyDescent="0.15">
      <c r="B898" s="1" t="str">
        <f t="shared" si="247"/>
        <v>雷系5</v>
      </c>
      <c r="C898" s="1">
        <f t="shared" si="255"/>
        <v>5</v>
      </c>
      <c r="D898" s="14" t="s">
        <v>99</v>
      </c>
      <c r="E898" s="14">
        <f t="shared" si="256"/>
        <v>10</v>
      </c>
      <c r="F898" s="1" t="str">
        <f t="shared" si="245"/>
        <v>电击</v>
      </c>
      <c r="H898" s="1">
        <f t="shared" ca="1" si="246"/>
        <v>81.783245449191</v>
      </c>
      <c r="I898" s="1">
        <f t="shared" ca="1" si="261"/>
        <v>150</v>
      </c>
      <c r="J898" s="1">
        <f t="shared" ca="1" si="261"/>
        <v>46.421946347031998</v>
      </c>
      <c r="K898" s="1">
        <f t="shared" ca="1" si="261"/>
        <v>7.0833750000000002</v>
      </c>
      <c r="L898" s="1">
        <f t="shared" ca="1" si="261"/>
        <v>46.421946347031998</v>
      </c>
      <c r="M898" s="1">
        <f t="shared" ca="1" si="261"/>
        <v>7.0833750000000002</v>
      </c>
      <c r="N898" s="1">
        <f t="shared" ca="1" si="261"/>
        <v>0.2</v>
      </c>
      <c r="O898" s="1">
        <f t="shared" ca="1" si="261"/>
        <v>0.2</v>
      </c>
      <c r="P898" s="1">
        <f t="shared" ca="1" si="261"/>
        <v>0.36</v>
      </c>
      <c r="Q898" s="1">
        <f t="shared" ca="1" si="261"/>
        <v>0.1</v>
      </c>
      <c r="R898" s="1">
        <f t="shared" ca="1" si="261"/>
        <v>2</v>
      </c>
      <c r="S898" s="1">
        <f t="shared" ca="1" si="262"/>
        <v>0.1</v>
      </c>
      <c r="T898" s="1">
        <f t="shared" ca="1" si="262"/>
        <v>0.9</v>
      </c>
      <c r="U898" s="1">
        <f t="shared" ca="1" si="262"/>
        <v>9.6666666666666696</v>
      </c>
      <c r="V898" s="1">
        <f t="shared" ca="1" si="262"/>
        <v>0</v>
      </c>
      <c r="W898" s="1">
        <f t="shared" ca="1" si="262"/>
        <v>0</v>
      </c>
      <c r="X898" s="1">
        <f t="shared" ca="1" si="262"/>
        <v>0</v>
      </c>
      <c r="Y898" s="1">
        <f t="shared" ca="1" si="262"/>
        <v>0</v>
      </c>
      <c r="Z898" s="1">
        <f t="shared" ca="1" si="262"/>
        <v>0</v>
      </c>
      <c r="AA898" s="1">
        <f t="shared" ca="1" si="262"/>
        <v>0</v>
      </c>
      <c r="AB898" s="1">
        <f t="shared" ca="1" si="260"/>
        <v>1.7854594748858401</v>
      </c>
      <c r="AC898" s="1">
        <f t="shared" ca="1" si="262"/>
        <v>7.0833750000000002</v>
      </c>
      <c r="AD898" s="1">
        <f t="shared" ca="1" si="262"/>
        <v>7.0833750000000002</v>
      </c>
      <c r="AE898" s="1">
        <f t="shared" ca="1" si="262"/>
        <v>7.0833750000000002</v>
      </c>
      <c r="AF898" s="1">
        <f t="shared" ca="1" si="262"/>
        <v>7.0833750000000002</v>
      </c>
      <c r="AG898" s="1">
        <f t="shared" ca="1" si="262"/>
        <v>7.0833750000000002</v>
      </c>
      <c r="AH898" s="1">
        <f t="shared" ca="1" si="262"/>
        <v>7.0833750000000002</v>
      </c>
      <c r="AI898" s="1">
        <f t="shared" ca="1" si="250"/>
        <v>10.6250625</v>
      </c>
    </row>
    <row r="899" spans="2:35" x14ac:dyDescent="0.15">
      <c r="B899" s="1" t="str">
        <f t="shared" si="247"/>
        <v>雷系6</v>
      </c>
      <c r="C899" s="1">
        <f t="shared" si="255"/>
        <v>6</v>
      </c>
      <c r="D899" s="14" t="s">
        <v>99</v>
      </c>
      <c r="E899" s="14">
        <f t="shared" si="256"/>
        <v>10</v>
      </c>
      <c r="F899" s="1" t="str">
        <f t="shared" ref="F899:F962" si="263">VLOOKUP(E899,monsterType,4,FALSE)</f>
        <v>电击</v>
      </c>
      <c r="H899" s="1">
        <f t="shared" ref="H899:H962" ca="1" si="264">mVlookup(C899,monsterBaseDate,H$2,FALSE)*(1+mVlookup(E899,monsterType,H$2,FALSE))*(1+mVlookup(C899,monsterHpRevise,D899,FALSE))</f>
        <v>105.362311020256</v>
      </c>
      <c r="I899" s="1">
        <f t="shared" ca="1" si="261"/>
        <v>150</v>
      </c>
      <c r="J899" s="1">
        <f t="shared" ca="1" si="261"/>
        <v>57.7699507389163</v>
      </c>
      <c r="K899" s="1">
        <f t="shared" ca="1" si="261"/>
        <v>8.5000499999999999</v>
      </c>
      <c r="L899" s="1">
        <f t="shared" ca="1" si="261"/>
        <v>57.7699507389163</v>
      </c>
      <c r="M899" s="1">
        <f t="shared" ca="1" si="261"/>
        <v>8.5000499999999999</v>
      </c>
      <c r="N899" s="1">
        <f t="shared" ca="1" si="261"/>
        <v>0.2</v>
      </c>
      <c r="O899" s="1">
        <f t="shared" ca="1" si="261"/>
        <v>0.2</v>
      </c>
      <c r="P899" s="1">
        <f t="shared" ca="1" si="261"/>
        <v>0.36</v>
      </c>
      <c r="Q899" s="1">
        <f t="shared" ca="1" si="261"/>
        <v>0.1</v>
      </c>
      <c r="R899" s="1">
        <f t="shared" ca="1" si="261"/>
        <v>2</v>
      </c>
      <c r="S899" s="1">
        <f t="shared" ca="1" si="262"/>
        <v>0.1</v>
      </c>
      <c r="T899" s="1">
        <f t="shared" ca="1" si="262"/>
        <v>0.9</v>
      </c>
      <c r="U899" s="1">
        <f t="shared" ca="1" si="262"/>
        <v>11.6</v>
      </c>
      <c r="V899" s="1">
        <f t="shared" ca="1" si="262"/>
        <v>0</v>
      </c>
      <c r="W899" s="1">
        <f t="shared" ca="1" si="262"/>
        <v>0</v>
      </c>
      <c r="X899" s="1">
        <f t="shared" ca="1" si="262"/>
        <v>0</v>
      </c>
      <c r="Y899" s="1">
        <f t="shared" ca="1" si="262"/>
        <v>0</v>
      </c>
      <c r="Z899" s="1">
        <f t="shared" ca="1" si="262"/>
        <v>0</v>
      </c>
      <c r="AA899" s="1">
        <f t="shared" ca="1" si="262"/>
        <v>0</v>
      </c>
      <c r="AB899" s="1">
        <f t="shared" ca="1" si="262"/>
        <v>2.6800492610837399</v>
      </c>
      <c r="AC899" s="1">
        <f t="shared" ca="1" si="262"/>
        <v>8.5000499999999999</v>
      </c>
      <c r="AD899" s="1">
        <f t="shared" ca="1" si="262"/>
        <v>8.5000499999999999</v>
      </c>
      <c r="AE899" s="1">
        <f t="shared" ca="1" si="262"/>
        <v>8.5000499999999999</v>
      </c>
      <c r="AF899" s="1">
        <f t="shared" ca="1" si="262"/>
        <v>8.5000499999999999</v>
      </c>
      <c r="AG899" s="1">
        <f t="shared" ca="1" si="262"/>
        <v>8.5000499999999999</v>
      </c>
      <c r="AH899" s="1">
        <f t="shared" ca="1" si="262"/>
        <v>8.5000499999999999</v>
      </c>
      <c r="AI899" s="1">
        <f t="shared" ca="1" si="250"/>
        <v>12.750074999999999</v>
      </c>
    </row>
    <row r="900" spans="2:35" x14ac:dyDescent="0.15">
      <c r="B900" s="1" t="str">
        <f t="shared" ref="B900:B963" si="265">D900&amp;C900</f>
        <v>雷系7</v>
      </c>
      <c r="C900" s="1">
        <f t="shared" si="255"/>
        <v>7</v>
      </c>
      <c r="D900" s="14" t="s">
        <v>99</v>
      </c>
      <c r="E900" s="14">
        <f t="shared" si="256"/>
        <v>10</v>
      </c>
      <c r="F900" s="1" t="str">
        <f t="shared" si="263"/>
        <v>电击</v>
      </c>
      <c r="H900" s="1">
        <f t="shared" ca="1" si="264"/>
        <v>131.44797995833599</v>
      </c>
      <c r="I900" s="1">
        <f t="shared" ca="1" si="261"/>
        <v>150</v>
      </c>
      <c r="J900" s="1">
        <f t="shared" ca="1" si="261"/>
        <v>67.952083333333306</v>
      </c>
      <c r="K900" s="1">
        <f t="shared" ca="1" si="261"/>
        <v>9.9167249999999996</v>
      </c>
      <c r="L900" s="1">
        <f t="shared" ca="1" si="261"/>
        <v>67.952083333333306</v>
      </c>
      <c r="M900" s="1">
        <f t="shared" ca="1" si="261"/>
        <v>9.9167249999999996</v>
      </c>
      <c r="N900" s="1">
        <f t="shared" ca="1" si="261"/>
        <v>0.2</v>
      </c>
      <c r="O900" s="1">
        <f t="shared" ca="1" si="261"/>
        <v>0.2</v>
      </c>
      <c r="P900" s="1">
        <f t="shared" ca="1" si="261"/>
        <v>0.36</v>
      </c>
      <c r="Q900" s="1">
        <f t="shared" ca="1" si="261"/>
        <v>0.1</v>
      </c>
      <c r="R900" s="1">
        <f t="shared" ca="1" si="261"/>
        <v>2</v>
      </c>
      <c r="S900" s="1">
        <f t="shared" ca="1" si="262"/>
        <v>0.1</v>
      </c>
      <c r="T900" s="1">
        <f t="shared" ca="1" si="262"/>
        <v>0.9</v>
      </c>
      <c r="U900" s="1">
        <f t="shared" ca="1" si="262"/>
        <v>13.533333333333299</v>
      </c>
      <c r="V900" s="1">
        <f t="shared" ca="1" si="262"/>
        <v>0</v>
      </c>
      <c r="W900" s="1">
        <f t="shared" ca="1" si="262"/>
        <v>0</v>
      </c>
      <c r="X900" s="1">
        <f t="shared" ca="1" si="262"/>
        <v>0</v>
      </c>
      <c r="Y900" s="1">
        <f t="shared" ca="1" si="262"/>
        <v>0</v>
      </c>
      <c r="Z900" s="1">
        <f t="shared" ca="1" si="262"/>
        <v>0</v>
      </c>
      <c r="AA900" s="1">
        <f t="shared" ca="1" si="262"/>
        <v>0</v>
      </c>
      <c r="AB900" s="1">
        <f t="shared" ca="1" si="262"/>
        <v>3.696874999999995</v>
      </c>
      <c r="AC900" s="1">
        <f t="shared" ca="1" si="262"/>
        <v>9.9167249999999996</v>
      </c>
      <c r="AD900" s="1">
        <f t="shared" ca="1" si="262"/>
        <v>9.9167249999999996</v>
      </c>
      <c r="AE900" s="1">
        <f t="shared" ca="1" si="262"/>
        <v>9.9167249999999996</v>
      </c>
      <c r="AF900" s="1">
        <f t="shared" ca="1" si="262"/>
        <v>9.9167249999999996</v>
      </c>
      <c r="AG900" s="1">
        <f t="shared" ca="1" si="262"/>
        <v>9.9167249999999996</v>
      </c>
      <c r="AH900" s="1">
        <f t="shared" ca="1" si="262"/>
        <v>9.9167249999999996</v>
      </c>
      <c r="AI900" s="1">
        <f t="shared" ca="1" si="250"/>
        <v>14.875087499999999</v>
      </c>
    </row>
    <row r="901" spans="2:35" x14ac:dyDescent="0.15">
      <c r="B901" s="1" t="str">
        <f t="shared" si="265"/>
        <v>雷系8</v>
      </c>
      <c r="C901" s="1">
        <f t="shared" si="255"/>
        <v>8</v>
      </c>
      <c r="D901" s="14" t="s">
        <v>99</v>
      </c>
      <c r="E901" s="14">
        <f t="shared" si="256"/>
        <v>10</v>
      </c>
      <c r="F901" s="1" t="str">
        <f t="shared" si="263"/>
        <v>电击</v>
      </c>
      <c r="H901" s="1">
        <f t="shared" ca="1" si="264"/>
        <v>160.08273706626099</v>
      </c>
      <c r="I901" s="1">
        <f t="shared" ca="1" si="261"/>
        <v>150</v>
      </c>
      <c r="J901" s="1">
        <f t="shared" ca="1" si="261"/>
        <v>78.296103896103901</v>
      </c>
      <c r="K901" s="1">
        <f t="shared" ca="1" si="261"/>
        <v>11.333399999999999</v>
      </c>
      <c r="L901" s="1">
        <f t="shared" ca="1" si="261"/>
        <v>78.296103896103901</v>
      </c>
      <c r="M901" s="1">
        <f t="shared" ca="1" si="261"/>
        <v>11.333399999999999</v>
      </c>
      <c r="N901" s="1">
        <f t="shared" ca="1" si="261"/>
        <v>0.2</v>
      </c>
      <c r="O901" s="1">
        <f t="shared" ca="1" si="261"/>
        <v>0.2</v>
      </c>
      <c r="P901" s="1">
        <f t="shared" ca="1" si="261"/>
        <v>0.36</v>
      </c>
      <c r="Q901" s="1">
        <f t="shared" ca="1" si="261"/>
        <v>0.1</v>
      </c>
      <c r="R901" s="1">
        <f t="shared" ca="1" si="261"/>
        <v>2</v>
      </c>
      <c r="S901" s="1">
        <f t="shared" ca="1" si="262"/>
        <v>0.1</v>
      </c>
      <c r="T901" s="1">
        <f t="shared" ca="1" si="262"/>
        <v>0.9</v>
      </c>
      <c r="U901" s="1">
        <f t="shared" ca="1" si="262"/>
        <v>15.466666666666701</v>
      </c>
      <c r="V901" s="1">
        <f t="shared" ca="1" si="262"/>
        <v>0</v>
      </c>
      <c r="W901" s="1">
        <f t="shared" ca="1" si="262"/>
        <v>0</v>
      </c>
      <c r="X901" s="1">
        <f t="shared" ca="1" si="262"/>
        <v>0</v>
      </c>
      <c r="Y901" s="1">
        <f t="shared" ca="1" si="262"/>
        <v>0</v>
      </c>
      <c r="Z901" s="1">
        <f t="shared" ca="1" si="262"/>
        <v>0</v>
      </c>
      <c r="AA901" s="1">
        <f t="shared" ca="1" si="262"/>
        <v>0</v>
      </c>
      <c r="AB901" s="1">
        <f t="shared" ca="1" si="262"/>
        <v>4.8935064935064894</v>
      </c>
      <c r="AC901" s="1">
        <f t="shared" ca="1" si="262"/>
        <v>11.333399999999999</v>
      </c>
      <c r="AD901" s="1">
        <f t="shared" ca="1" si="262"/>
        <v>11.333399999999999</v>
      </c>
      <c r="AE901" s="1">
        <f t="shared" ca="1" si="262"/>
        <v>11.333399999999999</v>
      </c>
      <c r="AF901" s="1">
        <f t="shared" ca="1" si="262"/>
        <v>11.333399999999999</v>
      </c>
      <c r="AG901" s="1">
        <f t="shared" ca="1" si="262"/>
        <v>11.333399999999999</v>
      </c>
      <c r="AH901" s="1">
        <f t="shared" ca="1" si="262"/>
        <v>11.333399999999999</v>
      </c>
      <c r="AI901" s="1">
        <f t="shared" ca="1" si="250"/>
        <v>17.0001</v>
      </c>
    </row>
    <row r="902" spans="2:35" x14ac:dyDescent="0.15">
      <c r="B902" s="1" t="str">
        <f t="shared" si="265"/>
        <v>雷系9</v>
      </c>
      <c r="C902" s="1">
        <f t="shared" si="255"/>
        <v>9</v>
      </c>
      <c r="D902" s="14" t="s">
        <v>99</v>
      </c>
      <c r="E902" s="14">
        <f t="shared" si="256"/>
        <v>10</v>
      </c>
      <c r="F902" s="1" t="str">
        <f t="shared" si="263"/>
        <v>电击</v>
      </c>
      <c r="H902" s="1">
        <f t="shared" ca="1" si="264"/>
        <v>191.309067146861</v>
      </c>
      <c r="I902" s="1">
        <f t="shared" ca="1" si="261"/>
        <v>150</v>
      </c>
      <c r="J902" s="1">
        <f t="shared" ca="1" si="261"/>
        <v>88.803470824949699</v>
      </c>
      <c r="K902" s="1">
        <f t="shared" ca="1" si="261"/>
        <v>12.750075000000001</v>
      </c>
      <c r="L902" s="1">
        <f t="shared" ca="1" si="261"/>
        <v>88.803470824949699</v>
      </c>
      <c r="M902" s="1">
        <f t="shared" ca="1" si="261"/>
        <v>12.750075000000001</v>
      </c>
      <c r="N902" s="1">
        <f t="shared" ca="1" si="261"/>
        <v>0.2</v>
      </c>
      <c r="O902" s="1">
        <f t="shared" ca="1" si="261"/>
        <v>0.2</v>
      </c>
      <c r="P902" s="1">
        <f t="shared" ca="1" si="261"/>
        <v>0.36</v>
      </c>
      <c r="Q902" s="1">
        <f t="shared" ca="1" si="261"/>
        <v>0.1</v>
      </c>
      <c r="R902" s="1">
        <f t="shared" ca="1" si="261"/>
        <v>2</v>
      </c>
      <c r="S902" s="1">
        <f t="shared" ca="1" si="262"/>
        <v>0.1</v>
      </c>
      <c r="T902" s="1">
        <f t="shared" ca="1" si="262"/>
        <v>0.9</v>
      </c>
      <c r="U902" s="1">
        <f t="shared" ca="1" si="262"/>
        <v>17.399999999999999</v>
      </c>
      <c r="V902" s="1">
        <f t="shared" ca="1" si="262"/>
        <v>0</v>
      </c>
      <c r="W902" s="1">
        <f t="shared" ca="1" si="262"/>
        <v>0</v>
      </c>
      <c r="X902" s="1">
        <f t="shared" ca="1" si="262"/>
        <v>0</v>
      </c>
      <c r="Y902" s="1">
        <f t="shared" ca="1" si="262"/>
        <v>0</v>
      </c>
      <c r="Z902" s="1">
        <f t="shared" ca="1" si="262"/>
        <v>0</v>
      </c>
      <c r="AA902" s="1">
        <f t="shared" ca="1" si="262"/>
        <v>0</v>
      </c>
      <c r="AB902" s="1">
        <f t="shared" ca="1" si="262"/>
        <v>6.2766851106639905</v>
      </c>
      <c r="AC902" s="1">
        <f t="shared" ca="1" si="262"/>
        <v>12.750075000000001</v>
      </c>
      <c r="AD902" s="1">
        <f t="shared" ca="1" si="262"/>
        <v>12.750075000000001</v>
      </c>
      <c r="AE902" s="1">
        <f t="shared" ca="1" si="262"/>
        <v>12.750075000000001</v>
      </c>
      <c r="AF902" s="1">
        <f t="shared" ca="1" si="262"/>
        <v>12.750075000000001</v>
      </c>
      <c r="AG902" s="1">
        <f t="shared" ca="1" si="262"/>
        <v>12.750075000000001</v>
      </c>
      <c r="AH902" s="1">
        <f t="shared" ca="1" si="262"/>
        <v>12.750075000000001</v>
      </c>
      <c r="AI902" s="1">
        <f t="shared" ca="1" si="250"/>
        <v>19.1251125</v>
      </c>
    </row>
    <row r="903" spans="2:35" x14ac:dyDescent="0.15">
      <c r="B903" s="1" t="str">
        <f t="shared" si="265"/>
        <v>雷系10</v>
      </c>
      <c r="C903" s="1">
        <f t="shared" si="255"/>
        <v>10</v>
      </c>
      <c r="D903" s="14" t="s">
        <v>99</v>
      </c>
      <c r="E903" s="14">
        <f t="shared" si="256"/>
        <v>10</v>
      </c>
      <c r="F903" s="1" t="str">
        <f t="shared" si="263"/>
        <v>电击</v>
      </c>
      <c r="H903" s="1">
        <f t="shared" ca="1" si="264"/>
        <v>225.169455002967</v>
      </c>
      <c r="I903" s="1">
        <f t="shared" ref="I903:R912" ca="1" si="266">mVlookup($C903,monsterBaseDate,I$2,FALSE)*(1+mVlookup($E903,monsterType,I$2,FALSE))</f>
        <v>150</v>
      </c>
      <c r="J903" s="1">
        <f t="shared" ca="1" si="266"/>
        <v>99.4756838905775</v>
      </c>
      <c r="K903" s="1">
        <f t="shared" ca="1" si="266"/>
        <v>14.16675</v>
      </c>
      <c r="L903" s="1">
        <f t="shared" ca="1" si="266"/>
        <v>99.4756838905775</v>
      </c>
      <c r="M903" s="1">
        <f t="shared" ca="1" si="266"/>
        <v>14.16675</v>
      </c>
      <c r="N903" s="1">
        <f t="shared" ca="1" si="266"/>
        <v>0.2</v>
      </c>
      <c r="O903" s="1">
        <f t="shared" ca="1" si="266"/>
        <v>0.2</v>
      </c>
      <c r="P903" s="1">
        <f t="shared" ca="1" si="266"/>
        <v>0.36</v>
      </c>
      <c r="Q903" s="1">
        <f t="shared" ca="1" si="266"/>
        <v>0.1</v>
      </c>
      <c r="R903" s="1">
        <f t="shared" ca="1" si="266"/>
        <v>2</v>
      </c>
      <c r="S903" s="1">
        <f t="shared" ref="S903:AH918" ca="1" si="267">mVlookup($C903,monsterBaseDate,S$2,FALSE)*(1+mVlookup($E903,monsterType,S$2,FALSE))</f>
        <v>0.1</v>
      </c>
      <c r="T903" s="1">
        <f t="shared" ca="1" si="267"/>
        <v>0.9</v>
      </c>
      <c r="U903" s="1">
        <f t="shared" ca="1" si="267"/>
        <v>19.3333333333333</v>
      </c>
      <c r="V903" s="1">
        <f t="shared" ca="1" si="267"/>
        <v>0</v>
      </c>
      <c r="W903" s="1">
        <f t="shared" ca="1" si="267"/>
        <v>0</v>
      </c>
      <c r="X903" s="1">
        <f t="shared" ca="1" si="267"/>
        <v>0</v>
      </c>
      <c r="Y903" s="1">
        <f t="shared" ca="1" si="267"/>
        <v>0</v>
      </c>
      <c r="Z903" s="1">
        <f t="shared" ca="1" si="267"/>
        <v>0</v>
      </c>
      <c r="AA903" s="1">
        <f t="shared" ca="1" si="267"/>
        <v>0</v>
      </c>
      <c r="AB903" s="1">
        <f t="shared" ca="1" si="262"/>
        <v>7.8533434650456009</v>
      </c>
      <c r="AC903" s="1">
        <f t="shared" ca="1" si="267"/>
        <v>14.16675</v>
      </c>
      <c r="AD903" s="1">
        <f t="shared" ca="1" si="267"/>
        <v>14.16675</v>
      </c>
      <c r="AE903" s="1">
        <f t="shared" ca="1" si="267"/>
        <v>14.16675</v>
      </c>
      <c r="AF903" s="1">
        <f t="shared" ca="1" si="267"/>
        <v>14.16675</v>
      </c>
      <c r="AG903" s="1">
        <f t="shared" ca="1" si="267"/>
        <v>14.16675</v>
      </c>
      <c r="AH903" s="1">
        <f t="shared" ca="1" si="267"/>
        <v>14.16675</v>
      </c>
      <c r="AI903" s="1">
        <f t="shared" ca="1" si="250"/>
        <v>21.250125000000001</v>
      </c>
    </row>
    <row r="904" spans="2:35" x14ac:dyDescent="0.15">
      <c r="B904" s="1" t="str">
        <f t="shared" si="265"/>
        <v>雷系11</v>
      </c>
      <c r="C904" s="1">
        <f t="shared" si="255"/>
        <v>11</v>
      </c>
      <c r="D904" s="14" t="s">
        <v>99</v>
      </c>
      <c r="E904" s="14">
        <f t="shared" si="256"/>
        <v>10</v>
      </c>
      <c r="F904" s="1" t="str">
        <f t="shared" si="263"/>
        <v>电击</v>
      </c>
      <c r="H904" s="1">
        <f t="shared" ca="1" si="264"/>
        <v>249.24417660705799</v>
      </c>
      <c r="I904" s="1">
        <f t="shared" ca="1" si="266"/>
        <v>150</v>
      </c>
      <c r="J904" s="1">
        <f t="shared" ca="1" si="266"/>
        <v>110.314285714286</v>
      </c>
      <c r="K904" s="1">
        <f t="shared" ca="1" si="266"/>
        <v>15.583425</v>
      </c>
      <c r="L904" s="1">
        <f t="shared" ca="1" si="266"/>
        <v>110.314285714286</v>
      </c>
      <c r="M904" s="1">
        <f t="shared" ca="1" si="266"/>
        <v>15.583425</v>
      </c>
      <c r="N904" s="1">
        <f t="shared" ca="1" si="266"/>
        <v>0.2</v>
      </c>
      <c r="O904" s="1">
        <f t="shared" ca="1" si="266"/>
        <v>0.2</v>
      </c>
      <c r="P904" s="1">
        <f t="shared" ca="1" si="266"/>
        <v>0.36</v>
      </c>
      <c r="Q904" s="1">
        <f t="shared" ca="1" si="266"/>
        <v>0.1</v>
      </c>
      <c r="R904" s="1">
        <f t="shared" ca="1" si="266"/>
        <v>2</v>
      </c>
      <c r="S904" s="1">
        <f t="shared" ca="1" si="267"/>
        <v>0.1</v>
      </c>
      <c r="T904" s="1">
        <f t="shared" ca="1" si="267"/>
        <v>0.9</v>
      </c>
      <c r="U904" s="1">
        <f t="shared" ca="1" si="267"/>
        <v>21.266666666666701</v>
      </c>
      <c r="V904" s="1">
        <f t="shared" ca="1" si="267"/>
        <v>0</v>
      </c>
      <c r="W904" s="1">
        <f t="shared" ca="1" si="267"/>
        <v>0</v>
      </c>
      <c r="X904" s="1">
        <f t="shared" ca="1" si="267"/>
        <v>0</v>
      </c>
      <c r="Y904" s="1">
        <f t="shared" ca="1" si="267"/>
        <v>0</v>
      </c>
      <c r="Z904" s="1">
        <f t="shared" ca="1" si="267"/>
        <v>0</v>
      </c>
      <c r="AA904" s="1">
        <f t="shared" ca="1" si="267"/>
        <v>0</v>
      </c>
      <c r="AB904" s="1">
        <f t="shared" ca="1" si="262"/>
        <v>9.6306122448979643</v>
      </c>
      <c r="AC904" s="1">
        <f t="shared" ca="1" si="267"/>
        <v>15.583425</v>
      </c>
      <c r="AD904" s="1">
        <f t="shared" ca="1" si="267"/>
        <v>15.583425</v>
      </c>
      <c r="AE904" s="1">
        <f t="shared" ca="1" si="267"/>
        <v>15.583425</v>
      </c>
      <c r="AF904" s="1">
        <f t="shared" ca="1" si="267"/>
        <v>15.583425</v>
      </c>
      <c r="AG904" s="1">
        <f t="shared" ca="1" si="267"/>
        <v>15.583425</v>
      </c>
      <c r="AH904" s="1">
        <f t="shared" ca="1" si="267"/>
        <v>15.583425</v>
      </c>
      <c r="AI904" s="1">
        <f t="shared" ca="1" si="250"/>
        <v>23.375137500000001</v>
      </c>
    </row>
    <row r="905" spans="2:35" x14ac:dyDescent="0.15">
      <c r="B905" s="1" t="str">
        <f t="shared" si="265"/>
        <v>雷系12</v>
      </c>
      <c r="C905" s="1">
        <f t="shared" si="255"/>
        <v>12</v>
      </c>
      <c r="D905" s="14" t="s">
        <v>99</v>
      </c>
      <c r="E905" s="14">
        <f t="shared" si="256"/>
        <v>10</v>
      </c>
      <c r="F905" s="1" t="str">
        <f t="shared" si="263"/>
        <v>电击</v>
      </c>
      <c r="H905" s="1">
        <f t="shared" ca="1" si="264"/>
        <v>283.638742464666</v>
      </c>
      <c r="I905" s="1">
        <f t="shared" ca="1" si="266"/>
        <v>150</v>
      </c>
      <c r="J905" s="1">
        <f t="shared" ca="1" si="266"/>
        <v>121.320863309353</v>
      </c>
      <c r="K905" s="1">
        <f t="shared" ca="1" si="266"/>
        <v>17.0001</v>
      </c>
      <c r="L905" s="1">
        <f t="shared" ca="1" si="266"/>
        <v>121.320863309353</v>
      </c>
      <c r="M905" s="1">
        <f t="shared" ca="1" si="266"/>
        <v>17.0001</v>
      </c>
      <c r="N905" s="1">
        <f t="shared" ca="1" si="266"/>
        <v>0.2</v>
      </c>
      <c r="O905" s="1">
        <f t="shared" ca="1" si="266"/>
        <v>0.2</v>
      </c>
      <c r="P905" s="1">
        <f t="shared" ca="1" si="266"/>
        <v>0.36</v>
      </c>
      <c r="Q905" s="1">
        <f t="shared" ca="1" si="266"/>
        <v>0.1</v>
      </c>
      <c r="R905" s="1">
        <f t="shared" ca="1" si="266"/>
        <v>2</v>
      </c>
      <c r="S905" s="1">
        <f t="shared" ca="1" si="267"/>
        <v>0.1</v>
      </c>
      <c r="T905" s="1">
        <f t="shared" ca="1" si="267"/>
        <v>0.9</v>
      </c>
      <c r="U905" s="1">
        <f t="shared" ca="1" si="267"/>
        <v>23.2</v>
      </c>
      <c r="V905" s="1">
        <f t="shared" ca="1" si="267"/>
        <v>0</v>
      </c>
      <c r="W905" s="1">
        <f t="shared" ca="1" si="267"/>
        <v>0</v>
      </c>
      <c r="X905" s="1">
        <f t="shared" ca="1" si="267"/>
        <v>0</v>
      </c>
      <c r="Y905" s="1">
        <f t="shared" ca="1" si="267"/>
        <v>0</v>
      </c>
      <c r="Z905" s="1">
        <f t="shared" ca="1" si="267"/>
        <v>0</v>
      </c>
      <c r="AA905" s="1">
        <f t="shared" ca="1" si="267"/>
        <v>0</v>
      </c>
      <c r="AB905" s="1">
        <f t="shared" ca="1" si="262"/>
        <v>11.615827338129495</v>
      </c>
      <c r="AC905" s="1">
        <f t="shared" ca="1" si="267"/>
        <v>17.0001</v>
      </c>
      <c r="AD905" s="1">
        <f t="shared" ca="1" si="267"/>
        <v>17.0001</v>
      </c>
      <c r="AE905" s="1">
        <f t="shared" ca="1" si="267"/>
        <v>17.0001</v>
      </c>
      <c r="AF905" s="1">
        <f t="shared" ca="1" si="267"/>
        <v>17.0001</v>
      </c>
      <c r="AG905" s="1">
        <f t="shared" ca="1" si="267"/>
        <v>17.0001</v>
      </c>
      <c r="AH905" s="1">
        <f t="shared" ca="1" si="267"/>
        <v>17.0001</v>
      </c>
      <c r="AI905" s="1">
        <f t="shared" ca="1" si="250"/>
        <v>25.500149999999998</v>
      </c>
    </row>
    <row r="906" spans="2:35" x14ac:dyDescent="0.15">
      <c r="B906" s="1" t="str">
        <f t="shared" si="265"/>
        <v>雷系13</v>
      </c>
      <c r="C906" s="1">
        <f t="shared" si="255"/>
        <v>13</v>
      </c>
      <c r="D906" s="14" t="s">
        <v>99</v>
      </c>
      <c r="E906" s="14">
        <f t="shared" si="256"/>
        <v>10</v>
      </c>
      <c r="F906" s="1" t="str">
        <f t="shared" si="263"/>
        <v>电击</v>
      </c>
      <c r="H906" s="1">
        <f t="shared" ca="1" si="264"/>
        <v>309.183846599682</v>
      </c>
      <c r="I906" s="1">
        <f t="shared" ca="1" si="266"/>
        <v>150</v>
      </c>
      <c r="J906" s="1">
        <f t="shared" ca="1" si="266"/>
        <v>132.49704968944101</v>
      </c>
      <c r="K906" s="1">
        <f t="shared" ca="1" si="266"/>
        <v>18.416775000000001</v>
      </c>
      <c r="L906" s="1">
        <f t="shared" ca="1" si="266"/>
        <v>132.49704968944101</v>
      </c>
      <c r="M906" s="1">
        <f t="shared" ca="1" si="266"/>
        <v>18.416775000000001</v>
      </c>
      <c r="N906" s="1">
        <f t="shared" ca="1" si="266"/>
        <v>0.2</v>
      </c>
      <c r="O906" s="1">
        <f t="shared" ca="1" si="266"/>
        <v>0.2</v>
      </c>
      <c r="P906" s="1">
        <f t="shared" ca="1" si="266"/>
        <v>0.36</v>
      </c>
      <c r="Q906" s="1">
        <f t="shared" ca="1" si="266"/>
        <v>0.1</v>
      </c>
      <c r="R906" s="1">
        <f t="shared" ca="1" si="266"/>
        <v>2</v>
      </c>
      <c r="S906" s="1">
        <f t="shared" ca="1" si="267"/>
        <v>0.1</v>
      </c>
      <c r="T906" s="1">
        <f t="shared" ca="1" si="267"/>
        <v>0.9</v>
      </c>
      <c r="U906" s="1">
        <f t="shared" ca="1" si="267"/>
        <v>25.133333333333301</v>
      </c>
      <c r="V906" s="1">
        <f t="shared" ca="1" si="267"/>
        <v>0</v>
      </c>
      <c r="W906" s="1">
        <f t="shared" ca="1" si="267"/>
        <v>0</v>
      </c>
      <c r="X906" s="1">
        <f t="shared" ca="1" si="267"/>
        <v>0</v>
      </c>
      <c r="Y906" s="1">
        <f t="shared" ca="1" si="267"/>
        <v>0</v>
      </c>
      <c r="Z906" s="1">
        <f t="shared" ca="1" si="267"/>
        <v>0</v>
      </c>
      <c r="AA906" s="1">
        <f t="shared" ca="1" si="267"/>
        <v>0</v>
      </c>
      <c r="AB906" s="1">
        <f t="shared" ca="1" si="262"/>
        <v>13.816537267080751</v>
      </c>
      <c r="AC906" s="1">
        <f t="shared" ca="1" si="267"/>
        <v>18.416775000000001</v>
      </c>
      <c r="AD906" s="1">
        <f t="shared" ca="1" si="267"/>
        <v>18.416775000000001</v>
      </c>
      <c r="AE906" s="1">
        <f t="shared" ca="1" si="267"/>
        <v>18.416775000000001</v>
      </c>
      <c r="AF906" s="1">
        <f t="shared" ca="1" si="267"/>
        <v>18.416775000000001</v>
      </c>
      <c r="AG906" s="1">
        <f t="shared" ca="1" si="267"/>
        <v>18.416775000000001</v>
      </c>
      <c r="AH906" s="1">
        <f t="shared" ca="1" si="267"/>
        <v>18.416775000000001</v>
      </c>
      <c r="AI906" s="1">
        <f t="shared" ca="1" si="250"/>
        <v>27.625162500000002</v>
      </c>
    </row>
    <row r="907" spans="2:35" x14ac:dyDescent="0.15">
      <c r="B907" s="1" t="str">
        <f t="shared" si="265"/>
        <v>雷系14</v>
      </c>
      <c r="C907" s="1">
        <f t="shared" si="255"/>
        <v>14</v>
      </c>
      <c r="D907" s="14" t="s">
        <v>99</v>
      </c>
      <c r="E907" s="14">
        <f t="shared" si="256"/>
        <v>10</v>
      </c>
      <c r="F907" s="1" t="str">
        <f t="shared" si="263"/>
        <v>电击</v>
      </c>
      <c r="H907" s="1">
        <f t="shared" ca="1" si="264"/>
        <v>335.02257262130797</v>
      </c>
      <c r="I907" s="1">
        <f t="shared" ca="1" si="266"/>
        <v>150</v>
      </c>
      <c r="J907" s="1">
        <f t="shared" ca="1" si="266"/>
        <v>143.84452554744499</v>
      </c>
      <c r="K907" s="1">
        <f t="shared" ca="1" si="266"/>
        <v>19.833449999999999</v>
      </c>
      <c r="L907" s="1">
        <f t="shared" ca="1" si="266"/>
        <v>143.84452554744499</v>
      </c>
      <c r="M907" s="1">
        <f t="shared" ca="1" si="266"/>
        <v>19.833449999999999</v>
      </c>
      <c r="N907" s="1">
        <f t="shared" ca="1" si="266"/>
        <v>0.2</v>
      </c>
      <c r="O907" s="1">
        <f t="shared" ca="1" si="266"/>
        <v>0.2</v>
      </c>
      <c r="P907" s="1">
        <f t="shared" ca="1" si="266"/>
        <v>0.36</v>
      </c>
      <c r="Q907" s="1">
        <f t="shared" ca="1" si="266"/>
        <v>0.1</v>
      </c>
      <c r="R907" s="1">
        <f t="shared" ca="1" si="266"/>
        <v>2</v>
      </c>
      <c r="S907" s="1">
        <f t="shared" ca="1" si="267"/>
        <v>0.1</v>
      </c>
      <c r="T907" s="1">
        <f t="shared" ca="1" si="267"/>
        <v>0.9</v>
      </c>
      <c r="U907" s="1">
        <f t="shared" ca="1" si="267"/>
        <v>27.066666666666698</v>
      </c>
      <c r="V907" s="1">
        <f t="shared" ca="1" si="267"/>
        <v>0</v>
      </c>
      <c r="W907" s="1">
        <f t="shared" ca="1" si="267"/>
        <v>0</v>
      </c>
      <c r="X907" s="1">
        <f t="shared" ca="1" si="267"/>
        <v>0</v>
      </c>
      <c r="Y907" s="1">
        <f t="shared" ca="1" si="267"/>
        <v>0</v>
      </c>
      <c r="Z907" s="1">
        <f t="shared" ca="1" si="267"/>
        <v>0</v>
      </c>
      <c r="AA907" s="1">
        <f t="shared" ca="1" si="267"/>
        <v>0</v>
      </c>
      <c r="AB907" s="1">
        <f t="shared" ca="1" si="262"/>
        <v>16.24051094890515</v>
      </c>
      <c r="AC907" s="1">
        <f t="shared" ca="1" si="267"/>
        <v>19.833449999999999</v>
      </c>
      <c r="AD907" s="1">
        <f t="shared" ca="1" si="267"/>
        <v>19.833449999999999</v>
      </c>
      <c r="AE907" s="1">
        <f t="shared" ca="1" si="267"/>
        <v>19.833449999999999</v>
      </c>
      <c r="AF907" s="1">
        <f t="shared" ca="1" si="267"/>
        <v>19.833449999999999</v>
      </c>
      <c r="AG907" s="1">
        <f t="shared" ca="1" si="267"/>
        <v>19.833449999999999</v>
      </c>
      <c r="AH907" s="1">
        <f t="shared" ca="1" si="267"/>
        <v>19.833449999999999</v>
      </c>
      <c r="AI907" s="1">
        <f t="shared" ca="1" si="250"/>
        <v>29.750174999999999</v>
      </c>
    </row>
    <row r="908" spans="2:35" x14ac:dyDescent="0.15">
      <c r="B908" s="1" t="str">
        <f t="shared" si="265"/>
        <v>雷系15</v>
      </c>
      <c r="C908" s="1">
        <f t="shared" si="255"/>
        <v>15</v>
      </c>
      <c r="D908" s="14" t="s">
        <v>99</v>
      </c>
      <c r="E908" s="14">
        <f t="shared" si="256"/>
        <v>10</v>
      </c>
      <c r="F908" s="1" t="str">
        <f t="shared" si="263"/>
        <v>电击</v>
      </c>
      <c r="H908" s="1">
        <f t="shared" ca="1" si="264"/>
        <v>361.15492052954301</v>
      </c>
      <c r="I908" s="1">
        <f t="shared" ca="1" si="266"/>
        <v>150</v>
      </c>
      <c r="J908" s="1">
        <f t="shared" ca="1" si="266"/>
        <v>155.365021008403</v>
      </c>
      <c r="K908" s="1">
        <f t="shared" ca="1" si="266"/>
        <v>21.250125000000001</v>
      </c>
      <c r="L908" s="1">
        <f t="shared" ca="1" si="266"/>
        <v>155.365021008403</v>
      </c>
      <c r="M908" s="1">
        <f t="shared" ca="1" si="266"/>
        <v>21.250125000000001</v>
      </c>
      <c r="N908" s="1">
        <f t="shared" ca="1" si="266"/>
        <v>0.2</v>
      </c>
      <c r="O908" s="1">
        <f t="shared" ca="1" si="266"/>
        <v>0.2</v>
      </c>
      <c r="P908" s="1">
        <f t="shared" ca="1" si="266"/>
        <v>0.36</v>
      </c>
      <c r="Q908" s="1">
        <f t="shared" ca="1" si="266"/>
        <v>0.1</v>
      </c>
      <c r="R908" s="1">
        <f t="shared" ca="1" si="266"/>
        <v>2</v>
      </c>
      <c r="S908" s="1">
        <f t="shared" ca="1" si="267"/>
        <v>0.1</v>
      </c>
      <c r="T908" s="1">
        <f t="shared" ca="1" si="267"/>
        <v>0.9</v>
      </c>
      <c r="U908" s="1">
        <f t="shared" ca="1" si="267"/>
        <v>29</v>
      </c>
      <c r="V908" s="1">
        <f t="shared" ca="1" si="267"/>
        <v>0</v>
      </c>
      <c r="W908" s="1">
        <f t="shared" ca="1" si="267"/>
        <v>0</v>
      </c>
      <c r="X908" s="1">
        <f t="shared" ca="1" si="267"/>
        <v>0</v>
      </c>
      <c r="Y908" s="1">
        <f t="shared" ca="1" si="267"/>
        <v>0</v>
      </c>
      <c r="Z908" s="1">
        <f t="shared" ca="1" si="267"/>
        <v>0</v>
      </c>
      <c r="AA908" s="1">
        <f t="shared" ca="1" si="267"/>
        <v>0</v>
      </c>
      <c r="AB908" s="1">
        <f t="shared" ca="1" si="262"/>
        <v>18.8957457983193</v>
      </c>
      <c r="AC908" s="1">
        <f t="shared" ca="1" si="267"/>
        <v>21.250125000000001</v>
      </c>
      <c r="AD908" s="1">
        <f t="shared" ca="1" si="267"/>
        <v>21.250125000000001</v>
      </c>
      <c r="AE908" s="1">
        <f t="shared" ca="1" si="267"/>
        <v>21.250125000000001</v>
      </c>
      <c r="AF908" s="1">
        <f t="shared" ca="1" si="267"/>
        <v>21.250125000000001</v>
      </c>
      <c r="AG908" s="1">
        <f t="shared" ca="1" si="267"/>
        <v>21.250125000000001</v>
      </c>
      <c r="AH908" s="1">
        <f t="shared" ca="1" si="267"/>
        <v>21.250125000000001</v>
      </c>
      <c r="AI908" s="1">
        <f t="shared" ca="1" si="250"/>
        <v>31.875187500000003</v>
      </c>
    </row>
    <row r="909" spans="2:35" x14ac:dyDescent="0.15">
      <c r="B909" s="1" t="str">
        <f t="shared" si="265"/>
        <v>雷系16</v>
      </c>
      <c r="C909" s="1">
        <f t="shared" si="255"/>
        <v>16</v>
      </c>
      <c r="D909" s="14" t="s">
        <v>99</v>
      </c>
      <c r="E909" s="14">
        <f t="shared" si="256"/>
        <v>10</v>
      </c>
      <c r="F909" s="1" t="str">
        <f t="shared" si="263"/>
        <v>电击</v>
      </c>
      <c r="H909" s="1">
        <f t="shared" ca="1" si="264"/>
        <v>387.58089032438801</v>
      </c>
      <c r="I909" s="1">
        <f t="shared" ca="1" si="266"/>
        <v>150</v>
      </c>
      <c r="J909" s="1">
        <f t="shared" ca="1" si="266"/>
        <v>167.06031746031701</v>
      </c>
      <c r="K909" s="1">
        <f t="shared" ca="1" si="266"/>
        <v>22.666799999999999</v>
      </c>
      <c r="L909" s="1">
        <f t="shared" ca="1" si="266"/>
        <v>167.06031746031701</v>
      </c>
      <c r="M909" s="1">
        <f t="shared" ca="1" si="266"/>
        <v>22.666799999999999</v>
      </c>
      <c r="N909" s="1">
        <f t="shared" ca="1" si="266"/>
        <v>0.2</v>
      </c>
      <c r="O909" s="1">
        <f t="shared" ca="1" si="266"/>
        <v>0.2</v>
      </c>
      <c r="P909" s="1">
        <f t="shared" ca="1" si="266"/>
        <v>0.36</v>
      </c>
      <c r="Q909" s="1">
        <f t="shared" ca="1" si="266"/>
        <v>0.1</v>
      </c>
      <c r="R909" s="1">
        <f t="shared" ca="1" si="266"/>
        <v>2</v>
      </c>
      <c r="S909" s="1">
        <f t="shared" ca="1" si="267"/>
        <v>0.1</v>
      </c>
      <c r="T909" s="1">
        <f t="shared" ca="1" si="267"/>
        <v>0.9</v>
      </c>
      <c r="U909" s="1">
        <f t="shared" ca="1" si="267"/>
        <v>30.933333333333302</v>
      </c>
      <c r="V909" s="1">
        <f t="shared" ca="1" si="267"/>
        <v>0</v>
      </c>
      <c r="W909" s="1">
        <f t="shared" ca="1" si="267"/>
        <v>0</v>
      </c>
      <c r="X909" s="1">
        <f t="shared" ca="1" si="267"/>
        <v>0</v>
      </c>
      <c r="Y909" s="1">
        <f t="shared" ca="1" si="267"/>
        <v>0</v>
      </c>
      <c r="Z909" s="1">
        <f t="shared" ca="1" si="267"/>
        <v>0</v>
      </c>
      <c r="AA909" s="1">
        <f t="shared" ca="1" si="267"/>
        <v>0</v>
      </c>
      <c r="AB909" s="1">
        <f t="shared" ca="1" si="267"/>
        <v>21.790476190476149</v>
      </c>
      <c r="AC909" s="1">
        <f t="shared" ca="1" si="267"/>
        <v>22.666799999999999</v>
      </c>
      <c r="AD909" s="1">
        <f t="shared" ca="1" si="267"/>
        <v>22.666799999999999</v>
      </c>
      <c r="AE909" s="1">
        <f t="shared" ca="1" si="267"/>
        <v>22.666799999999999</v>
      </c>
      <c r="AF909" s="1">
        <f t="shared" ca="1" si="267"/>
        <v>22.666799999999999</v>
      </c>
      <c r="AG909" s="1">
        <f t="shared" ca="1" si="267"/>
        <v>22.666799999999999</v>
      </c>
      <c r="AH909" s="1">
        <f t="shared" ca="1" si="267"/>
        <v>22.666799999999999</v>
      </c>
      <c r="AI909" s="1">
        <f t="shared" ca="1" si="250"/>
        <v>34.0002</v>
      </c>
    </row>
    <row r="910" spans="2:35" x14ac:dyDescent="0.15">
      <c r="B910" s="1" t="str">
        <f t="shared" si="265"/>
        <v>雷系17</v>
      </c>
      <c r="C910" s="1">
        <f t="shared" si="255"/>
        <v>17</v>
      </c>
      <c r="D910" s="14" t="s">
        <v>99</v>
      </c>
      <c r="E910" s="14">
        <f t="shared" si="256"/>
        <v>10</v>
      </c>
      <c r="F910" s="1" t="str">
        <f t="shared" si="263"/>
        <v>电击</v>
      </c>
      <c r="H910" s="1">
        <f t="shared" ca="1" si="264"/>
        <v>414.30048200584201</v>
      </c>
      <c r="I910" s="1">
        <f t="shared" ca="1" si="266"/>
        <v>150</v>
      </c>
      <c r="J910" s="1">
        <f t="shared" ca="1" si="266"/>
        <v>178.93224946695099</v>
      </c>
      <c r="K910" s="1">
        <f t="shared" ca="1" si="266"/>
        <v>24.083475</v>
      </c>
      <c r="L910" s="1">
        <f t="shared" ca="1" si="266"/>
        <v>178.93224946695099</v>
      </c>
      <c r="M910" s="1">
        <f t="shared" ca="1" si="266"/>
        <v>24.083475</v>
      </c>
      <c r="N910" s="1">
        <f t="shared" ca="1" si="266"/>
        <v>0.2</v>
      </c>
      <c r="O910" s="1">
        <f t="shared" ca="1" si="266"/>
        <v>0.2</v>
      </c>
      <c r="P910" s="1">
        <f t="shared" ca="1" si="266"/>
        <v>0.36</v>
      </c>
      <c r="Q910" s="1">
        <f t="shared" ca="1" si="266"/>
        <v>0.1</v>
      </c>
      <c r="R910" s="1">
        <f t="shared" ca="1" si="266"/>
        <v>2</v>
      </c>
      <c r="S910" s="1">
        <f t="shared" ca="1" si="267"/>
        <v>0.1</v>
      </c>
      <c r="T910" s="1">
        <f t="shared" ca="1" si="267"/>
        <v>0.9</v>
      </c>
      <c r="U910" s="1">
        <f t="shared" ca="1" si="267"/>
        <v>32.866666666666703</v>
      </c>
      <c r="V910" s="1">
        <f t="shared" ca="1" si="267"/>
        <v>0</v>
      </c>
      <c r="W910" s="1">
        <f t="shared" ca="1" si="267"/>
        <v>0</v>
      </c>
      <c r="X910" s="1">
        <f t="shared" ca="1" si="267"/>
        <v>0</v>
      </c>
      <c r="Y910" s="1">
        <f t="shared" ca="1" si="267"/>
        <v>0</v>
      </c>
      <c r="Z910" s="1">
        <f t="shared" ca="1" si="267"/>
        <v>0</v>
      </c>
      <c r="AA910" s="1">
        <f t="shared" ca="1" si="267"/>
        <v>0</v>
      </c>
      <c r="AB910" s="1">
        <f t="shared" ca="1" si="267"/>
        <v>24.933182302771801</v>
      </c>
      <c r="AC910" s="1">
        <f t="shared" ca="1" si="267"/>
        <v>24.083475</v>
      </c>
      <c r="AD910" s="1">
        <f t="shared" ca="1" si="267"/>
        <v>24.083475</v>
      </c>
      <c r="AE910" s="1">
        <f t="shared" ca="1" si="267"/>
        <v>24.083475</v>
      </c>
      <c r="AF910" s="1">
        <f t="shared" ca="1" si="267"/>
        <v>24.083475</v>
      </c>
      <c r="AG910" s="1">
        <f t="shared" ca="1" si="267"/>
        <v>24.083475</v>
      </c>
      <c r="AH910" s="1">
        <f t="shared" ca="1" si="267"/>
        <v>24.083475</v>
      </c>
      <c r="AI910" s="1">
        <f t="shared" ca="1" si="250"/>
        <v>36.125212500000004</v>
      </c>
    </row>
    <row r="911" spans="2:35" x14ac:dyDescent="0.15">
      <c r="B911" s="1" t="str">
        <f t="shared" si="265"/>
        <v>雷系18</v>
      </c>
      <c r="C911" s="1">
        <f t="shared" si="255"/>
        <v>18</v>
      </c>
      <c r="D911" s="14" t="s">
        <v>99</v>
      </c>
      <c r="E911" s="14">
        <f t="shared" si="256"/>
        <v>10</v>
      </c>
      <c r="F911" s="1" t="str">
        <f t="shared" si="263"/>
        <v>电击</v>
      </c>
      <c r="H911" s="1">
        <f t="shared" ca="1" si="264"/>
        <v>441.31369557390599</v>
      </c>
      <c r="I911" s="1">
        <f t="shared" ca="1" si="266"/>
        <v>150</v>
      </c>
      <c r="J911" s="1">
        <f t="shared" ca="1" si="266"/>
        <v>190.982706766917</v>
      </c>
      <c r="K911" s="1">
        <f t="shared" ca="1" si="266"/>
        <v>25.500150000000001</v>
      </c>
      <c r="L911" s="1">
        <f t="shared" ca="1" si="266"/>
        <v>190.982706766917</v>
      </c>
      <c r="M911" s="1">
        <f t="shared" ca="1" si="266"/>
        <v>25.500150000000001</v>
      </c>
      <c r="N911" s="1">
        <f t="shared" ca="1" si="266"/>
        <v>0.2</v>
      </c>
      <c r="O911" s="1">
        <f t="shared" ca="1" si="266"/>
        <v>0.2</v>
      </c>
      <c r="P911" s="1">
        <f t="shared" ca="1" si="266"/>
        <v>0.36</v>
      </c>
      <c r="Q911" s="1">
        <f t="shared" ca="1" si="266"/>
        <v>0.1</v>
      </c>
      <c r="R911" s="1">
        <f t="shared" ca="1" si="266"/>
        <v>2</v>
      </c>
      <c r="S911" s="1">
        <f t="shared" ca="1" si="267"/>
        <v>0.1</v>
      </c>
      <c r="T911" s="1">
        <f t="shared" ca="1" si="267"/>
        <v>0.9</v>
      </c>
      <c r="U911" s="1">
        <f t="shared" ca="1" si="267"/>
        <v>34.799999999999997</v>
      </c>
      <c r="V911" s="1">
        <f t="shared" ca="1" si="267"/>
        <v>0</v>
      </c>
      <c r="W911" s="1">
        <f t="shared" ca="1" si="267"/>
        <v>0</v>
      </c>
      <c r="X911" s="1">
        <f t="shared" ca="1" si="267"/>
        <v>0</v>
      </c>
      <c r="Y911" s="1">
        <f t="shared" ca="1" si="267"/>
        <v>0</v>
      </c>
      <c r="Z911" s="1">
        <f t="shared" ca="1" si="267"/>
        <v>0</v>
      </c>
      <c r="AA911" s="1">
        <f t="shared" ca="1" si="267"/>
        <v>0</v>
      </c>
      <c r="AB911" s="1">
        <f t="shared" ca="1" si="267"/>
        <v>28.332599355531752</v>
      </c>
      <c r="AC911" s="1">
        <f t="shared" ca="1" si="267"/>
        <v>25.500150000000001</v>
      </c>
      <c r="AD911" s="1">
        <f t="shared" ca="1" si="267"/>
        <v>25.500150000000001</v>
      </c>
      <c r="AE911" s="1">
        <f t="shared" ca="1" si="267"/>
        <v>25.500150000000001</v>
      </c>
      <c r="AF911" s="1">
        <f t="shared" ca="1" si="267"/>
        <v>25.500150000000001</v>
      </c>
      <c r="AG911" s="1">
        <f t="shared" ca="1" si="267"/>
        <v>25.500150000000001</v>
      </c>
      <c r="AH911" s="1">
        <f t="shared" ca="1" si="267"/>
        <v>25.500150000000001</v>
      </c>
      <c r="AI911" s="1">
        <f t="shared" ca="1" si="250"/>
        <v>38.250225</v>
      </c>
    </row>
    <row r="912" spans="2:35" x14ac:dyDescent="0.15">
      <c r="B912" s="1" t="str">
        <f t="shared" si="265"/>
        <v>雷系19</v>
      </c>
      <c r="C912" s="1">
        <f t="shared" si="255"/>
        <v>19</v>
      </c>
      <c r="D912" s="14" t="s">
        <v>99</v>
      </c>
      <c r="E912" s="14">
        <f t="shared" si="256"/>
        <v>10</v>
      </c>
      <c r="F912" s="1" t="str">
        <f t="shared" si="263"/>
        <v>电击</v>
      </c>
      <c r="H912" s="1">
        <f t="shared" ca="1" si="264"/>
        <v>468.620531028578</v>
      </c>
      <c r="I912" s="1">
        <f t="shared" ca="1" si="266"/>
        <v>150</v>
      </c>
      <c r="J912" s="1">
        <f t="shared" ca="1" si="266"/>
        <v>203.213636363636</v>
      </c>
      <c r="K912" s="1">
        <f t="shared" ca="1" si="266"/>
        <v>26.916824999999999</v>
      </c>
      <c r="L912" s="1">
        <f t="shared" ca="1" si="266"/>
        <v>203.213636363636</v>
      </c>
      <c r="M912" s="1">
        <f t="shared" ca="1" si="266"/>
        <v>26.916824999999999</v>
      </c>
      <c r="N912" s="1">
        <f t="shared" ca="1" si="266"/>
        <v>0.2</v>
      </c>
      <c r="O912" s="1">
        <f t="shared" ca="1" si="266"/>
        <v>0.2</v>
      </c>
      <c r="P912" s="1">
        <f t="shared" ca="1" si="266"/>
        <v>0.36</v>
      </c>
      <c r="Q912" s="1">
        <f t="shared" ca="1" si="266"/>
        <v>0.1</v>
      </c>
      <c r="R912" s="1">
        <f t="shared" ca="1" si="266"/>
        <v>2</v>
      </c>
      <c r="S912" s="1">
        <f t="shared" ca="1" si="267"/>
        <v>0.1</v>
      </c>
      <c r="T912" s="1">
        <f t="shared" ca="1" si="267"/>
        <v>0.9</v>
      </c>
      <c r="U912" s="1">
        <f t="shared" ca="1" si="267"/>
        <v>36.733333333333299</v>
      </c>
      <c r="V912" s="1">
        <f t="shared" ca="1" si="267"/>
        <v>0</v>
      </c>
      <c r="W912" s="1">
        <f t="shared" ca="1" si="267"/>
        <v>0</v>
      </c>
      <c r="X912" s="1">
        <f t="shared" ca="1" si="267"/>
        <v>0</v>
      </c>
      <c r="Y912" s="1">
        <f t="shared" ca="1" si="267"/>
        <v>0</v>
      </c>
      <c r="Z912" s="1">
        <f t="shared" ca="1" si="267"/>
        <v>0</v>
      </c>
      <c r="AA912" s="1">
        <f t="shared" ca="1" si="267"/>
        <v>0</v>
      </c>
      <c r="AB912" s="1">
        <f t="shared" ca="1" si="267"/>
        <v>31.9977272727273</v>
      </c>
      <c r="AC912" s="1">
        <f t="shared" ca="1" si="267"/>
        <v>26.916824999999999</v>
      </c>
      <c r="AD912" s="1">
        <f t="shared" ca="1" si="267"/>
        <v>26.916824999999999</v>
      </c>
      <c r="AE912" s="1">
        <f t="shared" ca="1" si="267"/>
        <v>26.916824999999999</v>
      </c>
      <c r="AF912" s="1">
        <f t="shared" ca="1" si="267"/>
        <v>26.916824999999999</v>
      </c>
      <c r="AG912" s="1">
        <f t="shared" ca="1" si="267"/>
        <v>26.916824999999999</v>
      </c>
      <c r="AH912" s="1">
        <f t="shared" ca="1" si="267"/>
        <v>26.916824999999999</v>
      </c>
      <c r="AI912" s="1">
        <f t="shared" ca="1" si="250"/>
        <v>40.375237499999997</v>
      </c>
    </row>
    <row r="913" spans="2:35" x14ac:dyDescent="0.15">
      <c r="B913" s="1" t="str">
        <f t="shared" si="265"/>
        <v>雷系20</v>
      </c>
      <c r="C913" s="1">
        <f t="shared" si="255"/>
        <v>20</v>
      </c>
      <c r="D913" s="14" t="s">
        <v>99</v>
      </c>
      <c r="E913" s="14">
        <f t="shared" si="256"/>
        <v>10</v>
      </c>
      <c r="F913" s="1" t="str">
        <f t="shared" si="263"/>
        <v>电击</v>
      </c>
      <c r="H913" s="1">
        <f t="shared" ca="1" si="264"/>
        <v>496.22098836985998</v>
      </c>
      <c r="I913" s="1">
        <f t="shared" ref="I913:R922" ca="1" si="268">mVlookup($C913,monsterBaseDate,I$2,FALSE)*(1+mVlookup($E913,monsterType,I$2,FALSE))</f>
        <v>150</v>
      </c>
      <c r="J913" s="1">
        <f t="shared" ca="1" si="268"/>
        <v>215.62704471101401</v>
      </c>
      <c r="K913" s="1">
        <f t="shared" ca="1" si="268"/>
        <v>28.333500000000001</v>
      </c>
      <c r="L913" s="1">
        <f t="shared" ca="1" si="268"/>
        <v>215.62704471101401</v>
      </c>
      <c r="M913" s="1">
        <f t="shared" ca="1" si="268"/>
        <v>28.333500000000001</v>
      </c>
      <c r="N913" s="1">
        <f t="shared" ca="1" si="268"/>
        <v>0.2</v>
      </c>
      <c r="O913" s="1">
        <f t="shared" ca="1" si="268"/>
        <v>0.2</v>
      </c>
      <c r="P913" s="1">
        <f t="shared" ca="1" si="268"/>
        <v>0.36</v>
      </c>
      <c r="Q913" s="1">
        <f t="shared" ca="1" si="268"/>
        <v>0.1</v>
      </c>
      <c r="R913" s="1">
        <f t="shared" ca="1" si="268"/>
        <v>2</v>
      </c>
      <c r="S913" s="1">
        <f t="shared" ref="S913:AH928" ca="1" si="269">mVlookup($C913,monsterBaseDate,S$2,FALSE)*(1+mVlookup($E913,monsterType,S$2,FALSE))</f>
        <v>0.1</v>
      </c>
      <c r="T913" s="1">
        <f t="shared" ca="1" si="269"/>
        <v>0.9</v>
      </c>
      <c r="U913" s="1">
        <f t="shared" ca="1" si="269"/>
        <v>38.6666666666667</v>
      </c>
      <c r="V913" s="1">
        <f t="shared" ca="1" si="269"/>
        <v>0</v>
      </c>
      <c r="W913" s="1">
        <f t="shared" ca="1" si="269"/>
        <v>0</v>
      </c>
      <c r="X913" s="1">
        <f t="shared" ca="1" si="269"/>
        <v>0</v>
      </c>
      <c r="Y913" s="1">
        <f t="shared" ca="1" si="269"/>
        <v>0</v>
      </c>
      <c r="Z913" s="1">
        <f t="shared" ca="1" si="269"/>
        <v>0</v>
      </c>
      <c r="AA913" s="1">
        <f t="shared" ca="1" si="269"/>
        <v>0</v>
      </c>
      <c r="AB913" s="1">
        <f t="shared" ca="1" si="267"/>
        <v>35.937840785169001</v>
      </c>
      <c r="AC913" s="1">
        <f t="shared" ca="1" si="269"/>
        <v>28.333500000000001</v>
      </c>
      <c r="AD913" s="1">
        <f t="shared" ca="1" si="269"/>
        <v>28.333500000000001</v>
      </c>
      <c r="AE913" s="1">
        <f t="shared" ca="1" si="269"/>
        <v>28.333500000000001</v>
      </c>
      <c r="AF913" s="1">
        <f t="shared" ca="1" si="269"/>
        <v>28.333500000000001</v>
      </c>
      <c r="AG913" s="1">
        <f t="shared" ca="1" si="269"/>
        <v>28.333500000000001</v>
      </c>
      <c r="AH913" s="1">
        <f t="shared" ca="1" si="269"/>
        <v>28.333500000000001</v>
      </c>
      <c r="AI913" s="1">
        <f t="shared" ca="1" si="250"/>
        <v>42.500250000000001</v>
      </c>
    </row>
    <row r="914" spans="2:35" x14ac:dyDescent="0.15">
      <c r="B914" s="1" t="str">
        <f t="shared" si="265"/>
        <v>雷系21</v>
      </c>
      <c r="C914" s="1">
        <f t="shared" si="255"/>
        <v>21</v>
      </c>
      <c r="D914" s="14" t="s">
        <v>99</v>
      </c>
      <c r="E914" s="14">
        <f t="shared" si="256"/>
        <v>10</v>
      </c>
      <c r="F914" s="1" t="str">
        <f t="shared" si="263"/>
        <v>电击</v>
      </c>
      <c r="H914" s="1">
        <f t="shared" ca="1" si="264"/>
        <v>524.11506759775205</v>
      </c>
      <c r="I914" s="1">
        <f t="shared" ca="1" si="268"/>
        <v>150</v>
      </c>
      <c r="J914" s="1">
        <f t="shared" ca="1" si="268"/>
        <v>228.22499999999999</v>
      </c>
      <c r="K914" s="1">
        <f t="shared" ca="1" si="268"/>
        <v>29.750174999999999</v>
      </c>
      <c r="L914" s="1">
        <f t="shared" ca="1" si="268"/>
        <v>228.22499999999999</v>
      </c>
      <c r="M914" s="1">
        <f t="shared" ca="1" si="268"/>
        <v>29.750174999999999</v>
      </c>
      <c r="N914" s="1">
        <f t="shared" ca="1" si="268"/>
        <v>0.2</v>
      </c>
      <c r="O914" s="1">
        <f t="shared" ca="1" si="268"/>
        <v>0.2</v>
      </c>
      <c r="P914" s="1">
        <f t="shared" ca="1" si="268"/>
        <v>0.36</v>
      </c>
      <c r="Q914" s="1">
        <f t="shared" ca="1" si="268"/>
        <v>0.1</v>
      </c>
      <c r="R914" s="1">
        <f t="shared" ca="1" si="268"/>
        <v>2</v>
      </c>
      <c r="S914" s="1">
        <f t="shared" ca="1" si="269"/>
        <v>0.1</v>
      </c>
      <c r="T914" s="1">
        <f t="shared" ca="1" si="269"/>
        <v>0.9</v>
      </c>
      <c r="U914" s="1">
        <f t="shared" ca="1" si="269"/>
        <v>40.6</v>
      </c>
      <c r="V914" s="1">
        <f t="shared" ca="1" si="269"/>
        <v>0</v>
      </c>
      <c r="W914" s="1">
        <f t="shared" ca="1" si="269"/>
        <v>0</v>
      </c>
      <c r="X914" s="1">
        <f t="shared" ca="1" si="269"/>
        <v>0</v>
      </c>
      <c r="Y914" s="1">
        <f t="shared" ca="1" si="269"/>
        <v>0</v>
      </c>
      <c r="Z914" s="1">
        <f t="shared" ca="1" si="269"/>
        <v>0</v>
      </c>
      <c r="AA914" s="1">
        <f t="shared" ca="1" si="269"/>
        <v>0</v>
      </c>
      <c r="AB914" s="1">
        <f t="shared" ca="1" si="267"/>
        <v>40.162499999999994</v>
      </c>
      <c r="AC914" s="1">
        <f t="shared" ca="1" si="269"/>
        <v>29.750174999999999</v>
      </c>
      <c r="AD914" s="1">
        <f t="shared" ca="1" si="269"/>
        <v>29.750174999999999</v>
      </c>
      <c r="AE914" s="1">
        <f t="shared" ca="1" si="269"/>
        <v>29.750174999999999</v>
      </c>
      <c r="AF914" s="1">
        <f t="shared" ca="1" si="269"/>
        <v>29.750174999999999</v>
      </c>
      <c r="AG914" s="1">
        <f t="shared" ca="1" si="269"/>
        <v>29.750174999999999</v>
      </c>
      <c r="AH914" s="1">
        <f t="shared" ca="1" si="269"/>
        <v>29.750174999999999</v>
      </c>
      <c r="AI914" s="1">
        <f t="shared" ca="1" si="250"/>
        <v>44.625262499999998</v>
      </c>
    </row>
    <row r="915" spans="2:35" x14ac:dyDescent="0.15">
      <c r="B915" s="1" t="str">
        <f t="shared" si="265"/>
        <v>雷系22</v>
      </c>
      <c r="C915" s="1">
        <f t="shared" si="255"/>
        <v>22</v>
      </c>
      <c r="D915" s="14" t="s">
        <v>99</v>
      </c>
      <c r="E915" s="14">
        <f t="shared" si="256"/>
        <v>10</v>
      </c>
      <c r="F915" s="1" t="str">
        <f t="shared" si="263"/>
        <v>电击</v>
      </c>
      <c r="H915" s="1">
        <f t="shared" ca="1" si="264"/>
        <v>552.30276871225306</v>
      </c>
      <c r="I915" s="1">
        <f t="shared" ca="1" si="268"/>
        <v>150</v>
      </c>
      <c r="J915" s="1">
        <f t="shared" ca="1" si="268"/>
        <v>241.009634551495</v>
      </c>
      <c r="K915" s="1">
        <f t="shared" ca="1" si="268"/>
        <v>31.16685</v>
      </c>
      <c r="L915" s="1">
        <f t="shared" ca="1" si="268"/>
        <v>241.009634551495</v>
      </c>
      <c r="M915" s="1">
        <f t="shared" ca="1" si="268"/>
        <v>31.16685</v>
      </c>
      <c r="N915" s="1">
        <f t="shared" ca="1" si="268"/>
        <v>0.2</v>
      </c>
      <c r="O915" s="1">
        <f t="shared" ca="1" si="268"/>
        <v>0.2</v>
      </c>
      <c r="P915" s="1">
        <f t="shared" ca="1" si="268"/>
        <v>0.36</v>
      </c>
      <c r="Q915" s="1">
        <f t="shared" ca="1" si="268"/>
        <v>0.1</v>
      </c>
      <c r="R915" s="1">
        <f t="shared" ca="1" si="268"/>
        <v>2</v>
      </c>
      <c r="S915" s="1">
        <f t="shared" ca="1" si="269"/>
        <v>0.1</v>
      </c>
      <c r="T915" s="1">
        <f t="shared" ca="1" si="269"/>
        <v>0.9</v>
      </c>
      <c r="U915" s="1">
        <f t="shared" ca="1" si="269"/>
        <v>42.533333333333303</v>
      </c>
      <c r="V915" s="1">
        <f t="shared" ca="1" si="269"/>
        <v>0</v>
      </c>
      <c r="W915" s="1">
        <f t="shared" ca="1" si="269"/>
        <v>0</v>
      </c>
      <c r="X915" s="1">
        <f t="shared" ca="1" si="269"/>
        <v>0</v>
      </c>
      <c r="Y915" s="1">
        <f t="shared" ca="1" si="269"/>
        <v>0</v>
      </c>
      <c r="Z915" s="1">
        <f t="shared" ca="1" si="269"/>
        <v>0</v>
      </c>
      <c r="AA915" s="1">
        <f t="shared" ca="1" si="269"/>
        <v>0</v>
      </c>
      <c r="AB915" s="1">
        <f t="shared" ca="1" si="267"/>
        <v>44.681561461794004</v>
      </c>
      <c r="AC915" s="1">
        <f t="shared" ca="1" si="269"/>
        <v>31.16685</v>
      </c>
      <c r="AD915" s="1">
        <f t="shared" ca="1" si="269"/>
        <v>31.16685</v>
      </c>
      <c r="AE915" s="1">
        <f t="shared" ca="1" si="269"/>
        <v>31.16685</v>
      </c>
      <c r="AF915" s="1">
        <f t="shared" ca="1" si="269"/>
        <v>31.16685</v>
      </c>
      <c r="AG915" s="1">
        <f t="shared" ca="1" si="269"/>
        <v>31.16685</v>
      </c>
      <c r="AH915" s="1">
        <f t="shared" ca="1" si="269"/>
        <v>31.16685</v>
      </c>
      <c r="AI915" s="1">
        <f t="shared" ref="AI915:AI978" ca="1" si="270">mVlookup($C915,monsterBaseDate,AI$2,FALSE)*(1+mVlookup($E915,monsterType,AI$2,FALSE))</f>
        <v>46.750275000000002</v>
      </c>
    </row>
    <row r="916" spans="2:35" x14ac:dyDescent="0.15">
      <c r="B916" s="1" t="str">
        <f t="shared" si="265"/>
        <v>雷系23</v>
      </c>
      <c r="C916" s="1">
        <f t="shared" si="255"/>
        <v>23</v>
      </c>
      <c r="D916" s="14" t="s">
        <v>99</v>
      </c>
      <c r="E916" s="14">
        <f t="shared" si="256"/>
        <v>10</v>
      </c>
      <c r="F916" s="1" t="str">
        <f t="shared" si="263"/>
        <v>电击</v>
      </c>
      <c r="H916" s="1">
        <f t="shared" ca="1" si="264"/>
        <v>602.50505466107904</v>
      </c>
      <c r="I916" s="1">
        <f t="shared" ca="1" si="268"/>
        <v>150</v>
      </c>
      <c r="J916" s="1">
        <f t="shared" ca="1" si="268"/>
        <v>253.98314732142899</v>
      </c>
      <c r="K916" s="1">
        <f t="shared" ca="1" si="268"/>
        <v>32.583525000000002</v>
      </c>
      <c r="L916" s="1">
        <f t="shared" ca="1" si="268"/>
        <v>253.98314732142899</v>
      </c>
      <c r="M916" s="1">
        <f t="shared" ca="1" si="268"/>
        <v>32.583525000000002</v>
      </c>
      <c r="N916" s="1">
        <f t="shared" ca="1" si="268"/>
        <v>0.2</v>
      </c>
      <c r="O916" s="1">
        <f t="shared" ca="1" si="268"/>
        <v>0.2</v>
      </c>
      <c r="P916" s="1">
        <f t="shared" ca="1" si="268"/>
        <v>0.36</v>
      </c>
      <c r="Q916" s="1">
        <f t="shared" ca="1" si="268"/>
        <v>0.1</v>
      </c>
      <c r="R916" s="1">
        <f t="shared" ca="1" si="268"/>
        <v>2</v>
      </c>
      <c r="S916" s="1">
        <f t="shared" ca="1" si="269"/>
        <v>0.1</v>
      </c>
      <c r="T916" s="1">
        <f t="shared" ca="1" si="269"/>
        <v>0.9</v>
      </c>
      <c r="U916" s="1">
        <f t="shared" ca="1" si="269"/>
        <v>44.466666666666697</v>
      </c>
      <c r="V916" s="1">
        <f t="shared" ca="1" si="269"/>
        <v>0</v>
      </c>
      <c r="W916" s="1">
        <f t="shared" ca="1" si="269"/>
        <v>0</v>
      </c>
      <c r="X916" s="1">
        <f t="shared" ca="1" si="269"/>
        <v>0</v>
      </c>
      <c r="Y916" s="1">
        <f t="shared" ca="1" si="269"/>
        <v>0</v>
      </c>
      <c r="Z916" s="1">
        <f t="shared" ca="1" si="269"/>
        <v>0</v>
      </c>
      <c r="AA916" s="1">
        <f t="shared" ca="1" si="269"/>
        <v>0</v>
      </c>
      <c r="AB916" s="1">
        <f t="shared" ca="1" si="267"/>
        <v>49.505189732142895</v>
      </c>
      <c r="AC916" s="1">
        <f t="shared" ca="1" si="269"/>
        <v>32.583525000000002</v>
      </c>
      <c r="AD916" s="1">
        <f t="shared" ca="1" si="269"/>
        <v>32.583525000000002</v>
      </c>
      <c r="AE916" s="1">
        <f t="shared" ca="1" si="269"/>
        <v>32.583525000000002</v>
      </c>
      <c r="AF916" s="1">
        <f t="shared" ca="1" si="269"/>
        <v>32.583525000000002</v>
      </c>
      <c r="AG916" s="1">
        <f t="shared" ca="1" si="269"/>
        <v>32.583525000000002</v>
      </c>
      <c r="AH916" s="1">
        <f t="shared" ca="1" si="269"/>
        <v>32.583525000000002</v>
      </c>
      <c r="AI916" s="1">
        <f t="shared" ca="1" si="270"/>
        <v>48.875287499999999</v>
      </c>
    </row>
    <row r="917" spans="2:35" x14ac:dyDescent="0.15">
      <c r="B917" s="1" t="str">
        <f t="shared" si="265"/>
        <v>雷系24</v>
      </c>
      <c r="C917" s="1">
        <f t="shared" si="255"/>
        <v>24</v>
      </c>
      <c r="D917" s="14" t="s">
        <v>99</v>
      </c>
      <c r="E917" s="14">
        <f t="shared" si="256"/>
        <v>10</v>
      </c>
      <c r="F917" s="1" t="str">
        <f t="shared" si="263"/>
        <v>电击</v>
      </c>
      <c r="H917" s="1">
        <f t="shared" ca="1" si="264"/>
        <v>632.35616454823003</v>
      </c>
      <c r="I917" s="1">
        <f t="shared" ca="1" si="268"/>
        <v>150</v>
      </c>
      <c r="J917" s="1">
        <f t="shared" ca="1" si="268"/>
        <v>267.14780652418398</v>
      </c>
      <c r="K917" s="1">
        <f t="shared" ca="1" si="268"/>
        <v>34.0002</v>
      </c>
      <c r="L917" s="1">
        <f t="shared" ca="1" si="268"/>
        <v>267.14780652418398</v>
      </c>
      <c r="M917" s="1">
        <f t="shared" ca="1" si="268"/>
        <v>34.0002</v>
      </c>
      <c r="N917" s="1">
        <f t="shared" ca="1" si="268"/>
        <v>0.2</v>
      </c>
      <c r="O917" s="1">
        <f t="shared" ca="1" si="268"/>
        <v>0.2</v>
      </c>
      <c r="P917" s="1">
        <f t="shared" ca="1" si="268"/>
        <v>0.36</v>
      </c>
      <c r="Q917" s="1">
        <f t="shared" ca="1" si="268"/>
        <v>0.1</v>
      </c>
      <c r="R917" s="1">
        <f t="shared" ca="1" si="268"/>
        <v>2</v>
      </c>
      <c r="S917" s="1">
        <f t="shared" ca="1" si="269"/>
        <v>0.1</v>
      </c>
      <c r="T917" s="1">
        <f t="shared" ca="1" si="269"/>
        <v>0.9</v>
      </c>
      <c r="U917" s="1">
        <f t="shared" ca="1" si="269"/>
        <v>46.4</v>
      </c>
      <c r="V917" s="1">
        <f t="shared" ca="1" si="269"/>
        <v>0</v>
      </c>
      <c r="W917" s="1">
        <f t="shared" ca="1" si="269"/>
        <v>0</v>
      </c>
      <c r="X917" s="1">
        <f t="shared" ca="1" si="269"/>
        <v>0</v>
      </c>
      <c r="Y917" s="1">
        <f t="shared" ca="1" si="269"/>
        <v>0</v>
      </c>
      <c r="Z917" s="1">
        <f t="shared" ca="1" si="269"/>
        <v>0</v>
      </c>
      <c r="AA917" s="1">
        <f t="shared" ca="1" si="269"/>
        <v>0</v>
      </c>
      <c r="AB917" s="1">
        <f t="shared" ca="1" si="267"/>
        <v>54.643869516310502</v>
      </c>
      <c r="AC917" s="1">
        <f t="shared" ca="1" si="269"/>
        <v>34.0002</v>
      </c>
      <c r="AD917" s="1">
        <f t="shared" ca="1" si="269"/>
        <v>34.0002</v>
      </c>
      <c r="AE917" s="1">
        <f t="shared" ca="1" si="269"/>
        <v>34.0002</v>
      </c>
      <c r="AF917" s="1">
        <f t="shared" ca="1" si="269"/>
        <v>34.0002</v>
      </c>
      <c r="AG917" s="1">
        <f t="shared" ca="1" si="269"/>
        <v>34.0002</v>
      </c>
      <c r="AH917" s="1">
        <f t="shared" ca="1" si="269"/>
        <v>34.0002</v>
      </c>
      <c r="AI917" s="1">
        <f t="shared" ca="1" si="270"/>
        <v>51.000299999999996</v>
      </c>
    </row>
    <row r="918" spans="2:35" x14ac:dyDescent="0.15">
      <c r="B918" s="1" t="str">
        <f t="shared" si="265"/>
        <v>雷系25</v>
      </c>
      <c r="C918" s="1">
        <f t="shared" si="255"/>
        <v>25</v>
      </c>
      <c r="D918" s="14" t="s">
        <v>99</v>
      </c>
      <c r="E918" s="14">
        <f t="shared" si="256"/>
        <v>10</v>
      </c>
      <c r="F918" s="1" t="str">
        <f t="shared" si="263"/>
        <v>电击</v>
      </c>
      <c r="H918" s="1">
        <f t="shared" ca="1" si="264"/>
        <v>662.51187759749598</v>
      </c>
      <c r="I918" s="1">
        <f t="shared" ca="1" si="268"/>
        <v>150</v>
      </c>
      <c r="J918" s="1">
        <f t="shared" ca="1" si="268"/>
        <v>280.50595238095201</v>
      </c>
      <c r="K918" s="1">
        <f t="shared" ca="1" si="268"/>
        <v>35.416874999999997</v>
      </c>
      <c r="L918" s="1">
        <f t="shared" ca="1" si="268"/>
        <v>280.50595238095201</v>
      </c>
      <c r="M918" s="1">
        <f t="shared" ca="1" si="268"/>
        <v>35.416874999999997</v>
      </c>
      <c r="N918" s="1">
        <f t="shared" ca="1" si="268"/>
        <v>0.2</v>
      </c>
      <c r="O918" s="1">
        <f t="shared" ca="1" si="268"/>
        <v>0.2</v>
      </c>
      <c r="P918" s="1">
        <f t="shared" ca="1" si="268"/>
        <v>0.36</v>
      </c>
      <c r="Q918" s="1">
        <f t="shared" ca="1" si="268"/>
        <v>0.1</v>
      </c>
      <c r="R918" s="1">
        <f t="shared" ca="1" si="268"/>
        <v>2</v>
      </c>
      <c r="S918" s="1">
        <f t="shared" ca="1" si="269"/>
        <v>0.1</v>
      </c>
      <c r="T918" s="1">
        <f t="shared" ca="1" si="269"/>
        <v>0.9</v>
      </c>
      <c r="U918" s="1">
        <f t="shared" ca="1" si="269"/>
        <v>48.3333333333333</v>
      </c>
      <c r="V918" s="1">
        <f t="shared" ca="1" si="269"/>
        <v>0</v>
      </c>
      <c r="W918" s="1">
        <f t="shared" ca="1" si="269"/>
        <v>0</v>
      </c>
      <c r="X918" s="1">
        <f t="shared" ca="1" si="269"/>
        <v>0</v>
      </c>
      <c r="Y918" s="1">
        <f t="shared" ca="1" si="269"/>
        <v>0</v>
      </c>
      <c r="Z918" s="1">
        <f t="shared" ca="1" si="269"/>
        <v>0</v>
      </c>
      <c r="AA918" s="1">
        <f t="shared" ca="1" si="269"/>
        <v>0</v>
      </c>
      <c r="AB918" s="1">
        <f t="shared" ca="1" si="267"/>
        <v>60.1084183673469</v>
      </c>
      <c r="AC918" s="1">
        <f t="shared" ca="1" si="269"/>
        <v>35.416874999999997</v>
      </c>
      <c r="AD918" s="1">
        <f t="shared" ca="1" si="269"/>
        <v>35.416874999999997</v>
      </c>
      <c r="AE918" s="1">
        <f t="shared" ca="1" si="269"/>
        <v>35.416874999999997</v>
      </c>
      <c r="AF918" s="1">
        <f t="shared" ca="1" si="269"/>
        <v>35.416874999999997</v>
      </c>
      <c r="AG918" s="1">
        <f t="shared" ca="1" si="269"/>
        <v>35.416874999999997</v>
      </c>
      <c r="AH918" s="1">
        <f t="shared" ca="1" si="269"/>
        <v>35.416874999999997</v>
      </c>
      <c r="AI918" s="1">
        <f t="shared" ca="1" si="270"/>
        <v>53.125312499999993</v>
      </c>
    </row>
    <row r="919" spans="2:35" x14ac:dyDescent="0.15">
      <c r="B919" s="1" t="str">
        <f t="shared" si="265"/>
        <v>雷系26</v>
      </c>
      <c r="C919" s="1">
        <f t="shared" si="255"/>
        <v>26</v>
      </c>
      <c r="D919" s="14" t="s">
        <v>99</v>
      </c>
      <c r="E919" s="14">
        <f t="shared" si="256"/>
        <v>10</v>
      </c>
      <c r="F919" s="1" t="str">
        <f t="shared" si="263"/>
        <v>电击</v>
      </c>
      <c r="H919" s="1">
        <f t="shared" ca="1" si="264"/>
        <v>692.97219380887498</v>
      </c>
      <c r="I919" s="1">
        <f t="shared" ca="1" si="268"/>
        <v>150</v>
      </c>
      <c r="J919" s="1">
        <f t="shared" ca="1" si="268"/>
        <v>294.06</v>
      </c>
      <c r="K919" s="1">
        <f t="shared" ca="1" si="268"/>
        <v>36.833550000000002</v>
      </c>
      <c r="L919" s="1">
        <f t="shared" ca="1" si="268"/>
        <v>294.06</v>
      </c>
      <c r="M919" s="1">
        <f t="shared" ca="1" si="268"/>
        <v>36.833550000000002</v>
      </c>
      <c r="N919" s="1">
        <f t="shared" ca="1" si="268"/>
        <v>0.2</v>
      </c>
      <c r="O919" s="1">
        <f t="shared" ca="1" si="268"/>
        <v>0.2</v>
      </c>
      <c r="P919" s="1">
        <f t="shared" ca="1" si="268"/>
        <v>0.36</v>
      </c>
      <c r="Q919" s="1">
        <f t="shared" ca="1" si="268"/>
        <v>0.1</v>
      </c>
      <c r="R919" s="1">
        <f t="shared" ca="1" si="268"/>
        <v>2</v>
      </c>
      <c r="S919" s="1">
        <f t="shared" ca="1" si="269"/>
        <v>0.1</v>
      </c>
      <c r="T919" s="1">
        <f t="shared" ca="1" si="269"/>
        <v>0.9</v>
      </c>
      <c r="U919" s="1">
        <f t="shared" ca="1" si="269"/>
        <v>50.266666666666701</v>
      </c>
      <c r="V919" s="1">
        <f t="shared" ca="1" si="269"/>
        <v>0</v>
      </c>
      <c r="W919" s="1">
        <f t="shared" ca="1" si="269"/>
        <v>0</v>
      </c>
      <c r="X919" s="1">
        <f t="shared" ca="1" si="269"/>
        <v>0</v>
      </c>
      <c r="Y919" s="1">
        <f t="shared" ca="1" si="269"/>
        <v>0</v>
      </c>
      <c r="Z919" s="1">
        <f t="shared" ca="1" si="269"/>
        <v>0</v>
      </c>
      <c r="AA919" s="1">
        <f t="shared" ca="1" si="269"/>
        <v>0</v>
      </c>
      <c r="AB919" s="1">
        <f t="shared" ca="1" si="269"/>
        <v>65.91</v>
      </c>
      <c r="AC919" s="1">
        <f t="shared" ca="1" si="269"/>
        <v>36.833550000000002</v>
      </c>
      <c r="AD919" s="1">
        <f t="shared" ca="1" si="269"/>
        <v>36.833550000000002</v>
      </c>
      <c r="AE919" s="1">
        <f t="shared" ca="1" si="269"/>
        <v>36.833550000000002</v>
      </c>
      <c r="AF919" s="1">
        <f t="shared" ca="1" si="269"/>
        <v>36.833550000000002</v>
      </c>
      <c r="AG919" s="1">
        <f t="shared" ca="1" si="269"/>
        <v>36.833550000000002</v>
      </c>
      <c r="AH919" s="1">
        <f t="shared" ca="1" si="269"/>
        <v>36.833550000000002</v>
      </c>
      <c r="AI919" s="1">
        <f t="shared" ca="1" si="270"/>
        <v>55.250325000000004</v>
      </c>
    </row>
    <row r="920" spans="2:35" x14ac:dyDescent="0.15">
      <c r="B920" s="1" t="str">
        <f t="shared" si="265"/>
        <v>雷系27</v>
      </c>
      <c r="C920" s="1">
        <f t="shared" si="255"/>
        <v>27</v>
      </c>
      <c r="D920" s="14" t="s">
        <v>99</v>
      </c>
      <c r="E920" s="14">
        <f t="shared" si="256"/>
        <v>10</v>
      </c>
      <c r="F920" s="1" t="str">
        <f t="shared" si="263"/>
        <v>电击</v>
      </c>
      <c r="H920" s="1">
        <f t="shared" ca="1" si="264"/>
        <v>723.73711318236803</v>
      </c>
      <c r="I920" s="1">
        <f t="shared" ca="1" si="268"/>
        <v>150</v>
      </c>
      <c r="J920" s="1">
        <f t="shared" ca="1" si="268"/>
        <v>307.81244239631297</v>
      </c>
      <c r="K920" s="1">
        <f t="shared" ca="1" si="268"/>
        <v>38.250225</v>
      </c>
      <c r="L920" s="1">
        <f t="shared" ca="1" si="268"/>
        <v>307.81244239631297</v>
      </c>
      <c r="M920" s="1">
        <f t="shared" ca="1" si="268"/>
        <v>38.250225</v>
      </c>
      <c r="N920" s="1">
        <f t="shared" ca="1" si="268"/>
        <v>0.2</v>
      </c>
      <c r="O920" s="1">
        <f t="shared" ca="1" si="268"/>
        <v>0.2</v>
      </c>
      <c r="P920" s="1">
        <f t="shared" ca="1" si="268"/>
        <v>0.36</v>
      </c>
      <c r="Q920" s="1">
        <f t="shared" ca="1" si="268"/>
        <v>0.1</v>
      </c>
      <c r="R920" s="1">
        <f t="shared" ca="1" si="268"/>
        <v>2</v>
      </c>
      <c r="S920" s="1">
        <f t="shared" ca="1" si="269"/>
        <v>0.1</v>
      </c>
      <c r="T920" s="1">
        <f t="shared" ca="1" si="269"/>
        <v>0.9</v>
      </c>
      <c r="U920" s="1">
        <f t="shared" ca="1" si="269"/>
        <v>52.2</v>
      </c>
      <c r="V920" s="1">
        <f t="shared" ca="1" si="269"/>
        <v>0</v>
      </c>
      <c r="W920" s="1">
        <f t="shared" ca="1" si="269"/>
        <v>0</v>
      </c>
      <c r="X920" s="1">
        <f t="shared" ca="1" si="269"/>
        <v>0</v>
      </c>
      <c r="Y920" s="1">
        <f t="shared" ca="1" si="269"/>
        <v>0</v>
      </c>
      <c r="Z920" s="1">
        <f t="shared" ca="1" si="269"/>
        <v>0</v>
      </c>
      <c r="AA920" s="1">
        <f t="shared" ca="1" si="269"/>
        <v>0</v>
      </c>
      <c r="AB920" s="1">
        <f t="shared" ca="1" si="269"/>
        <v>72.060138248847892</v>
      </c>
      <c r="AC920" s="1">
        <f t="shared" ca="1" si="269"/>
        <v>38.250225</v>
      </c>
      <c r="AD920" s="1">
        <f t="shared" ca="1" si="269"/>
        <v>38.250225</v>
      </c>
      <c r="AE920" s="1">
        <f t="shared" ca="1" si="269"/>
        <v>38.250225</v>
      </c>
      <c r="AF920" s="1">
        <f t="shared" ca="1" si="269"/>
        <v>38.250225</v>
      </c>
      <c r="AG920" s="1">
        <f t="shared" ca="1" si="269"/>
        <v>38.250225</v>
      </c>
      <c r="AH920" s="1">
        <f t="shared" ca="1" si="269"/>
        <v>38.250225</v>
      </c>
      <c r="AI920" s="1">
        <f t="shared" ca="1" si="270"/>
        <v>57.375337500000001</v>
      </c>
    </row>
    <row r="921" spans="2:35" x14ac:dyDescent="0.15">
      <c r="B921" s="1" t="str">
        <f t="shared" si="265"/>
        <v>雷系28</v>
      </c>
      <c r="C921" s="1">
        <f t="shared" si="255"/>
        <v>28</v>
      </c>
      <c r="D921" s="14" t="s">
        <v>99</v>
      </c>
      <c r="E921" s="14">
        <f t="shared" si="256"/>
        <v>10</v>
      </c>
      <c r="F921" s="1" t="str">
        <f t="shared" si="263"/>
        <v>电击</v>
      </c>
      <c r="H921" s="1">
        <f t="shared" ca="1" si="264"/>
        <v>754.80663571797402</v>
      </c>
      <c r="I921" s="1">
        <f t="shared" ca="1" si="268"/>
        <v>150</v>
      </c>
      <c r="J921" s="1">
        <f t="shared" ca="1" si="268"/>
        <v>321.76585365853703</v>
      </c>
      <c r="K921" s="1">
        <f t="shared" ca="1" si="268"/>
        <v>39.666899999999998</v>
      </c>
      <c r="L921" s="1">
        <f t="shared" ca="1" si="268"/>
        <v>321.76585365853703</v>
      </c>
      <c r="M921" s="1">
        <f t="shared" ca="1" si="268"/>
        <v>39.666899999999998</v>
      </c>
      <c r="N921" s="1">
        <f t="shared" ca="1" si="268"/>
        <v>0.2</v>
      </c>
      <c r="O921" s="1">
        <f t="shared" ca="1" si="268"/>
        <v>0.2</v>
      </c>
      <c r="P921" s="1">
        <f t="shared" ca="1" si="268"/>
        <v>0.36</v>
      </c>
      <c r="Q921" s="1">
        <f t="shared" ca="1" si="268"/>
        <v>0.1</v>
      </c>
      <c r="R921" s="1">
        <f t="shared" ca="1" si="268"/>
        <v>2</v>
      </c>
      <c r="S921" s="1">
        <f t="shared" ca="1" si="269"/>
        <v>0.1</v>
      </c>
      <c r="T921" s="1">
        <f t="shared" ca="1" si="269"/>
        <v>0.9</v>
      </c>
      <c r="U921" s="1">
        <f t="shared" ca="1" si="269"/>
        <v>54.133333333333297</v>
      </c>
      <c r="V921" s="1">
        <f t="shared" ca="1" si="269"/>
        <v>0</v>
      </c>
      <c r="W921" s="1">
        <f t="shared" ca="1" si="269"/>
        <v>0</v>
      </c>
      <c r="X921" s="1">
        <f t="shared" ca="1" si="269"/>
        <v>0</v>
      </c>
      <c r="Y921" s="1">
        <f t="shared" ca="1" si="269"/>
        <v>0</v>
      </c>
      <c r="Z921" s="1">
        <f t="shared" ca="1" si="269"/>
        <v>0</v>
      </c>
      <c r="AA921" s="1">
        <f t="shared" ca="1" si="269"/>
        <v>0</v>
      </c>
      <c r="AB921" s="1">
        <f t="shared" ca="1" si="269"/>
        <v>78.570731707317151</v>
      </c>
      <c r="AC921" s="1">
        <f t="shared" ca="1" si="269"/>
        <v>39.666899999999998</v>
      </c>
      <c r="AD921" s="1">
        <f t="shared" ca="1" si="269"/>
        <v>39.666899999999998</v>
      </c>
      <c r="AE921" s="1">
        <f t="shared" ca="1" si="269"/>
        <v>39.666899999999998</v>
      </c>
      <c r="AF921" s="1">
        <f t="shared" ca="1" si="269"/>
        <v>39.666899999999998</v>
      </c>
      <c r="AG921" s="1">
        <f t="shared" ca="1" si="269"/>
        <v>39.666899999999998</v>
      </c>
      <c r="AH921" s="1">
        <f t="shared" ca="1" si="269"/>
        <v>39.666899999999998</v>
      </c>
      <c r="AI921" s="1">
        <f t="shared" ca="1" si="270"/>
        <v>59.500349999999997</v>
      </c>
    </row>
    <row r="922" spans="2:35" x14ac:dyDescent="0.15">
      <c r="B922" s="1" t="str">
        <f t="shared" si="265"/>
        <v>雷系29</v>
      </c>
      <c r="C922" s="1">
        <f t="shared" si="255"/>
        <v>29</v>
      </c>
      <c r="D922" s="14" t="s">
        <v>99</v>
      </c>
      <c r="E922" s="14">
        <f t="shared" si="256"/>
        <v>10</v>
      </c>
      <c r="F922" s="1" t="str">
        <f t="shared" si="263"/>
        <v>电击</v>
      </c>
      <c r="H922" s="1">
        <f t="shared" ca="1" si="264"/>
        <v>786.18076141569497</v>
      </c>
      <c r="I922" s="1">
        <f t="shared" ca="1" si="268"/>
        <v>150</v>
      </c>
      <c r="J922" s="1">
        <f t="shared" ca="1" si="268"/>
        <v>335.92289227166299</v>
      </c>
      <c r="K922" s="1">
        <f t="shared" ca="1" si="268"/>
        <v>41.083575000000003</v>
      </c>
      <c r="L922" s="1">
        <f t="shared" ca="1" si="268"/>
        <v>335.92289227166299</v>
      </c>
      <c r="M922" s="1">
        <f t="shared" ca="1" si="268"/>
        <v>41.083575000000003</v>
      </c>
      <c r="N922" s="1">
        <f t="shared" ca="1" si="268"/>
        <v>0.2</v>
      </c>
      <c r="O922" s="1">
        <f t="shared" ca="1" si="268"/>
        <v>0.2</v>
      </c>
      <c r="P922" s="1">
        <f t="shared" ca="1" si="268"/>
        <v>0.36</v>
      </c>
      <c r="Q922" s="1">
        <f t="shared" ca="1" si="268"/>
        <v>0.1</v>
      </c>
      <c r="R922" s="1">
        <f t="shared" ca="1" si="268"/>
        <v>2</v>
      </c>
      <c r="S922" s="1">
        <f t="shared" ca="1" si="269"/>
        <v>0.1</v>
      </c>
      <c r="T922" s="1">
        <f t="shared" ca="1" si="269"/>
        <v>0.9</v>
      </c>
      <c r="U922" s="1">
        <f t="shared" ca="1" si="269"/>
        <v>56.066666666666698</v>
      </c>
      <c r="V922" s="1">
        <f t="shared" ca="1" si="269"/>
        <v>0</v>
      </c>
      <c r="W922" s="1">
        <f t="shared" ca="1" si="269"/>
        <v>0</v>
      </c>
      <c r="X922" s="1">
        <f t="shared" ca="1" si="269"/>
        <v>0</v>
      </c>
      <c r="Y922" s="1">
        <f t="shared" ca="1" si="269"/>
        <v>0</v>
      </c>
      <c r="Z922" s="1">
        <f t="shared" ca="1" si="269"/>
        <v>0</v>
      </c>
      <c r="AA922" s="1">
        <f t="shared" ca="1" si="269"/>
        <v>0</v>
      </c>
      <c r="AB922" s="1">
        <f t="shared" ca="1" si="269"/>
        <v>85.45406908665106</v>
      </c>
      <c r="AC922" s="1">
        <f t="shared" ca="1" si="269"/>
        <v>41.083575000000003</v>
      </c>
      <c r="AD922" s="1">
        <f t="shared" ca="1" si="269"/>
        <v>41.083575000000003</v>
      </c>
      <c r="AE922" s="1">
        <f t="shared" ca="1" si="269"/>
        <v>41.083575000000003</v>
      </c>
      <c r="AF922" s="1">
        <f t="shared" ca="1" si="269"/>
        <v>41.083575000000003</v>
      </c>
      <c r="AG922" s="1">
        <f t="shared" ca="1" si="269"/>
        <v>41.083575000000003</v>
      </c>
      <c r="AH922" s="1">
        <f t="shared" ca="1" si="269"/>
        <v>41.083575000000003</v>
      </c>
      <c r="AI922" s="1">
        <f t="shared" ca="1" si="270"/>
        <v>61.625362500000008</v>
      </c>
    </row>
    <row r="923" spans="2:35" x14ac:dyDescent="0.15">
      <c r="B923" s="1" t="str">
        <f t="shared" si="265"/>
        <v>雷系30</v>
      </c>
      <c r="C923" s="1">
        <f t="shared" si="255"/>
        <v>30</v>
      </c>
      <c r="D923" s="14" t="s">
        <v>99</v>
      </c>
      <c r="E923" s="14">
        <f t="shared" si="256"/>
        <v>10</v>
      </c>
      <c r="F923" s="1" t="str">
        <f t="shared" si="263"/>
        <v>电击</v>
      </c>
      <c r="H923" s="1">
        <f t="shared" ca="1" si="264"/>
        <v>817.85949027552897</v>
      </c>
      <c r="I923" s="1">
        <f t="shared" ref="I923:R932" ca="1" si="271">mVlookup($C923,monsterBaseDate,I$2,FALSE)*(1+mVlookup($E923,monsterType,I$2,FALSE))</f>
        <v>150</v>
      </c>
      <c r="J923" s="1">
        <f t="shared" ca="1" si="271"/>
        <v>350.28630460448602</v>
      </c>
      <c r="K923" s="1">
        <f t="shared" ca="1" si="271"/>
        <v>42.500250000000001</v>
      </c>
      <c r="L923" s="1">
        <f t="shared" ca="1" si="271"/>
        <v>350.28630460448602</v>
      </c>
      <c r="M923" s="1">
        <f t="shared" ca="1" si="271"/>
        <v>42.500250000000001</v>
      </c>
      <c r="N923" s="1">
        <f t="shared" ca="1" si="271"/>
        <v>0.2</v>
      </c>
      <c r="O923" s="1">
        <f t="shared" ca="1" si="271"/>
        <v>0.2</v>
      </c>
      <c r="P923" s="1">
        <f t="shared" ca="1" si="271"/>
        <v>0.36</v>
      </c>
      <c r="Q923" s="1">
        <f t="shared" ca="1" si="271"/>
        <v>0.1</v>
      </c>
      <c r="R923" s="1">
        <f t="shared" ca="1" si="271"/>
        <v>2</v>
      </c>
      <c r="S923" s="1">
        <f t="shared" ref="S923:AH938" ca="1" si="272">mVlookup($C923,monsterBaseDate,S$2,FALSE)*(1+mVlookup($E923,monsterType,S$2,FALSE))</f>
        <v>0.1</v>
      </c>
      <c r="T923" s="1">
        <f t="shared" ca="1" si="272"/>
        <v>0.9</v>
      </c>
      <c r="U923" s="1">
        <f t="shared" ca="1" si="272"/>
        <v>58</v>
      </c>
      <c r="V923" s="1">
        <f t="shared" ca="1" si="272"/>
        <v>0</v>
      </c>
      <c r="W923" s="1">
        <f t="shared" ca="1" si="272"/>
        <v>0</v>
      </c>
      <c r="X923" s="1">
        <f t="shared" ca="1" si="272"/>
        <v>0</v>
      </c>
      <c r="Y923" s="1">
        <f t="shared" ca="1" si="272"/>
        <v>0</v>
      </c>
      <c r="Z923" s="1">
        <f t="shared" ca="1" si="272"/>
        <v>0</v>
      </c>
      <c r="AA923" s="1">
        <f t="shared" ca="1" si="272"/>
        <v>0</v>
      </c>
      <c r="AB923" s="1">
        <f t="shared" ca="1" si="269"/>
        <v>92.72284533648164</v>
      </c>
      <c r="AC923" s="1">
        <f t="shared" ca="1" si="272"/>
        <v>42.500250000000001</v>
      </c>
      <c r="AD923" s="1">
        <f t="shared" ca="1" si="272"/>
        <v>42.500250000000001</v>
      </c>
      <c r="AE923" s="1">
        <f t="shared" ca="1" si="272"/>
        <v>42.500250000000001</v>
      </c>
      <c r="AF923" s="1">
        <f t="shared" ca="1" si="272"/>
        <v>42.500250000000001</v>
      </c>
      <c r="AG923" s="1">
        <f t="shared" ca="1" si="272"/>
        <v>42.500250000000001</v>
      </c>
      <c r="AH923" s="1">
        <f t="shared" ca="1" si="272"/>
        <v>42.500250000000001</v>
      </c>
      <c r="AI923" s="1">
        <f t="shared" ca="1" si="270"/>
        <v>63.750375000000005</v>
      </c>
    </row>
    <row r="924" spans="2:35" x14ac:dyDescent="0.15">
      <c r="B924" s="1" t="str">
        <f t="shared" si="265"/>
        <v>雷系31</v>
      </c>
      <c r="C924" s="1">
        <f t="shared" si="255"/>
        <v>31</v>
      </c>
      <c r="D924" s="14" t="s">
        <v>99</v>
      </c>
      <c r="E924" s="14">
        <f t="shared" si="256"/>
        <v>10</v>
      </c>
      <c r="F924" s="1" t="str">
        <f t="shared" si="263"/>
        <v>电击</v>
      </c>
      <c r="H924" s="1">
        <f t="shared" ca="1" si="264"/>
        <v>849.84282229747703</v>
      </c>
      <c r="I924" s="1">
        <f t="shared" ca="1" si="271"/>
        <v>150</v>
      </c>
      <c r="J924" s="1">
        <f t="shared" ca="1" si="271"/>
        <v>364.85892857142898</v>
      </c>
      <c r="K924" s="1">
        <f t="shared" ca="1" si="271"/>
        <v>43.916924999999999</v>
      </c>
      <c r="L924" s="1">
        <f t="shared" ca="1" si="271"/>
        <v>364.85892857142898</v>
      </c>
      <c r="M924" s="1">
        <f t="shared" ca="1" si="271"/>
        <v>43.916924999999999</v>
      </c>
      <c r="N924" s="1">
        <f t="shared" ca="1" si="271"/>
        <v>0.2</v>
      </c>
      <c r="O924" s="1">
        <f t="shared" ca="1" si="271"/>
        <v>0.2</v>
      </c>
      <c r="P924" s="1">
        <f t="shared" ca="1" si="271"/>
        <v>0.36</v>
      </c>
      <c r="Q924" s="1">
        <f t="shared" ca="1" si="271"/>
        <v>0.1</v>
      </c>
      <c r="R924" s="1">
        <f t="shared" ca="1" si="271"/>
        <v>2</v>
      </c>
      <c r="S924" s="1">
        <f t="shared" ca="1" si="272"/>
        <v>0.1</v>
      </c>
      <c r="T924" s="1">
        <f t="shared" ca="1" si="272"/>
        <v>0.9</v>
      </c>
      <c r="U924" s="1">
        <f t="shared" ca="1" si="272"/>
        <v>59.933333333333302</v>
      </c>
      <c r="V924" s="1">
        <f t="shared" ca="1" si="272"/>
        <v>0</v>
      </c>
      <c r="W924" s="1">
        <f t="shared" ca="1" si="272"/>
        <v>0</v>
      </c>
      <c r="X924" s="1">
        <f t="shared" ca="1" si="272"/>
        <v>0</v>
      </c>
      <c r="Y924" s="1">
        <f t="shared" ca="1" si="272"/>
        <v>0</v>
      </c>
      <c r="Z924" s="1">
        <f t="shared" ca="1" si="272"/>
        <v>0</v>
      </c>
      <c r="AA924" s="1">
        <f t="shared" ca="1" si="272"/>
        <v>0</v>
      </c>
      <c r="AB924" s="1">
        <f t="shared" ca="1" si="269"/>
        <v>100.39017857142855</v>
      </c>
      <c r="AC924" s="1">
        <f t="shared" ca="1" si="272"/>
        <v>43.916924999999999</v>
      </c>
      <c r="AD924" s="1">
        <f t="shared" ca="1" si="272"/>
        <v>43.916924999999999</v>
      </c>
      <c r="AE924" s="1">
        <f t="shared" ca="1" si="272"/>
        <v>43.916924999999999</v>
      </c>
      <c r="AF924" s="1">
        <f t="shared" ca="1" si="272"/>
        <v>43.916924999999999</v>
      </c>
      <c r="AG924" s="1">
        <f t="shared" ca="1" si="272"/>
        <v>43.916924999999999</v>
      </c>
      <c r="AH924" s="1">
        <f t="shared" ca="1" si="272"/>
        <v>43.916924999999999</v>
      </c>
      <c r="AI924" s="1">
        <f t="shared" ca="1" si="270"/>
        <v>65.875387500000002</v>
      </c>
    </row>
    <row r="925" spans="2:35" x14ac:dyDescent="0.15">
      <c r="B925" s="1" t="str">
        <f t="shared" si="265"/>
        <v>雷系32</v>
      </c>
      <c r="C925" s="1">
        <f t="shared" si="255"/>
        <v>32</v>
      </c>
      <c r="D925" s="14" t="s">
        <v>99</v>
      </c>
      <c r="E925" s="14">
        <f t="shared" si="256"/>
        <v>10</v>
      </c>
      <c r="F925" s="1" t="str">
        <f t="shared" si="263"/>
        <v>电击</v>
      </c>
      <c r="H925" s="1">
        <f t="shared" ca="1" si="264"/>
        <v>882.13075748153904</v>
      </c>
      <c r="I925" s="1">
        <f t="shared" ca="1" si="271"/>
        <v>150</v>
      </c>
      <c r="J925" s="1">
        <f t="shared" ca="1" si="271"/>
        <v>379.64369747899201</v>
      </c>
      <c r="K925" s="1">
        <f t="shared" ca="1" si="271"/>
        <v>45.333599999999997</v>
      </c>
      <c r="L925" s="1">
        <f t="shared" ca="1" si="271"/>
        <v>379.64369747899201</v>
      </c>
      <c r="M925" s="1">
        <f t="shared" ca="1" si="271"/>
        <v>45.333599999999997</v>
      </c>
      <c r="N925" s="1">
        <f t="shared" ca="1" si="271"/>
        <v>0.2</v>
      </c>
      <c r="O925" s="1">
        <f t="shared" ca="1" si="271"/>
        <v>0.2</v>
      </c>
      <c r="P925" s="1">
        <f t="shared" ca="1" si="271"/>
        <v>0.36</v>
      </c>
      <c r="Q925" s="1">
        <f t="shared" ca="1" si="271"/>
        <v>0.1</v>
      </c>
      <c r="R925" s="1">
        <f t="shared" ca="1" si="271"/>
        <v>2</v>
      </c>
      <c r="S925" s="1">
        <f t="shared" ca="1" si="272"/>
        <v>0.1</v>
      </c>
      <c r="T925" s="1">
        <f t="shared" ca="1" si="272"/>
        <v>0.9</v>
      </c>
      <c r="U925" s="1">
        <f t="shared" ca="1" si="272"/>
        <v>61.866666666666703</v>
      </c>
      <c r="V925" s="1">
        <f t="shared" ca="1" si="272"/>
        <v>0</v>
      </c>
      <c r="W925" s="1">
        <f t="shared" ca="1" si="272"/>
        <v>0</v>
      </c>
      <c r="X925" s="1">
        <f t="shared" ca="1" si="272"/>
        <v>0</v>
      </c>
      <c r="Y925" s="1">
        <f t="shared" ca="1" si="272"/>
        <v>0</v>
      </c>
      <c r="Z925" s="1">
        <f t="shared" ca="1" si="272"/>
        <v>0</v>
      </c>
      <c r="AA925" s="1">
        <f t="shared" ca="1" si="272"/>
        <v>0</v>
      </c>
      <c r="AB925" s="1">
        <f t="shared" ca="1" si="269"/>
        <v>108.46962785114042</v>
      </c>
      <c r="AC925" s="1">
        <f t="shared" ca="1" si="272"/>
        <v>45.333599999999997</v>
      </c>
      <c r="AD925" s="1">
        <f t="shared" ca="1" si="272"/>
        <v>45.333599999999997</v>
      </c>
      <c r="AE925" s="1">
        <f t="shared" ca="1" si="272"/>
        <v>45.333599999999997</v>
      </c>
      <c r="AF925" s="1">
        <f t="shared" ca="1" si="272"/>
        <v>45.333599999999997</v>
      </c>
      <c r="AG925" s="1">
        <f t="shared" ca="1" si="272"/>
        <v>45.333599999999997</v>
      </c>
      <c r="AH925" s="1">
        <f t="shared" ca="1" si="272"/>
        <v>45.333599999999997</v>
      </c>
      <c r="AI925" s="1">
        <f t="shared" ca="1" si="270"/>
        <v>68.000399999999999</v>
      </c>
    </row>
    <row r="926" spans="2:35" x14ac:dyDescent="0.15">
      <c r="B926" s="1" t="str">
        <f t="shared" si="265"/>
        <v>雷系33</v>
      </c>
      <c r="C926" s="1">
        <f t="shared" si="255"/>
        <v>33</v>
      </c>
      <c r="D926" s="14" t="s">
        <v>99</v>
      </c>
      <c r="E926" s="14">
        <f t="shared" si="256"/>
        <v>10</v>
      </c>
      <c r="F926" s="1" t="str">
        <f t="shared" si="263"/>
        <v>电击</v>
      </c>
      <c r="H926" s="1">
        <f t="shared" ca="1" si="264"/>
        <v>914.72329582771499</v>
      </c>
      <c r="I926" s="1">
        <f t="shared" ca="1" si="271"/>
        <v>150</v>
      </c>
      <c r="J926" s="1">
        <f t="shared" ca="1" si="271"/>
        <v>394.64364406779703</v>
      </c>
      <c r="K926" s="1">
        <f t="shared" ca="1" si="271"/>
        <v>46.750275000000002</v>
      </c>
      <c r="L926" s="1">
        <f t="shared" ca="1" si="271"/>
        <v>394.64364406779703</v>
      </c>
      <c r="M926" s="1">
        <f t="shared" ca="1" si="271"/>
        <v>46.750275000000002</v>
      </c>
      <c r="N926" s="1">
        <f t="shared" ca="1" si="271"/>
        <v>0.2</v>
      </c>
      <c r="O926" s="1">
        <f t="shared" ca="1" si="271"/>
        <v>0.2</v>
      </c>
      <c r="P926" s="1">
        <f t="shared" ca="1" si="271"/>
        <v>0.36</v>
      </c>
      <c r="Q926" s="1">
        <f t="shared" ca="1" si="271"/>
        <v>0.1</v>
      </c>
      <c r="R926" s="1">
        <f t="shared" ca="1" si="271"/>
        <v>2</v>
      </c>
      <c r="S926" s="1">
        <f t="shared" ca="1" si="272"/>
        <v>0.1</v>
      </c>
      <c r="T926" s="1">
        <f t="shared" ca="1" si="272"/>
        <v>0.9</v>
      </c>
      <c r="U926" s="1">
        <f t="shared" ca="1" si="272"/>
        <v>63.8</v>
      </c>
      <c r="V926" s="1">
        <f t="shared" ca="1" si="272"/>
        <v>0</v>
      </c>
      <c r="W926" s="1">
        <f t="shared" ca="1" si="272"/>
        <v>0</v>
      </c>
      <c r="X926" s="1">
        <f t="shared" ca="1" si="272"/>
        <v>0</v>
      </c>
      <c r="Y926" s="1">
        <f t="shared" ca="1" si="272"/>
        <v>0</v>
      </c>
      <c r="Z926" s="1">
        <f t="shared" ca="1" si="272"/>
        <v>0</v>
      </c>
      <c r="AA926" s="1">
        <f t="shared" ca="1" si="272"/>
        <v>0</v>
      </c>
      <c r="AB926" s="1">
        <f t="shared" ca="1" si="269"/>
        <v>116.97521186440682</v>
      </c>
      <c r="AC926" s="1">
        <f t="shared" ca="1" si="272"/>
        <v>46.750275000000002</v>
      </c>
      <c r="AD926" s="1">
        <f t="shared" ca="1" si="272"/>
        <v>46.750275000000002</v>
      </c>
      <c r="AE926" s="1">
        <f t="shared" ca="1" si="272"/>
        <v>46.750275000000002</v>
      </c>
      <c r="AF926" s="1">
        <f t="shared" ca="1" si="272"/>
        <v>46.750275000000002</v>
      </c>
      <c r="AG926" s="1">
        <f t="shared" ca="1" si="272"/>
        <v>46.750275000000002</v>
      </c>
      <c r="AH926" s="1">
        <f t="shared" ca="1" si="272"/>
        <v>46.750275000000002</v>
      </c>
      <c r="AI926" s="1">
        <f t="shared" ca="1" si="270"/>
        <v>70.12541250000001</v>
      </c>
    </row>
    <row r="927" spans="2:35" x14ac:dyDescent="0.15">
      <c r="B927" s="1" t="str">
        <f t="shared" si="265"/>
        <v>雷系34</v>
      </c>
      <c r="C927" s="1">
        <f t="shared" si="255"/>
        <v>34</v>
      </c>
      <c r="D927" s="14" t="s">
        <v>99</v>
      </c>
      <c r="E927" s="14">
        <f t="shared" si="256"/>
        <v>10</v>
      </c>
      <c r="F927" s="1" t="str">
        <f t="shared" si="263"/>
        <v>电击</v>
      </c>
      <c r="H927" s="1">
        <f t="shared" ca="1" si="264"/>
        <v>983.66060335075701</v>
      </c>
      <c r="I927" s="1">
        <f t="shared" ca="1" si="271"/>
        <v>150</v>
      </c>
      <c r="J927" s="1">
        <f t="shared" ca="1" si="271"/>
        <v>409.86190476190501</v>
      </c>
      <c r="K927" s="1">
        <f t="shared" ca="1" si="271"/>
        <v>48.16695</v>
      </c>
      <c r="L927" s="1">
        <f t="shared" ca="1" si="271"/>
        <v>409.86190476190501</v>
      </c>
      <c r="M927" s="1">
        <f t="shared" ca="1" si="271"/>
        <v>48.16695</v>
      </c>
      <c r="N927" s="1">
        <f t="shared" ca="1" si="271"/>
        <v>0.2</v>
      </c>
      <c r="O927" s="1">
        <f t="shared" ca="1" si="271"/>
        <v>0.2</v>
      </c>
      <c r="P927" s="1">
        <f t="shared" ca="1" si="271"/>
        <v>0.36</v>
      </c>
      <c r="Q927" s="1">
        <f t="shared" ca="1" si="271"/>
        <v>0.1</v>
      </c>
      <c r="R927" s="1">
        <f t="shared" ca="1" si="271"/>
        <v>2</v>
      </c>
      <c r="S927" s="1">
        <f t="shared" ca="1" si="272"/>
        <v>0.1</v>
      </c>
      <c r="T927" s="1">
        <f t="shared" ca="1" si="272"/>
        <v>0.9</v>
      </c>
      <c r="U927" s="1">
        <f t="shared" ca="1" si="272"/>
        <v>65.733333333333306</v>
      </c>
      <c r="V927" s="1">
        <f t="shared" ca="1" si="272"/>
        <v>0</v>
      </c>
      <c r="W927" s="1">
        <f t="shared" ca="1" si="272"/>
        <v>0</v>
      </c>
      <c r="X927" s="1">
        <f t="shared" ca="1" si="272"/>
        <v>0</v>
      </c>
      <c r="Y927" s="1">
        <f t="shared" ca="1" si="272"/>
        <v>0</v>
      </c>
      <c r="Z927" s="1">
        <f t="shared" ca="1" si="272"/>
        <v>0</v>
      </c>
      <c r="AA927" s="1">
        <f t="shared" ca="1" si="272"/>
        <v>0</v>
      </c>
      <c r="AB927" s="1">
        <f t="shared" ca="1" si="269"/>
        <v>125.92142857142865</v>
      </c>
      <c r="AC927" s="1">
        <f t="shared" ca="1" si="272"/>
        <v>48.16695</v>
      </c>
      <c r="AD927" s="1">
        <f t="shared" ca="1" si="272"/>
        <v>48.16695</v>
      </c>
      <c r="AE927" s="1">
        <f t="shared" ca="1" si="272"/>
        <v>48.16695</v>
      </c>
      <c r="AF927" s="1">
        <f t="shared" ca="1" si="272"/>
        <v>48.16695</v>
      </c>
      <c r="AG927" s="1">
        <f t="shared" ca="1" si="272"/>
        <v>48.16695</v>
      </c>
      <c r="AH927" s="1">
        <f t="shared" ca="1" si="272"/>
        <v>48.16695</v>
      </c>
      <c r="AI927" s="1">
        <f t="shared" ca="1" si="270"/>
        <v>72.250425000000007</v>
      </c>
    </row>
    <row r="928" spans="2:35" x14ac:dyDescent="0.15">
      <c r="B928" s="1" t="str">
        <f t="shared" si="265"/>
        <v>雷系35</v>
      </c>
      <c r="C928" s="1">
        <f t="shared" si="255"/>
        <v>35</v>
      </c>
      <c r="D928" s="14" t="s">
        <v>99</v>
      </c>
      <c r="E928" s="14">
        <f t="shared" si="256"/>
        <v>10</v>
      </c>
      <c r="F928" s="1" t="str">
        <f t="shared" si="263"/>
        <v>电击</v>
      </c>
      <c r="H928" s="1">
        <f t="shared" ca="1" si="264"/>
        <v>1018.12508607825</v>
      </c>
      <c r="I928" s="1">
        <f t="shared" ca="1" si="271"/>
        <v>150</v>
      </c>
      <c r="J928" s="1">
        <f t="shared" ca="1" si="271"/>
        <v>425.30172413793099</v>
      </c>
      <c r="K928" s="1">
        <f t="shared" ca="1" si="271"/>
        <v>49.583624999999998</v>
      </c>
      <c r="L928" s="1">
        <f t="shared" ca="1" si="271"/>
        <v>425.30172413793099</v>
      </c>
      <c r="M928" s="1">
        <f t="shared" ca="1" si="271"/>
        <v>49.583624999999998</v>
      </c>
      <c r="N928" s="1">
        <f t="shared" ca="1" si="271"/>
        <v>0.2</v>
      </c>
      <c r="O928" s="1">
        <f t="shared" ca="1" si="271"/>
        <v>0.2</v>
      </c>
      <c r="P928" s="1">
        <f t="shared" ca="1" si="271"/>
        <v>0.36</v>
      </c>
      <c r="Q928" s="1">
        <f t="shared" ca="1" si="271"/>
        <v>0.1</v>
      </c>
      <c r="R928" s="1">
        <f t="shared" ca="1" si="271"/>
        <v>2</v>
      </c>
      <c r="S928" s="1">
        <f t="shared" ca="1" si="272"/>
        <v>0.1</v>
      </c>
      <c r="T928" s="1">
        <f t="shared" ca="1" si="272"/>
        <v>0.9</v>
      </c>
      <c r="U928" s="1">
        <f t="shared" ca="1" si="272"/>
        <v>67.6666666666667</v>
      </c>
      <c r="V928" s="1">
        <f t="shared" ca="1" si="272"/>
        <v>0</v>
      </c>
      <c r="W928" s="1">
        <f t="shared" ca="1" si="272"/>
        <v>0</v>
      </c>
      <c r="X928" s="1">
        <f t="shared" ca="1" si="272"/>
        <v>0</v>
      </c>
      <c r="Y928" s="1">
        <f t="shared" ca="1" si="272"/>
        <v>0</v>
      </c>
      <c r="Z928" s="1">
        <f t="shared" ca="1" si="272"/>
        <v>0</v>
      </c>
      <c r="AA928" s="1">
        <f t="shared" ca="1" si="272"/>
        <v>0</v>
      </c>
      <c r="AB928" s="1">
        <f t="shared" ca="1" si="269"/>
        <v>135.32327586206895</v>
      </c>
      <c r="AC928" s="1">
        <f t="shared" ca="1" si="272"/>
        <v>49.583624999999998</v>
      </c>
      <c r="AD928" s="1">
        <f t="shared" ca="1" si="272"/>
        <v>49.583624999999998</v>
      </c>
      <c r="AE928" s="1">
        <f t="shared" ca="1" si="272"/>
        <v>49.583624999999998</v>
      </c>
      <c r="AF928" s="1">
        <f t="shared" ca="1" si="272"/>
        <v>49.583624999999998</v>
      </c>
      <c r="AG928" s="1">
        <f t="shared" ca="1" si="272"/>
        <v>49.583624999999998</v>
      </c>
      <c r="AH928" s="1">
        <f t="shared" ca="1" si="272"/>
        <v>49.583624999999998</v>
      </c>
      <c r="AI928" s="1">
        <f t="shared" ca="1" si="270"/>
        <v>74.375437500000004</v>
      </c>
    </row>
    <row r="929" spans="2:35" x14ac:dyDescent="0.15">
      <c r="B929" s="1" t="str">
        <f t="shared" si="265"/>
        <v>雷系36</v>
      </c>
      <c r="C929" s="1">
        <f t="shared" si="255"/>
        <v>36</v>
      </c>
      <c r="D929" s="14" t="s">
        <v>99</v>
      </c>
      <c r="E929" s="14">
        <f t="shared" si="256"/>
        <v>10</v>
      </c>
      <c r="F929" s="1" t="str">
        <f t="shared" si="263"/>
        <v>电击</v>
      </c>
      <c r="H929" s="1">
        <f t="shared" ca="1" si="264"/>
        <v>1052.9057567206801</v>
      </c>
      <c r="I929" s="1">
        <f t="shared" ca="1" si="271"/>
        <v>150</v>
      </c>
      <c r="J929" s="1">
        <f t="shared" ca="1" si="271"/>
        <v>440.96645962732902</v>
      </c>
      <c r="K929" s="1">
        <f t="shared" ca="1" si="271"/>
        <v>51.000300000000003</v>
      </c>
      <c r="L929" s="1">
        <f t="shared" ca="1" si="271"/>
        <v>440.96645962732902</v>
      </c>
      <c r="M929" s="1">
        <f t="shared" ca="1" si="271"/>
        <v>51.000300000000003</v>
      </c>
      <c r="N929" s="1">
        <f t="shared" ca="1" si="271"/>
        <v>0.2</v>
      </c>
      <c r="O929" s="1">
        <f t="shared" ca="1" si="271"/>
        <v>0.2</v>
      </c>
      <c r="P929" s="1">
        <f t="shared" ca="1" si="271"/>
        <v>0.36</v>
      </c>
      <c r="Q929" s="1">
        <f t="shared" ca="1" si="271"/>
        <v>0.1</v>
      </c>
      <c r="R929" s="1">
        <f t="shared" ca="1" si="271"/>
        <v>2</v>
      </c>
      <c r="S929" s="1">
        <f t="shared" ca="1" si="272"/>
        <v>0.1</v>
      </c>
      <c r="T929" s="1">
        <f t="shared" ca="1" si="272"/>
        <v>0.9</v>
      </c>
      <c r="U929" s="1">
        <f t="shared" ca="1" si="272"/>
        <v>69.599999999999994</v>
      </c>
      <c r="V929" s="1">
        <f t="shared" ca="1" si="272"/>
        <v>0</v>
      </c>
      <c r="W929" s="1">
        <f t="shared" ca="1" si="272"/>
        <v>0</v>
      </c>
      <c r="X929" s="1">
        <f t="shared" ca="1" si="272"/>
        <v>0</v>
      </c>
      <c r="Y929" s="1">
        <f t="shared" ca="1" si="272"/>
        <v>0</v>
      </c>
      <c r="Z929" s="1">
        <f t="shared" ca="1" si="272"/>
        <v>0</v>
      </c>
      <c r="AA929" s="1">
        <f t="shared" ca="1" si="272"/>
        <v>0</v>
      </c>
      <c r="AB929" s="1">
        <f t="shared" ca="1" si="272"/>
        <v>145.19627329192545</v>
      </c>
      <c r="AC929" s="1">
        <f t="shared" ca="1" si="272"/>
        <v>51.000300000000003</v>
      </c>
      <c r="AD929" s="1">
        <f t="shared" ca="1" si="272"/>
        <v>51.000300000000003</v>
      </c>
      <c r="AE929" s="1">
        <f t="shared" ca="1" si="272"/>
        <v>51.000300000000003</v>
      </c>
      <c r="AF929" s="1">
        <f t="shared" ca="1" si="272"/>
        <v>51.000300000000003</v>
      </c>
      <c r="AG929" s="1">
        <f t="shared" ca="1" si="272"/>
        <v>51.000300000000003</v>
      </c>
      <c r="AH929" s="1">
        <f t="shared" ca="1" si="272"/>
        <v>51.000300000000003</v>
      </c>
      <c r="AI929" s="1">
        <f t="shared" ca="1" si="270"/>
        <v>76.500450000000001</v>
      </c>
    </row>
    <row r="930" spans="2:35" x14ac:dyDescent="0.15">
      <c r="B930" s="1" t="str">
        <f t="shared" si="265"/>
        <v>雷系37</v>
      </c>
      <c r="C930" s="1">
        <f t="shared" si="255"/>
        <v>37</v>
      </c>
      <c r="D930" s="14" t="s">
        <v>99</v>
      </c>
      <c r="E930" s="14">
        <f t="shared" si="256"/>
        <v>10</v>
      </c>
      <c r="F930" s="1" t="str">
        <f t="shared" si="263"/>
        <v>电击</v>
      </c>
      <c r="H930" s="1">
        <f t="shared" ca="1" si="264"/>
        <v>1088.0026152780299</v>
      </c>
      <c r="I930" s="1">
        <f t="shared" ca="1" si="271"/>
        <v>150</v>
      </c>
      <c r="J930" s="1">
        <f t="shared" ca="1" si="271"/>
        <v>456.85958646616501</v>
      </c>
      <c r="K930" s="1">
        <f t="shared" ca="1" si="271"/>
        <v>52.416975000000001</v>
      </c>
      <c r="L930" s="1">
        <f t="shared" ca="1" si="271"/>
        <v>456.85958646616501</v>
      </c>
      <c r="M930" s="1">
        <f t="shared" ca="1" si="271"/>
        <v>52.416975000000001</v>
      </c>
      <c r="N930" s="1">
        <f t="shared" ca="1" si="271"/>
        <v>0.2</v>
      </c>
      <c r="O930" s="1">
        <f t="shared" ca="1" si="271"/>
        <v>0.2</v>
      </c>
      <c r="P930" s="1">
        <f t="shared" ca="1" si="271"/>
        <v>0.36</v>
      </c>
      <c r="Q930" s="1">
        <f t="shared" ca="1" si="271"/>
        <v>0.1</v>
      </c>
      <c r="R930" s="1">
        <f t="shared" ca="1" si="271"/>
        <v>2</v>
      </c>
      <c r="S930" s="1">
        <f t="shared" ca="1" si="272"/>
        <v>0.1</v>
      </c>
      <c r="T930" s="1">
        <f t="shared" ca="1" si="272"/>
        <v>0.9</v>
      </c>
      <c r="U930" s="1">
        <f t="shared" ca="1" si="272"/>
        <v>71.533333333333303</v>
      </c>
      <c r="V930" s="1">
        <f t="shared" ca="1" si="272"/>
        <v>0</v>
      </c>
      <c r="W930" s="1">
        <f t="shared" ca="1" si="272"/>
        <v>0</v>
      </c>
      <c r="X930" s="1">
        <f t="shared" ca="1" si="272"/>
        <v>0</v>
      </c>
      <c r="Y930" s="1">
        <f t="shared" ca="1" si="272"/>
        <v>0</v>
      </c>
      <c r="Z930" s="1">
        <f t="shared" ca="1" si="272"/>
        <v>0</v>
      </c>
      <c r="AA930" s="1">
        <f t="shared" ca="1" si="272"/>
        <v>0</v>
      </c>
      <c r="AB930" s="1">
        <f t="shared" ca="1" si="272"/>
        <v>155.5564849624065</v>
      </c>
      <c r="AC930" s="1">
        <f t="shared" ca="1" si="272"/>
        <v>52.416975000000001</v>
      </c>
      <c r="AD930" s="1">
        <f t="shared" ca="1" si="272"/>
        <v>52.416975000000001</v>
      </c>
      <c r="AE930" s="1">
        <f t="shared" ca="1" si="272"/>
        <v>52.416975000000001</v>
      </c>
      <c r="AF930" s="1">
        <f t="shared" ca="1" si="272"/>
        <v>52.416975000000001</v>
      </c>
      <c r="AG930" s="1">
        <f t="shared" ca="1" si="272"/>
        <v>52.416975000000001</v>
      </c>
      <c r="AH930" s="1">
        <f t="shared" ca="1" si="272"/>
        <v>52.416975000000001</v>
      </c>
      <c r="AI930" s="1">
        <f t="shared" ca="1" si="270"/>
        <v>78.625462499999998</v>
      </c>
    </row>
    <row r="931" spans="2:35" x14ac:dyDescent="0.15">
      <c r="B931" s="1" t="str">
        <f t="shared" si="265"/>
        <v>雷系38</v>
      </c>
      <c r="C931" s="1">
        <f t="shared" si="255"/>
        <v>38</v>
      </c>
      <c r="D931" s="14" t="s">
        <v>99</v>
      </c>
      <c r="E931" s="14">
        <f t="shared" si="256"/>
        <v>10</v>
      </c>
      <c r="F931" s="1" t="str">
        <f t="shared" si="263"/>
        <v>电击</v>
      </c>
      <c r="H931" s="1">
        <f t="shared" ca="1" si="264"/>
        <v>1123.4156617503199</v>
      </c>
      <c r="I931" s="1">
        <f t="shared" ca="1" si="271"/>
        <v>150</v>
      </c>
      <c r="J931" s="1">
        <f t="shared" ca="1" si="271"/>
        <v>472.98470290771201</v>
      </c>
      <c r="K931" s="1">
        <f t="shared" ca="1" si="271"/>
        <v>53.833649999999999</v>
      </c>
      <c r="L931" s="1">
        <f t="shared" ca="1" si="271"/>
        <v>472.98470290771201</v>
      </c>
      <c r="M931" s="1">
        <f t="shared" ca="1" si="271"/>
        <v>53.833649999999999</v>
      </c>
      <c r="N931" s="1">
        <f t="shared" ca="1" si="271"/>
        <v>0.2</v>
      </c>
      <c r="O931" s="1">
        <f t="shared" ca="1" si="271"/>
        <v>0.2</v>
      </c>
      <c r="P931" s="1">
        <f t="shared" ca="1" si="271"/>
        <v>0.36</v>
      </c>
      <c r="Q931" s="1">
        <f t="shared" ca="1" si="271"/>
        <v>0.1</v>
      </c>
      <c r="R931" s="1">
        <f t="shared" ca="1" si="271"/>
        <v>2</v>
      </c>
      <c r="S931" s="1">
        <f t="shared" ca="1" si="272"/>
        <v>0.1</v>
      </c>
      <c r="T931" s="1">
        <f t="shared" ca="1" si="272"/>
        <v>0.9</v>
      </c>
      <c r="U931" s="1">
        <f t="shared" ca="1" si="272"/>
        <v>73.466666666666697</v>
      </c>
      <c r="V931" s="1">
        <f t="shared" ca="1" si="272"/>
        <v>0</v>
      </c>
      <c r="W931" s="1">
        <f t="shared" ca="1" si="272"/>
        <v>0</v>
      </c>
      <c r="X931" s="1">
        <f t="shared" ca="1" si="272"/>
        <v>0</v>
      </c>
      <c r="Y931" s="1">
        <f t="shared" ca="1" si="272"/>
        <v>0</v>
      </c>
      <c r="Z931" s="1">
        <f t="shared" ca="1" si="272"/>
        <v>0</v>
      </c>
      <c r="AA931" s="1">
        <f t="shared" ca="1" si="272"/>
        <v>0</v>
      </c>
      <c r="AB931" s="1">
        <f t="shared" ca="1" si="272"/>
        <v>166.42054361567699</v>
      </c>
      <c r="AC931" s="1">
        <f t="shared" ca="1" si="272"/>
        <v>53.833649999999999</v>
      </c>
      <c r="AD931" s="1">
        <f t="shared" ca="1" si="272"/>
        <v>53.833649999999999</v>
      </c>
      <c r="AE931" s="1">
        <f t="shared" ca="1" si="272"/>
        <v>53.833649999999999</v>
      </c>
      <c r="AF931" s="1">
        <f t="shared" ca="1" si="272"/>
        <v>53.833649999999999</v>
      </c>
      <c r="AG931" s="1">
        <f t="shared" ca="1" si="272"/>
        <v>53.833649999999999</v>
      </c>
      <c r="AH931" s="1">
        <f t="shared" ca="1" si="272"/>
        <v>53.833649999999999</v>
      </c>
      <c r="AI931" s="1">
        <f t="shared" ca="1" si="270"/>
        <v>80.750474999999994</v>
      </c>
    </row>
    <row r="932" spans="2:35" x14ac:dyDescent="0.15">
      <c r="B932" s="1" t="str">
        <f t="shared" si="265"/>
        <v>雷系39</v>
      </c>
      <c r="C932" s="1">
        <f t="shared" si="255"/>
        <v>39</v>
      </c>
      <c r="D932" s="14" t="s">
        <v>99</v>
      </c>
      <c r="E932" s="14">
        <f t="shared" si="256"/>
        <v>10</v>
      </c>
      <c r="F932" s="1" t="str">
        <f t="shared" si="263"/>
        <v>电击</v>
      </c>
      <c r="H932" s="1">
        <f t="shared" ca="1" si="264"/>
        <v>1159.1448961375399</v>
      </c>
      <c r="I932" s="1">
        <f t="shared" ca="1" si="271"/>
        <v>150</v>
      </c>
      <c r="J932" s="1">
        <f t="shared" ca="1" si="271"/>
        <v>489.34553571428597</v>
      </c>
      <c r="K932" s="1">
        <f t="shared" ca="1" si="271"/>
        <v>55.250324999999997</v>
      </c>
      <c r="L932" s="1">
        <f t="shared" ca="1" si="271"/>
        <v>489.34553571428597</v>
      </c>
      <c r="M932" s="1">
        <f t="shared" ca="1" si="271"/>
        <v>55.250324999999997</v>
      </c>
      <c r="N932" s="1">
        <f t="shared" ca="1" si="271"/>
        <v>0.2</v>
      </c>
      <c r="O932" s="1">
        <f t="shared" ca="1" si="271"/>
        <v>0.2</v>
      </c>
      <c r="P932" s="1">
        <f t="shared" ca="1" si="271"/>
        <v>0.36</v>
      </c>
      <c r="Q932" s="1">
        <f t="shared" ca="1" si="271"/>
        <v>0.1</v>
      </c>
      <c r="R932" s="1">
        <f t="shared" ca="1" si="271"/>
        <v>2</v>
      </c>
      <c r="S932" s="1">
        <f t="shared" ca="1" si="272"/>
        <v>0.1</v>
      </c>
      <c r="T932" s="1">
        <f t="shared" ca="1" si="272"/>
        <v>0.9</v>
      </c>
      <c r="U932" s="1">
        <f t="shared" ca="1" si="272"/>
        <v>75.400000000000006</v>
      </c>
      <c r="V932" s="1">
        <f t="shared" ca="1" si="272"/>
        <v>0</v>
      </c>
      <c r="W932" s="1">
        <f t="shared" ca="1" si="272"/>
        <v>0</v>
      </c>
      <c r="X932" s="1">
        <f t="shared" ca="1" si="272"/>
        <v>0</v>
      </c>
      <c r="Y932" s="1">
        <f t="shared" ca="1" si="272"/>
        <v>0</v>
      </c>
      <c r="Z932" s="1">
        <f t="shared" ca="1" si="272"/>
        <v>0</v>
      </c>
      <c r="AA932" s="1">
        <f t="shared" ca="1" si="272"/>
        <v>0</v>
      </c>
      <c r="AB932" s="1">
        <f t="shared" ca="1" si="272"/>
        <v>177.8056760204085</v>
      </c>
      <c r="AC932" s="1">
        <f t="shared" ca="1" si="272"/>
        <v>55.250324999999997</v>
      </c>
      <c r="AD932" s="1">
        <f t="shared" ca="1" si="272"/>
        <v>55.250324999999997</v>
      </c>
      <c r="AE932" s="1">
        <f t="shared" ca="1" si="272"/>
        <v>55.250324999999997</v>
      </c>
      <c r="AF932" s="1">
        <f t="shared" ca="1" si="272"/>
        <v>55.250324999999997</v>
      </c>
      <c r="AG932" s="1">
        <f t="shared" ca="1" si="272"/>
        <v>55.250324999999997</v>
      </c>
      <c r="AH932" s="1">
        <f t="shared" ca="1" si="272"/>
        <v>55.250324999999997</v>
      </c>
      <c r="AI932" s="1">
        <f t="shared" ca="1" si="270"/>
        <v>82.875487499999991</v>
      </c>
    </row>
    <row r="933" spans="2:35" x14ac:dyDescent="0.15">
      <c r="B933" s="1" t="str">
        <f t="shared" si="265"/>
        <v>雷系40</v>
      </c>
      <c r="C933" s="1">
        <f t="shared" si="255"/>
        <v>40</v>
      </c>
      <c r="D933" s="14" t="s">
        <v>99</v>
      </c>
      <c r="E933" s="14">
        <f t="shared" si="256"/>
        <v>10</v>
      </c>
      <c r="F933" s="1" t="str">
        <f t="shared" si="263"/>
        <v>电击</v>
      </c>
      <c r="H933" s="1">
        <f t="shared" ca="1" si="264"/>
        <v>1195.1903184396899</v>
      </c>
      <c r="I933" s="1">
        <f t="shared" ref="I933:R942" ca="1" si="273">mVlookup($C933,monsterBaseDate,I$2,FALSE)*(1+mVlookup($E933,monsterType,I$2,FALSE))</f>
        <v>150</v>
      </c>
      <c r="J933" s="1">
        <f t="shared" ca="1" si="273"/>
        <v>505.94594594594599</v>
      </c>
      <c r="K933" s="1">
        <f t="shared" ca="1" si="273"/>
        <v>56.667000000000002</v>
      </c>
      <c r="L933" s="1">
        <f t="shared" ca="1" si="273"/>
        <v>505.94594594594599</v>
      </c>
      <c r="M933" s="1">
        <f t="shared" ca="1" si="273"/>
        <v>56.667000000000002</v>
      </c>
      <c r="N933" s="1">
        <f t="shared" ca="1" si="273"/>
        <v>0.2</v>
      </c>
      <c r="O933" s="1">
        <f t="shared" ca="1" si="273"/>
        <v>0.2</v>
      </c>
      <c r="P933" s="1">
        <f t="shared" ca="1" si="273"/>
        <v>0.36</v>
      </c>
      <c r="Q933" s="1">
        <f t="shared" ca="1" si="273"/>
        <v>0.1</v>
      </c>
      <c r="R933" s="1">
        <f t="shared" ca="1" si="273"/>
        <v>2</v>
      </c>
      <c r="S933" s="1">
        <f t="shared" ref="S933:AH948" ca="1" si="274">mVlookup($C933,monsterBaseDate,S$2,FALSE)*(1+mVlookup($E933,monsterType,S$2,FALSE))</f>
        <v>0.1</v>
      </c>
      <c r="T933" s="1">
        <f t="shared" ca="1" si="274"/>
        <v>0.9</v>
      </c>
      <c r="U933" s="1">
        <f t="shared" ca="1" si="274"/>
        <v>77.3333333333333</v>
      </c>
      <c r="V933" s="1">
        <f t="shared" ca="1" si="274"/>
        <v>0</v>
      </c>
      <c r="W933" s="1">
        <f t="shared" ca="1" si="274"/>
        <v>0</v>
      </c>
      <c r="X933" s="1">
        <f t="shared" ca="1" si="274"/>
        <v>0</v>
      </c>
      <c r="Y933" s="1">
        <f t="shared" ca="1" si="274"/>
        <v>0</v>
      </c>
      <c r="Z933" s="1">
        <f t="shared" ca="1" si="274"/>
        <v>0</v>
      </c>
      <c r="AA933" s="1">
        <f t="shared" ca="1" si="274"/>
        <v>0</v>
      </c>
      <c r="AB933" s="1">
        <f t="shared" ca="1" si="272"/>
        <v>189.72972972973048</v>
      </c>
      <c r="AC933" s="1">
        <f t="shared" ca="1" si="274"/>
        <v>56.667000000000002</v>
      </c>
      <c r="AD933" s="1">
        <f t="shared" ca="1" si="274"/>
        <v>56.667000000000002</v>
      </c>
      <c r="AE933" s="1">
        <f t="shared" ca="1" si="274"/>
        <v>56.667000000000002</v>
      </c>
      <c r="AF933" s="1">
        <f t="shared" ca="1" si="274"/>
        <v>56.667000000000002</v>
      </c>
      <c r="AG933" s="1">
        <f t="shared" ca="1" si="274"/>
        <v>56.667000000000002</v>
      </c>
      <c r="AH933" s="1">
        <f t="shared" ca="1" si="274"/>
        <v>56.667000000000002</v>
      </c>
      <c r="AI933" s="1">
        <f t="shared" ca="1" si="270"/>
        <v>85.000500000000002</v>
      </c>
    </row>
    <row r="934" spans="2:35" x14ac:dyDescent="0.15">
      <c r="B934" s="1" t="str">
        <f t="shared" si="265"/>
        <v>雷系41</v>
      </c>
      <c r="C934" s="1">
        <f t="shared" si="255"/>
        <v>41</v>
      </c>
      <c r="D934" s="14" t="s">
        <v>99</v>
      </c>
      <c r="E934" s="14">
        <f t="shared" si="256"/>
        <v>10</v>
      </c>
      <c r="F934" s="1" t="str">
        <f t="shared" si="263"/>
        <v>电击</v>
      </c>
      <c r="H934" s="1">
        <f t="shared" ca="1" si="264"/>
        <v>1231.5519286567701</v>
      </c>
      <c r="I934" s="1">
        <f t="shared" ca="1" si="273"/>
        <v>150</v>
      </c>
      <c r="J934" s="1">
        <f t="shared" ca="1" si="273"/>
        <v>522.78993506493498</v>
      </c>
      <c r="K934" s="1">
        <f t="shared" ca="1" si="273"/>
        <v>58.083674999999999</v>
      </c>
      <c r="L934" s="1">
        <f t="shared" ca="1" si="273"/>
        <v>522.78993506493498</v>
      </c>
      <c r="M934" s="1">
        <f t="shared" ca="1" si="273"/>
        <v>58.083674999999999</v>
      </c>
      <c r="N934" s="1">
        <f t="shared" ca="1" si="273"/>
        <v>0.2</v>
      </c>
      <c r="O934" s="1">
        <f t="shared" ca="1" si="273"/>
        <v>0.2</v>
      </c>
      <c r="P934" s="1">
        <f t="shared" ca="1" si="273"/>
        <v>0.36</v>
      </c>
      <c r="Q934" s="1">
        <f t="shared" ca="1" si="273"/>
        <v>0.1</v>
      </c>
      <c r="R934" s="1">
        <f t="shared" ca="1" si="273"/>
        <v>2</v>
      </c>
      <c r="S934" s="1">
        <f t="shared" ca="1" si="274"/>
        <v>0.1</v>
      </c>
      <c r="T934" s="1">
        <f t="shared" ca="1" si="274"/>
        <v>0.9</v>
      </c>
      <c r="U934" s="1">
        <f t="shared" ca="1" si="274"/>
        <v>79.266666666666694</v>
      </c>
      <c r="V934" s="1">
        <f t="shared" ca="1" si="274"/>
        <v>0</v>
      </c>
      <c r="W934" s="1">
        <f t="shared" ca="1" si="274"/>
        <v>0</v>
      </c>
      <c r="X934" s="1">
        <f t="shared" ca="1" si="274"/>
        <v>0</v>
      </c>
      <c r="Y934" s="1">
        <f t="shared" ca="1" si="274"/>
        <v>0</v>
      </c>
      <c r="Z934" s="1">
        <f t="shared" ca="1" si="274"/>
        <v>0</v>
      </c>
      <c r="AA934" s="1">
        <f t="shared" ca="1" si="274"/>
        <v>0</v>
      </c>
      <c r="AB934" s="1">
        <f t="shared" ca="1" si="272"/>
        <v>202.21120129870201</v>
      </c>
      <c r="AC934" s="1">
        <f t="shared" ca="1" si="274"/>
        <v>58.083674999999999</v>
      </c>
      <c r="AD934" s="1">
        <f t="shared" ca="1" si="274"/>
        <v>58.083674999999999</v>
      </c>
      <c r="AE934" s="1">
        <f t="shared" ca="1" si="274"/>
        <v>58.083674999999999</v>
      </c>
      <c r="AF934" s="1">
        <f t="shared" ca="1" si="274"/>
        <v>58.083674999999999</v>
      </c>
      <c r="AG934" s="1">
        <f t="shared" ca="1" si="274"/>
        <v>58.083674999999999</v>
      </c>
      <c r="AH934" s="1">
        <f t="shared" ca="1" si="274"/>
        <v>58.083674999999999</v>
      </c>
      <c r="AI934" s="1">
        <f t="shared" ca="1" si="270"/>
        <v>87.125512499999999</v>
      </c>
    </row>
    <row r="935" spans="2:35" x14ac:dyDescent="0.15">
      <c r="B935" s="1" t="str">
        <f t="shared" si="265"/>
        <v>雷系42</v>
      </c>
      <c r="C935" s="1">
        <f t="shared" ref="C935:C992" si="275">C836</f>
        <v>42</v>
      </c>
      <c r="D935" s="14" t="s">
        <v>99</v>
      </c>
      <c r="E935" s="14">
        <f t="shared" ref="E935:E998" si="276">E836+1</f>
        <v>10</v>
      </c>
      <c r="F935" s="1" t="str">
        <f t="shared" si="263"/>
        <v>电击</v>
      </c>
      <c r="H935" s="1">
        <f t="shared" ca="1" si="264"/>
        <v>1268.22972678878</v>
      </c>
      <c r="I935" s="1">
        <f t="shared" ca="1" si="273"/>
        <v>150</v>
      </c>
      <c r="J935" s="1">
        <f t="shared" ca="1" si="273"/>
        <v>539.88165137614703</v>
      </c>
      <c r="K935" s="1">
        <f t="shared" ca="1" si="273"/>
        <v>59.500349999999997</v>
      </c>
      <c r="L935" s="1">
        <f t="shared" ca="1" si="273"/>
        <v>539.88165137614703</v>
      </c>
      <c r="M935" s="1">
        <f t="shared" ca="1" si="273"/>
        <v>59.500349999999997</v>
      </c>
      <c r="N935" s="1">
        <f t="shared" ca="1" si="273"/>
        <v>0.2</v>
      </c>
      <c r="O935" s="1">
        <f t="shared" ca="1" si="273"/>
        <v>0.2</v>
      </c>
      <c r="P935" s="1">
        <f t="shared" ca="1" si="273"/>
        <v>0.36</v>
      </c>
      <c r="Q935" s="1">
        <f t="shared" ca="1" si="273"/>
        <v>0.1</v>
      </c>
      <c r="R935" s="1">
        <f t="shared" ca="1" si="273"/>
        <v>2</v>
      </c>
      <c r="S935" s="1">
        <f t="shared" ca="1" si="274"/>
        <v>0.1</v>
      </c>
      <c r="T935" s="1">
        <f t="shared" ca="1" si="274"/>
        <v>0.9</v>
      </c>
      <c r="U935" s="1">
        <f t="shared" ca="1" si="274"/>
        <v>81.2</v>
      </c>
      <c r="V935" s="1">
        <f t="shared" ca="1" si="274"/>
        <v>0</v>
      </c>
      <c r="W935" s="1">
        <f t="shared" ca="1" si="274"/>
        <v>0</v>
      </c>
      <c r="X935" s="1">
        <f t="shared" ca="1" si="274"/>
        <v>0</v>
      </c>
      <c r="Y935" s="1">
        <f t="shared" ca="1" si="274"/>
        <v>0</v>
      </c>
      <c r="Z935" s="1">
        <f t="shared" ca="1" si="274"/>
        <v>0</v>
      </c>
      <c r="AA935" s="1">
        <f t="shared" ca="1" si="274"/>
        <v>0</v>
      </c>
      <c r="AB935" s="1">
        <f t="shared" ca="1" si="272"/>
        <v>215.26926605504551</v>
      </c>
      <c r="AC935" s="1">
        <f t="shared" ca="1" si="274"/>
        <v>59.500349999999997</v>
      </c>
      <c r="AD935" s="1">
        <f t="shared" ca="1" si="274"/>
        <v>59.500349999999997</v>
      </c>
      <c r="AE935" s="1">
        <f t="shared" ca="1" si="274"/>
        <v>59.500349999999997</v>
      </c>
      <c r="AF935" s="1">
        <f t="shared" ca="1" si="274"/>
        <v>59.500349999999997</v>
      </c>
      <c r="AG935" s="1">
        <f t="shared" ca="1" si="274"/>
        <v>59.500349999999997</v>
      </c>
      <c r="AH935" s="1">
        <f t="shared" ca="1" si="274"/>
        <v>59.500349999999997</v>
      </c>
      <c r="AI935" s="1">
        <f t="shared" ca="1" si="270"/>
        <v>89.250524999999996</v>
      </c>
    </row>
    <row r="936" spans="2:35" x14ac:dyDescent="0.15">
      <c r="B936" s="1" t="str">
        <f t="shared" si="265"/>
        <v>雷系43</v>
      </c>
      <c r="C936" s="1">
        <f t="shared" si="275"/>
        <v>43</v>
      </c>
      <c r="D936" s="14" t="s">
        <v>99</v>
      </c>
      <c r="E936" s="14">
        <f t="shared" si="276"/>
        <v>10</v>
      </c>
      <c r="F936" s="1" t="str">
        <f t="shared" si="263"/>
        <v>电击</v>
      </c>
      <c r="H936" s="1">
        <f t="shared" ca="1" si="264"/>
        <v>1305.2237128357201</v>
      </c>
      <c r="I936" s="1">
        <f t="shared" ca="1" si="273"/>
        <v>150</v>
      </c>
      <c r="J936" s="1">
        <f t="shared" ca="1" si="273"/>
        <v>557.22539682539696</v>
      </c>
      <c r="K936" s="1">
        <f t="shared" ca="1" si="273"/>
        <v>60.917025000000002</v>
      </c>
      <c r="L936" s="1">
        <f t="shared" ca="1" si="273"/>
        <v>557.22539682539696</v>
      </c>
      <c r="M936" s="1">
        <f t="shared" ca="1" si="273"/>
        <v>60.917025000000002</v>
      </c>
      <c r="N936" s="1">
        <f t="shared" ca="1" si="273"/>
        <v>0.2</v>
      </c>
      <c r="O936" s="1">
        <f t="shared" ca="1" si="273"/>
        <v>0.2</v>
      </c>
      <c r="P936" s="1">
        <f t="shared" ca="1" si="273"/>
        <v>0.36</v>
      </c>
      <c r="Q936" s="1">
        <f t="shared" ca="1" si="273"/>
        <v>0.1</v>
      </c>
      <c r="R936" s="1">
        <f t="shared" ca="1" si="273"/>
        <v>2</v>
      </c>
      <c r="S936" s="1">
        <f t="shared" ca="1" si="274"/>
        <v>0.1</v>
      </c>
      <c r="T936" s="1">
        <f t="shared" ca="1" si="274"/>
        <v>0.9</v>
      </c>
      <c r="U936" s="1">
        <f t="shared" ca="1" si="274"/>
        <v>83.133333333333297</v>
      </c>
      <c r="V936" s="1">
        <f t="shared" ca="1" si="274"/>
        <v>0</v>
      </c>
      <c r="W936" s="1">
        <f t="shared" ca="1" si="274"/>
        <v>0</v>
      </c>
      <c r="X936" s="1">
        <f t="shared" ca="1" si="274"/>
        <v>0</v>
      </c>
      <c r="Y936" s="1">
        <f t="shared" ca="1" si="274"/>
        <v>0</v>
      </c>
      <c r="Z936" s="1">
        <f t="shared" ca="1" si="274"/>
        <v>0</v>
      </c>
      <c r="AA936" s="1">
        <f t="shared" ca="1" si="274"/>
        <v>0</v>
      </c>
      <c r="AB936" s="1">
        <f t="shared" ca="1" si="272"/>
        <v>228.9238095238095</v>
      </c>
      <c r="AC936" s="1">
        <f t="shared" ca="1" si="274"/>
        <v>60.917025000000002</v>
      </c>
      <c r="AD936" s="1">
        <f t="shared" ca="1" si="274"/>
        <v>60.917025000000002</v>
      </c>
      <c r="AE936" s="1">
        <f t="shared" ca="1" si="274"/>
        <v>60.917025000000002</v>
      </c>
      <c r="AF936" s="1">
        <f t="shared" ca="1" si="274"/>
        <v>60.917025000000002</v>
      </c>
      <c r="AG936" s="1">
        <f t="shared" ca="1" si="274"/>
        <v>60.917025000000002</v>
      </c>
      <c r="AH936" s="1">
        <f t="shared" ca="1" si="274"/>
        <v>60.917025000000002</v>
      </c>
      <c r="AI936" s="1">
        <f t="shared" ca="1" si="270"/>
        <v>91.375537500000007</v>
      </c>
    </row>
    <row r="937" spans="2:35" x14ac:dyDescent="0.15">
      <c r="B937" s="1" t="str">
        <f t="shared" si="265"/>
        <v>雷系44</v>
      </c>
      <c r="C937" s="1">
        <f t="shared" si="275"/>
        <v>44</v>
      </c>
      <c r="D937" s="14" t="s">
        <v>99</v>
      </c>
      <c r="E937" s="14">
        <f t="shared" si="276"/>
        <v>10</v>
      </c>
      <c r="F937" s="1" t="str">
        <f t="shared" si="263"/>
        <v>电击</v>
      </c>
      <c r="H937" s="1">
        <f t="shared" ca="1" si="264"/>
        <v>1342.53388679759</v>
      </c>
      <c r="I937" s="1">
        <f t="shared" ca="1" si="273"/>
        <v>150</v>
      </c>
      <c r="J937" s="1">
        <f t="shared" ca="1" si="273"/>
        <v>574.82563417890503</v>
      </c>
      <c r="K937" s="1">
        <f t="shared" ca="1" si="273"/>
        <v>62.3337</v>
      </c>
      <c r="L937" s="1">
        <f t="shared" ca="1" si="273"/>
        <v>574.82563417890503</v>
      </c>
      <c r="M937" s="1">
        <f t="shared" ca="1" si="273"/>
        <v>62.3337</v>
      </c>
      <c r="N937" s="1">
        <f t="shared" ca="1" si="273"/>
        <v>0.2</v>
      </c>
      <c r="O937" s="1">
        <f t="shared" ca="1" si="273"/>
        <v>0.2</v>
      </c>
      <c r="P937" s="1">
        <f t="shared" ca="1" si="273"/>
        <v>0.36</v>
      </c>
      <c r="Q937" s="1">
        <f t="shared" ca="1" si="273"/>
        <v>0.1</v>
      </c>
      <c r="R937" s="1">
        <f t="shared" ca="1" si="273"/>
        <v>2</v>
      </c>
      <c r="S937" s="1">
        <f t="shared" ca="1" si="274"/>
        <v>0.1</v>
      </c>
      <c r="T937" s="1">
        <f t="shared" ca="1" si="274"/>
        <v>0.9</v>
      </c>
      <c r="U937" s="1">
        <f t="shared" ca="1" si="274"/>
        <v>85.066666666666706</v>
      </c>
      <c r="V937" s="1">
        <f t="shared" ca="1" si="274"/>
        <v>0</v>
      </c>
      <c r="W937" s="1">
        <f t="shared" ca="1" si="274"/>
        <v>0</v>
      </c>
      <c r="X937" s="1">
        <f t="shared" ca="1" si="274"/>
        <v>0</v>
      </c>
      <c r="Y937" s="1">
        <f t="shared" ca="1" si="274"/>
        <v>0</v>
      </c>
      <c r="Z937" s="1">
        <f t="shared" ca="1" si="274"/>
        <v>0</v>
      </c>
      <c r="AA937" s="1">
        <f t="shared" ca="1" si="274"/>
        <v>0</v>
      </c>
      <c r="AB937" s="1">
        <f t="shared" ca="1" si="272"/>
        <v>243.19546061415303</v>
      </c>
      <c r="AC937" s="1">
        <f t="shared" ca="1" si="274"/>
        <v>62.3337</v>
      </c>
      <c r="AD937" s="1">
        <f t="shared" ca="1" si="274"/>
        <v>62.3337</v>
      </c>
      <c r="AE937" s="1">
        <f t="shared" ca="1" si="274"/>
        <v>62.3337</v>
      </c>
      <c r="AF937" s="1">
        <f t="shared" ca="1" si="274"/>
        <v>62.3337</v>
      </c>
      <c r="AG937" s="1">
        <f t="shared" ca="1" si="274"/>
        <v>62.3337</v>
      </c>
      <c r="AH937" s="1">
        <f t="shared" ca="1" si="274"/>
        <v>62.3337</v>
      </c>
      <c r="AI937" s="1">
        <f t="shared" ca="1" si="270"/>
        <v>93.500550000000004</v>
      </c>
    </row>
    <row r="938" spans="2:35" x14ac:dyDescent="0.15">
      <c r="B938" s="1" t="str">
        <f t="shared" si="265"/>
        <v>雷系45</v>
      </c>
      <c r="C938" s="1">
        <f t="shared" si="275"/>
        <v>45</v>
      </c>
      <c r="D938" s="14" t="s">
        <v>99</v>
      </c>
      <c r="E938" s="14">
        <f t="shared" si="276"/>
        <v>10</v>
      </c>
      <c r="F938" s="1" t="str">
        <f t="shared" si="263"/>
        <v>电击</v>
      </c>
      <c r="H938" s="1">
        <f t="shared" ca="1" si="264"/>
        <v>1433.4145567624901</v>
      </c>
      <c r="I938" s="1">
        <f t="shared" ca="1" si="273"/>
        <v>150</v>
      </c>
      <c r="J938" s="1">
        <f t="shared" ca="1" si="273"/>
        <v>592.68699460916503</v>
      </c>
      <c r="K938" s="1">
        <f t="shared" ca="1" si="273"/>
        <v>63.750374999999998</v>
      </c>
      <c r="L938" s="1">
        <f t="shared" ca="1" si="273"/>
        <v>592.68699460916503</v>
      </c>
      <c r="M938" s="1">
        <f t="shared" ca="1" si="273"/>
        <v>63.750374999999998</v>
      </c>
      <c r="N938" s="1">
        <f t="shared" ca="1" si="273"/>
        <v>0.2</v>
      </c>
      <c r="O938" s="1">
        <f t="shared" ca="1" si="273"/>
        <v>0.2</v>
      </c>
      <c r="P938" s="1">
        <f t="shared" ca="1" si="273"/>
        <v>0.36</v>
      </c>
      <c r="Q938" s="1">
        <f t="shared" ca="1" si="273"/>
        <v>0.1</v>
      </c>
      <c r="R938" s="1">
        <f t="shared" ca="1" si="273"/>
        <v>2</v>
      </c>
      <c r="S938" s="1">
        <f t="shared" ca="1" si="274"/>
        <v>0.1</v>
      </c>
      <c r="T938" s="1">
        <f t="shared" ca="1" si="274"/>
        <v>0.9</v>
      </c>
      <c r="U938" s="1">
        <f t="shared" ca="1" si="274"/>
        <v>87</v>
      </c>
      <c r="V938" s="1">
        <f t="shared" ca="1" si="274"/>
        <v>0</v>
      </c>
      <c r="W938" s="1">
        <f t="shared" ca="1" si="274"/>
        <v>0</v>
      </c>
      <c r="X938" s="1">
        <f t="shared" ca="1" si="274"/>
        <v>0</v>
      </c>
      <c r="Y938" s="1">
        <f t="shared" ca="1" si="274"/>
        <v>0</v>
      </c>
      <c r="Z938" s="1">
        <f t="shared" ca="1" si="274"/>
        <v>0</v>
      </c>
      <c r="AA938" s="1">
        <f t="shared" ca="1" si="274"/>
        <v>0</v>
      </c>
      <c r="AB938" s="1">
        <f t="shared" ca="1" si="272"/>
        <v>258.105626684637</v>
      </c>
      <c r="AC938" s="1">
        <f t="shared" ca="1" si="274"/>
        <v>63.750374999999998</v>
      </c>
      <c r="AD938" s="1">
        <f t="shared" ca="1" si="274"/>
        <v>63.750374999999998</v>
      </c>
      <c r="AE938" s="1">
        <f t="shared" ca="1" si="274"/>
        <v>63.750374999999998</v>
      </c>
      <c r="AF938" s="1">
        <f t="shared" ca="1" si="274"/>
        <v>63.750374999999998</v>
      </c>
      <c r="AG938" s="1">
        <f t="shared" ca="1" si="274"/>
        <v>63.750374999999998</v>
      </c>
      <c r="AH938" s="1">
        <f t="shared" ca="1" si="274"/>
        <v>63.750374999999998</v>
      </c>
      <c r="AI938" s="1">
        <f t="shared" ca="1" si="270"/>
        <v>95.625562500000001</v>
      </c>
    </row>
    <row r="939" spans="2:35" x14ac:dyDescent="0.15">
      <c r="B939" s="1" t="str">
        <f t="shared" si="265"/>
        <v>雷系46</v>
      </c>
      <c r="C939" s="1">
        <f t="shared" si="275"/>
        <v>46</v>
      </c>
      <c r="D939" s="14" t="s">
        <v>99</v>
      </c>
      <c r="E939" s="14">
        <f t="shared" si="276"/>
        <v>10</v>
      </c>
      <c r="F939" s="1" t="str">
        <f t="shared" si="263"/>
        <v>电击</v>
      </c>
      <c r="H939" s="1">
        <f t="shared" ca="1" si="264"/>
        <v>1472.82114251541</v>
      </c>
      <c r="I939" s="1">
        <f t="shared" ca="1" si="273"/>
        <v>150</v>
      </c>
      <c r="J939" s="1">
        <f t="shared" ca="1" si="273"/>
        <v>610.81428571428603</v>
      </c>
      <c r="K939" s="1">
        <f t="shared" ca="1" si="273"/>
        <v>65.167050000000003</v>
      </c>
      <c r="L939" s="1">
        <f t="shared" ca="1" si="273"/>
        <v>610.81428571428603</v>
      </c>
      <c r="M939" s="1">
        <f t="shared" ca="1" si="273"/>
        <v>65.167050000000003</v>
      </c>
      <c r="N939" s="1">
        <f t="shared" ca="1" si="273"/>
        <v>0.2</v>
      </c>
      <c r="O939" s="1">
        <f t="shared" ca="1" si="273"/>
        <v>0.2</v>
      </c>
      <c r="P939" s="1">
        <f t="shared" ca="1" si="273"/>
        <v>0.36</v>
      </c>
      <c r="Q939" s="1">
        <f t="shared" ca="1" si="273"/>
        <v>0.1</v>
      </c>
      <c r="R939" s="1">
        <f t="shared" ca="1" si="273"/>
        <v>2</v>
      </c>
      <c r="S939" s="1">
        <f t="shared" ca="1" si="274"/>
        <v>0.1</v>
      </c>
      <c r="T939" s="1">
        <f t="shared" ca="1" si="274"/>
        <v>0.9</v>
      </c>
      <c r="U939" s="1">
        <f t="shared" ca="1" si="274"/>
        <v>88.933333333333294</v>
      </c>
      <c r="V939" s="1">
        <f t="shared" ca="1" si="274"/>
        <v>0</v>
      </c>
      <c r="W939" s="1">
        <f t="shared" ca="1" si="274"/>
        <v>0</v>
      </c>
      <c r="X939" s="1">
        <f t="shared" ca="1" si="274"/>
        <v>0</v>
      </c>
      <c r="Y939" s="1">
        <f t="shared" ca="1" si="274"/>
        <v>0</v>
      </c>
      <c r="Z939" s="1">
        <f t="shared" ca="1" si="274"/>
        <v>0</v>
      </c>
      <c r="AA939" s="1">
        <f t="shared" ca="1" si="274"/>
        <v>0</v>
      </c>
      <c r="AB939" s="1">
        <f t="shared" ca="1" si="274"/>
        <v>273.67653061224451</v>
      </c>
      <c r="AC939" s="1">
        <f t="shared" ca="1" si="274"/>
        <v>65.167050000000003</v>
      </c>
      <c r="AD939" s="1">
        <f t="shared" ca="1" si="274"/>
        <v>65.167050000000003</v>
      </c>
      <c r="AE939" s="1">
        <f t="shared" ca="1" si="274"/>
        <v>65.167050000000003</v>
      </c>
      <c r="AF939" s="1">
        <f t="shared" ca="1" si="274"/>
        <v>65.167050000000003</v>
      </c>
      <c r="AG939" s="1">
        <f t="shared" ca="1" si="274"/>
        <v>65.167050000000003</v>
      </c>
      <c r="AH939" s="1">
        <f t="shared" ca="1" si="274"/>
        <v>65.167050000000003</v>
      </c>
      <c r="AI939" s="1">
        <f t="shared" ca="1" si="270"/>
        <v>97.750574999999998</v>
      </c>
    </row>
    <row r="940" spans="2:35" x14ac:dyDescent="0.15">
      <c r="B940" s="1" t="str">
        <f t="shared" si="265"/>
        <v>雷系47</v>
      </c>
      <c r="C940" s="1">
        <f t="shared" si="275"/>
        <v>47</v>
      </c>
      <c r="D940" s="14" t="s">
        <v>99</v>
      </c>
      <c r="E940" s="14">
        <f t="shared" si="276"/>
        <v>10</v>
      </c>
      <c r="F940" s="1" t="str">
        <f t="shared" si="263"/>
        <v>电击</v>
      </c>
      <c r="H940" s="1">
        <f t="shared" ca="1" si="264"/>
        <v>1512.5561164829401</v>
      </c>
      <c r="I940" s="1">
        <f t="shared" ca="1" si="273"/>
        <v>150</v>
      </c>
      <c r="J940" s="1">
        <f t="shared" ca="1" si="273"/>
        <v>629.21249999999998</v>
      </c>
      <c r="K940" s="1">
        <f t="shared" ca="1" si="273"/>
        <v>66.583725000000001</v>
      </c>
      <c r="L940" s="1">
        <f t="shared" ca="1" si="273"/>
        <v>629.21249999999998</v>
      </c>
      <c r="M940" s="1">
        <f t="shared" ca="1" si="273"/>
        <v>66.583725000000001</v>
      </c>
      <c r="N940" s="1">
        <f t="shared" ca="1" si="273"/>
        <v>0.2</v>
      </c>
      <c r="O940" s="1">
        <f t="shared" ca="1" si="273"/>
        <v>0.2</v>
      </c>
      <c r="P940" s="1">
        <f t="shared" ca="1" si="273"/>
        <v>0.36</v>
      </c>
      <c r="Q940" s="1">
        <f t="shared" ca="1" si="273"/>
        <v>0.1</v>
      </c>
      <c r="R940" s="1">
        <f t="shared" ca="1" si="273"/>
        <v>2</v>
      </c>
      <c r="S940" s="1">
        <f t="shared" ca="1" si="274"/>
        <v>0.1</v>
      </c>
      <c r="T940" s="1">
        <f t="shared" ca="1" si="274"/>
        <v>0.9</v>
      </c>
      <c r="U940" s="1">
        <f t="shared" ca="1" si="274"/>
        <v>90.866666666666703</v>
      </c>
      <c r="V940" s="1">
        <f t="shared" ca="1" si="274"/>
        <v>0</v>
      </c>
      <c r="W940" s="1">
        <f t="shared" ca="1" si="274"/>
        <v>0</v>
      </c>
      <c r="X940" s="1">
        <f t="shared" ca="1" si="274"/>
        <v>0</v>
      </c>
      <c r="Y940" s="1">
        <f t="shared" ca="1" si="274"/>
        <v>0</v>
      </c>
      <c r="Z940" s="1">
        <f t="shared" ca="1" si="274"/>
        <v>0</v>
      </c>
      <c r="AA940" s="1">
        <f t="shared" ca="1" si="274"/>
        <v>0</v>
      </c>
      <c r="AB940" s="1">
        <f t="shared" ca="1" si="274"/>
        <v>289.93124999999998</v>
      </c>
      <c r="AC940" s="1">
        <f t="shared" ca="1" si="274"/>
        <v>66.583725000000001</v>
      </c>
      <c r="AD940" s="1">
        <f t="shared" ca="1" si="274"/>
        <v>66.583725000000001</v>
      </c>
      <c r="AE940" s="1">
        <f t="shared" ca="1" si="274"/>
        <v>66.583725000000001</v>
      </c>
      <c r="AF940" s="1">
        <f t="shared" ca="1" si="274"/>
        <v>66.583725000000001</v>
      </c>
      <c r="AG940" s="1">
        <f t="shared" ca="1" si="274"/>
        <v>66.583725000000001</v>
      </c>
      <c r="AH940" s="1">
        <f t="shared" ca="1" si="274"/>
        <v>66.583725000000001</v>
      </c>
      <c r="AI940" s="1">
        <f t="shared" ca="1" si="270"/>
        <v>99.875587499999995</v>
      </c>
    </row>
    <row r="941" spans="2:35" x14ac:dyDescent="0.15">
      <c r="B941" s="1" t="str">
        <f t="shared" si="265"/>
        <v>雷系48</v>
      </c>
      <c r="C941" s="1">
        <f t="shared" si="275"/>
        <v>48</v>
      </c>
      <c r="D941" s="14" t="s">
        <v>99</v>
      </c>
      <c r="E941" s="14">
        <f t="shared" si="276"/>
        <v>10</v>
      </c>
      <c r="F941" s="1" t="str">
        <f t="shared" si="263"/>
        <v>电击</v>
      </c>
      <c r="H941" s="1">
        <f t="shared" ca="1" si="264"/>
        <v>1552.6194786650699</v>
      </c>
      <c r="I941" s="1">
        <f t="shared" ca="1" si="273"/>
        <v>150</v>
      </c>
      <c r="J941" s="1">
        <f t="shared" ca="1" si="273"/>
        <v>647.88682385575601</v>
      </c>
      <c r="K941" s="1">
        <f t="shared" ca="1" si="273"/>
        <v>68.000399999999999</v>
      </c>
      <c r="L941" s="1">
        <f t="shared" ca="1" si="273"/>
        <v>647.88682385575601</v>
      </c>
      <c r="M941" s="1">
        <f t="shared" ca="1" si="273"/>
        <v>68.000399999999999</v>
      </c>
      <c r="N941" s="1">
        <f t="shared" ca="1" si="273"/>
        <v>0.2</v>
      </c>
      <c r="O941" s="1">
        <f t="shared" ca="1" si="273"/>
        <v>0.2</v>
      </c>
      <c r="P941" s="1">
        <f t="shared" ca="1" si="273"/>
        <v>0.36</v>
      </c>
      <c r="Q941" s="1">
        <f t="shared" ca="1" si="273"/>
        <v>0.1</v>
      </c>
      <c r="R941" s="1">
        <f t="shared" ca="1" si="273"/>
        <v>2</v>
      </c>
      <c r="S941" s="1">
        <f t="shared" ca="1" si="274"/>
        <v>0.1</v>
      </c>
      <c r="T941" s="1">
        <f t="shared" ca="1" si="274"/>
        <v>0.9</v>
      </c>
      <c r="U941" s="1">
        <f t="shared" ca="1" si="274"/>
        <v>92.8</v>
      </c>
      <c r="V941" s="1">
        <f t="shared" ca="1" si="274"/>
        <v>0</v>
      </c>
      <c r="W941" s="1">
        <f t="shared" ca="1" si="274"/>
        <v>0</v>
      </c>
      <c r="X941" s="1">
        <f t="shared" ca="1" si="274"/>
        <v>0</v>
      </c>
      <c r="Y941" s="1">
        <f t="shared" ca="1" si="274"/>
        <v>0</v>
      </c>
      <c r="Z941" s="1">
        <f t="shared" ca="1" si="274"/>
        <v>0</v>
      </c>
      <c r="AA941" s="1">
        <f t="shared" ca="1" si="274"/>
        <v>0</v>
      </c>
      <c r="AB941" s="1">
        <f t="shared" ca="1" si="274"/>
        <v>306.893758668516</v>
      </c>
      <c r="AC941" s="1">
        <f t="shared" ca="1" si="274"/>
        <v>68.000399999999999</v>
      </c>
      <c r="AD941" s="1">
        <f t="shared" ca="1" si="274"/>
        <v>68.000399999999999</v>
      </c>
      <c r="AE941" s="1">
        <f t="shared" ca="1" si="274"/>
        <v>68.000399999999999</v>
      </c>
      <c r="AF941" s="1">
        <f t="shared" ca="1" si="274"/>
        <v>68.000399999999999</v>
      </c>
      <c r="AG941" s="1">
        <f t="shared" ca="1" si="274"/>
        <v>68.000399999999999</v>
      </c>
      <c r="AH941" s="1">
        <f t="shared" ca="1" si="274"/>
        <v>68.000399999999999</v>
      </c>
      <c r="AI941" s="1">
        <f t="shared" ca="1" si="270"/>
        <v>102.00059999999999</v>
      </c>
    </row>
    <row r="942" spans="2:35" x14ac:dyDescent="0.15">
      <c r="B942" s="1" t="str">
        <f t="shared" si="265"/>
        <v>雷系49</v>
      </c>
      <c r="C942" s="1">
        <f t="shared" si="275"/>
        <v>49</v>
      </c>
      <c r="D942" s="14" t="s">
        <v>99</v>
      </c>
      <c r="E942" s="14">
        <f t="shared" si="276"/>
        <v>10</v>
      </c>
      <c r="F942" s="1" t="str">
        <f t="shared" si="263"/>
        <v>电击</v>
      </c>
      <c r="H942" s="1">
        <f t="shared" ca="1" si="264"/>
        <v>1593.0112290618199</v>
      </c>
      <c r="I942" s="1">
        <f t="shared" ca="1" si="273"/>
        <v>150</v>
      </c>
      <c r="J942" s="1">
        <f t="shared" ca="1" si="273"/>
        <v>666.84264705882401</v>
      </c>
      <c r="K942" s="1">
        <f t="shared" ca="1" si="273"/>
        <v>69.417074999999997</v>
      </c>
      <c r="L942" s="1">
        <f t="shared" ca="1" si="273"/>
        <v>666.84264705882401</v>
      </c>
      <c r="M942" s="1">
        <f t="shared" ca="1" si="273"/>
        <v>69.417074999999997</v>
      </c>
      <c r="N942" s="1">
        <f t="shared" ca="1" si="273"/>
        <v>0.2</v>
      </c>
      <c r="O942" s="1">
        <f t="shared" ca="1" si="273"/>
        <v>0.2</v>
      </c>
      <c r="P942" s="1">
        <f t="shared" ca="1" si="273"/>
        <v>0.36</v>
      </c>
      <c r="Q942" s="1">
        <f t="shared" ca="1" si="273"/>
        <v>0.1</v>
      </c>
      <c r="R942" s="1">
        <f t="shared" ca="1" si="273"/>
        <v>2</v>
      </c>
      <c r="S942" s="1">
        <f t="shared" ca="1" si="274"/>
        <v>0.1</v>
      </c>
      <c r="T942" s="1">
        <f t="shared" ca="1" si="274"/>
        <v>0.9</v>
      </c>
      <c r="U942" s="1">
        <f t="shared" ca="1" si="274"/>
        <v>94.733333333333306</v>
      </c>
      <c r="V942" s="1">
        <f t="shared" ca="1" si="274"/>
        <v>0</v>
      </c>
      <c r="W942" s="1">
        <f t="shared" ca="1" si="274"/>
        <v>0</v>
      </c>
      <c r="X942" s="1">
        <f t="shared" ca="1" si="274"/>
        <v>0</v>
      </c>
      <c r="Y942" s="1">
        <f t="shared" ca="1" si="274"/>
        <v>0</v>
      </c>
      <c r="Z942" s="1">
        <f t="shared" ca="1" si="274"/>
        <v>0</v>
      </c>
      <c r="AA942" s="1">
        <f t="shared" ca="1" si="274"/>
        <v>0</v>
      </c>
      <c r="AB942" s="1">
        <f t="shared" ca="1" si="274"/>
        <v>324.58897058823601</v>
      </c>
      <c r="AC942" s="1">
        <f t="shared" ca="1" si="274"/>
        <v>69.417074999999997</v>
      </c>
      <c r="AD942" s="1">
        <f t="shared" ca="1" si="274"/>
        <v>69.417074999999997</v>
      </c>
      <c r="AE942" s="1">
        <f t="shared" ca="1" si="274"/>
        <v>69.417074999999997</v>
      </c>
      <c r="AF942" s="1">
        <f t="shared" ca="1" si="274"/>
        <v>69.417074999999997</v>
      </c>
      <c r="AG942" s="1">
        <f t="shared" ca="1" si="274"/>
        <v>69.417074999999997</v>
      </c>
      <c r="AH942" s="1">
        <f t="shared" ca="1" si="274"/>
        <v>69.417074999999997</v>
      </c>
      <c r="AI942" s="1">
        <f t="shared" ca="1" si="270"/>
        <v>104.12561249999999</v>
      </c>
    </row>
    <row r="943" spans="2:35" x14ac:dyDescent="0.15">
      <c r="B943" s="1" t="str">
        <f t="shared" si="265"/>
        <v>雷系50</v>
      </c>
      <c r="C943" s="1">
        <f t="shared" si="275"/>
        <v>50</v>
      </c>
      <c r="D943" s="14" t="s">
        <v>99</v>
      </c>
      <c r="E943" s="14">
        <f t="shared" si="276"/>
        <v>10</v>
      </c>
      <c r="F943" s="1" t="str">
        <f t="shared" si="263"/>
        <v>电击</v>
      </c>
      <c r="H943" s="1">
        <f t="shared" ca="1" si="264"/>
        <v>1633.7313676731701</v>
      </c>
      <c r="I943" s="1">
        <f t="shared" ref="I943:R952" ca="1" si="277">mVlookup($C943,monsterBaseDate,I$2,FALSE)*(1+mVlookup($E943,monsterType,I$2,FALSE))</f>
        <v>150</v>
      </c>
      <c r="J943" s="1">
        <f t="shared" ca="1" si="277"/>
        <v>686.085572842999</v>
      </c>
      <c r="K943" s="1">
        <f t="shared" ca="1" si="277"/>
        <v>70.833749999999995</v>
      </c>
      <c r="L943" s="1">
        <f t="shared" ca="1" si="277"/>
        <v>686.085572842999</v>
      </c>
      <c r="M943" s="1">
        <f t="shared" ca="1" si="277"/>
        <v>70.833749999999995</v>
      </c>
      <c r="N943" s="1">
        <f t="shared" ca="1" si="277"/>
        <v>0.2</v>
      </c>
      <c r="O943" s="1">
        <f t="shared" ca="1" si="277"/>
        <v>0.2</v>
      </c>
      <c r="P943" s="1">
        <f t="shared" ca="1" si="277"/>
        <v>0.36</v>
      </c>
      <c r="Q943" s="1">
        <f t="shared" ca="1" si="277"/>
        <v>0.1</v>
      </c>
      <c r="R943" s="1">
        <f t="shared" ca="1" si="277"/>
        <v>2</v>
      </c>
      <c r="S943" s="1">
        <f t="shared" ref="S943:AH958" ca="1" si="278">mVlookup($C943,monsterBaseDate,S$2,FALSE)*(1+mVlookup($E943,monsterType,S$2,FALSE))</f>
        <v>0.1</v>
      </c>
      <c r="T943" s="1">
        <f t="shared" ca="1" si="278"/>
        <v>0.9</v>
      </c>
      <c r="U943" s="1">
        <f t="shared" ca="1" si="278"/>
        <v>96.6666666666667</v>
      </c>
      <c r="V943" s="1">
        <f t="shared" ca="1" si="278"/>
        <v>0</v>
      </c>
      <c r="W943" s="1">
        <f t="shared" ca="1" si="278"/>
        <v>0</v>
      </c>
      <c r="X943" s="1">
        <f t="shared" ca="1" si="278"/>
        <v>0</v>
      </c>
      <c r="Y943" s="1">
        <f t="shared" ca="1" si="278"/>
        <v>0</v>
      </c>
      <c r="Z943" s="1">
        <f t="shared" ca="1" si="278"/>
        <v>0</v>
      </c>
      <c r="AA943" s="1">
        <f t="shared" ca="1" si="278"/>
        <v>0</v>
      </c>
      <c r="AB943" s="1">
        <f t="shared" ca="1" si="274"/>
        <v>343.04278642149899</v>
      </c>
      <c r="AC943" s="1">
        <f t="shared" ca="1" si="278"/>
        <v>70.833749999999995</v>
      </c>
      <c r="AD943" s="1">
        <f t="shared" ca="1" si="278"/>
        <v>70.833749999999995</v>
      </c>
      <c r="AE943" s="1">
        <f t="shared" ca="1" si="278"/>
        <v>70.833749999999995</v>
      </c>
      <c r="AF943" s="1">
        <f t="shared" ca="1" si="278"/>
        <v>70.833749999999995</v>
      </c>
      <c r="AG943" s="1">
        <f t="shared" ca="1" si="278"/>
        <v>70.833749999999995</v>
      </c>
      <c r="AH943" s="1">
        <f t="shared" ca="1" si="278"/>
        <v>70.833749999999995</v>
      </c>
      <c r="AI943" s="1">
        <f t="shared" ca="1" si="270"/>
        <v>106.25062499999999</v>
      </c>
    </row>
    <row r="944" spans="2:35" x14ac:dyDescent="0.15">
      <c r="B944" s="1" t="str">
        <f t="shared" si="265"/>
        <v>雷系51</v>
      </c>
      <c r="C944" s="1">
        <f t="shared" si="275"/>
        <v>51</v>
      </c>
      <c r="D944" s="14" t="s">
        <v>99</v>
      </c>
      <c r="E944" s="14">
        <f t="shared" si="276"/>
        <v>10</v>
      </c>
      <c r="F944" s="1" t="str">
        <f t="shared" si="263"/>
        <v>电击</v>
      </c>
      <c r="H944" s="1">
        <f t="shared" ca="1" si="264"/>
        <v>1674.77989449913</v>
      </c>
      <c r="I944" s="1">
        <f t="shared" ca="1" si="277"/>
        <v>150</v>
      </c>
      <c r="J944" s="1">
        <f t="shared" ca="1" si="277"/>
        <v>705.62142857142896</v>
      </c>
      <c r="K944" s="1">
        <f t="shared" ca="1" si="277"/>
        <v>72.250425000000007</v>
      </c>
      <c r="L944" s="1">
        <f t="shared" ca="1" si="277"/>
        <v>705.62142857142896</v>
      </c>
      <c r="M944" s="1">
        <f t="shared" ca="1" si="277"/>
        <v>72.250425000000007</v>
      </c>
      <c r="N944" s="1">
        <f t="shared" ca="1" si="277"/>
        <v>0.2</v>
      </c>
      <c r="O944" s="1">
        <f t="shared" ca="1" si="277"/>
        <v>0.2</v>
      </c>
      <c r="P944" s="1">
        <f t="shared" ca="1" si="277"/>
        <v>0.36</v>
      </c>
      <c r="Q944" s="1">
        <f t="shared" ca="1" si="277"/>
        <v>0.1</v>
      </c>
      <c r="R944" s="1">
        <f t="shared" ca="1" si="277"/>
        <v>2</v>
      </c>
      <c r="S944" s="1">
        <f t="shared" ca="1" si="278"/>
        <v>0.1</v>
      </c>
      <c r="T944" s="1">
        <f t="shared" ca="1" si="278"/>
        <v>0.9</v>
      </c>
      <c r="U944" s="1">
        <f t="shared" ca="1" si="278"/>
        <v>98.6</v>
      </c>
      <c r="V944" s="1">
        <f t="shared" ca="1" si="278"/>
        <v>0</v>
      </c>
      <c r="W944" s="1">
        <f t="shared" ca="1" si="278"/>
        <v>0</v>
      </c>
      <c r="X944" s="1">
        <f t="shared" ca="1" si="278"/>
        <v>0</v>
      </c>
      <c r="Y944" s="1">
        <f t="shared" ca="1" si="278"/>
        <v>0</v>
      </c>
      <c r="Z944" s="1">
        <f t="shared" ca="1" si="278"/>
        <v>0</v>
      </c>
      <c r="AA944" s="1">
        <f t="shared" ca="1" si="278"/>
        <v>0</v>
      </c>
      <c r="AB944" s="1">
        <f t="shared" ca="1" si="274"/>
        <v>362.28214285714353</v>
      </c>
      <c r="AC944" s="1">
        <f t="shared" ca="1" si="278"/>
        <v>72.250425000000007</v>
      </c>
      <c r="AD944" s="1">
        <f t="shared" ca="1" si="278"/>
        <v>72.250425000000007</v>
      </c>
      <c r="AE944" s="1">
        <f t="shared" ca="1" si="278"/>
        <v>72.250425000000007</v>
      </c>
      <c r="AF944" s="1">
        <f t="shared" ca="1" si="278"/>
        <v>72.250425000000007</v>
      </c>
      <c r="AG944" s="1">
        <f t="shared" ca="1" si="278"/>
        <v>72.250425000000007</v>
      </c>
      <c r="AH944" s="1">
        <f t="shared" ca="1" si="278"/>
        <v>72.250425000000007</v>
      </c>
      <c r="AI944" s="1">
        <f t="shared" ca="1" si="270"/>
        <v>108.37563750000001</v>
      </c>
    </row>
    <row r="945" spans="2:35" x14ac:dyDescent="0.15">
      <c r="B945" s="1" t="str">
        <f t="shared" si="265"/>
        <v>雷系52</v>
      </c>
      <c r="C945" s="1">
        <f t="shared" si="275"/>
        <v>52</v>
      </c>
      <c r="D945" s="14" t="s">
        <v>99</v>
      </c>
      <c r="E945" s="14">
        <f t="shared" si="276"/>
        <v>10</v>
      </c>
      <c r="F945" s="1" t="str">
        <f t="shared" si="263"/>
        <v>电击</v>
      </c>
      <c r="H945" s="1">
        <f t="shared" ca="1" si="264"/>
        <v>1716.1568095396899</v>
      </c>
      <c r="I945" s="1">
        <f t="shared" ca="1" si="277"/>
        <v>150</v>
      </c>
      <c r="J945" s="1">
        <f t="shared" ca="1" si="277"/>
        <v>725.45627705627703</v>
      </c>
      <c r="K945" s="1">
        <f t="shared" ca="1" si="277"/>
        <v>73.667100000000005</v>
      </c>
      <c r="L945" s="1">
        <f t="shared" ca="1" si="277"/>
        <v>725.45627705627703</v>
      </c>
      <c r="M945" s="1">
        <f t="shared" ca="1" si="277"/>
        <v>73.667100000000005</v>
      </c>
      <c r="N945" s="1">
        <f t="shared" ca="1" si="277"/>
        <v>0.2</v>
      </c>
      <c r="O945" s="1">
        <f t="shared" ca="1" si="277"/>
        <v>0.2</v>
      </c>
      <c r="P945" s="1">
        <f t="shared" ca="1" si="277"/>
        <v>0.36</v>
      </c>
      <c r="Q945" s="1">
        <f t="shared" ca="1" si="277"/>
        <v>0.1</v>
      </c>
      <c r="R945" s="1">
        <f t="shared" ca="1" si="277"/>
        <v>2</v>
      </c>
      <c r="S945" s="1">
        <f t="shared" ca="1" si="278"/>
        <v>0.1</v>
      </c>
      <c r="T945" s="1">
        <f t="shared" ca="1" si="278"/>
        <v>0.9</v>
      </c>
      <c r="U945" s="1">
        <f t="shared" ca="1" si="278"/>
        <v>100.533333333333</v>
      </c>
      <c r="V945" s="1">
        <f t="shared" ca="1" si="278"/>
        <v>0</v>
      </c>
      <c r="W945" s="1">
        <f t="shared" ca="1" si="278"/>
        <v>0</v>
      </c>
      <c r="X945" s="1">
        <f t="shared" ca="1" si="278"/>
        <v>0</v>
      </c>
      <c r="Y945" s="1">
        <f t="shared" ca="1" si="278"/>
        <v>0</v>
      </c>
      <c r="Z945" s="1">
        <f t="shared" ca="1" si="278"/>
        <v>0</v>
      </c>
      <c r="AA945" s="1">
        <f t="shared" ca="1" si="278"/>
        <v>0</v>
      </c>
      <c r="AB945" s="1">
        <f t="shared" ca="1" si="274"/>
        <v>382.33506493506451</v>
      </c>
      <c r="AC945" s="1">
        <f t="shared" ca="1" si="278"/>
        <v>73.667100000000005</v>
      </c>
      <c r="AD945" s="1">
        <f t="shared" ca="1" si="278"/>
        <v>73.667100000000005</v>
      </c>
      <c r="AE945" s="1">
        <f t="shared" ca="1" si="278"/>
        <v>73.667100000000005</v>
      </c>
      <c r="AF945" s="1">
        <f t="shared" ca="1" si="278"/>
        <v>73.667100000000005</v>
      </c>
      <c r="AG945" s="1">
        <f t="shared" ca="1" si="278"/>
        <v>73.667100000000005</v>
      </c>
      <c r="AH945" s="1">
        <f t="shared" ca="1" si="278"/>
        <v>73.667100000000005</v>
      </c>
      <c r="AI945" s="1">
        <f t="shared" ca="1" si="270"/>
        <v>110.50065000000001</v>
      </c>
    </row>
    <row r="946" spans="2:35" x14ac:dyDescent="0.15">
      <c r="B946" s="1" t="str">
        <f t="shared" si="265"/>
        <v>雷系53</v>
      </c>
      <c r="C946" s="1">
        <f t="shared" si="275"/>
        <v>53</v>
      </c>
      <c r="D946" s="14" t="s">
        <v>99</v>
      </c>
      <c r="E946" s="14">
        <f t="shared" si="276"/>
        <v>10</v>
      </c>
      <c r="F946" s="1" t="str">
        <f t="shared" si="263"/>
        <v>电击</v>
      </c>
      <c r="H946" s="1">
        <f t="shared" ca="1" si="264"/>
        <v>1757.86211279487</v>
      </c>
      <c r="I946" s="1">
        <f t="shared" ca="1" si="277"/>
        <v>150</v>
      </c>
      <c r="J946" s="1">
        <f t="shared" ca="1" si="277"/>
        <v>745.59642857142899</v>
      </c>
      <c r="K946" s="1">
        <f t="shared" ca="1" si="277"/>
        <v>75.083775000000003</v>
      </c>
      <c r="L946" s="1">
        <f t="shared" ca="1" si="277"/>
        <v>745.59642857142899</v>
      </c>
      <c r="M946" s="1">
        <f t="shared" ca="1" si="277"/>
        <v>75.083775000000003</v>
      </c>
      <c r="N946" s="1">
        <f t="shared" ca="1" si="277"/>
        <v>0.2</v>
      </c>
      <c r="O946" s="1">
        <f t="shared" ca="1" si="277"/>
        <v>0.2</v>
      </c>
      <c r="P946" s="1">
        <f t="shared" ca="1" si="277"/>
        <v>0.36</v>
      </c>
      <c r="Q946" s="1">
        <f t="shared" ca="1" si="277"/>
        <v>0.1</v>
      </c>
      <c r="R946" s="1">
        <f t="shared" ca="1" si="277"/>
        <v>2</v>
      </c>
      <c r="S946" s="1">
        <f t="shared" ca="1" si="278"/>
        <v>0.1</v>
      </c>
      <c r="T946" s="1">
        <f t="shared" ca="1" si="278"/>
        <v>0.9</v>
      </c>
      <c r="U946" s="1">
        <f t="shared" ca="1" si="278"/>
        <v>102.466666666667</v>
      </c>
      <c r="V946" s="1">
        <f t="shared" ca="1" si="278"/>
        <v>0</v>
      </c>
      <c r="W946" s="1">
        <f t="shared" ca="1" si="278"/>
        <v>0</v>
      </c>
      <c r="X946" s="1">
        <f t="shared" ca="1" si="278"/>
        <v>0</v>
      </c>
      <c r="Y946" s="1">
        <f t="shared" ca="1" si="278"/>
        <v>0</v>
      </c>
      <c r="Z946" s="1">
        <f t="shared" ca="1" si="278"/>
        <v>0</v>
      </c>
      <c r="AA946" s="1">
        <f t="shared" ca="1" si="278"/>
        <v>0</v>
      </c>
      <c r="AB946" s="1">
        <f t="shared" ca="1" si="274"/>
        <v>403.2307215743445</v>
      </c>
      <c r="AC946" s="1">
        <f t="shared" ca="1" si="278"/>
        <v>75.083775000000003</v>
      </c>
      <c r="AD946" s="1">
        <f t="shared" ca="1" si="278"/>
        <v>75.083775000000003</v>
      </c>
      <c r="AE946" s="1">
        <f t="shared" ca="1" si="278"/>
        <v>75.083775000000003</v>
      </c>
      <c r="AF946" s="1">
        <f t="shared" ca="1" si="278"/>
        <v>75.083775000000003</v>
      </c>
      <c r="AG946" s="1">
        <f t="shared" ca="1" si="278"/>
        <v>75.083775000000003</v>
      </c>
      <c r="AH946" s="1">
        <f t="shared" ca="1" si="278"/>
        <v>75.083775000000003</v>
      </c>
      <c r="AI946" s="1">
        <f t="shared" ca="1" si="270"/>
        <v>112.6256625</v>
      </c>
    </row>
    <row r="947" spans="2:35" x14ac:dyDescent="0.15">
      <c r="B947" s="1" t="str">
        <f t="shared" si="265"/>
        <v>雷系54</v>
      </c>
      <c r="C947" s="1">
        <f t="shared" si="275"/>
        <v>54</v>
      </c>
      <c r="D947" s="14" t="s">
        <v>99</v>
      </c>
      <c r="E947" s="14">
        <f t="shared" si="276"/>
        <v>10</v>
      </c>
      <c r="F947" s="1" t="str">
        <f t="shared" si="263"/>
        <v>电击</v>
      </c>
      <c r="H947" s="1">
        <f t="shared" ca="1" si="264"/>
        <v>1799.89580426465</v>
      </c>
      <c r="I947" s="1">
        <f t="shared" ca="1" si="277"/>
        <v>150</v>
      </c>
      <c r="J947" s="1">
        <f t="shared" ca="1" si="277"/>
        <v>766.048453608248</v>
      </c>
      <c r="K947" s="1">
        <f t="shared" ca="1" si="277"/>
        <v>76.500450000000001</v>
      </c>
      <c r="L947" s="1">
        <f t="shared" ca="1" si="277"/>
        <v>766.048453608248</v>
      </c>
      <c r="M947" s="1">
        <f t="shared" ca="1" si="277"/>
        <v>76.500450000000001</v>
      </c>
      <c r="N947" s="1">
        <f t="shared" ca="1" si="277"/>
        <v>0.2</v>
      </c>
      <c r="O947" s="1">
        <f t="shared" ca="1" si="277"/>
        <v>0.2</v>
      </c>
      <c r="P947" s="1">
        <f t="shared" ca="1" si="277"/>
        <v>0.36</v>
      </c>
      <c r="Q947" s="1">
        <f t="shared" ca="1" si="277"/>
        <v>0.1</v>
      </c>
      <c r="R947" s="1">
        <f t="shared" ca="1" si="277"/>
        <v>2</v>
      </c>
      <c r="S947" s="1">
        <f t="shared" ca="1" si="278"/>
        <v>0.1</v>
      </c>
      <c r="T947" s="1">
        <f t="shared" ca="1" si="278"/>
        <v>0.9</v>
      </c>
      <c r="U947" s="1">
        <f t="shared" ca="1" si="278"/>
        <v>104.4</v>
      </c>
      <c r="V947" s="1">
        <f t="shared" ca="1" si="278"/>
        <v>0</v>
      </c>
      <c r="W947" s="1">
        <f t="shared" ca="1" si="278"/>
        <v>0</v>
      </c>
      <c r="X947" s="1">
        <f t="shared" ca="1" si="278"/>
        <v>0</v>
      </c>
      <c r="Y947" s="1">
        <f t="shared" ca="1" si="278"/>
        <v>0</v>
      </c>
      <c r="Z947" s="1">
        <f t="shared" ca="1" si="278"/>
        <v>0</v>
      </c>
      <c r="AA947" s="1">
        <f t="shared" ca="1" si="278"/>
        <v>0</v>
      </c>
      <c r="AB947" s="1">
        <f t="shared" ca="1" si="274"/>
        <v>424.999484536083</v>
      </c>
      <c r="AC947" s="1">
        <f t="shared" ca="1" si="278"/>
        <v>76.500450000000001</v>
      </c>
      <c r="AD947" s="1">
        <f t="shared" ca="1" si="278"/>
        <v>76.500450000000001</v>
      </c>
      <c r="AE947" s="1">
        <f t="shared" ca="1" si="278"/>
        <v>76.500450000000001</v>
      </c>
      <c r="AF947" s="1">
        <f t="shared" ca="1" si="278"/>
        <v>76.500450000000001</v>
      </c>
      <c r="AG947" s="1">
        <f t="shared" ca="1" si="278"/>
        <v>76.500450000000001</v>
      </c>
      <c r="AH947" s="1">
        <f t="shared" ca="1" si="278"/>
        <v>76.500450000000001</v>
      </c>
      <c r="AI947" s="1">
        <f t="shared" ca="1" si="270"/>
        <v>114.750675</v>
      </c>
    </row>
    <row r="948" spans="2:35" x14ac:dyDescent="0.15">
      <c r="B948" s="1" t="str">
        <f t="shared" si="265"/>
        <v>雷系55</v>
      </c>
      <c r="C948" s="1">
        <f t="shared" si="275"/>
        <v>55</v>
      </c>
      <c r="D948" s="14" t="s">
        <v>99</v>
      </c>
      <c r="E948" s="14">
        <f t="shared" si="276"/>
        <v>10</v>
      </c>
      <c r="F948" s="1" t="str">
        <f t="shared" si="263"/>
        <v>电击</v>
      </c>
      <c r="H948" s="1">
        <f t="shared" ca="1" si="264"/>
        <v>1842.25788394904</v>
      </c>
      <c r="I948" s="1">
        <f t="shared" ca="1" si="277"/>
        <v>150</v>
      </c>
      <c r="J948" s="1">
        <f t="shared" ca="1" si="277"/>
        <v>786.81919642857201</v>
      </c>
      <c r="K948" s="1">
        <f t="shared" ca="1" si="277"/>
        <v>77.917124999999999</v>
      </c>
      <c r="L948" s="1">
        <f t="shared" ca="1" si="277"/>
        <v>786.81919642857201</v>
      </c>
      <c r="M948" s="1">
        <f t="shared" ca="1" si="277"/>
        <v>77.917124999999999</v>
      </c>
      <c r="N948" s="1">
        <f t="shared" ca="1" si="277"/>
        <v>0.2</v>
      </c>
      <c r="O948" s="1">
        <f t="shared" ca="1" si="277"/>
        <v>0.2</v>
      </c>
      <c r="P948" s="1">
        <f t="shared" ca="1" si="277"/>
        <v>0.36</v>
      </c>
      <c r="Q948" s="1">
        <f t="shared" ca="1" si="277"/>
        <v>0.1</v>
      </c>
      <c r="R948" s="1">
        <f t="shared" ca="1" si="277"/>
        <v>2</v>
      </c>
      <c r="S948" s="1">
        <f t="shared" ca="1" si="278"/>
        <v>0.1</v>
      </c>
      <c r="T948" s="1">
        <f t="shared" ca="1" si="278"/>
        <v>0.9</v>
      </c>
      <c r="U948" s="1">
        <f t="shared" ca="1" si="278"/>
        <v>106.333333333333</v>
      </c>
      <c r="V948" s="1">
        <f t="shared" ca="1" si="278"/>
        <v>0</v>
      </c>
      <c r="W948" s="1">
        <f t="shared" ca="1" si="278"/>
        <v>0</v>
      </c>
      <c r="X948" s="1">
        <f t="shared" ca="1" si="278"/>
        <v>0</v>
      </c>
      <c r="Y948" s="1">
        <f t="shared" ca="1" si="278"/>
        <v>0</v>
      </c>
      <c r="Z948" s="1">
        <f t="shared" ca="1" si="278"/>
        <v>0</v>
      </c>
      <c r="AA948" s="1">
        <f t="shared" ca="1" si="278"/>
        <v>0</v>
      </c>
      <c r="AB948" s="1">
        <f t="shared" ca="1" si="274"/>
        <v>447.67299107142901</v>
      </c>
      <c r="AC948" s="1">
        <f t="shared" ca="1" si="278"/>
        <v>77.917124999999999</v>
      </c>
      <c r="AD948" s="1">
        <f t="shared" ca="1" si="278"/>
        <v>77.917124999999999</v>
      </c>
      <c r="AE948" s="1">
        <f t="shared" ca="1" si="278"/>
        <v>77.917124999999999</v>
      </c>
      <c r="AF948" s="1">
        <f t="shared" ca="1" si="278"/>
        <v>77.917124999999999</v>
      </c>
      <c r="AG948" s="1">
        <f t="shared" ca="1" si="278"/>
        <v>77.917124999999999</v>
      </c>
      <c r="AH948" s="1">
        <f t="shared" ca="1" si="278"/>
        <v>77.917124999999999</v>
      </c>
      <c r="AI948" s="1">
        <f t="shared" ca="1" si="270"/>
        <v>116.8756875</v>
      </c>
    </row>
    <row r="949" spans="2:35" x14ac:dyDescent="0.15">
      <c r="B949" s="1" t="str">
        <f t="shared" si="265"/>
        <v>雷系56</v>
      </c>
      <c r="C949" s="1">
        <f t="shared" si="275"/>
        <v>56</v>
      </c>
      <c r="D949" s="14" t="s">
        <v>99</v>
      </c>
      <c r="E949" s="14">
        <f t="shared" si="276"/>
        <v>10</v>
      </c>
      <c r="F949" s="1" t="str">
        <f t="shared" si="263"/>
        <v>电击</v>
      </c>
      <c r="H949" s="1">
        <f t="shared" ca="1" si="264"/>
        <v>1958.58059015868</v>
      </c>
      <c r="I949" s="1">
        <f t="shared" ca="1" si="277"/>
        <v>150</v>
      </c>
      <c r="J949" s="1">
        <f t="shared" ca="1" si="277"/>
        <v>807.91578947368498</v>
      </c>
      <c r="K949" s="1">
        <f t="shared" ca="1" si="277"/>
        <v>79.333799999999997</v>
      </c>
      <c r="L949" s="1">
        <f t="shared" ca="1" si="277"/>
        <v>807.91578947368498</v>
      </c>
      <c r="M949" s="1">
        <f t="shared" ca="1" si="277"/>
        <v>79.333799999999997</v>
      </c>
      <c r="N949" s="1">
        <f t="shared" ca="1" si="277"/>
        <v>0.2</v>
      </c>
      <c r="O949" s="1">
        <f t="shared" ca="1" si="277"/>
        <v>0.2</v>
      </c>
      <c r="P949" s="1">
        <f t="shared" ca="1" si="277"/>
        <v>0.36</v>
      </c>
      <c r="Q949" s="1">
        <f t="shared" ca="1" si="277"/>
        <v>0.1</v>
      </c>
      <c r="R949" s="1">
        <f t="shared" ca="1" si="277"/>
        <v>2</v>
      </c>
      <c r="S949" s="1">
        <f t="shared" ca="1" si="278"/>
        <v>0.1</v>
      </c>
      <c r="T949" s="1">
        <f t="shared" ca="1" si="278"/>
        <v>0.9</v>
      </c>
      <c r="U949" s="1">
        <f t="shared" ca="1" si="278"/>
        <v>108.26666666666701</v>
      </c>
      <c r="V949" s="1">
        <f t="shared" ca="1" si="278"/>
        <v>0</v>
      </c>
      <c r="W949" s="1">
        <f t="shared" ca="1" si="278"/>
        <v>0</v>
      </c>
      <c r="X949" s="1">
        <f t="shared" ca="1" si="278"/>
        <v>0</v>
      </c>
      <c r="Y949" s="1">
        <f t="shared" ca="1" si="278"/>
        <v>0</v>
      </c>
      <c r="Z949" s="1">
        <f t="shared" ca="1" si="278"/>
        <v>0</v>
      </c>
      <c r="AA949" s="1">
        <f t="shared" ca="1" si="278"/>
        <v>0</v>
      </c>
      <c r="AB949" s="1">
        <f t="shared" ca="1" si="278"/>
        <v>471.28421052631654</v>
      </c>
      <c r="AC949" s="1">
        <f t="shared" ca="1" si="278"/>
        <v>79.333799999999997</v>
      </c>
      <c r="AD949" s="1">
        <f t="shared" ca="1" si="278"/>
        <v>79.333799999999997</v>
      </c>
      <c r="AE949" s="1">
        <f t="shared" ca="1" si="278"/>
        <v>79.333799999999997</v>
      </c>
      <c r="AF949" s="1">
        <f t="shared" ca="1" si="278"/>
        <v>79.333799999999997</v>
      </c>
      <c r="AG949" s="1">
        <f t="shared" ca="1" si="278"/>
        <v>79.333799999999997</v>
      </c>
      <c r="AH949" s="1">
        <f t="shared" ca="1" si="278"/>
        <v>79.333799999999997</v>
      </c>
      <c r="AI949" s="1">
        <f t="shared" ca="1" si="270"/>
        <v>119.00069999999999</v>
      </c>
    </row>
    <row r="950" spans="2:35" x14ac:dyDescent="0.15">
      <c r="B950" s="1" t="str">
        <f t="shared" si="265"/>
        <v>雷系57</v>
      </c>
      <c r="C950" s="1">
        <f t="shared" si="275"/>
        <v>57</v>
      </c>
      <c r="D950" s="14" t="s">
        <v>99</v>
      </c>
      <c r="E950" s="14">
        <f t="shared" si="276"/>
        <v>10</v>
      </c>
      <c r="F950" s="1" t="str">
        <f t="shared" si="263"/>
        <v>电击</v>
      </c>
      <c r="H950" s="1">
        <f t="shared" ca="1" si="264"/>
        <v>2003.2799032790199</v>
      </c>
      <c r="I950" s="1">
        <f t="shared" ca="1" si="277"/>
        <v>150</v>
      </c>
      <c r="J950" s="1">
        <f t="shared" ca="1" si="277"/>
        <v>829.34566869301</v>
      </c>
      <c r="K950" s="1">
        <f t="shared" ca="1" si="277"/>
        <v>80.750474999999994</v>
      </c>
      <c r="L950" s="1">
        <f t="shared" ca="1" si="277"/>
        <v>829.34566869301</v>
      </c>
      <c r="M950" s="1">
        <f t="shared" ca="1" si="277"/>
        <v>80.750474999999994</v>
      </c>
      <c r="N950" s="1">
        <f t="shared" ca="1" si="277"/>
        <v>0.2</v>
      </c>
      <c r="O950" s="1">
        <f t="shared" ca="1" si="277"/>
        <v>0.2</v>
      </c>
      <c r="P950" s="1">
        <f t="shared" ca="1" si="277"/>
        <v>0.36</v>
      </c>
      <c r="Q950" s="1">
        <f t="shared" ca="1" si="277"/>
        <v>0.1</v>
      </c>
      <c r="R950" s="1">
        <f t="shared" ca="1" si="277"/>
        <v>2</v>
      </c>
      <c r="S950" s="1">
        <f t="shared" ca="1" si="278"/>
        <v>0.1</v>
      </c>
      <c r="T950" s="1">
        <f t="shared" ca="1" si="278"/>
        <v>0.9</v>
      </c>
      <c r="U950" s="1">
        <f t="shared" ca="1" si="278"/>
        <v>110.2</v>
      </c>
      <c r="V950" s="1">
        <f t="shared" ca="1" si="278"/>
        <v>0</v>
      </c>
      <c r="W950" s="1">
        <f t="shared" ca="1" si="278"/>
        <v>0</v>
      </c>
      <c r="X950" s="1">
        <f t="shared" ca="1" si="278"/>
        <v>0</v>
      </c>
      <c r="Y950" s="1">
        <f t="shared" ca="1" si="278"/>
        <v>0</v>
      </c>
      <c r="Z950" s="1">
        <f t="shared" ca="1" si="278"/>
        <v>0</v>
      </c>
      <c r="AA950" s="1">
        <f t="shared" ca="1" si="278"/>
        <v>0</v>
      </c>
      <c r="AB950" s="1">
        <f t="shared" ca="1" si="278"/>
        <v>495.86751519756899</v>
      </c>
      <c r="AC950" s="1">
        <f t="shared" ca="1" si="278"/>
        <v>80.750474999999994</v>
      </c>
      <c r="AD950" s="1">
        <f t="shared" ca="1" si="278"/>
        <v>80.750474999999994</v>
      </c>
      <c r="AE950" s="1">
        <f t="shared" ca="1" si="278"/>
        <v>80.750474999999994</v>
      </c>
      <c r="AF950" s="1">
        <f t="shared" ca="1" si="278"/>
        <v>80.750474999999994</v>
      </c>
      <c r="AG950" s="1">
        <f t="shared" ca="1" si="278"/>
        <v>80.750474999999994</v>
      </c>
      <c r="AH950" s="1">
        <f t="shared" ca="1" si="278"/>
        <v>80.750474999999994</v>
      </c>
      <c r="AI950" s="1">
        <f t="shared" ca="1" si="270"/>
        <v>121.12571249999999</v>
      </c>
    </row>
    <row r="951" spans="2:35" x14ac:dyDescent="0.15">
      <c r="B951" s="1" t="str">
        <f t="shared" si="265"/>
        <v>雷系58</v>
      </c>
      <c r="C951" s="1">
        <f t="shared" si="275"/>
        <v>58</v>
      </c>
      <c r="D951" s="14" t="s">
        <v>99</v>
      </c>
      <c r="E951" s="14">
        <f t="shared" si="276"/>
        <v>10</v>
      </c>
      <c r="F951" s="1" t="str">
        <f t="shared" si="263"/>
        <v>电击</v>
      </c>
      <c r="H951" s="1">
        <f t="shared" ca="1" si="264"/>
        <v>2048.3204325300599</v>
      </c>
      <c r="I951" s="1">
        <f t="shared" ca="1" si="277"/>
        <v>150</v>
      </c>
      <c r="J951" s="1">
        <f t="shared" ca="1" si="277"/>
        <v>851.116589861752</v>
      </c>
      <c r="K951" s="1">
        <f t="shared" ca="1" si="277"/>
        <v>82.167150000000007</v>
      </c>
      <c r="L951" s="1">
        <f t="shared" ca="1" si="277"/>
        <v>851.116589861752</v>
      </c>
      <c r="M951" s="1">
        <f t="shared" ca="1" si="277"/>
        <v>82.167150000000007</v>
      </c>
      <c r="N951" s="1">
        <f t="shared" ca="1" si="277"/>
        <v>0.2</v>
      </c>
      <c r="O951" s="1">
        <f t="shared" ca="1" si="277"/>
        <v>0.2</v>
      </c>
      <c r="P951" s="1">
        <f t="shared" ca="1" si="277"/>
        <v>0.36</v>
      </c>
      <c r="Q951" s="1">
        <f t="shared" ca="1" si="277"/>
        <v>0.1</v>
      </c>
      <c r="R951" s="1">
        <f t="shared" ca="1" si="277"/>
        <v>2</v>
      </c>
      <c r="S951" s="1">
        <f t="shared" ca="1" si="278"/>
        <v>0.1</v>
      </c>
      <c r="T951" s="1">
        <f t="shared" ca="1" si="278"/>
        <v>0.9</v>
      </c>
      <c r="U951" s="1">
        <f t="shared" ca="1" si="278"/>
        <v>112.133333333333</v>
      </c>
      <c r="V951" s="1">
        <f t="shared" ca="1" si="278"/>
        <v>0</v>
      </c>
      <c r="W951" s="1">
        <f t="shared" ca="1" si="278"/>
        <v>0</v>
      </c>
      <c r="X951" s="1">
        <f t="shared" ca="1" si="278"/>
        <v>0</v>
      </c>
      <c r="Y951" s="1">
        <f t="shared" ca="1" si="278"/>
        <v>0</v>
      </c>
      <c r="Z951" s="1">
        <f t="shared" ca="1" si="278"/>
        <v>0</v>
      </c>
      <c r="AA951" s="1">
        <f t="shared" ca="1" si="278"/>
        <v>0</v>
      </c>
      <c r="AB951" s="1">
        <f t="shared" ca="1" si="278"/>
        <v>521.45875576036951</v>
      </c>
      <c r="AC951" s="1">
        <f t="shared" ca="1" si="278"/>
        <v>82.167150000000007</v>
      </c>
      <c r="AD951" s="1">
        <f t="shared" ca="1" si="278"/>
        <v>82.167150000000007</v>
      </c>
      <c r="AE951" s="1">
        <f t="shared" ca="1" si="278"/>
        <v>82.167150000000007</v>
      </c>
      <c r="AF951" s="1">
        <f t="shared" ca="1" si="278"/>
        <v>82.167150000000007</v>
      </c>
      <c r="AG951" s="1">
        <f t="shared" ca="1" si="278"/>
        <v>82.167150000000007</v>
      </c>
      <c r="AH951" s="1">
        <f t="shared" ca="1" si="278"/>
        <v>82.167150000000007</v>
      </c>
      <c r="AI951" s="1">
        <f t="shared" ca="1" si="270"/>
        <v>123.25072500000002</v>
      </c>
    </row>
    <row r="952" spans="2:35" x14ac:dyDescent="0.15">
      <c r="B952" s="1" t="str">
        <f t="shared" si="265"/>
        <v>雷系59</v>
      </c>
      <c r="C952" s="1">
        <f t="shared" si="275"/>
        <v>59</v>
      </c>
      <c r="D952" s="14" t="s">
        <v>99</v>
      </c>
      <c r="E952" s="14">
        <f t="shared" si="276"/>
        <v>10</v>
      </c>
      <c r="F952" s="1" t="str">
        <f t="shared" si="263"/>
        <v>电击</v>
      </c>
      <c r="H952" s="1">
        <f t="shared" ca="1" si="264"/>
        <v>2093.7021779117799</v>
      </c>
      <c r="I952" s="1">
        <f t="shared" ca="1" si="277"/>
        <v>150</v>
      </c>
      <c r="J952" s="1">
        <f t="shared" ca="1" si="277"/>
        <v>873.23664596273295</v>
      </c>
      <c r="K952" s="1">
        <f t="shared" ca="1" si="277"/>
        <v>83.583825000000004</v>
      </c>
      <c r="L952" s="1">
        <f t="shared" ca="1" si="277"/>
        <v>873.23664596273295</v>
      </c>
      <c r="M952" s="1">
        <f t="shared" ca="1" si="277"/>
        <v>83.583825000000004</v>
      </c>
      <c r="N952" s="1">
        <f t="shared" ca="1" si="277"/>
        <v>0.2</v>
      </c>
      <c r="O952" s="1">
        <f t="shared" ca="1" si="277"/>
        <v>0.2</v>
      </c>
      <c r="P952" s="1">
        <f t="shared" ca="1" si="277"/>
        <v>0.36</v>
      </c>
      <c r="Q952" s="1">
        <f t="shared" ca="1" si="277"/>
        <v>0.1</v>
      </c>
      <c r="R952" s="1">
        <f t="shared" ca="1" si="277"/>
        <v>2</v>
      </c>
      <c r="S952" s="1">
        <f t="shared" ca="1" si="278"/>
        <v>0.1</v>
      </c>
      <c r="T952" s="1">
        <f t="shared" ca="1" si="278"/>
        <v>0.9</v>
      </c>
      <c r="U952" s="1">
        <f t="shared" ca="1" si="278"/>
        <v>114.066666666667</v>
      </c>
      <c r="V952" s="1">
        <f t="shared" ca="1" si="278"/>
        <v>0</v>
      </c>
      <c r="W952" s="1">
        <f t="shared" ca="1" si="278"/>
        <v>0</v>
      </c>
      <c r="X952" s="1">
        <f t="shared" ca="1" si="278"/>
        <v>0</v>
      </c>
      <c r="Y952" s="1">
        <f t="shared" ca="1" si="278"/>
        <v>0</v>
      </c>
      <c r="Z952" s="1">
        <f t="shared" ca="1" si="278"/>
        <v>0</v>
      </c>
      <c r="AA952" s="1">
        <f t="shared" ca="1" si="278"/>
        <v>0</v>
      </c>
      <c r="AB952" s="1">
        <f t="shared" ca="1" si="278"/>
        <v>548.09534161490706</v>
      </c>
      <c r="AC952" s="1">
        <f t="shared" ca="1" si="278"/>
        <v>83.583825000000004</v>
      </c>
      <c r="AD952" s="1">
        <f t="shared" ca="1" si="278"/>
        <v>83.583825000000004</v>
      </c>
      <c r="AE952" s="1">
        <f t="shared" ca="1" si="278"/>
        <v>83.583825000000004</v>
      </c>
      <c r="AF952" s="1">
        <f t="shared" ca="1" si="278"/>
        <v>83.583825000000004</v>
      </c>
      <c r="AG952" s="1">
        <f t="shared" ca="1" si="278"/>
        <v>83.583825000000004</v>
      </c>
      <c r="AH952" s="1">
        <f t="shared" ca="1" si="278"/>
        <v>83.583825000000004</v>
      </c>
      <c r="AI952" s="1">
        <f t="shared" ca="1" si="270"/>
        <v>125.37573750000001</v>
      </c>
    </row>
    <row r="953" spans="2:35" x14ac:dyDescent="0.15">
      <c r="B953" s="1" t="str">
        <f t="shared" si="265"/>
        <v>雷系60</v>
      </c>
      <c r="C953" s="1">
        <f t="shared" si="275"/>
        <v>60</v>
      </c>
      <c r="D953" s="14" t="s">
        <v>99</v>
      </c>
      <c r="E953" s="14">
        <f t="shared" si="276"/>
        <v>10</v>
      </c>
      <c r="F953" s="1" t="str">
        <f t="shared" si="263"/>
        <v>电击</v>
      </c>
      <c r="H953" s="1">
        <f t="shared" ca="1" si="264"/>
        <v>2139.4251394242001</v>
      </c>
      <c r="I953" s="1">
        <f t="shared" ref="I953:R962" ca="1" si="279">mVlookup($C953,monsterBaseDate,I$2,FALSE)*(1+mVlookup($E953,monsterType,I$2,FALSE))</f>
        <v>150</v>
      </c>
      <c r="J953" s="1">
        <f t="shared" ca="1" si="279"/>
        <v>895.71428571428601</v>
      </c>
      <c r="K953" s="1">
        <f t="shared" ca="1" si="279"/>
        <v>85.000500000000002</v>
      </c>
      <c r="L953" s="1">
        <f t="shared" ca="1" si="279"/>
        <v>895.71428571428601</v>
      </c>
      <c r="M953" s="1">
        <f t="shared" ca="1" si="279"/>
        <v>85.000500000000002</v>
      </c>
      <c r="N953" s="1">
        <f t="shared" ca="1" si="279"/>
        <v>0.2</v>
      </c>
      <c r="O953" s="1">
        <f t="shared" ca="1" si="279"/>
        <v>0.2</v>
      </c>
      <c r="P953" s="1">
        <f t="shared" ca="1" si="279"/>
        <v>0.36</v>
      </c>
      <c r="Q953" s="1">
        <f t="shared" ca="1" si="279"/>
        <v>0.1</v>
      </c>
      <c r="R953" s="1">
        <f t="shared" ca="1" si="279"/>
        <v>2</v>
      </c>
      <c r="S953" s="1">
        <f t="shared" ref="S953:AH968" ca="1" si="280">mVlookup($C953,monsterBaseDate,S$2,FALSE)*(1+mVlookup($E953,monsterType,S$2,FALSE))</f>
        <v>0.1</v>
      </c>
      <c r="T953" s="1">
        <f t="shared" ca="1" si="280"/>
        <v>0.9</v>
      </c>
      <c r="U953" s="1">
        <f t="shared" ca="1" si="280"/>
        <v>116</v>
      </c>
      <c r="V953" s="1">
        <f t="shared" ca="1" si="280"/>
        <v>0</v>
      </c>
      <c r="W953" s="1">
        <f t="shared" ca="1" si="280"/>
        <v>0</v>
      </c>
      <c r="X953" s="1">
        <f t="shared" ca="1" si="280"/>
        <v>0</v>
      </c>
      <c r="Y953" s="1">
        <f t="shared" ca="1" si="280"/>
        <v>0</v>
      </c>
      <c r="Z953" s="1">
        <f t="shared" ca="1" si="280"/>
        <v>0</v>
      </c>
      <c r="AA953" s="1">
        <f t="shared" ca="1" si="280"/>
        <v>0</v>
      </c>
      <c r="AB953" s="1">
        <f t="shared" ca="1" si="278"/>
        <v>575.81632653061206</v>
      </c>
      <c r="AC953" s="1">
        <f t="shared" ca="1" si="280"/>
        <v>85.000500000000002</v>
      </c>
      <c r="AD953" s="1">
        <f t="shared" ca="1" si="280"/>
        <v>85.000500000000002</v>
      </c>
      <c r="AE953" s="1">
        <f t="shared" ca="1" si="280"/>
        <v>85.000500000000002</v>
      </c>
      <c r="AF953" s="1">
        <f t="shared" ca="1" si="280"/>
        <v>85.000500000000002</v>
      </c>
      <c r="AG953" s="1">
        <f t="shared" ca="1" si="280"/>
        <v>85.000500000000002</v>
      </c>
      <c r="AH953" s="1">
        <f t="shared" ca="1" si="280"/>
        <v>85.000500000000002</v>
      </c>
      <c r="AI953" s="1">
        <f t="shared" ca="1" si="270"/>
        <v>127.50075000000001</v>
      </c>
    </row>
    <row r="954" spans="2:35" x14ac:dyDescent="0.15">
      <c r="B954" s="1" t="str">
        <f t="shared" si="265"/>
        <v>雷系61</v>
      </c>
      <c r="C954" s="1">
        <f t="shared" si="275"/>
        <v>61</v>
      </c>
      <c r="D954" s="14" t="s">
        <v>99</v>
      </c>
      <c r="E954" s="14">
        <f t="shared" si="276"/>
        <v>10</v>
      </c>
      <c r="F954" s="1" t="str">
        <f t="shared" si="263"/>
        <v>电击</v>
      </c>
      <c r="H954" s="1">
        <f t="shared" ca="1" si="264"/>
        <v>2185.4893170672999</v>
      </c>
      <c r="I954" s="1">
        <f t="shared" ca="1" si="279"/>
        <v>150</v>
      </c>
      <c r="J954" s="1">
        <f t="shared" ca="1" si="279"/>
        <v>918.55833333333396</v>
      </c>
      <c r="K954" s="1">
        <f t="shared" ca="1" si="279"/>
        <v>86.417175</v>
      </c>
      <c r="L954" s="1">
        <f t="shared" ca="1" si="279"/>
        <v>918.55833333333396</v>
      </c>
      <c r="M954" s="1">
        <f t="shared" ca="1" si="279"/>
        <v>86.417175</v>
      </c>
      <c r="N954" s="1">
        <f t="shared" ca="1" si="279"/>
        <v>0.2</v>
      </c>
      <c r="O954" s="1">
        <f t="shared" ca="1" si="279"/>
        <v>0.2</v>
      </c>
      <c r="P954" s="1">
        <f t="shared" ca="1" si="279"/>
        <v>0.36</v>
      </c>
      <c r="Q954" s="1">
        <f t="shared" ca="1" si="279"/>
        <v>0.1</v>
      </c>
      <c r="R954" s="1">
        <f t="shared" ca="1" si="279"/>
        <v>2</v>
      </c>
      <c r="S954" s="1">
        <f t="shared" ca="1" si="280"/>
        <v>0.1</v>
      </c>
      <c r="T954" s="1">
        <f t="shared" ca="1" si="280"/>
        <v>0.9</v>
      </c>
      <c r="U954" s="1">
        <f t="shared" ca="1" si="280"/>
        <v>117.933333333333</v>
      </c>
      <c r="V954" s="1">
        <f t="shared" ca="1" si="280"/>
        <v>0</v>
      </c>
      <c r="W954" s="1">
        <f t="shared" ca="1" si="280"/>
        <v>0</v>
      </c>
      <c r="X954" s="1">
        <f t="shared" ca="1" si="280"/>
        <v>0</v>
      </c>
      <c r="Y954" s="1">
        <f t="shared" ca="1" si="280"/>
        <v>0</v>
      </c>
      <c r="Z954" s="1">
        <f t="shared" ca="1" si="280"/>
        <v>0</v>
      </c>
      <c r="AA954" s="1">
        <f t="shared" ca="1" si="280"/>
        <v>0</v>
      </c>
      <c r="AB954" s="1">
        <f t="shared" ca="1" si="278"/>
        <v>604.66250000000093</v>
      </c>
      <c r="AC954" s="1">
        <f t="shared" ca="1" si="280"/>
        <v>86.417175</v>
      </c>
      <c r="AD954" s="1">
        <f t="shared" ca="1" si="280"/>
        <v>86.417175</v>
      </c>
      <c r="AE954" s="1">
        <f t="shared" ca="1" si="280"/>
        <v>86.417175</v>
      </c>
      <c r="AF954" s="1">
        <f t="shared" ca="1" si="280"/>
        <v>86.417175</v>
      </c>
      <c r="AG954" s="1">
        <f t="shared" ca="1" si="280"/>
        <v>86.417175</v>
      </c>
      <c r="AH954" s="1">
        <f t="shared" ca="1" si="280"/>
        <v>86.417175</v>
      </c>
      <c r="AI954" s="1">
        <f t="shared" ca="1" si="270"/>
        <v>129.62576250000001</v>
      </c>
    </row>
    <row r="955" spans="2:35" x14ac:dyDescent="0.15">
      <c r="B955" s="1" t="str">
        <f t="shared" si="265"/>
        <v>雷系62</v>
      </c>
      <c r="C955" s="1">
        <f t="shared" si="275"/>
        <v>62</v>
      </c>
      <c r="D955" s="14" t="s">
        <v>99</v>
      </c>
      <c r="E955" s="14">
        <f t="shared" si="276"/>
        <v>10</v>
      </c>
      <c r="F955" s="1" t="str">
        <f t="shared" si="263"/>
        <v>电击</v>
      </c>
      <c r="H955" s="1">
        <f t="shared" ca="1" si="264"/>
        <v>2231.8947108410998</v>
      </c>
      <c r="I955" s="1">
        <f t="shared" ca="1" si="279"/>
        <v>150</v>
      </c>
      <c r="J955" s="1">
        <f t="shared" ca="1" si="279"/>
        <v>941.77800963081904</v>
      </c>
      <c r="K955" s="1">
        <f t="shared" ca="1" si="279"/>
        <v>87.833849999999998</v>
      </c>
      <c r="L955" s="1">
        <f t="shared" ca="1" si="279"/>
        <v>941.77800963081904</v>
      </c>
      <c r="M955" s="1">
        <f t="shared" ca="1" si="279"/>
        <v>87.833849999999998</v>
      </c>
      <c r="N955" s="1">
        <f t="shared" ca="1" si="279"/>
        <v>0.2</v>
      </c>
      <c r="O955" s="1">
        <f t="shared" ca="1" si="279"/>
        <v>0.2</v>
      </c>
      <c r="P955" s="1">
        <f t="shared" ca="1" si="279"/>
        <v>0.36</v>
      </c>
      <c r="Q955" s="1">
        <f t="shared" ca="1" si="279"/>
        <v>0.1</v>
      </c>
      <c r="R955" s="1">
        <f t="shared" ca="1" si="279"/>
        <v>2</v>
      </c>
      <c r="S955" s="1">
        <f t="shared" ca="1" si="280"/>
        <v>0.1</v>
      </c>
      <c r="T955" s="1">
        <f t="shared" ca="1" si="280"/>
        <v>0.9</v>
      </c>
      <c r="U955" s="1">
        <f t="shared" ca="1" si="280"/>
        <v>119.866666666667</v>
      </c>
      <c r="V955" s="1">
        <f t="shared" ca="1" si="280"/>
        <v>0</v>
      </c>
      <c r="W955" s="1">
        <f t="shared" ca="1" si="280"/>
        <v>0</v>
      </c>
      <c r="X955" s="1">
        <f t="shared" ca="1" si="280"/>
        <v>0</v>
      </c>
      <c r="Y955" s="1">
        <f t="shared" ca="1" si="280"/>
        <v>0</v>
      </c>
      <c r="Z955" s="1">
        <f t="shared" ca="1" si="280"/>
        <v>0</v>
      </c>
      <c r="AA955" s="1">
        <f t="shared" ca="1" si="280"/>
        <v>0</v>
      </c>
      <c r="AB955" s="1">
        <f t="shared" ca="1" si="278"/>
        <v>634.6764847512045</v>
      </c>
      <c r="AC955" s="1">
        <f t="shared" ca="1" si="280"/>
        <v>87.833849999999998</v>
      </c>
      <c r="AD955" s="1">
        <f t="shared" ca="1" si="280"/>
        <v>87.833849999999998</v>
      </c>
      <c r="AE955" s="1">
        <f t="shared" ca="1" si="280"/>
        <v>87.833849999999998</v>
      </c>
      <c r="AF955" s="1">
        <f t="shared" ca="1" si="280"/>
        <v>87.833849999999998</v>
      </c>
      <c r="AG955" s="1">
        <f t="shared" ca="1" si="280"/>
        <v>87.833849999999998</v>
      </c>
      <c r="AH955" s="1">
        <f t="shared" ca="1" si="280"/>
        <v>87.833849999999998</v>
      </c>
      <c r="AI955" s="1">
        <f t="shared" ca="1" si="270"/>
        <v>131.750775</v>
      </c>
    </row>
    <row r="956" spans="2:35" x14ac:dyDescent="0.15">
      <c r="B956" s="1" t="str">
        <f t="shared" si="265"/>
        <v>雷系63</v>
      </c>
      <c r="C956" s="1">
        <f t="shared" si="275"/>
        <v>63</v>
      </c>
      <c r="D956" s="14" t="s">
        <v>99</v>
      </c>
      <c r="E956" s="14">
        <f t="shared" si="276"/>
        <v>10</v>
      </c>
      <c r="F956" s="1" t="str">
        <f t="shared" si="263"/>
        <v>电击</v>
      </c>
      <c r="H956" s="1">
        <f t="shared" ca="1" si="264"/>
        <v>2278.6413207455798</v>
      </c>
      <c r="I956" s="1">
        <f t="shared" ca="1" si="279"/>
        <v>150</v>
      </c>
      <c r="J956" s="1">
        <f t="shared" ca="1" si="279"/>
        <v>965.38295454545505</v>
      </c>
      <c r="K956" s="1">
        <f t="shared" ca="1" si="279"/>
        <v>89.250524999999996</v>
      </c>
      <c r="L956" s="1">
        <f t="shared" ca="1" si="279"/>
        <v>965.38295454545505</v>
      </c>
      <c r="M956" s="1">
        <f t="shared" ca="1" si="279"/>
        <v>89.250524999999996</v>
      </c>
      <c r="N956" s="1">
        <f t="shared" ca="1" si="279"/>
        <v>0.2</v>
      </c>
      <c r="O956" s="1">
        <f t="shared" ca="1" si="279"/>
        <v>0.2</v>
      </c>
      <c r="P956" s="1">
        <f t="shared" ca="1" si="279"/>
        <v>0.36</v>
      </c>
      <c r="Q956" s="1">
        <f t="shared" ca="1" si="279"/>
        <v>0.1</v>
      </c>
      <c r="R956" s="1">
        <f t="shared" ca="1" si="279"/>
        <v>2</v>
      </c>
      <c r="S956" s="1">
        <f t="shared" ca="1" si="280"/>
        <v>0.1</v>
      </c>
      <c r="T956" s="1">
        <f t="shared" ca="1" si="280"/>
        <v>0.9</v>
      </c>
      <c r="U956" s="1">
        <f t="shared" ca="1" si="280"/>
        <v>121.8</v>
      </c>
      <c r="V956" s="1">
        <f t="shared" ca="1" si="280"/>
        <v>0</v>
      </c>
      <c r="W956" s="1">
        <f t="shared" ca="1" si="280"/>
        <v>0</v>
      </c>
      <c r="X956" s="1">
        <f t="shared" ca="1" si="280"/>
        <v>0</v>
      </c>
      <c r="Y956" s="1">
        <f t="shared" ca="1" si="280"/>
        <v>0</v>
      </c>
      <c r="Z956" s="1">
        <f t="shared" ca="1" si="280"/>
        <v>0</v>
      </c>
      <c r="AA956" s="1">
        <f t="shared" ca="1" si="280"/>
        <v>0</v>
      </c>
      <c r="AB956" s="1">
        <f t="shared" ca="1" si="278"/>
        <v>665.90284090909199</v>
      </c>
      <c r="AC956" s="1">
        <f t="shared" ca="1" si="280"/>
        <v>89.250524999999996</v>
      </c>
      <c r="AD956" s="1">
        <f t="shared" ca="1" si="280"/>
        <v>89.250524999999996</v>
      </c>
      <c r="AE956" s="1">
        <f t="shared" ca="1" si="280"/>
        <v>89.250524999999996</v>
      </c>
      <c r="AF956" s="1">
        <f t="shared" ca="1" si="280"/>
        <v>89.250524999999996</v>
      </c>
      <c r="AG956" s="1">
        <f t="shared" ca="1" si="280"/>
        <v>89.250524999999996</v>
      </c>
      <c r="AH956" s="1">
        <f t="shared" ca="1" si="280"/>
        <v>89.250524999999996</v>
      </c>
      <c r="AI956" s="1">
        <f t="shared" ca="1" si="270"/>
        <v>133.8757875</v>
      </c>
    </row>
    <row r="957" spans="2:35" x14ac:dyDescent="0.15">
      <c r="B957" s="1" t="str">
        <f t="shared" si="265"/>
        <v>雷系64</v>
      </c>
      <c r="C957" s="1">
        <f t="shared" si="275"/>
        <v>64</v>
      </c>
      <c r="D957" s="14" t="s">
        <v>99</v>
      </c>
      <c r="E957" s="14">
        <f t="shared" si="276"/>
        <v>10</v>
      </c>
      <c r="F957" s="1" t="str">
        <f t="shared" si="263"/>
        <v>电击</v>
      </c>
      <c r="H957" s="1">
        <f t="shared" ca="1" si="264"/>
        <v>2325.7291467807499</v>
      </c>
      <c r="I957" s="1">
        <f t="shared" ca="1" si="279"/>
        <v>150</v>
      </c>
      <c r="J957" s="1">
        <f t="shared" ca="1" si="279"/>
        <v>989.38325123152799</v>
      </c>
      <c r="K957" s="1">
        <f t="shared" ca="1" si="279"/>
        <v>90.667199999999994</v>
      </c>
      <c r="L957" s="1">
        <f t="shared" ca="1" si="279"/>
        <v>989.38325123152799</v>
      </c>
      <c r="M957" s="1">
        <f t="shared" ca="1" si="279"/>
        <v>90.667199999999994</v>
      </c>
      <c r="N957" s="1">
        <f t="shared" ca="1" si="279"/>
        <v>0.2</v>
      </c>
      <c r="O957" s="1">
        <f t="shared" ca="1" si="279"/>
        <v>0.2</v>
      </c>
      <c r="P957" s="1">
        <f t="shared" ca="1" si="279"/>
        <v>0.36</v>
      </c>
      <c r="Q957" s="1">
        <f t="shared" ca="1" si="279"/>
        <v>0.1</v>
      </c>
      <c r="R957" s="1">
        <f t="shared" ca="1" si="279"/>
        <v>2</v>
      </c>
      <c r="S957" s="1">
        <f t="shared" ca="1" si="280"/>
        <v>0.1</v>
      </c>
      <c r="T957" s="1">
        <f t="shared" ca="1" si="280"/>
        <v>0.9</v>
      </c>
      <c r="U957" s="1">
        <f t="shared" ca="1" si="280"/>
        <v>123.73333333333299</v>
      </c>
      <c r="V957" s="1">
        <f t="shared" ca="1" si="280"/>
        <v>0</v>
      </c>
      <c r="W957" s="1">
        <f t="shared" ca="1" si="280"/>
        <v>0</v>
      </c>
      <c r="X957" s="1">
        <f t="shared" ca="1" si="280"/>
        <v>0</v>
      </c>
      <c r="Y957" s="1">
        <f t="shared" ca="1" si="280"/>
        <v>0</v>
      </c>
      <c r="Z957" s="1">
        <f t="shared" ca="1" si="280"/>
        <v>0</v>
      </c>
      <c r="AA957" s="1">
        <f t="shared" ca="1" si="280"/>
        <v>0</v>
      </c>
      <c r="AB957" s="1">
        <f t="shared" ca="1" si="278"/>
        <v>698.3881773399014</v>
      </c>
      <c r="AC957" s="1">
        <f t="shared" ca="1" si="280"/>
        <v>90.667199999999994</v>
      </c>
      <c r="AD957" s="1">
        <f t="shared" ca="1" si="280"/>
        <v>90.667199999999994</v>
      </c>
      <c r="AE957" s="1">
        <f t="shared" ca="1" si="280"/>
        <v>90.667199999999994</v>
      </c>
      <c r="AF957" s="1">
        <f t="shared" ca="1" si="280"/>
        <v>90.667199999999994</v>
      </c>
      <c r="AG957" s="1">
        <f t="shared" ca="1" si="280"/>
        <v>90.667199999999994</v>
      </c>
      <c r="AH957" s="1">
        <f t="shared" ca="1" si="280"/>
        <v>90.667199999999994</v>
      </c>
      <c r="AI957" s="1">
        <f t="shared" ca="1" si="270"/>
        <v>136.0008</v>
      </c>
    </row>
    <row r="958" spans="2:35" x14ac:dyDescent="0.15">
      <c r="B958" s="1" t="str">
        <f t="shared" si="265"/>
        <v>雷系65</v>
      </c>
      <c r="C958" s="1">
        <f t="shared" si="275"/>
        <v>65</v>
      </c>
      <c r="D958" s="14" t="s">
        <v>99</v>
      </c>
      <c r="E958" s="14">
        <f t="shared" si="276"/>
        <v>10</v>
      </c>
      <c r="F958" s="1" t="str">
        <f t="shared" si="263"/>
        <v>电击</v>
      </c>
      <c r="H958" s="1">
        <f t="shared" ca="1" si="264"/>
        <v>2373.1581889466202</v>
      </c>
      <c r="I958" s="1">
        <f t="shared" ca="1" si="279"/>
        <v>150</v>
      </c>
      <c r="J958" s="1">
        <f t="shared" ca="1" si="279"/>
        <v>1013.78945182724</v>
      </c>
      <c r="K958" s="1">
        <f t="shared" ca="1" si="279"/>
        <v>92.083875000000006</v>
      </c>
      <c r="L958" s="1">
        <f t="shared" ca="1" si="279"/>
        <v>1013.78945182724</v>
      </c>
      <c r="M958" s="1">
        <f t="shared" ca="1" si="279"/>
        <v>92.083875000000006</v>
      </c>
      <c r="N958" s="1">
        <f t="shared" ca="1" si="279"/>
        <v>0.2</v>
      </c>
      <c r="O958" s="1">
        <f t="shared" ca="1" si="279"/>
        <v>0.2</v>
      </c>
      <c r="P958" s="1">
        <f t="shared" ca="1" si="279"/>
        <v>0.36</v>
      </c>
      <c r="Q958" s="1">
        <f t="shared" ca="1" si="279"/>
        <v>0.1</v>
      </c>
      <c r="R958" s="1">
        <f t="shared" ca="1" si="279"/>
        <v>2</v>
      </c>
      <c r="S958" s="1">
        <f t="shared" ca="1" si="280"/>
        <v>0.1</v>
      </c>
      <c r="T958" s="1">
        <f t="shared" ca="1" si="280"/>
        <v>0.9</v>
      </c>
      <c r="U958" s="1">
        <f t="shared" ca="1" si="280"/>
        <v>125.666666666667</v>
      </c>
      <c r="V958" s="1">
        <f t="shared" ca="1" si="280"/>
        <v>0</v>
      </c>
      <c r="W958" s="1">
        <f t="shared" ca="1" si="280"/>
        <v>0</v>
      </c>
      <c r="X958" s="1">
        <f t="shared" ca="1" si="280"/>
        <v>0</v>
      </c>
      <c r="Y958" s="1">
        <f t="shared" ca="1" si="280"/>
        <v>0</v>
      </c>
      <c r="Z958" s="1">
        <f t="shared" ca="1" si="280"/>
        <v>0</v>
      </c>
      <c r="AA958" s="1">
        <f t="shared" ca="1" si="280"/>
        <v>0</v>
      </c>
      <c r="AB958" s="1">
        <f t="shared" ca="1" si="278"/>
        <v>732.18127076411997</v>
      </c>
      <c r="AC958" s="1">
        <f t="shared" ca="1" si="280"/>
        <v>92.083875000000006</v>
      </c>
      <c r="AD958" s="1">
        <f t="shared" ca="1" si="280"/>
        <v>92.083875000000006</v>
      </c>
      <c r="AE958" s="1">
        <f t="shared" ca="1" si="280"/>
        <v>92.083875000000006</v>
      </c>
      <c r="AF958" s="1">
        <f t="shared" ca="1" si="280"/>
        <v>92.083875000000006</v>
      </c>
      <c r="AG958" s="1">
        <f t="shared" ca="1" si="280"/>
        <v>92.083875000000006</v>
      </c>
      <c r="AH958" s="1">
        <f t="shared" ca="1" si="280"/>
        <v>92.083875000000006</v>
      </c>
      <c r="AI958" s="1">
        <f t="shared" ca="1" si="270"/>
        <v>138.12581249999999</v>
      </c>
    </row>
    <row r="959" spans="2:35" x14ac:dyDescent="0.15">
      <c r="B959" s="1" t="str">
        <f t="shared" si="265"/>
        <v>雷系66</v>
      </c>
      <c r="C959" s="1">
        <f t="shared" si="275"/>
        <v>66</v>
      </c>
      <c r="D959" s="14" t="s">
        <v>99</v>
      </c>
      <c r="E959" s="14">
        <f t="shared" si="276"/>
        <v>10</v>
      </c>
      <c r="F959" s="1" t="str">
        <f t="shared" si="263"/>
        <v>电击</v>
      </c>
      <c r="H959" s="1">
        <f t="shared" ca="1" si="264"/>
        <v>2420.92844724317</v>
      </c>
      <c r="I959" s="1">
        <f t="shared" ca="1" si="279"/>
        <v>150</v>
      </c>
      <c r="J959" s="1">
        <f t="shared" ca="1" si="279"/>
        <v>1038.61260504202</v>
      </c>
      <c r="K959" s="1">
        <f t="shared" ca="1" si="279"/>
        <v>93.500550000000004</v>
      </c>
      <c r="L959" s="1">
        <f t="shared" ca="1" si="279"/>
        <v>1038.61260504202</v>
      </c>
      <c r="M959" s="1">
        <f t="shared" ca="1" si="279"/>
        <v>93.500550000000004</v>
      </c>
      <c r="N959" s="1">
        <f t="shared" ca="1" si="279"/>
        <v>0.2</v>
      </c>
      <c r="O959" s="1">
        <f t="shared" ca="1" si="279"/>
        <v>0.2</v>
      </c>
      <c r="P959" s="1">
        <f t="shared" ca="1" si="279"/>
        <v>0.36</v>
      </c>
      <c r="Q959" s="1">
        <f t="shared" ca="1" si="279"/>
        <v>0.1</v>
      </c>
      <c r="R959" s="1">
        <f t="shared" ca="1" si="279"/>
        <v>2</v>
      </c>
      <c r="S959" s="1">
        <f t="shared" ca="1" si="280"/>
        <v>0.1</v>
      </c>
      <c r="T959" s="1">
        <f t="shared" ca="1" si="280"/>
        <v>0.9</v>
      </c>
      <c r="U959" s="1">
        <f t="shared" ca="1" si="280"/>
        <v>127.6</v>
      </c>
      <c r="V959" s="1">
        <f t="shared" ca="1" si="280"/>
        <v>0</v>
      </c>
      <c r="W959" s="1">
        <f t="shared" ca="1" si="280"/>
        <v>0</v>
      </c>
      <c r="X959" s="1">
        <f t="shared" ca="1" si="280"/>
        <v>0</v>
      </c>
      <c r="Y959" s="1">
        <f t="shared" ca="1" si="280"/>
        <v>0</v>
      </c>
      <c r="Z959" s="1">
        <f t="shared" ca="1" si="280"/>
        <v>0</v>
      </c>
      <c r="AA959" s="1">
        <f t="shared" ca="1" si="280"/>
        <v>0</v>
      </c>
      <c r="AB959" s="1">
        <f t="shared" ca="1" si="280"/>
        <v>767.33319327731101</v>
      </c>
      <c r="AC959" s="1">
        <f t="shared" ca="1" si="280"/>
        <v>93.500550000000004</v>
      </c>
      <c r="AD959" s="1">
        <f t="shared" ca="1" si="280"/>
        <v>93.500550000000004</v>
      </c>
      <c r="AE959" s="1">
        <f t="shared" ca="1" si="280"/>
        <v>93.500550000000004</v>
      </c>
      <c r="AF959" s="1">
        <f t="shared" ca="1" si="280"/>
        <v>93.500550000000004</v>
      </c>
      <c r="AG959" s="1">
        <f t="shared" ca="1" si="280"/>
        <v>93.500550000000004</v>
      </c>
      <c r="AH959" s="1">
        <f t="shared" ca="1" si="280"/>
        <v>93.500550000000004</v>
      </c>
      <c r="AI959" s="1">
        <f t="shared" ca="1" si="270"/>
        <v>140.25082500000002</v>
      </c>
    </row>
    <row r="960" spans="2:35" x14ac:dyDescent="0.15">
      <c r="B960" s="1" t="str">
        <f t="shared" si="265"/>
        <v>雷系67</v>
      </c>
      <c r="C960" s="1">
        <f t="shared" si="275"/>
        <v>67</v>
      </c>
      <c r="D960" s="14" t="s">
        <v>99</v>
      </c>
      <c r="E960" s="14">
        <f t="shared" si="276"/>
        <v>10</v>
      </c>
      <c r="F960" s="1" t="str">
        <f t="shared" si="263"/>
        <v>电击</v>
      </c>
      <c r="H960" s="1">
        <f t="shared" ca="1" si="264"/>
        <v>2566.4914899863102</v>
      </c>
      <c r="I960" s="1">
        <f t="shared" ca="1" si="279"/>
        <v>150</v>
      </c>
      <c r="J960" s="1">
        <f t="shared" ca="1" si="279"/>
        <v>1063.86428571429</v>
      </c>
      <c r="K960" s="1">
        <f t="shared" ca="1" si="279"/>
        <v>94.917225000000002</v>
      </c>
      <c r="L960" s="1">
        <f t="shared" ca="1" si="279"/>
        <v>1063.86428571429</v>
      </c>
      <c r="M960" s="1">
        <f t="shared" ca="1" si="279"/>
        <v>94.917225000000002</v>
      </c>
      <c r="N960" s="1">
        <f t="shared" ca="1" si="279"/>
        <v>0.2</v>
      </c>
      <c r="O960" s="1">
        <f t="shared" ca="1" si="279"/>
        <v>0.2</v>
      </c>
      <c r="P960" s="1">
        <f t="shared" ca="1" si="279"/>
        <v>0.36</v>
      </c>
      <c r="Q960" s="1">
        <f t="shared" ca="1" si="279"/>
        <v>0.1</v>
      </c>
      <c r="R960" s="1">
        <f t="shared" ca="1" si="279"/>
        <v>2</v>
      </c>
      <c r="S960" s="1">
        <f t="shared" ca="1" si="280"/>
        <v>0.1</v>
      </c>
      <c r="T960" s="1">
        <f t="shared" ca="1" si="280"/>
        <v>0.9</v>
      </c>
      <c r="U960" s="1">
        <f t="shared" ca="1" si="280"/>
        <v>129.53333333333299</v>
      </c>
      <c r="V960" s="1">
        <f t="shared" ca="1" si="280"/>
        <v>0</v>
      </c>
      <c r="W960" s="1">
        <f t="shared" ca="1" si="280"/>
        <v>0</v>
      </c>
      <c r="X960" s="1">
        <f t="shared" ca="1" si="280"/>
        <v>0</v>
      </c>
      <c r="Y960" s="1">
        <f t="shared" ca="1" si="280"/>
        <v>0</v>
      </c>
      <c r="Z960" s="1">
        <f t="shared" ca="1" si="280"/>
        <v>0</v>
      </c>
      <c r="AA960" s="1">
        <f t="shared" ca="1" si="280"/>
        <v>0</v>
      </c>
      <c r="AB960" s="1">
        <f t="shared" ca="1" si="280"/>
        <v>803.89744897959304</v>
      </c>
      <c r="AC960" s="1">
        <f t="shared" ca="1" si="280"/>
        <v>94.917225000000002</v>
      </c>
      <c r="AD960" s="1">
        <f t="shared" ca="1" si="280"/>
        <v>94.917225000000002</v>
      </c>
      <c r="AE960" s="1">
        <f t="shared" ca="1" si="280"/>
        <v>94.917225000000002</v>
      </c>
      <c r="AF960" s="1">
        <f t="shared" ca="1" si="280"/>
        <v>94.917225000000002</v>
      </c>
      <c r="AG960" s="1">
        <f t="shared" ca="1" si="280"/>
        <v>94.917225000000002</v>
      </c>
      <c r="AH960" s="1">
        <f t="shared" ca="1" si="280"/>
        <v>94.917225000000002</v>
      </c>
      <c r="AI960" s="1">
        <f t="shared" ca="1" si="270"/>
        <v>142.37583749999999</v>
      </c>
    </row>
    <row r="961" spans="2:35" x14ac:dyDescent="0.15">
      <c r="B961" s="1" t="str">
        <f t="shared" si="265"/>
        <v>雷系68</v>
      </c>
      <c r="C961" s="1">
        <f t="shared" si="275"/>
        <v>68</v>
      </c>
      <c r="D961" s="14" t="s">
        <v>99</v>
      </c>
      <c r="E961" s="14">
        <f t="shared" si="276"/>
        <v>10</v>
      </c>
      <c r="F961" s="1" t="str">
        <f t="shared" si="263"/>
        <v>电击</v>
      </c>
      <c r="H961" s="1">
        <f t="shared" ca="1" si="264"/>
        <v>2616.8565800330298</v>
      </c>
      <c r="I961" s="1">
        <f t="shared" ca="1" si="279"/>
        <v>150</v>
      </c>
      <c r="J961" s="1">
        <f t="shared" ca="1" si="279"/>
        <v>1089.5566265060199</v>
      </c>
      <c r="K961" s="1">
        <f t="shared" ca="1" si="279"/>
        <v>96.3339</v>
      </c>
      <c r="L961" s="1">
        <f t="shared" ca="1" si="279"/>
        <v>1089.5566265060199</v>
      </c>
      <c r="M961" s="1">
        <f t="shared" ca="1" si="279"/>
        <v>96.3339</v>
      </c>
      <c r="N961" s="1">
        <f t="shared" ca="1" si="279"/>
        <v>0.2</v>
      </c>
      <c r="O961" s="1">
        <f t="shared" ca="1" si="279"/>
        <v>0.2</v>
      </c>
      <c r="P961" s="1">
        <f t="shared" ca="1" si="279"/>
        <v>0.36</v>
      </c>
      <c r="Q961" s="1">
        <f t="shared" ca="1" si="279"/>
        <v>0.1</v>
      </c>
      <c r="R961" s="1">
        <f t="shared" ca="1" si="279"/>
        <v>2</v>
      </c>
      <c r="S961" s="1">
        <f t="shared" ca="1" si="280"/>
        <v>0.1</v>
      </c>
      <c r="T961" s="1">
        <f t="shared" ca="1" si="280"/>
        <v>0.9</v>
      </c>
      <c r="U961" s="1">
        <f t="shared" ca="1" si="280"/>
        <v>131.46666666666701</v>
      </c>
      <c r="V961" s="1">
        <f t="shared" ca="1" si="280"/>
        <v>0</v>
      </c>
      <c r="W961" s="1">
        <f t="shared" ca="1" si="280"/>
        <v>0</v>
      </c>
      <c r="X961" s="1">
        <f t="shared" ca="1" si="280"/>
        <v>0</v>
      </c>
      <c r="Y961" s="1">
        <f t="shared" ca="1" si="280"/>
        <v>0</v>
      </c>
      <c r="Z961" s="1">
        <f t="shared" ca="1" si="280"/>
        <v>0</v>
      </c>
      <c r="AA961" s="1">
        <f t="shared" ca="1" si="280"/>
        <v>0</v>
      </c>
      <c r="AB961" s="1">
        <f t="shared" ca="1" si="280"/>
        <v>841.93012048192804</v>
      </c>
      <c r="AC961" s="1">
        <f t="shared" ca="1" si="280"/>
        <v>96.3339</v>
      </c>
      <c r="AD961" s="1">
        <f t="shared" ca="1" si="280"/>
        <v>96.3339</v>
      </c>
      <c r="AE961" s="1">
        <f t="shared" ca="1" si="280"/>
        <v>96.3339</v>
      </c>
      <c r="AF961" s="1">
        <f t="shared" ca="1" si="280"/>
        <v>96.3339</v>
      </c>
      <c r="AG961" s="1">
        <f t="shared" ca="1" si="280"/>
        <v>96.3339</v>
      </c>
      <c r="AH961" s="1">
        <f t="shared" ca="1" si="280"/>
        <v>96.3339</v>
      </c>
      <c r="AI961" s="1">
        <f t="shared" ca="1" si="270"/>
        <v>144.50085000000001</v>
      </c>
    </row>
    <row r="962" spans="2:35" x14ac:dyDescent="0.15">
      <c r="B962" s="1" t="str">
        <f t="shared" si="265"/>
        <v>雷系69</v>
      </c>
      <c r="C962" s="1">
        <f t="shared" si="275"/>
        <v>69</v>
      </c>
      <c r="D962" s="14" t="s">
        <v>99</v>
      </c>
      <c r="E962" s="14">
        <f t="shared" si="276"/>
        <v>10</v>
      </c>
      <c r="F962" s="1" t="str">
        <f t="shared" si="263"/>
        <v>电击</v>
      </c>
      <c r="H962" s="1">
        <f t="shared" ca="1" si="264"/>
        <v>2667.5763538124702</v>
      </c>
      <c r="I962" s="1">
        <f t="shared" ca="1" si="279"/>
        <v>150</v>
      </c>
      <c r="J962" s="1">
        <f t="shared" ca="1" si="279"/>
        <v>1115.7023519163799</v>
      </c>
      <c r="K962" s="1">
        <f t="shared" ca="1" si="279"/>
        <v>97.750574999999998</v>
      </c>
      <c r="L962" s="1">
        <f t="shared" ca="1" si="279"/>
        <v>1115.7023519163799</v>
      </c>
      <c r="M962" s="1">
        <f t="shared" ca="1" si="279"/>
        <v>97.750574999999998</v>
      </c>
      <c r="N962" s="1">
        <f t="shared" ca="1" si="279"/>
        <v>0.2</v>
      </c>
      <c r="O962" s="1">
        <f t="shared" ca="1" si="279"/>
        <v>0.2</v>
      </c>
      <c r="P962" s="1">
        <f t="shared" ca="1" si="279"/>
        <v>0.36</v>
      </c>
      <c r="Q962" s="1">
        <f t="shared" ca="1" si="279"/>
        <v>0.1</v>
      </c>
      <c r="R962" s="1">
        <f t="shared" ca="1" si="279"/>
        <v>2</v>
      </c>
      <c r="S962" s="1">
        <f t="shared" ca="1" si="280"/>
        <v>0.1</v>
      </c>
      <c r="T962" s="1">
        <f t="shared" ca="1" si="280"/>
        <v>0.9</v>
      </c>
      <c r="U962" s="1">
        <f t="shared" ca="1" si="280"/>
        <v>133.4</v>
      </c>
      <c r="V962" s="1">
        <f t="shared" ca="1" si="280"/>
        <v>0</v>
      </c>
      <c r="W962" s="1">
        <f t="shared" ca="1" si="280"/>
        <v>0</v>
      </c>
      <c r="X962" s="1">
        <f t="shared" ca="1" si="280"/>
        <v>0</v>
      </c>
      <c r="Y962" s="1">
        <f t="shared" ca="1" si="280"/>
        <v>0</v>
      </c>
      <c r="Z962" s="1">
        <f t="shared" ca="1" si="280"/>
        <v>0</v>
      </c>
      <c r="AA962" s="1">
        <f t="shared" ca="1" si="280"/>
        <v>0</v>
      </c>
      <c r="AB962" s="1">
        <f t="shared" ca="1" si="280"/>
        <v>881.49002613240452</v>
      </c>
      <c r="AC962" s="1">
        <f t="shared" ca="1" si="280"/>
        <v>97.750574999999998</v>
      </c>
      <c r="AD962" s="1">
        <f t="shared" ca="1" si="280"/>
        <v>97.750574999999998</v>
      </c>
      <c r="AE962" s="1">
        <f t="shared" ca="1" si="280"/>
        <v>97.750574999999998</v>
      </c>
      <c r="AF962" s="1">
        <f t="shared" ca="1" si="280"/>
        <v>97.750574999999998</v>
      </c>
      <c r="AG962" s="1">
        <f t="shared" ca="1" si="280"/>
        <v>97.750574999999998</v>
      </c>
      <c r="AH962" s="1">
        <f t="shared" ca="1" si="280"/>
        <v>97.750574999999998</v>
      </c>
      <c r="AI962" s="1">
        <f t="shared" ca="1" si="270"/>
        <v>146.62586249999998</v>
      </c>
    </row>
    <row r="963" spans="2:35" x14ac:dyDescent="0.15">
      <c r="B963" s="1" t="str">
        <f t="shared" si="265"/>
        <v>雷系70</v>
      </c>
      <c r="C963" s="1">
        <f t="shared" si="275"/>
        <v>70</v>
      </c>
      <c r="D963" s="14" t="s">
        <v>99</v>
      </c>
      <c r="E963" s="14">
        <f t="shared" si="276"/>
        <v>10</v>
      </c>
      <c r="F963" s="1" t="str">
        <f t="shared" ref="F963:F1026" si="281">VLOOKUP(E963,monsterType,4,FALSE)</f>
        <v>电击</v>
      </c>
      <c r="H963" s="1">
        <f t="shared" ref="H963:H992" ca="1" si="282">mVlookup(C963,monsterBaseDate,H$2,FALSE)*(1+mVlookup(E963,monsterType,H$2,FALSE))*(1+mVlookup(C963,monsterHpRevise,D963,FALSE))</f>
        <v>2718.65081132463</v>
      </c>
      <c r="I963" s="1">
        <f t="shared" ref="I963:R972" ca="1" si="283">mVlookup($C963,monsterBaseDate,I$2,FALSE)*(1+mVlookup($E963,monsterType,I$2,FALSE))</f>
        <v>150</v>
      </c>
      <c r="J963" s="1">
        <f t="shared" ca="1" si="283"/>
        <v>1142.31481481482</v>
      </c>
      <c r="K963" s="1">
        <f t="shared" ca="1" si="283"/>
        <v>99.167249999999996</v>
      </c>
      <c r="L963" s="1">
        <f t="shared" ca="1" si="283"/>
        <v>1142.31481481482</v>
      </c>
      <c r="M963" s="1">
        <f t="shared" ca="1" si="283"/>
        <v>99.167249999999996</v>
      </c>
      <c r="N963" s="1">
        <f t="shared" ca="1" si="283"/>
        <v>0.2</v>
      </c>
      <c r="O963" s="1">
        <f t="shared" ca="1" si="283"/>
        <v>0.2</v>
      </c>
      <c r="P963" s="1">
        <f t="shared" ca="1" si="283"/>
        <v>0.36</v>
      </c>
      <c r="Q963" s="1">
        <f t="shared" ca="1" si="283"/>
        <v>0.1</v>
      </c>
      <c r="R963" s="1">
        <f t="shared" ca="1" si="283"/>
        <v>2</v>
      </c>
      <c r="S963" s="1">
        <f t="shared" ref="S963:AH978" ca="1" si="284">mVlookup($C963,monsterBaseDate,S$2,FALSE)*(1+mVlookup($E963,monsterType,S$2,FALSE))</f>
        <v>0.1</v>
      </c>
      <c r="T963" s="1">
        <f t="shared" ca="1" si="284"/>
        <v>0.9</v>
      </c>
      <c r="U963" s="1">
        <f t="shared" ca="1" si="284"/>
        <v>135.333333333333</v>
      </c>
      <c r="V963" s="1">
        <f t="shared" ca="1" si="284"/>
        <v>0</v>
      </c>
      <c r="W963" s="1">
        <f t="shared" ca="1" si="284"/>
        <v>0</v>
      </c>
      <c r="X963" s="1">
        <f t="shared" ca="1" si="284"/>
        <v>0</v>
      </c>
      <c r="Y963" s="1">
        <f t="shared" ca="1" si="284"/>
        <v>0</v>
      </c>
      <c r="Z963" s="1">
        <f t="shared" ca="1" si="284"/>
        <v>0</v>
      </c>
      <c r="AA963" s="1">
        <f t="shared" ca="1" si="284"/>
        <v>0</v>
      </c>
      <c r="AB963" s="1">
        <f t="shared" ca="1" si="280"/>
        <v>922.63888888888937</v>
      </c>
      <c r="AC963" s="1">
        <f t="shared" ca="1" si="284"/>
        <v>99.167249999999996</v>
      </c>
      <c r="AD963" s="1">
        <f t="shared" ca="1" si="284"/>
        <v>99.167249999999996</v>
      </c>
      <c r="AE963" s="1">
        <f t="shared" ca="1" si="284"/>
        <v>99.167249999999996</v>
      </c>
      <c r="AF963" s="1">
        <f t="shared" ca="1" si="284"/>
        <v>99.167249999999996</v>
      </c>
      <c r="AG963" s="1">
        <f t="shared" ca="1" si="284"/>
        <v>99.167249999999996</v>
      </c>
      <c r="AH963" s="1">
        <f t="shared" ca="1" si="284"/>
        <v>99.167249999999996</v>
      </c>
      <c r="AI963" s="1">
        <f t="shared" ca="1" si="270"/>
        <v>148.75087500000001</v>
      </c>
    </row>
    <row r="964" spans="2:35" x14ac:dyDescent="0.15">
      <c r="B964" s="1" t="str">
        <f t="shared" ref="B964:B992" si="285">D964&amp;C964</f>
        <v>雷系71</v>
      </c>
      <c r="C964" s="1">
        <f t="shared" si="275"/>
        <v>71</v>
      </c>
      <c r="D964" s="14" t="s">
        <v>99</v>
      </c>
      <c r="E964" s="14">
        <f t="shared" si="276"/>
        <v>10</v>
      </c>
      <c r="F964" s="1" t="str">
        <f t="shared" si="281"/>
        <v>电击</v>
      </c>
      <c r="H964" s="1">
        <f t="shared" ca="1" si="282"/>
        <v>2770.0799525695202</v>
      </c>
      <c r="I964" s="1">
        <f t="shared" ca="1" si="283"/>
        <v>150</v>
      </c>
      <c r="J964" s="1">
        <f t="shared" ca="1" si="283"/>
        <v>1169.40803571429</v>
      </c>
      <c r="K964" s="1">
        <f t="shared" ca="1" si="283"/>
        <v>100.58392499999999</v>
      </c>
      <c r="L964" s="1">
        <f t="shared" ca="1" si="283"/>
        <v>1169.40803571429</v>
      </c>
      <c r="M964" s="1">
        <f t="shared" ca="1" si="283"/>
        <v>100.58392499999999</v>
      </c>
      <c r="N964" s="1">
        <f t="shared" ca="1" si="283"/>
        <v>0.2</v>
      </c>
      <c r="O964" s="1">
        <f t="shared" ca="1" si="283"/>
        <v>0.2</v>
      </c>
      <c r="P964" s="1">
        <f t="shared" ca="1" si="283"/>
        <v>0.36</v>
      </c>
      <c r="Q964" s="1">
        <f t="shared" ca="1" si="283"/>
        <v>0.1</v>
      </c>
      <c r="R964" s="1">
        <f t="shared" ca="1" si="283"/>
        <v>2</v>
      </c>
      <c r="S964" s="1">
        <f t="shared" ca="1" si="284"/>
        <v>0.1</v>
      </c>
      <c r="T964" s="1">
        <f t="shared" ca="1" si="284"/>
        <v>0.9</v>
      </c>
      <c r="U964" s="1">
        <f t="shared" ca="1" si="284"/>
        <v>137.26666666666699</v>
      </c>
      <c r="V964" s="1">
        <f t="shared" ca="1" si="284"/>
        <v>0</v>
      </c>
      <c r="W964" s="1">
        <f t="shared" ca="1" si="284"/>
        <v>0</v>
      </c>
      <c r="X964" s="1">
        <f t="shared" ca="1" si="284"/>
        <v>0</v>
      </c>
      <c r="Y964" s="1">
        <f t="shared" ca="1" si="284"/>
        <v>0</v>
      </c>
      <c r="Z964" s="1">
        <f t="shared" ca="1" si="284"/>
        <v>0</v>
      </c>
      <c r="AA964" s="1">
        <f t="shared" ca="1" si="284"/>
        <v>0</v>
      </c>
      <c r="AB964" s="1">
        <f t="shared" ca="1" si="280"/>
        <v>965.44151785714348</v>
      </c>
      <c r="AC964" s="1">
        <f t="shared" ca="1" si="284"/>
        <v>100.58392499999999</v>
      </c>
      <c r="AD964" s="1">
        <f t="shared" ca="1" si="284"/>
        <v>100.58392499999999</v>
      </c>
      <c r="AE964" s="1">
        <f t="shared" ca="1" si="284"/>
        <v>100.58392499999999</v>
      </c>
      <c r="AF964" s="1">
        <f t="shared" ca="1" si="284"/>
        <v>100.58392499999999</v>
      </c>
      <c r="AG964" s="1">
        <f t="shared" ca="1" si="284"/>
        <v>100.58392499999999</v>
      </c>
      <c r="AH964" s="1">
        <f t="shared" ca="1" si="284"/>
        <v>100.58392499999999</v>
      </c>
      <c r="AI964" s="1">
        <f t="shared" ca="1" si="270"/>
        <v>150.87588749999998</v>
      </c>
    </row>
    <row r="965" spans="2:35" x14ac:dyDescent="0.15">
      <c r="B965" s="1" t="str">
        <f t="shared" si="285"/>
        <v>雷系72</v>
      </c>
      <c r="C965" s="1">
        <f t="shared" si="275"/>
        <v>72</v>
      </c>
      <c r="D965" s="14" t="s">
        <v>99</v>
      </c>
      <c r="E965" s="14">
        <f t="shared" si="276"/>
        <v>10</v>
      </c>
      <c r="F965" s="1" t="str">
        <f t="shared" si="281"/>
        <v>电击</v>
      </c>
      <c r="H965" s="1">
        <f t="shared" ca="1" si="282"/>
        <v>2821.8637775471302</v>
      </c>
      <c r="I965" s="1">
        <f t="shared" ca="1" si="283"/>
        <v>150</v>
      </c>
      <c r="J965" s="1">
        <f t="shared" ca="1" si="283"/>
        <v>1196.9967450271299</v>
      </c>
      <c r="K965" s="1">
        <f t="shared" ca="1" si="283"/>
        <v>102.00060000000001</v>
      </c>
      <c r="L965" s="1">
        <f t="shared" ca="1" si="283"/>
        <v>1196.9967450271299</v>
      </c>
      <c r="M965" s="1">
        <f t="shared" ca="1" si="283"/>
        <v>102.00060000000001</v>
      </c>
      <c r="N965" s="1">
        <f t="shared" ca="1" si="283"/>
        <v>0.2</v>
      </c>
      <c r="O965" s="1">
        <f t="shared" ca="1" si="283"/>
        <v>0.2</v>
      </c>
      <c r="P965" s="1">
        <f t="shared" ca="1" si="283"/>
        <v>0.36</v>
      </c>
      <c r="Q965" s="1">
        <f t="shared" ca="1" si="283"/>
        <v>0.1</v>
      </c>
      <c r="R965" s="1">
        <f t="shared" ca="1" si="283"/>
        <v>2</v>
      </c>
      <c r="S965" s="1">
        <f t="shared" ca="1" si="284"/>
        <v>0.1</v>
      </c>
      <c r="T965" s="1">
        <f t="shared" ca="1" si="284"/>
        <v>0.9</v>
      </c>
      <c r="U965" s="1">
        <f t="shared" ca="1" si="284"/>
        <v>139.19999999999999</v>
      </c>
      <c r="V965" s="1">
        <f t="shared" ca="1" si="284"/>
        <v>0</v>
      </c>
      <c r="W965" s="1">
        <f t="shared" ca="1" si="284"/>
        <v>0</v>
      </c>
      <c r="X965" s="1">
        <f t="shared" ca="1" si="284"/>
        <v>0</v>
      </c>
      <c r="Y965" s="1">
        <f t="shared" ca="1" si="284"/>
        <v>0</v>
      </c>
      <c r="Z965" s="1">
        <f t="shared" ca="1" si="284"/>
        <v>0</v>
      </c>
      <c r="AA965" s="1">
        <f t="shared" ca="1" si="284"/>
        <v>0</v>
      </c>
      <c r="AB965" s="1">
        <f t="shared" ca="1" si="280"/>
        <v>1009.966003616637</v>
      </c>
      <c r="AC965" s="1">
        <f t="shared" ca="1" si="284"/>
        <v>102.00060000000001</v>
      </c>
      <c r="AD965" s="1">
        <f t="shared" ca="1" si="284"/>
        <v>102.00060000000001</v>
      </c>
      <c r="AE965" s="1">
        <f t="shared" ca="1" si="284"/>
        <v>102.00060000000001</v>
      </c>
      <c r="AF965" s="1">
        <f t="shared" ca="1" si="284"/>
        <v>102.00060000000001</v>
      </c>
      <c r="AG965" s="1">
        <f t="shared" ca="1" si="284"/>
        <v>102.00060000000001</v>
      </c>
      <c r="AH965" s="1">
        <f t="shared" ca="1" si="284"/>
        <v>102.00060000000001</v>
      </c>
      <c r="AI965" s="1">
        <f t="shared" ca="1" si="270"/>
        <v>153.0009</v>
      </c>
    </row>
    <row r="966" spans="2:35" x14ac:dyDescent="0.15">
      <c r="B966" s="1" t="str">
        <f t="shared" si="285"/>
        <v>雷系73</v>
      </c>
      <c r="C966" s="1">
        <f t="shared" si="275"/>
        <v>73</v>
      </c>
      <c r="D966" s="14" t="s">
        <v>99</v>
      </c>
      <c r="E966" s="14">
        <f t="shared" si="276"/>
        <v>10</v>
      </c>
      <c r="F966" s="1" t="str">
        <f t="shared" si="281"/>
        <v>电击</v>
      </c>
      <c r="H966" s="1">
        <f t="shared" ca="1" si="282"/>
        <v>2874.0022862574701</v>
      </c>
      <c r="I966" s="1">
        <f t="shared" ca="1" si="283"/>
        <v>150</v>
      </c>
      <c r="J966" s="1">
        <f t="shared" ca="1" si="283"/>
        <v>1225.0964285714299</v>
      </c>
      <c r="K966" s="1">
        <f t="shared" ca="1" si="283"/>
        <v>103.417275</v>
      </c>
      <c r="L966" s="1">
        <f t="shared" ca="1" si="283"/>
        <v>1225.0964285714299</v>
      </c>
      <c r="M966" s="1">
        <f t="shared" ca="1" si="283"/>
        <v>103.417275</v>
      </c>
      <c r="N966" s="1">
        <f t="shared" ca="1" si="283"/>
        <v>0.2</v>
      </c>
      <c r="O966" s="1">
        <f t="shared" ca="1" si="283"/>
        <v>0.2</v>
      </c>
      <c r="P966" s="1">
        <f t="shared" ca="1" si="283"/>
        <v>0.36</v>
      </c>
      <c r="Q966" s="1">
        <f t="shared" ca="1" si="283"/>
        <v>0.1</v>
      </c>
      <c r="R966" s="1">
        <f t="shared" ca="1" si="283"/>
        <v>2</v>
      </c>
      <c r="S966" s="1">
        <f t="shared" ca="1" si="284"/>
        <v>0.1</v>
      </c>
      <c r="T966" s="1">
        <f t="shared" ca="1" si="284"/>
        <v>0.9</v>
      </c>
      <c r="U966" s="1">
        <f t="shared" ca="1" si="284"/>
        <v>141.13333333333301</v>
      </c>
      <c r="V966" s="1">
        <f t="shared" ca="1" si="284"/>
        <v>0</v>
      </c>
      <c r="W966" s="1">
        <f t="shared" ca="1" si="284"/>
        <v>0</v>
      </c>
      <c r="X966" s="1">
        <f t="shared" ca="1" si="284"/>
        <v>0</v>
      </c>
      <c r="Y966" s="1">
        <f t="shared" ca="1" si="284"/>
        <v>0</v>
      </c>
      <c r="Z966" s="1">
        <f t="shared" ca="1" si="284"/>
        <v>0</v>
      </c>
      <c r="AA966" s="1">
        <f t="shared" ca="1" si="284"/>
        <v>0</v>
      </c>
      <c r="AB966" s="1">
        <f t="shared" ca="1" si="280"/>
        <v>1056.283928571429</v>
      </c>
      <c r="AC966" s="1">
        <f t="shared" ca="1" si="284"/>
        <v>103.417275</v>
      </c>
      <c r="AD966" s="1">
        <f t="shared" ca="1" si="284"/>
        <v>103.417275</v>
      </c>
      <c r="AE966" s="1">
        <f t="shared" ca="1" si="284"/>
        <v>103.417275</v>
      </c>
      <c r="AF966" s="1">
        <f t="shared" ca="1" si="284"/>
        <v>103.417275</v>
      </c>
      <c r="AG966" s="1">
        <f t="shared" ca="1" si="284"/>
        <v>103.417275</v>
      </c>
      <c r="AH966" s="1">
        <f t="shared" ca="1" si="284"/>
        <v>103.417275</v>
      </c>
      <c r="AI966" s="1">
        <f t="shared" ca="1" si="270"/>
        <v>155.1259125</v>
      </c>
    </row>
    <row r="967" spans="2:35" x14ac:dyDescent="0.15">
      <c r="B967" s="1" t="str">
        <f t="shared" si="285"/>
        <v>雷系74</v>
      </c>
      <c r="C967" s="1">
        <f t="shared" si="275"/>
        <v>74</v>
      </c>
      <c r="D967" s="14" t="s">
        <v>99</v>
      </c>
      <c r="E967" s="14">
        <f t="shared" si="276"/>
        <v>10</v>
      </c>
      <c r="F967" s="1" t="str">
        <f t="shared" si="281"/>
        <v>电击</v>
      </c>
      <c r="H967" s="1">
        <f t="shared" ca="1" si="282"/>
        <v>2926.4954787005299</v>
      </c>
      <c r="I967" s="1">
        <f t="shared" ca="1" si="283"/>
        <v>150</v>
      </c>
      <c r="J967" s="1">
        <f t="shared" ca="1" si="283"/>
        <v>1253.7233766233801</v>
      </c>
      <c r="K967" s="1">
        <f t="shared" ca="1" si="283"/>
        <v>104.83395</v>
      </c>
      <c r="L967" s="1">
        <f t="shared" ca="1" si="283"/>
        <v>1253.7233766233801</v>
      </c>
      <c r="M967" s="1">
        <f t="shared" ca="1" si="283"/>
        <v>104.83395</v>
      </c>
      <c r="N967" s="1">
        <f t="shared" ca="1" si="283"/>
        <v>0.2</v>
      </c>
      <c r="O967" s="1">
        <f t="shared" ca="1" si="283"/>
        <v>0.2</v>
      </c>
      <c r="P967" s="1">
        <f t="shared" ca="1" si="283"/>
        <v>0.36</v>
      </c>
      <c r="Q967" s="1">
        <f t="shared" ca="1" si="283"/>
        <v>0.1</v>
      </c>
      <c r="R967" s="1">
        <f t="shared" ca="1" si="283"/>
        <v>2</v>
      </c>
      <c r="S967" s="1">
        <f t="shared" ca="1" si="284"/>
        <v>0.1</v>
      </c>
      <c r="T967" s="1">
        <f t="shared" ca="1" si="284"/>
        <v>0.9</v>
      </c>
      <c r="U967" s="1">
        <f t="shared" ca="1" si="284"/>
        <v>143.066666666667</v>
      </c>
      <c r="V967" s="1">
        <f t="shared" ca="1" si="284"/>
        <v>0</v>
      </c>
      <c r="W967" s="1">
        <f t="shared" ca="1" si="284"/>
        <v>0</v>
      </c>
      <c r="X967" s="1">
        <f t="shared" ca="1" si="284"/>
        <v>0</v>
      </c>
      <c r="Y967" s="1">
        <f t="shared" ca="1" si="284"/>
        <v>0</v>
      </c>
      <c r="Z967" s="1">
        <f t="shared" ca="1" si="284"/>
        <v>0</v>
      </c>
      <c r="AA967" s="1">
        <f t="shared" ca="1" si="284"/>
        <v>0</v>
      </c>
      <c r="AB967" s="1">
        <f t="shared" ca="1" si="280"/>
        <v>1104.4705936920241</v>
      </c>
      <c r="AC967" s="1">
        <f t="shared" ca="1" si="284"/>
        <v>104.83395</v>
      </c>
      <c r="AD967" s="1">
        <f t="shared" ca="1" si="284"/>
        <v>104.83395</v>
      </c>
      <c r="AE967" s="1">
        <f t="shared" ca="1" si="284"/>
        <v>104.83395</v>
      </c>
      <c r="AF967" s="1">
        <f t="shared" ca="1" si="284"/>
        <v>104.83395</v>
      </c>
      <c r="AG967" s="1">
        <f t="shared" ca="1" si="284"/>
        <v>104.83395</v>
      </c>
      <c r="AH967" s="1">
        <f t="shared" ca="1" si="284"/>
        <v>104.83395</v>
      </c>
      <c r="AI967" s="1">
        <f t="shared" ca="1" si="270"/>
        <v>157.250925</v>
      </c>
    </row>
    <row r="968" spans="2:35" x14ac:dyDescent="0.15">
      <c r="B968" s="1" t="str">
        <f t="shared" si="285"/>
        <v>雷系75</v>
      </c>
      <c r="C968" s="1">
        <f t="shared" si="275"/>
        <v>75</v>
      </c>
      <c r="D968" s="14" t="s">
        <v>99</v>
      </c>
      <c r="E968" s="14">
        <f t="shared" si="276"/>
        <v>10</v>
      </c>
      <c r="F968" s="1" t="str">
        <f t="shared" si="281"/>
        <v>电击</v>
      </c>
      <c r="H968" s="1">
        <f t="shared" ca="1" si="282"/>
        <v>2979.3433548763101</v>
      </c>
      <c r="I968" s="1">
        <f t="shared" ca="1" si="283"/>
        <v>150</v>
      </c>
      <c r="J968" s="1">
        <f t="shared" ca="1" si="283"/>
        <v>1282.89473684211</v>
      </c>
      <c r="K968" s="1">
        <f t="shared" ca="1" si="283"/>
        <v>106.250625</v>
      </c>
      <c r="L968" s="1">
        <f t="shared" ca="1" si="283"/>
        <v>1282.89473684211</v>
      </c>
      <c r="M968" s="1">
        <f t="shared" ca="1" si="283"/>
        <v>106.250625</v>
      </c>
      <c r="N968" s="1">
        <f t="shared" ca="1" si="283"/>
        <v>0.2</v>
      </c>
      <c r="O968" s="1">
        <f t="shared" ca="1" si="283"/>
        <v>0.2</v>
      </c>
      <c r="P968" s="1">
        <f t="shared" ca="1" si="283"/>
        <v>0.36</v>
      </c>
      <c r="Q968" s="1">
        <f t="shared" ca="1" si="283"/>
        <v>0.1</v>
      </c>
      <c r="R968" s="1">
        <f t="shared" ca="1" si="283"/>
        <v>2</v>
      </c>
      <c r="S968" s="1">
        <f t="shared" ca="1" si="284"/>
        <v>0.1</v>
      </c>
      <c r="T968" s="1">
        <f t="shared" ca="1" si="284"/>
        <v>0.9</v>
      </c>
      <c r="U968" s="1">
        <f t="shared" ca="1" si="284"/>
        <v>145</v>
      </c>
      <c r="V968" s="1">
        <f t="shared" ca="1" si="284"/>
        <v>0</v>
      </c>
      <c r="W968" s="1">
        <f t="shared" ca="1" si="284"/>
        <v>0</v>
      </c>
      <c r="X968" s="1">
        <f t="shared" ca="1" si="284"/>
        <v>0</v>
      </c>
      <c r="Y968" s="1">
        <f t="shared" ca="1" si="284"/>
        <v>0</v>
      </c>
      <c r="Z968" s="1">
        <f t="shared" ca="1" si="284"/>
        <v>0</v>
      </c>
      <c r="AA968" s="1">
        <f t="shared" ca="1" si="284"/>
        <v>0</v>
      </c>
      <c r="AB968" s="1">
        <f t="shared" ca="1" si="280"/>
        <v>1154.6052631578959</v>
      </c>
      <c r="AC968" s="1">
        <f t="shared" ca="1" si="284"/>
        <v>106.250625</v>
      </c>
      <c r="AD968" s="1">
        <f t="shared" ca="1" si="284"/>
        <v>106.250625</v>
      </c>
      <c r="AE968" s="1">
        <f t="shared" ca="1" si="284"/>
        <v>106.250625</v>
      </c>
      <c r="AF968" s="1">
        <f t="shared" ca="1" si="284"/>
        <v>106.250625</v>
      </c>
      <c r="AG968" s="1">
        <f t="shared" ca="1" si="284"/>
        <v>106.250625</v>
      </c>
      <c r="AH968" s="1">
        <f t="shared" ca="1" si="284"/>
        <v>106.250625</v>
      </c>
      <c r="AI968" s="1">
        <f t="shared" ca="1" si="270"/>
        <v>159.37593749999999</v>
      </c>
    </row>
    <row r="969" spans="2:35" x14ac:dyDescent="0.15">
      <c r="B969" s="1" t="str">
        <f t="shared" si="285"/>
        <v>雷系76</v>
      </c>
      <c r="C969" s="1">
        <f t="shared" si="275"/>
        <v>76</v>
      </c>
      <c r="D969" s="14" t="s">
        <v>99</v>
      </c>
      <c r="E969" s="14">
        <f t="shared" si="276"/>
        <v>10</v>
      </c>
      <c r="F969" s="1" t="str">
        <f t="shared" si="281"/>
        <v>电击</v>
      </c>
      <c r="H969" s="1">
        <f t="shared" ca="1" si="282"/>
        <v>3032.5459147848201</v>
      </c>
      <c r="I969" s="1">
        <f t="shared" ca="1" si="283"/>
        <v>150</v>
      </c>
      <c r="J969" s="1">
        <f t="shared" ca="1" si="283"/>
        <v>1312.62857142857</v>
      </c>
      <c r="K969" s="1">
        <f t="shared" ca="1" si="283"/>
        <v>107.6673</v>
      </c>
      <c r="L969" s="1">
        <f t="shared" ca="1" si="283"/>
        <v>1312.62857142857</v>
      </c>
      <c r="M969" s="1">
        <f t="shared" ca="1" si="283"/>
        <v>107.6673</v>
      </c>
      <c r="N969" s="1">
        <f t="shared" ca="1" si="283"/>
        <v>0.2</v>
      </c>
      <c r="O969" s="1">
        <f t="shared" ca="1" si="283"/>
        <v>0.2</v>
      </c>
      <c r="P969" s="1">
        <f t="shared" ca="1" si="283"/>
        <v>0.36</v>
      </c>
      <c r="Q969" s="1">
        <f t="shared" ca="1" si="283"/>
        <v>0.1</v>
      </c>
      <c r="R969" s="1">
        <f t="shared" ca="1" si="283"/>
        <v>2</v>
      </c>
      <c r="S969" s="1">
        <f t="shared" ca="1" si="284"/>
        <v>0.1</v>
      </c>
      <c r="T969" s="1">
        <f t="shared" ca="1" si="284"/>
        <v>0.9</v>
      </c>
      <c r="U969" s="1">
        <f t="shared" ca="1" si="284"/>
        <v>146.933333333333</v>
      </c>
      <c r="V969" s="1">
        <f t="shared" ca="1" si="284"/>
        <v>0</v>
      </c>
      <c r="W969" s="1">
        <f t="shared" ca="1" si="284"/>
        <v>0</v>
      </c>
      <c r="X969" s="1">
        <f t="shared" ca="1" si="284"/>
        <v>0</v>
      </c>
      <c r="Y969" s="1">
        <f t="shared" ca="1" si="284"/>
        <v>0</v>
      </c>
      <c r="Z969" s="1">
        <f t="shared" ca="1" si="284"/>
        <v>0</v>
      </c>
      <c r="AA969" s="1">
        <f t="shared" ca="1" si="284"/>
        <v>0</v>
      </c>
      <c r="AB969" s="1">
        <f t="shared" ca="1" si="284"/>
        <v>1206.7714285714289</v>
      </c>
      <c r="AC969" s="1">
        <f t="shared" ca="1" si="284"/>
        <v>107.6673</v>
      </c>
      <c r="AD969" s="1">
        <f t="shared" ca="1" si="284"/>
        <v>107.6673</v>
      </c>
      <c r="AE969" s="1">
        <f t="shared" ca="1" si="284"/>
        <v>107.6673</v>
      </c>
      <c r="AF969" s="1">
        <f t="shared" ca="1" si="284"/>
        <v>107.6673</v>
      </c>
      <c r="AG969" s="1">
        <f t="shared" ca="1" si="284"/>
        <v>107.6673</v>
      </c>
      <c r="AH969" s="1">
        <f t="shared" ca="1" si="284"/>
        <v>107.6673</v>
      </c>
      <c r="AI969" s="1">
        <f t="shared" ca="1" si="270"/>
        <v>161.50094999999999</v>
      </c>
    </row>
    <row r="970" spans="2:35" x14ac:dyDescent="0.15">
      <c r="B970" s="1" t="str">
        <f t="shared" si="285"/>
        <v>雷系77</v>
      </c>
      <c r="C970" s="1">
        <f t="shared" si="275"/>
        <v>77</v>
      </c>
      <c r="D970" s="14" t="s">
        <v>99</v>
      </c>
      <c r="E970" s="14">
        <f t="shared" si="276"/>
        <v>10</v>
      </c>
      <c r="F970" s="1" t="str">
        <f t="shared" si="281"/>
        <v>电击</v>
      </c>
      <c r="H970" s="1">
        <f t="shared" ca="1" si="282"/>
        <v>3086.10315842605</v>
      </c>
      <c r="I970" s="1">
        <f t="shared" ca="1" si="283"/>
        <v>150</v>
      </c>
      <c r="J970" s="1">
        <f t="shared" ca="1" si="283"/>
        <v>1342.94391891892</v>
      </c>
      <c r="K970" s="1">
        <f t="shared" ca="1" si="283"/>
        <v>109.083975</v>
      </c>
      <c r="L970" s="1">
        <f t="shared" ca="1" si="283"/>
        <v>1342.94391891892</v>
      </c>
      <c r="M970" s="1">
        <f t="shared" ca="1" si="283"/>
        <v>109.083975</v>
      </c>
      <c r="N970" s="1">
        <f t="shared" ca="1" si="283"/>
        <v>0.2</v>
      </c>
      <c r="O970" s="1">
        <f t="shared" ca="1" si="283"/>
        <v>0.2</v>
      </c>
      <c r="P970" s="1">
        <f t="shared" ca="1" si="283"/>
        <v>0.36</v>
      </c>
      <c r="Q970" s="1">
        <f t="shared" ca="1" si="283"/>
        <v>0.1</v>
      </c>
      <c r="R970" s="1">
        <f t="shared" ca="1" si="283"/>
        <v>2</v>
      </c>
      <c r="S970" s="1">
        <f t="shared" ca="1" si="284"/>
        <v>0.1</v>
      </c>
      <c r="T970" s="1">
        <f t="shared" ca="1" si="284"/>
        <v>0.9</v>
      </c>
      <c r="U970" s="1">
        <f t="shared" ca="1" si="284"/>
        <v>148.86666666666699</v>
      </c>
      <c r="V970" s="1">
        <f t="shared" ca="1" si="284"/>
        <v>0</v>
      </c>
      <c r="W970" s="1">
        <f t="shared" ca="1" si="284"/>
        <v>0</v>
      </c>
      <c r="X970" s="1">
        <f t="shared" ca="1" si="284"/>
        <v>0</v>
      </c>
      <c r="Y970" s="1">
        <f t="shared" ca="1" si="284"/>
        <v>0</v>
      </c>
      <c r="Z970" s="1">
        <f t="shared" ca="1" si="284"/>
        <v>0</v>
      </c>
      <c r="AA970" s="1">
        <f t="shared" ca="1" si="284"/>
        <v>0</v>
      </c>
      <c r="AB970" s="1">
        <f t="shared" ca="1" si="284"/>
        <v>1261.0570945945965</v>
      </c>
      <c r="AC970" s="1">
        <f t="shared" ca="1" si="284"/>
        <v>109.083975</v>
      </c>
      <c r="AD970" s="1">
        <f t="shared" ca="1" si="284"/>
        <v>109.083975</v>
      </c>
      <c r="AE970" s="1">
        <f t="shared" ca="1" si="284"/>
        <v>109.083975</v>
      </c>
      <c r="AF970" s="1">
        <f t="shared" ca="1" si="284"/>
        <v>109.083975</v>
      </c>
      <c r="AG970" s="1">
        <f t="shared" ca="1" si="284"/>
        <v>109.083975</v>
      </c>
      <c r="AH970" s="1">
        <f t="shared" ca="1" si="284"/>
        <v>109.083975</v>
      </c>
      <c r="AI970" s="1">
        <f t="shared" ca="1" si="270"/>
        <v>163.62596249999999</v>
      </c>
    </row>
    <row r="971" spans="2:35" x14ac:dyDescent="0.15">
      <c r="B971" s="1" t="str">
        <f t="shared" si="285"/>
        <v>雷系78</v>
      </c>
      <c r="C971" s="1">
        <f t="shared" si="275"/>
        <v>78</v>
      </c>
      <c r="D971" s="14" t="s">
        <v>99</v>
      </c>
      <c r="E971" s="14">
        <f t="shared" si="276"/>
        <v>10</v>
      </c>
      <c r="F971" s="1" t="str">
        <f t="shared" si="281"/>
        <v>电击</v>
      </c>
      <c r="H971" s="1">
        <f t="shared" ca="1" si="282"/>
        <v>3265.0137580279402</v>
      </c>
      <c r="I971" s="1">
        <f t="shared" ca="1" si="283"/>
        <v>150</v>
      </c>
      <c r="J971" s="1">
        <f t="shared" ca="1" si="283"/>
        <v>1373.8608610567501</v>
      </c>
      <c r="K971" s="1">
        <f t="shared" ca="1" si="283"/>
        <v>110.50064999999999</v>
      </c>
      <c r="L971" s="1">
        <f t="shared" ca="1" si="283"/>
        <v>1373.8608610567501</v>
      </c>
      <c r="M971" s="1">
        <f t="shared" ca="1" si="283"/>
        <v>110.50064999999999</v>
      </c>
      <c r="N971" s="1">
        <f t="shared" ca="1" si="283"/>
        <v>0.2</v>
      </c>
      <c r="O971" s="1">
        <f t="shared" ca="1" si="283"/>
        <v>0.2</v>
      </c>
      <c r="P971" s="1">
        <f t="shared" ca="1" si="283"/>
        <v>0.36</v>
      </c>
      <c r="Q971" s="1">
        <f t="shared" ca="1" si="283"/>
        <v>0.1</v>
      </c>
      <c r="R971" s="1">
        <f t="shared" ca="1" si="283"/>
        <v>2</v>
      </c>
      <c r="S971" s="1">
        <f t="shared" ca="1" si="284"/>
        <v>0.1</v>
      </c>
      <c r="T971" s="1">
        <f t="shared" ca="1" si="284"/>
        <v>0.9</v>
      </c>
      <c r="U971" s="1">
        <f t="shared" ca="1" si="284"/>
        <v>150.80000000000001</v>
      </c>
      <c r="V971" s="1">
        <f t="shared" ca="1" si="284"/>
        <v>0</v>
      </c>
      <c r="W971" s="1">
        <f t="shared" ca="1" si="284"/>
        <v>0</v>
      </c>
      <c r="X971" s="1">
        <f t="shared" ca="1" si="284"/>
        <v>0</v>
      </c>
      <c r="Y971" s="1">
        <f t="shared" ca="1" si="284"/>
        <v>0</v>
      </c>
      <c r="Z971" s="1">
        <f t="shared" ca="1" si="284"/>
        <v>0</v>
      </c>
      <c r="AA971" s="1">
        <f t="shared" ca="1" si="284"/>
        <v>0</v>
      </c>
      <c r="AB971" s="1">
        <f t="shared" ca="1" si="284"/>
        <v>1317.555088062624</v>
      </c>
      <c r="AC971" s="1">
        <f t="shared" ca="1" si="284"/>
        <v>110.50064999999999</v>
      </c>
      <c r="AD971" s="1">
        <f t="shared" ca="1" si="284"/>
        <v>110.50064999999999</v>
      </c>
      <c r="AE971" s="1">
        <f t="shared" ca="1" si="284"/>
        <v>110.50064999999999</v>
      </c>
      <c r="AF971" s="1">
        <f t="shared" ca="1" si="284"/>
        <v>110.50064999999999</v>
      </c>
      <c r="AG971" s="1">
        <f t="shared" ca="1" si="284"/>
        <v>110.50064999999999</v>
      </c>
      <c r="AH971" s="1">
        <f t="shared" ca="1" si="284"/>
        <v>110.50064999999999</v>
      </c>
      <c r="AI971" s="1">
        <f t="shared" ca="1" si="270"/>
        <v>165.75097499999998</v>
      </c>
    </row>
    <row r="972" spans="2:35" x14ac:dyDescent="0.15">
      <c r="B972" s="1" t="str">
        <f t="shared" si="285"/>
        <v>雷系79</v>
      </c>
      <c r="C972" s="1">
        <f t="shared" si="275"/>
        <v>79</v>
      </c>
      <c r="D972" s="14" t="s">
        <v>99</v>
      </c>
      <c r="E972" s="14">
        <f t="shared" si="276"/>
        <v>10</v>
      </c>
      <c r="F972" s="1" t="str">
        <f t="shared" si="281"/>
        <v>电击</v>
      </c>
      <c r="H972" s="1">
        <f t="shared" ca="1" si="282"/>
        <v>3321.4406308369598</v>
      </c>
      <c r="I972" s="1">
        <f t="shared" ca="1" si="283"/>
        <v>150</v>
      </c>
      <c r="J972" s="1">
        <f t="shared" ca="1" si="283"/>
        <v>1405.4005952381001</v>
      </c>
      <c r="K972" s="1">
        <f t="shared" ca="1" si="283"/>
        <v>111.91732500000001</v>
      </c>
      <c r="L972" s="1">
        <f t="shared" ca="1" si="283"/>
        <v>1405.4005952381001</v>
      </c>
      <c r="M972" s="1">
        <f t="shared" ca="1" si="283"/>
        <v>111.91732500000001</v>
      </c>
      <c r="N972" s="1">
        <f t="shared" ca="1" si="283"/>
        <v>0.2</v>
      </c>
      <c r="O972" s="1">
        <f t="shared" ca="1" si="283"/>
        <v>0.2</v>
      </c>
      <c r="P972" s="1">
        <f t="shared" ca="1" si="283"/>
        <v>0.36</v>
      </c>
      <c r="Q972" s="1">
        <f t="shared" ca="1" si="283"/>
        <v>0.1</v>
      </c>
      <c r="R972" s="1">
        <f t="shared" ca="1" si="283"/>
        <v>2</v>
      </c>
      <c r="S972" s="1">
        <f t="shared" ca="1" si="284"/>
        <v>0.1</v>
      </c>
      <c r="T972" s="1">
        <f t="shared" ca="1" si="284"/>
        <v>0.9</v>
      </c>
      <c r="U972" s="1">
        <f t="shared" ca="1" si="284"/>
        <v>152.73333333333301</v>
      </c>
      <c r="V972" s="1">
        <f t="shared" ca="1" si="284"/>
        <v>0</v>
      </c>
      <c r="W972" s="1">
        <f t="shared" ca="1" si="284"/>
        <v>0</v>
      </c>
      <c r="X972" s="1">
        <f t="shared" ca="1" si="284"/>
        <v>0</v>
      </c>
      <c r="Y972" s="1">
        <f t="shared" ca="1" si="284"/>
        <v>0</v>
      </c>
      <c r="Z972" s="1">
        <f t="shared" ca="1" si="284"/>
        <v>0</v>
      </c>
      <c r="AA972" s="1">
        <f t="shared" ca="1" si="284"/>
        <v>0</v>
      </c>
      <c r="AB972" s="1">
        <f t="shared" ca="1" si="284"/>
        <v>1376.3633928571439</v>
      </c>
      <c r="AC972" s="1">
        <f t="shared" ca="1" si="284"/>
        <v>111.91732500000001</v>
      </c>
      <c r="AD972" s="1">
        <f t="shared" ca="1" si="284"/>
        <v>111.91732500000001</v>
      </c>
      <c r="AE972" s="1">
        <f t="shared" ca="1" si="284"/>
        <v>111.91732500000001</v>
      </c>
      <c r="AF972" s="1">
        <f t="shared" ca="1" si="284"/>
        <v>111.91732500000001</v>
      </c>
      <c r="AG972" s="1">
        <f t="shared" ca="1" si="284"/>
        <v>111.91732500000001</v>
      </c>
      <c r="AH972" s="1">
        <f t="shared" ca="1" si="284"/>
        <v>111.91732500000001</v>
      </c>
      <c r="AI972" s="1">
        <f t="shared" ca="1" si="270"/>
        <v>167.87598750000001</v>
      </c>
    </row>
    <row r="973" spans="2:35" x14ac:dyDescent="0.15">
      <c r="B973" s="1" t="str">
        <f t="shared" si="285"/>
        <v>雷系80</v>
      </c>
      <c r="C973" s="1">
        <f t="shared" si="275"/>
        <v>80</v>
      </c>
      <c r="D973" s="14" t="s">
        <v>99</v>
      </c>
      <c r="E973" s="14">
        <f t="shared" si="276"/>
        <v>10</v>
      </c>
      <c r="F973" s="1" t="str">
        <f t="shared" si="281"/>
        <v>电击</v>
      </c>
      <c r="H973" s="1">
        <f t="shared" ca="1" si="282"/>
        <v>3378.2363067362398</v>
      </c>
      <c r="I973" s="1">
        <f t="shared" ref="I973:R982" ca="1" si="286">mVlookup($C973,monsterBaseDate,I$2,FALSE)*(1+mVlookup($E973,monsterType,I$2,FALSE))</f>
        <v>150</v>
      </c>
      <c r="J973" s="1">
        <f t="shared" ca="1" si="286"/>
        <v>1437.5855130784701</v>
      </c>
      <c r="K973" s="1">
        <f t="shared" ca="1" si="286"/>
        <v>113.334</v>
      </c>
      <c r="L973" s="1">
        <f t="shared" ca="1" si="286"/>
        <v>1437.5855130784701</v>
      </c>
      <c r="M973" s="1">
        <f t="shared" ca="1" si="286"/>
        <v>113.334</v>
      </c>
      <c r="N973" s="1">
        <f t="shared" ca="1" si="286"/>
        <v>0.2</v>
      </c>
      <c r="O973" s="1">
        <f t="shared" ca="1" si="286"/>
        <v>0.2</v>
      </c>
      <c r="P973" s="1">
        <f t="shared" ca="1" si="286"/>
        <v>0.36</v>
      </c>
      <c r="Q973" s="1">
        <f t="shared" ca="1" si="286"/>
        <v>0.1</v>
      </c>
      <c r="R973" s="1">
        <f t="shared" ca="1" si="286"/>
        <v>2</v>
      </c>
      <c r="S973" s="1">
        <f t="shared" ref="S973:AH988" ca="1" si="287">mVlookup($C973,monsterBaseDate,S$2,FALSE)*(1+mVlookup($E973,monsterType,S$2,FALSE))</f>
        <v>0.1</v>
      </c>
      <c r="T973" s="1">
        <f t="shared" ca="1" si="287"/>
        <v>0.9</v>
      </c>
      <c r="U973" s="1">
        <f t="shared" ca="1" si="287"/>
        <v>154.666666666667</v>
      </c>
      <c r="V973" s="1">
        <f t="shared" ca="1" si="287"/>
        <v>0</v>
      </c>
      <c r="W973" s="1">
        <f t="shared" ca="1" si="287"/>
        <v>0</v>
      </c>
      <c r="X973" s="1">
        <f t="shared" ca="1" si="287"/>
        <v>0</v>
      </c>
      <c r="Y973" s="1">
        <f t="shared" ca="1" si="287"/>
        <v>0</v>
      </c>
      <c r="Z973" s="1">
        <f t="shared" ca="1" si="287"/>
        <v>0</v>
      </c>
      <c r="AA973" s="1">
        <f t="shared" ca="1" si="287"/>
        <v>0</v>
      </c>
      <c r="AB973" s="1">
        <f t="shared" ca="1" si="284"/>
        <v>1437.5855130784726</v>
      </c>
      <c r="AC973" s="1">
        <f t="shared" ca="1" si="287"/>
        <v>113.334</v>
      </c>
      <c r="AD973" s="1">
        <f t="shared" ca="1" si="287"/>
        <v>113.334</v>
      </c>
      <c r="AE973" s="1">
        <f t="shared" ca="1" si="287"/>
        <v>113.334</v>
      </c>
      <c r="AF973" s="1">
        <f t="shared" ca="1" si="287"/>
        <v>113.334</v>
      </c>
      <c r="AG973" s="1">
        <f t="shared" ca="1" si="287"/>
        <v>113.334</v>
      </c>
      <c r="AH973" s="1">
        <f t="shared" ca="1" si="287"/>
        <v>113.334</v>
      </c>
      <c r="AI973" s="1">
        <f t="shared" ca="1" si="270"/>
        <v>170.001</v>
      </c>
    </row>
    <row r="974" spans="2:35" x14ac:dyDescent="0.15">
      <c r="B974" s="1" t="str">
        <f t="shared" si="285"/>
        <v>雷系81</v>
      </c>
      <c r="C974" s="1">
        <f t="shared" si="275"/>
        <v>81</v>
      </c>
      <c r="D974" s="14" t="s">
        <v>99</v>
      </c>
      <c r="E974" s="14">
        <f t="shared" si="276"/>
        <v>10</v>
      </c>
      <c r="F974" s="1" t="str">
        <f t="shared" si="281"/>
        <v>电击</v>
      </c>
      <c r="H974" s="1">
        <f t="shared" ca="1" si="282"/>
        <v>3435.4007857257702</v>
      </c>
      <c r="I974" s="1">
        <f t="shared" ca="1" si="286"/>
        <v>150</v>
      </c>
      <c r="J974" s="1">
        <f t="shared" ca="1" si="286"/>
        <v>1470.43928571429</v>
      </c>
      <c r="K974" s="1">
        <f t="shared" ca="1" si="286"/>
        <v>114.750675</v>
      </c>
      <c r="L974" s="1">
        <f t="shared" ca="1" si="286"/>
        <v>1470.43928571429</v>
      </c>
      <c r="M974" s="1">
        <f t="shared" ca="1" si="286"/>
        <v>114.750675</v>
      </c>
      <c r="N974" s="1">
        <f t="shared" ca="1" si="286"/>
        <v>0.2</v>
      </c>
      <c r="O974" s="1">
        <f t="shared" ca="1" si="286"/>
        <v>0.2</v>
      </c>
      <c r="P974" s="1">
        <f t="shared" ca="1" si="286"/>
        <v>0.36</v>
      </c>
      <c r="Q974" s="1">
        <f t="shared" ca="1" si="286"/>
        <v>0.1</v>
      </c>
      <c r="R974" s="1">
        <f t="shared" ca="1" si="286"/>
        <v>2</v>
      </c>
      <c r="S974" s="1">
        <f t="shared" ca="1" si="287"/>
        <v>0.1</v>
      </c>
      <c r="T974" s="1">
        <f t="shared" ca="1" si="287"/>
        <v>0.9</v>
      </c>
      <c r="U974" s="1">
        <f t="shared" ca="1" si="287"/>
        <v>156.6</v>
      </c>
      <c r="V974" s="1">
        <f t="shared" ca="1" si="287"/>
        <v>0</v>
      </c>
      <c r="W974" s="1">
        <f t="shared" ca="1" si="287"/>
        <v>0</v>
      </c>
      <c r="X974" s="1">
        <f t="shared" ca="1" si="287"/>
        <v>0</v>
      </c>
      <c r="Y974" s="1">
        <f t="shared" ca="1" si="287"/>
        <v>0</v>
      </c>
      <c r="Z974" s="1">
        <f t="shared" ca="1" si="287"/>
        <v>0</v>
      </c>
      <c r="AA974" s="1">
        <f t="shared" ca="1" si="287"/>
        <v>0</v>
      </c>
      <c r="AB974" s="1">
        <f t="shared" ca="1" si="284"/>
        <v>1501.3308673469401</v>
      </c>
      <c r="AC974" s="1">
        <f t="shared" ca="1" si="287"/>
        <v>114.750675</v>
      </c>
      <c r="AD974" s="1">
        <f t="shared" ca="1" si="287"/>
        <v>114.750675</v>
      </c>
      <c r="AE974" s="1">
        <f t="shared" ca="1" si="287"/>
        <v>114.750675</v>
      </c>
      <c r="AF974" s="1">
        <f t="shared" ca="1" si="287"/>
        <v>114.750675</v>
      </c>
      <c r="AG974" s="1">
        <f t="shared" ca="1" si="287"/>
        <v>114.750675</v>
      </c>
      <c r="AH974" s="1">
        <f t="shared" ca="1" si="287"/>
        <v>114.750675</v>
      </c>
      <c r="AI974" s="1">
        <f t="shared" ca="1" si="270"/>
        <v>172.1260125</v>
      </c>
    </row>
    <row r="975" spans="2:35" x14ac:dyDescent="0.15">
      <c r="B975" s="1" t="str">
        <f t="shared" si="285"/>
        <v>雷系82</v>
      </c>
      <c r="C975" s="1">
        <f t="shared" si="275"/>
        <v>82</v>
      </c>
      <c r="D975" s="14" t="s">
        <v>99</v>
      </c>
      <c r="E975" s="14">
        <f t="shared" si="276"/>
        <v>10</v>
      </c>
      <c r="F975" s="1" t="str">
        <f t="shared" si="281"/>
        <v>电击</v>
      </c>
      <c r="H975" s="1">
        <f t="shared" ca="1" si="282"/>
        <v>3492.9340678055601</v>
      </c>
      <c r="I975" s="1">
        <f t="shared" ca="1" si="286"/>
        <v>150</v>
      </c>
      <c r="J975" s="1">
        <f t="shared" ca="1" si="286"/>
        <v>1503.98695652174</v>
      </c>
      <c r="K975" s="1">
        <f t="shared" ca="1" si="286"/>
        <v>116.16735</v>
      </c>
      <c r="L975" s="1">
        <f t="shared" ca="1" si="286"/>
        <v>1503.98695652174</v>
      </c>
      <c r="M975" s="1">
        <f t="shared" ca="1" si="286"/>
        <v>116.16735</v>
      </c>
      <c r="N975" s="1">
        <f t="shared" ca="1" si="286"/>
        <v>0.2</v>
      </c>
      <c r="O975" s="1">
        <f t="shared" ca="1" si="286"/>
        <v>0.2</v>
      </c>
      <c r="P975" s="1">
        <f t="shared" ca="1" si="286"/>
        <v>0.36</v>
      </c>
      <c r="Q975" s="1">
        <f t="shared" ca="1" si="286"/>
        <v>0.1</v>
      </c>
      <c r="R975" s="1">
        <f t="shared" ca="1" si="286"/>
        <v>2</v>
      </c>
      <c r="S975" s="1">
        <f t="shared" ca="1" si="287"/>
        <v>0.1</v>
      </c>
      <c r="T975" s="1">
        <f t="shared" ca="1" si="287"/>
        <v>0.9</v>
      </c>
      <c r="U975" s="1">
        <f t="shared" ca="1" si="287"/>
        <v>158.53333333333299</v>
      </c>
      <c r="V975" s="1">
        <f t="shared" ca="1" si="287"/>
        <v>0</v>
      </c>
      <c r="W975" s="1">
        <f t="shared" ca="1" si="287"/>
        <v>0</v>
      </c>
      <c r="X975" s="1">
        <f t="shared" ca="1" si="287"/>
        <v>0</v>
      </c>
      <c r="Y975" s="1">
        <f t="shared" ca="1" si="287"/>
        <v>0</v>
      </c>
      <c r="Z975" s="1">
        <f t="shared" ca="1" si="287"/>
        <v>0</v>
      </c>
      <c r="AA975" s="1">
        <f t="shared" ca="1" si="287"/>
        <v>0</v>
      </c>
      <c r="AB975" s="1">
        <f t="shared" ca="1" si="284"/>
        <v>1567.715217391305</v>
      </c>
      <c r="AC975" s="1">
        <f t="shared" ca="1" si="287"/>
        <v>116.16735</v>
      </c>
      <c r="AD975" s="1">
        <f t="shared" ca="1" si="287"/>
        <v>116.16735</v>
      </c>
      <c r="AE975" s="1">
        <f t="shared" ca="1" si="287"/>
        <v>116.16735</v>
      </c>
      <c r="AF975" s="1">
        <f t="shared" ca="1" si="287"/>
        <v>116.16735</v>
      </c>
      <c r="AG975" s="1">
        <f t="shared" ca="1" si="287"/>
        <v>116.16735</v>
      </c>
      <c r="AH975" s="1">
        <f t="shared" ca="1" si="287"/>
        <v>116.16735</v>
      </c>
      <c r="AI975" s="1">
        <f t="shared" ca="1" si="270"/>
        <v>174.251025</v>
      </c>
    </row>
    <row r="976" spans="2:35" x14ac:dyDescent="0.15">
      <c r="B976" s="1" t="str">
        <f t="shared" si="285"/>
        <v>雷系83</v>
      </c>
      <c r="C976" s="1">
        <f t="shared" si="275"/>
        <v>83</v>
      </c>
      <c r="D976" s="14" t="s">
        <v>99</v>
      </c>
      <c r="E976" s="14">
        <f t="shared" si="276"/>
        <v>10</v>
      </c>
      <c r="F976" s="1" t="str">
        <f t="shared" si="281"/>
        <v>电击</v>
      </c>
      <c r="H976" s="1">
        <f t="shared" ca="1" si="282"/>
        <v>3550.8361529755998</v>
      </c>
      <c r="I976" s="1">
        <f t="shared" ca="1" si="286"/>
        <v>150</v>
      </c>
      <c r="J976" s="1">
        <f t="shared" ca="1" si="286"/>
        <v>1538.25504201681</v>
      </c>
      <c r="K976" s="1">
        <f t="shared" ca="1" si="286"/>
        <v>117.584025</v>
      </c>
      <c r="L976" s="1">
        <f t="shared" ca="1" si="286"/>
        <v>1538.25504201681</v>
      </c>
      <c r="M976" s="1">
        <f t="shared" ca="1" si="286"/>
        <v>117.584025</v>
      </c>
      <c r="N976" s="1">
        <f t="shared" ca="1" si="286"/>
        <v>0.2</v>
      </c>
      <c r="O976" s="1">
        <f t="shared" ca="1" si="286"/>
        <v>0.2</v>
      </c>
      <c r="P976" s="1">
        <f t="shared" ca="1" si="286"/>
        <v>0.36</v>
      </c>
      <c r="Q976" s="1">
        <f t="shared" ca="1" si="286"/>
        <v>0.1</v>
      </c>
      <c r="R976" s="1">
        <f t="shared" ca="1" si="286"/>
        <v>2</v>
      </c>
      <c r="S976" s="1">
        <f t="shared" ca="1" si="287"/>
        <v>0.1</v>
      </c>
      <c r="T976" s="1">
        <f t="shared" ca="1" si="287"/>
        <v>0.9</v>
      </c>
      <c r="U976" s="1">
        <f t="shared" ca="1" si="287"/>
        <v>160.46666666666701</v>
      </c>
      <c r="V976" s="1">
        <f t="shared" ca="1" si="287"/>
        <v>0</v>
      </c>
      <c r="W976" s="1">
        <f t="shared" ca="1" si="287"/>
        <v>0</v>
      </c>
      <c r="X976" s="1">
        <f t="shared" ca="1" si="287"/>
        <v>0</v>
      </c>
      <c r="Y976" s="1">
        <f t="shared" ca="1" si="287"/>
        <v>0</v>
      </c>
      <c r="Z976" s="1">
        <f t="shared" ca="1" si="287"/>
        <v>0</v>
      </c>
      <c r="AA976" s="1">
        <f t="shared" ca="1" si="287"/>
        <v>0</v>
      </c>
      <c r="AB976" s="1">
        <f t="shared" ca="1" si="284"/>
        <v>1636.8611344537799</v>
      </c>
      <c r="AC976" s="1">
        <f t="shared" ca="1" si="287"/>
        <v>117.584025</v>
      </c>
      <c r="AD976" s="1">
        <f t="shared" ca="1" si="287"/>
        <v>117.584025</v>
      </c>
      <c r="AE976" s="1">
        <f t="shared" ca="1" si="287"/>
        <v>117.584025</v>
      </c>
      <c r="AF976" s="1">
        <f t="shared" ca="1" si="287"/>
        <v>117.584025</v>
      </c>
      <c r="AG976" s="1">
        <f t="shared" ca="1" si="287"/>
        <v>117.584025</v>
      </c>
      <c r="AH976" s="1">
        <f t="shared" ca="1" si="287"/>
        <v>117.584025</v>
      </c>
      <c r="AI976" s="1">
        <f t="shared" ca="1" si="270"/>
        <v>176.3760375</v>
      </c>
    </row>
    <row r="977" spans="2:35" x14ac:dyDescent="0.15">
      <c r="B977" s="1" t="str">
        <f t="shared" si="285"/>
        <v>雷系84</v>
      </c>
      <c r="C977" s="1">
        <f t="shared" si="275"/>
        <v>84</v>
      </c>
      <c r="D977" s="14" t="s">
        <v>99</v>
      </c>
      <c r="E977" s="14">
        <f t="shared" si="276"/>
        <v>10</v>
      </c>
      <c r="F977" s="1" t="str">
        <f t="shared" si="281"/>
        <v>电击</v>
      </c>
      <c r="H977" s="1">
        <f t="shared" ca="1" si="282"/>
        <v>3609.1070412358999</v>
      </c>
      <c r="I977" s="1">
        <f t="shared" ca="1" si="286"/>
        <v>150</v>
      </c>
      <c r="J977" s="1">
        <f t="shared" ca="1" si="286"/>
        <v>1573.2716417910499</v>
      </c>
      <c r="K977" s="1">
        <f t="shared" ca="1" si="286"/>
        <v>119.00069999999999</v>
      </c>
      <c r="L977" s="1">
        <f t="shared" ca="1" si="286"/>
        <v>1573.2716417910499</v>
      </c>
      <c r="M977" s="1">
        <f t="shared" ca="1" si="286"/>
        <v>119.00069999999999</v>
      </c>
      <c r="N977" s="1">
        <f t="shared" ca="1" si="286"/>
        <v>0.2</v>
      </c>
      <c r="O977" s="1">
        <f t="shared" ca="1" si="286"/>
        <v>0.2</v>
      </c>
      <c r="P977" s="1">
        <f t="shared" ca="1" si="286"/>
        <v>0.36</v>
      </c>
      <c r="Q977" s="1">
        <f t="shared" ca="1" si="286"/>
        <v>0.1</v>
      </c>
      <c r="R977" s="1">
        <f t="shared" ca="1" si="286"/>
        <v>2</v>
      </c>
      <c r="S977" s="1">
        <f t="shared" ca="1" si="287"/>
        <v>0.1</v>
      </c>
      <c r="T977" s="1">
        <f t="shared" ca="1" si="287"/>
        <v>0.9</v>
      </c>
      <c r="U977" s="1">
        <f t="shared" ca="1" si="287"/>
        <v>162.4</v>
      </c>
      <c r="V977" s="1">
        <f t="shared" ca="1" si="287"/>
        <v>0</v>
      </c>
      <c r="W977" s="1">
        <f t="shared" ca="1" si="287"/>
        <v>0</v>
      </c>
      <c r="X977" s="1">
        <f t="shared" ca="1" si="287"/>
        <v>0</v>
      </c>
      <c r="Y977" s="1">
        <f t="shared" ca="1" si="287"/>
        <v>0</v>
      </c>
      <c r="Z977" s="1">
        <f t="shared" ca="1" si="287"/>
        <v>0</v>
      </c>
      <c r="AA977" s="1">
        <f t="shared" ca="1" si="287"/>
        <v>0</v>
      </c>
      <c r="AB977" s="1">
        <f t="shared" ca="1" si="284"/>
        <v>1708.8985074626851</v>
      </c>
      <c r="AC977" s="1">
        <f t="shared" ca="1" si="287"/>
        <v>119.00069999999999</v>
      </c>
      <c r="AD977" s="1">
        <f t="shared" ca="1" si="287"/>
        <v>119.00069999999999</v>
      </c>
      <c r="AE977" s="1">
        <f t="shared" ca="1" si="287"/>
        <v>119.00069999999999</v>
      </c>
      <c r="AF977" s="1">
        <f t="shared" ca="1" si="287"/>
        <v>119.00069999999999</v>
      </c>
      <c r="AG977" s="1">
        <f t="shared" ca="1" si="287"/>
        <v>119.00069999999999</v>
      </c>
      <c r="AH977" s="1">
        <f t="shared" ca="1" si="287"/>
        <v>119.00069999999999</v>
      </c>
      <c r="AI977" s="1">
        <f t="shared" ca="1" si="270"/>
        <v>178.50104999999999</v>
      </c>
    </row>
    <row r="978" spans="2:35" x14ac:dyDescent="0.15">
      <c r="B978" s="1" t="str">
        <f t="shared" si="285"/>
        <v>雷系85</v>
      </c>
      <c r="C978" s="1">
        <f t="shared" si="275"/>
        <v>85</v>
      </c>
      <c r="D978" s="14" t="s">
        <v>99</v>
      </c>
      <c r="E978" s="14">
        <f t="shared" si="276"/>
        <v>10</v>
      </c>
      <c r="F978" s="1" t="str">
        <f t="shared" si="281"/>
        <v>电击</v>
      </c>
      <c r="H978" s="1">
        <f t="shared" ca="1" si="282"/>
        <v>3667.74673258645</v>
      </c>
      <c r="I978" s="1">
        <f t="shared" ca="1" si="286"/>
        <v>150</v>
      </c>
      <c r="J978" s="1">
        <f t="shared" ca="1" si="286"/>
        <v>1609.0665584415599</v>
      </c>
      <c r="K978" s="1">
        <f t="shared" ca="1" si="286"/>
        <v>120.41737500000001</v>
      </c>
      <c r="L978" s="1">
        <f t="shared" ca="1" si="286"/>
        <v>1609.0665584415599</v>
      </c>
      <c r="M978" s="1">
        <f t="shared" ca="1" si="286"/>
        <v>120.41737500000001</v>
      </c>
      <c r="N978" s="1">
        <f t="shared" ca="1" si="286"/>
        <v>0.2</v>
      </c>
      <c r="O978" s="1">
        <f t="shared" ca="1" si="286"/>
        <v>0.2</v>
      </c>
      <c r="P978" s="1">
        <f t="shared" ca="1" si="286"/>
        <v>0.36</v>
      </c>
      <c r="Q978" s="1">
        <f t="shared" ca="1" si="286"/>
        <v>0.1</v>
      </c>
      <c r="R978" s="1">
        <f t="shared" ca="1" si="286"/>
        <v>2</v>
      </c>
      <c r="S978" s="1">
        <f t="shared" ca="1" si="287"/>
        <v>0.1</v>
      </c>
      <c r="T978" s="1">
        <f t="shared" ca="1" si="287"/>
        <v>0.9</v>
      </c>
      <c r="U978" s="1">
        <f t="shared" ca="1" si="287"/>
        <v>164.333333333333</v>
      </c>
      <c r="V978" s="1">
        <f t="shared" ca="1" si="287"/>
        <v>0</v>
      </c>
      <c r="W978" s="1">
        <f t="shared" ca="1" si="287"/>
        <v>0</v>
      </c>
      <c r="X978" s="1">
        <f t="shared" ca="1" si="287"/>
        <v>0</v>
      </c>
      <c r="Y978" s="1">
        <f t="shared" ca="1" si="287"/>
        <v>0</v>
      </c>
      <c r="Z978" s="1">
        <f t="shared" ca="1" si="287"/>
        <v>0</v>
      </c>
      <c r="AA978" s="1">
        <f t="shared" ca="1" si="287"/>
        <v>0</v>
      </c>
      <c r="AB978" s="1">
        <f t="shared" ca="1" si="284"/>
        <v>1783.9650974026049</v>
      </c>
      <c r="AC978" s="1">
        <f t="shared" ca="1" si="287"/>
        <v>120.41737500000001</v>
      </c>
      <c r="AD978" s="1">
        <f t="shared" ca="1" si="287"/>
        <v>120.41737500000001</v>
      </c>
      <c r="AE978" s="1">
        <f t="shared" ca="1" si="287"/>
        <v>120.41737500000001</v>
      </c>
      <c r="AF978" s="1">
        <f t="shared" ca="1" si="287"/>
        <v>120.41737500000001</v>
      </c>
      <c r="AG978" s="1">
        <f t="shared" ca="1" si="287"/>
        <v>120.41737500000001</v>
      </c>
      <c r="AH978" s="1">
        <f t="shared" ca="1" si="287"/>
        <v>120.41737500000001</v>
      </c>
      <c r="AI978" s="1">
        <f t="shared" ca="1" si="270"/>
        <v>180.62606250000002</v>
      </c>
    </row>
    <row r="979" spans="2:35" x14ac:dyDescent="0.15">
      <c r="B979" s="1" t="str">
        <f t="shared" si="285"/>
        <v>雷系86</v>
      </c>
      <c r="C979" s="1">
        <f t="shared" si="275"/>
        <v>86</v>
      </c>
      <c r="D979" s="14" t="s">
        <v>99</v>
      </c>
      <c r="E979" s="14">
        <f t="shared" si="276"/>
        <v>10</v>
      </c>
      <c r="F979" s="1" t="str">
        <f t="shared" si="281"/>
        <v>电击</v>
      </c>
      <c r="H979" s="1">
        <f t="shared" ca="1" si="282"/>
        <v>3726.7552270272599</v>
      </c>
      <c r="I979" s="1">
        <f t="shared" ca="1" si="286"/>
        <v>150</v>
      </c>
      <c r="J979" s="1">
        <f t="shared" ca="1" si="286"/>
        <v>1645.6714285714299</v>
      </c>
      <c r="K979" s="1">
        <f t="shared" ca="1" si="286"/>
        <v>121.83405</v>
      </c>
      <c r="L979" s="1">
        <f t="shared" ca="1" si="286"/>
        <v>1645.6714285714299</v>
      </c>
      <c r="M979" s="1">
        <f t="shared" ca="1" si="286"/>
        <v>121.83405</v>
      </c>
      <c r="N979" s="1">
        <f t="shared" ca="1" si="286"/>
        <v>0.2</v>
      </c>
      <c r="O979" s="1">
        <f t="shared" ca="1" si="286"/>
        <v>0.2</v>
      </c>
      <c r="P979" s="1">
        <f t="shared" ca="1" si="286"/>
        <v>0.36</v>
      </c>
      <c r="Q979" s="1">
        <f t="shared" ca="1" si="286"/>
        <v>0.1</v>
      </c>
      <c r="R979" s="1">
        <f t="shared" ca="1" si="286"/>
        <v>2</v>
      </c>
      <c r="S979" s="1">
        <f t="shared" ca="1" si="287"/>
        <v>0.1</v>
      </c>
      <c r="T979" s="1">
        <f t="shared" ca="1" si="287"/>
        <v>0.9</v>
      </c>
      <c r="U979" s="1">
        <f t="shared" ca="1" si="287"/>
        <v>166.26666666666699</v>
      </c>
      <c r="V979" s="1">
        <f t="shared" ca="1" si="287"/>
        <v>0</v>
      </c>
      <c r="W979" s="1">
        <f t="shared" ca="1" si="287"/>
        <v>0</v>
      </c>
      <c r="X979" s="1">
        <f t="shared" ca="1" si="287"/>
        <v>0</v>
      </c>
      <c r="Y979" s="1">
        <f t="shared" ca="1" si="287"/>
        <v>0</v>
      </c>
      <c r="Z979" s="1">
        <f t="shared" ca="1" si="287"/>
        <v>0</v>
      </c>
      <c r="AA979" s="1">
        <f t="shared" ca="1" si="287"/>
        <v>0</v>
      </c>
      <c r="AB979" s="1">
        <f t="shared" ca="1" si="287"/>
        <v>1862.2071428571448</v>
      </c>
      <c r="AC979" s="1">
        <f t="shared" ca="1" si="287"/>
        <v>121.83405</v>
      </c>
      <c r="AD979" s="1">
        <f t="shared" ca="1" si="287"/>
        <v>121.83405</v>
      </c>
      <c r="AE979" s="1">
        <f t="shared" ca="1" si="287"/>
        <v>121.83405</v>
      </c>
      <c r="AF979" s="1">
        <f t="shared" ca="1" si="287"/>
        <v>121.83405</v>
      </c>
      <c r="AG979" s="1">
        <f t="shared" ca="1" si="287"/>
        <v>121.83405</v>
      </c>
      <c r="AH979" s="1">
        <f t="shared" ca="1" si="287"/>
        <v>121.83405</v>
      </c>
      <c r="AI979" s="1">
        <f t="shared" ref="AI979:AI1042" ca="1" si="288">mVlookup($C979,monsterBaseDate,AI$2,FALSE)*(1+mVlookup($E979,monsterType,AI$2,FALSE))</f>
        <v>182.75107500000001</v>
      </c>
    </row>
    <row r="980" spans="2:35" x14ac:dyDescent="0.15">
      <c r="B980" s="1" t="str">
        <f t="shared" si="285"/>
        <v>雷系87</v>
      </c>
      <c r="C980" s="1">
        <f t="shared" si="275"/>
        <v>87</v>
      </c>
      <c r="D980" s="14" t="s">
        <v>99</v>
      </c>
      <c r="E980" s="14">
        <f t="shared" si="276"/>
        <v>10</v>
      </c>
      <c r="F980" s="1" t="str">
        <f t="shared" si="281"/>
        <v>电击</v>
      </c>
      <c r="H980" s="1">
        <f t="shared" ca="1" si="282"/>
        <v>3786.1325245583198</v>
      </c>
      <c r="I980" s="1">
        <f t="shared" ca="1" si="286"/>
        <v>150</v>
      </c>
      <c r="J980" s="1">
        <f t="shared" ca="1" si="286"/>
        <v>1683.1198660714299</v>
      </c>
      <c r="K980" s="1">
        <f t="shared" ca="1" si="286"/>
        <v>123.250725</v>
      </c>
      <c r="L980" s="1">
        <f t="shared" ca="1" si="286"/>
        <v>1683.1198660714299</v>
      </c>
      <c r="M980" s="1">
        <f t="shared" ca="1" si="286"/>
        <v>123.250725</v>
      </c>
      <c r="N980" s="1">
        <f t="shared" ca="1" si="286"/>
        <v>0.2</v>
      </c>
      <c r="O980" s="1">
        <f t="shared" ca="1" si="286"/>
        <v>0.2</v>
      </c>
      <c r="P980" s="1">
        <f t="shared" ca="1" si="286"/>
        <v>0.36</v>
      </c>
      <c r="Q980" s="1">
        <f t="shared" ca="1" si="286"/>
        <v>0.1</v>
      </c>
      <c r="R980" s="1">
        <f t="shared" ca="1" si="286"/>
        <v>2</v>
      </c>
      <c r="S980" s="1">
        <f t="shared" ca="1" si="287"/>
        <v>0.1</v>
      </c>
      <c r="T980" s="1">
        <f t="shared" ca="1" si="287"/>
        <v>0.9</v>
      </c>
      <c r="U980" s="1">
        <f t="shared" ca="1" si="287"/>
        <v>168.2</v>
      </c>
      <c r="V980" s="1">
        <f t="shared" ca="1" si="287"/>
        <v>0</v>
      </c>
      <c r="W980" s="1">
        <f t="shared" ca="1" si="287"/>
        <v>0</v>
      </c>
      <c r="X980" s="1">
        <f t="shared" ca="1" si="287"/>
        <v>0</v>
      </c>
      <c r="Y980" s="1">
        <f t="shared" ca="1" si="287"/>
        <v>0</v>
      </c>
      <c r="Z980" s="1">
        <f t="shared" ca="1" si="287"/>
        <v>0</v>
      </c>
      <c r="AA980" s="1">
        <f t="shared" ca="1" si="287"/>
        <v>0</v>
      </c>
      <c r="AB980" s="1">
        <f t="shared" ca="1" si="287"/>
        <v>1943.7800223214349</v>
      </c>
      <c r="AC980" s="1">
        <f t="shared" ca="1" si="287"/>
        <v>123.250725</v>
      </c>
      <c r="AD980" s="1">
        <f t="shared" ca="1" si="287"/>
        <v>123.250725</v>
      </c>
      <c r="AE980" s="1">
        <f t="shared" ca="1" si="287"/>
        <v>123.250725</v>
      </c>
      <c r="AF980" s="1">
        <f t="shared" ca="1" si="287"/>
        <v>123.250725</v>
      </c>
      <c r="AG980" s="1">
        <f t="shared" ca="1" si="287"/>
        <v>123.250725</v>
      </c>
      <c r="AH980" s="1">
        <f t="shared" ca="1" si="287"/>
        <v>123.250725</v>
      </c>
      <c r="AI980" s="1">
        <f t="shared" ca="1" si="288"/>
        <v>184.87608750000001</v>
      </c>
    </row>
    <row r="981" spans="2:35" x14ac:dyDescent="0.15">
      <c r="B981" s="1" t="str">
        <f t="shared" si="285"/>
        <v>雷系88</v>
      </c>
      <c r="C981" s="1">
        <f t="shared" si="275"/>
        <v>88</v>
      </c>
      <c r="D981" s="14" t="s">
        <v>99</v>
      </c>
      <c r="E981" s="14">
        <f t="shared" si="276"/>
        <v>10</v>
      </c>
      <c r="F981" s="1" t="str">
        <f t="shared" si="281"/>
        <v>电击</v>
      </c>
      <c r="H981" s="1">
        <f t="shared" ca="1" si="282"/>
        <v>3845.87862517964</v>
      </c>
      <c r="I981" s="1">
        <f t="shared" ca="1" si="286"/>
        <v>150</v>
      </c>
      <c r="J981" s="1">
        <f t="shared" ca="1" si="286"/>
        <v>1721.44761904762</v>
      </c>
      <c r="K981" s="1">
        <f t="shared" ca="1" si="286"/>
        <v>124.6674</v>
      </c>
      <c r="L981" s="1">
        <f t="shared" ca="1" si="286"/>
        <v>1721.44761904762</v>
      </c>
      <c r="M981" s="1">
        <f t="shared" ca="1" si="286"/>
        <v>124.6674</v>
      </c>
      <c r="N981" s="1">
        <f t="shared" ca="1" si="286"/>
        <v>0.2</v>
      </c>
      <c r="O981" s="1">
        <f t="shared" ca="1" si="286"/>
        <v>0.2</v>
      </c>
      <c r="P981" s="1">
        <f t="shared" ca="1" si="286"/>
        <v>0.36</v>
      </c>
      <c r="Q981" s="1">
        <f t="shared" ca="1" si="286"/>
        <v>0.1</v>
      </c>
      <c r="R981" s="1">
        <f t="shared" ca="1" si="286"/>
        <v>2</v>
      </c>
      <c r="S981" s="1">
        <f t="shared" ca="1" si="287"/>
        <v>0.1</v>
      </c>
      <c r="T981" s="1">
        <f t="shared" ca="1" si="287"/>
        <v>0.9</v>
      </c>
      <c r="U981" s="1">
        <f t="shared" ca="1" si="287"/>
        <v>170.13333333333301</v>
      </c>
      <c r="V981" s="1">
        <f t="shared" ca="1" si="287"/>
        <v>0</v>
      </c>
      <c r="W981" s="1">
        <f t="shared" ca="1" si="287"/>
        <v>0</v>
      </c>
      <c r="X981" s="1">
        <f t="shared" ca="1" si="287"/>
        <v>0</v>
      </c>
      <c r="Y981" s="1">
        <f t="shared" ca="1" si="287"/>
        <v>0</v>
      </c>
      <c r="Z981" s="1">
        <f t="shared" ca="1" si="287"/>
        <v>0</v>
      </c>
      <c r="AA981" s="1">
        <f t="shared" ca="1" si="287"/>
        <v>0</v>
      </c>
      <c r="AB981" s="1">
        <f t="shared" ca="1" si="287"/>
        <v>2028.8489795918399</v>
      </c>
      <c r="AC981" s="1">
        <f t="shared" ca="1" si="287"/>
        <v>124.6674</v>
      </c>
      <c r="AD981" s="1">
        <f t="shared" ca="1" si="287"/>
        <v>124.6674</v>
      </c>
      <c r="AE981" s="1">
        <f t="shared" ca="1" si="287"/>
        <v>124.6674</v>
      </c>
      <c r="AF981" s="1">
        <f t="shared" ca="1" si="287"/>
        <v>124.6674</v>
      </c>
      <c r="AG981" s="1">
        <f t="shared" ca="1" si="287"/>
        <v>124.6674</v>
      </c>
      <c r="AH981" s="1">
        <f t="shared" ca="1" si="287"/>
        <v>124.6674</v>
      </c>
      <c r="AI981" s="1">
        <f t="shared" ca="1" si="288"/>
        <v>187.00110000000001</v>
      </c>
    </row>
    <row r="982" spans="2:35" x14ac:dyDescent="0.15">
      <c r="B982" s="1" t="str">
        <f t="shared" si="285"/>
        <v>雷系89</v>
      </c>
      <c r="C982" s="1">
        <f t="shared" si="275"/>
        <v>89</v>
      </c>
      <c r="D982" s="14" t="s">
        <v>99</v>
      </c>
      <c r="E982" s="14">
        <f t="shared" si="276"/>
        <v>10</v>
      </c>
      <c r="F982" s="1" t="str">
        <f t="shared" si="281"/>
        <v>电击</v>
      </c>
      <c r="H982" s="1">
        <f t="shared" ca="1" si="282"/>
        <v>4062.5622155526498</v>
      </c>
      <c r="I982" s="1">
        <f t="shared" ca="1" si="286"/>
        <v>150</v>
      </c>
      <c r="J982" s="1">
        <f t="shared" ca="1" si="286"/>
        <v>1760.6927419354899</v>
      </c>
      <c r="K982" s="1">
        <f t="shared" ca="1" si="286"/>
        <v>126.084075</v>
      </c>
      <c r="L982" s="1">
        <f t="shared" ca="1" si="286"/>
        <v>1760.6927419354899</v>
      </c>
      <c r="M982" s="1">
        <f t="shared" ca="1" si="286"/>
        <v>126.084075</v>
      </c>
      <c r="N982" s="1">
        <f t="shared" ca="1" si="286"/>
        <v>0.2</v>
      </c>
      <c r="O982" s="1">
        <f t="shared" ca="1" si="286"/>
        <v>0.2</v>
      </c>
      <c r="P982" s="1">
        <f t="shared" ca="1" si="286"/>
        <v>0.36</v>
      </c>
      <c r="Q982" s="1">
        <f t="shared" ca="1" si="286"/>
        <v>0.1</v>
      </c>
      <c r="R982" s="1">
        <f t="shared" ca="1" si="286"/>
        <v>2</v>
      </c>
      <c r="S982" s="1">
        <f t="shared" ca="1" si="287"/>
        <v>0.1</v>
      </c>
      <c r="T982" s="1">
        <f t="shared" ca="1" si="287"/>
        <v>0.9</v>
      </c>
      <c r="U982" s="1">
        <f t="shared" ca="1" si="287"/>
        <v>172.066666666667</v>
      </c>
      <c r="V982" s="1">
        <f t="shared" ca="1" si="287"/>
        <v>0</v>
      </c>
      <c r="W982" s="1">
        <f t="shared" ca="1" si="287"/>
        <v>0</v>
      </c>
      <c r="X982" s="1">
        <f t="shared" ca="1" si="287"/>
        <v>0</v>
      </c>
      <c r="Y982" s="1">
        <f t="shared" ca="1" si="287"/>
        <v>0</v>
      </c>
      <c r="Z982" s="1">
        <f t="shared" ca="1" si="287"/>
        <v>0</v>
      </c>
      <c r="AA982" s="1">
        <f t="shared" ca="1" si="287"/>
        <v>0</v>
      </c>
      <c r="AB982" s="1">
        <f t="shared" ca="1" si="287"/>
        <v>2117.5899193548448</v>
      </c>
      <c r="AC982" s="1">
        <f t="shared" ca="1" si="287"/>
        <v>126.084075</v>
      </c>
      <c r="AD982" s="1">
        <f t="shared" ca="1" si="287"/>
        <v>126.084075</v>
      </c>
      <c r="AE982" s="1">
        <f t="shared" ca="1" si="287"/>
        <v>126.084075</v>
      </c>
      <c r="AF982" s="1">
        <f t="shared" ca="1" si="287"/>
        <v>126.084075</v>
      </c>
      <c r="AG982" s="1">
        <f t="shared" ca="1" si="287"/>
        <v>126.084075</v>
      </c>
      <c r="AH982" s="1">
        <f t="shared" ca="1" si="287"/>
        <v>126.084075</v>
      </c>
      <c r="AI982" s="1">
        <f t="shared" ca="1" si="288"/>
        <v>189.1261125</v>
      </c>
    </row>
    <row r="983" spans="2:35" x14ac:dyDescent="0.15">
      <c r="B983" s="1" t="str">
        <f t="shared" si="285"/>
        <v>雷系90</v>
      </c>
      <c r="C983" s="1">
        <f t="shared" si="275"/>
        <v>90</v>
      </c>
      <c r="D983" s="14" t="s">
        <v>99</v>
      </c>
      <c r="E983" s="14">
        <f t="shared" si="276"/>
        <v>10</v>
      </c>
      <c r="F983" s="1" t="str">
        <f t="shared" si="281"/>
        <v>电击</v>
      </c>
      <c r="H983" s="1">
        <f t="shared" ca="1" si="282"/>
        <v>4125.4703642969298</v>
      </c>
      <c r="I983" s="1">
        <f t="shared" ref="I983:R992" ca="1" si="289">mVlookup($C983,monsterBaseDate,I$2,FALSE)*(1+mVlookup($E983,monsterType,I$2,FALSE))</f>
        <v>150</v>
      </c>
      <c r="J983" s="1">
        <f t="shared" ca="1" si="289"/>
        <v>1800.8957845433299</v>
      </c>
      <c r="K983" s="1">
        <f t="shared" ca="1" si="289"/>
        <v>127.50075</v>
      </c>
      <c r="L983" s="1">
        <f t="shared" ca="1" si="289"/>
        <v>1800.8957845433299</v>
      </c>
      <c r="M983" s="1">
        <f t="shared" ca="1" si="289"/>
        <v>127.50075</v>
      </c>
      <c r="N983" s="1">
        <f t="shared" ca="1" si="289"/>
        <v>0.2</v>
      </c>
      <c r="O983" s="1">
        <f t="shared" ca="1" si="289"/>
        <v>0.2</v>
      </c>
      <c r="P983" s="1">
        <f t="shared" ca="1" si="289"/>
        <v>0.36</v>
      </c>
      <c r="Q983" s="1">
        <f t="shared" ca="1" si="289"/>
        <v>0.1</v>
      </c>
      <c r="R983" s="1">
        <f t="shared" ca="1" si="289"/>
        <v>2</v>
      </c>
      <c r="S983" s="1">
        <f t="shared" ref="S983:AH998" ca="1" si="290">mVlookup($C983,monsterBaseDate,S$2,FALSE)*(1+mVlookup($E983,monsterType,S$2,FALSE))</f>
        <v>0.1</v>
      </c>
      <c r="T983" s="1">
        <f t="shared" ca="1" si="290"/>
        <v>0.9</v>
      </c>
      <c r="U983" s="1">
        <f t="shared" ca="1" si="290"/>
        <v>174</v>
      </c>
      <c r="V983" s="1">
        <f t="shared" ca="1" si="290"/>
        <v>0</v>
      </c>
      <c r="W983" s="1">
        <f t="shared" ca="1" si="290"/>
        <v>0</v>
      </c>
      <c r="X983" s="1">
        <f t="shared" ca="1" si="290"/>
        <v>0</v>
      </c>
      <c r="Y983" s="1">
        <f t="shared" ca="1" si="290"/>
        <v>0</v>
      </c>
      <c r="Z983" s="1">
        <f t="shared" ca="1" si="290"/>
        <v>0</v>
      </c>
      <c r="AA983" s="1">
        <f t="shared" ca="1" si="290"/>
        <v>0</v>
      </c>
      <c r="AB983" s="1">
        <f t="shared" ca="1" si="287"/>
        <v>2210.190281030445</v>
      </c>
      <c r="AC983" s="1">
        <f t="shared" ca="1" si="290"/>
        <v>127.50075</v>
      </c>
      <c r="AD983" s="1">
        <f t="shared" ca="1" si="290"/>
        <v>127.50075</v>
      </c>
      <c r="AE983" s="1">
        <f t="shared" ca="1" si="290"/>
        <v>127.50075</v>
      </c>
      <c r="AF983" s="1">
        <f t="shared" ca="1" si="290"/>
        <v>127.50075</v>
      </c>
      <c r="AG983" s="1">
        <f t="shared" ca="1" si="290"/>
        <v>127.50075</v>
      </c>
      <c r="AH983" s="1">
        <f t="shared" ca="1" si="290"/>
        <v>127.50075</v>
      </c>
      <c r="AI983" s="1">
        <f t="shared" ca="1" si="288"/>
        <v>191.251125</v>
      </c>
    </row>
    <row r="984" spans="2:35" x14ac:dyDescent="0.15">
      <c r="B984" s="1" t="str">
        <f t="shared" si="285"/>
        <v>雷系91</v>
      </c>
      <c r="C984" s="1">
        <f t="shared" si="275"/>
        <v>91</v>
      </c>
      <c r="D984" s="14" t="s">
        <v>99</v>
      </c>
      <c r="E984" s="14">
        <f t="shared" si="276"/>
        <v>10</v>
      </c>
      <c r="F984" s="1" t="str">
        <f t="shared" si="281"/>
        <v>电击</v>
      </c>
      <c r="H984" s="1">
        <f t="shared" ca="1" si="282"/>
        <v>4188.7620993140299</v>
      </c>
      <c r="I984" s="1">
        <f t="shared" ca="1" si="289"/>
        <v>150</v>
      </c>
      <c r="J984" s="1">
        <f t="shared" ca="1" si="289"/>
        <v>1842.1</v>
      </c>
      <c r="K984" s="1">
        <f t="shared" ca="1" si="289"/>
        <v>128.91742500000001</v>
      </c>
      <c r="L984" s="1">
        <f t="shared" ca="1" si="289"/>
        <v>1842.1</v>
      </c>
      <c r="M984" s="1">
        <f t="shared" ca="1" si="289"/>
        <v>128.91742500000001</v>
      </c>
      <c r="N984" s="1">
        <f t="shared" ca="1" si="289"/>
        <v>0.2</v>
      </c>
      <c r="O984" s="1">
        <f t="shared" ca="1" si="289"/>
        <v>0.2</v>
      </c>
      <c r="P984" s="1">
        <f t="shared" ca="1" si="289"/>
        <v>0.36</v>
      </c>
      <c r="Q984" s="1">
        <f t="shared" ca="1" si="289"/>
        <v>0.1</v>
      </c>
      <c r="R984" s="1">
        <f t="shared" ca="1" si="289"/>
        <v>2</v>
      </c>
      <c r="S984" s="1">
        <f t="shared" ca="1" si="290"/>
        <v>0.1</v>
      </c>
      <c r="T984" s="1">
        <f t="shared" ca="1" si="290"/>
        <v>0.9</v>
      </c>
      <c r="U984" s="1">
        <f t="shared" ca="1" si="290"/>
        <v>175.933333333333</v>
      </c>
      <c r="V984" s="1">
        <f t="shared" ca="1" si="290"/>
        <v>0</v>
      </c>
      <c r="W984" s="1">
        <f t="shared" ca="1" si="290"/>
        <v>0</v>
      </c>
      <c r="X984" s="1">
        <f t="shared" ca="1" si="290"/>
        <v>0</v>
      </c>
      <c r="Y984" s="1">
        <f t="shared" ca="1" si="290"/>
        <v>0</v>
      </c>
      <c r="Z984" s="1">
        <f t="shared" ca="1" si="290"/>
        <v>0</v>
      </c>
      <c r="AA984" s="1">
        <f t="shared" ca="1" si="290"/>
        <v>0</v>
      </c>
      <c r="AB984" s="1">
        <f t="shared" ca="1" si="287"/>
        <v>2306.8500000000004</v>
      </c>
      <c r="AC984" s="1">
        <f t="shared" ca="1" si="290"/>
        <v>128.91742500000001</v>
      </c>
      <c r="AD984" s="1">
        <f t="shared" ca="1" si="290"/>
        <v>128.91742500000001</v>
      </c>
      <c r="AE984" s="1">
        <f t="shared" ca="1" si="290"/>
        <v>128.91742500000001</v>
      </c>
      <c r="AF984" s="1">
        <f t="shared" ca="1" si="290"/>
        <v>128.91742500000001</v>
      </c>
      <c r="AG984" s="1">
        <f t="shared" ca="1" si="290"/>
        <v>128.91742500000001</v>
      </c>
      <c r="AH984" s="1">
        <f t="shared" ca="1" si="290"/>
        <v>128.91742500000001</v>
      </c>
      <c r="AI984" s="1">
        <f t="shared" ca="1" si="288"/>
        <v>193.37613750000003</v>
      </c>
    </row>
    <row r="985" spans="2:35" x14ac:dyDescent="0.15">
      <c r="B985" s="1" t="str">
        <f t="shared" si="285"/>
        <v>雷系92</v>
      </c>
      <c r="C985" s="1">
        <f t="shared" si="275"/>
        <v>92</v>
      </c>
      <c r="D985" s="14" t="s">
        <v>99</v>
      </c>
      <c r="E985" s="14">
        <f t="shared" si="276"/>
        <v>10</v>
      </c>
      <c r="F985" s="1" t="str">
        <f t="shared" si="281"/>
        <v>电击</v>
      </c>
      <c r="H985" s="1">
        <f t="shared" ca="1" si="282"/>
        <v>4252.4374206039702</v>
      </c>
      <c r="I985" s="1">
        <f t="shared" ca="1" si="289"/>
        <v>150</v>
      </c>
      <c r="J985" s="1">
        <f t="shared" ca="1" si="289"/>
        <v>1884.35157384988</v>
      </c>
      <c r="K985" s="1">
        <f t="shared" ca="1" si="289"/>
        <v>130.33410000000001</v>
      </c>
      <c r="L985" s="1">
        <f t="shared" ca="1" si="289"/>
        <v>1884.35157384988</v>
      </c>
      <c r="M985" s="1">
        <f t="shared" ca="1" si="289"/>
        <v>130.33410000000001</v>
      </c>
      <c r="N985" s="1">
        <f t="shared" ca="1" si="289"/>
        <v>0.2</v>
      </c>
      <c r="O985" s="1">
        <f t="shared" ca="1" si="289"/>
        <v>0.2</v>
      </c>
      <c r="P985" s="1">
        <f t="shared" ca="1" si="289"/>
        <v>0.36</v>
      </c>
      <c r="Q985" s="1">
        <f t="shared" ca="1" si="289"/>
        <v>0.1</v>
      </c>
      <c r="R985" s="1">
        <f t="shared" ca="1" si="289"/>
        <v>2</v>
      </c>
      <c r="S985" s="1">
        <f t="shared" ca="1" si="290"/>
        <v>0.1</v>
      </c>
      <c r="T985" s="1">
        <f t="shared" ca="1" si="290"/>
        <v>0.9</v>
      </c>
      <c r="U985" s="1">
        <f t="shared" ca="1" si="290"/>
        <v>177.86666666666699</v>
      </c>
      <c r="V985" s="1">
        <f t="shared" ca="1" si="290"/>
        <v>0</v>
      </c>
      <c r="W985" s="1">
        <f t="shared" ca="1" si="290"/>
        <v>0</v>
      </c>
      <c r="X985" s="1">
        <f t="shared" ca="1" si="290"/>
        <v>0</v>
      </c>
      <c r="Y985" s="1">
        <f t="shared" ca="1" si="290"/>
        <v>0</v>
      </c>
      <c r="Z985" s="1">
        <f t="shared" ca="1" si="290"/>
        <v>0</v>
      </c>
      <c r="AA985" s="1">
        <f t="shared" ca="1" si="290"/>
        <v>0</v>
      </c>
      <c r="AB985" s="1">
        <f t="shared" ca="1" si="287"/>
        <v>2407.782566585955</v>
      </c>
      <c r="AC985" s="1">
        <f t="shared" ca="1" si="290"/>
        <v>130.33410000000001</v>
      </c>
      <c r="AD985" s="1">
        <f t="shared" ca="1" si="290"/>
        <v>130.33410000000001</v>
      </c>
      <c r="AE985" s="1">
        <f t="shared" ca="1" si="290"/>
        <v>130.33410000000001</v>
      </c>
      <c r="AF985" s="1">
        <f t="shared" ca="1" si="290"/>
        <v>130.33410000000001</v>
      </c>
      <c r="AG985" s="1">
        <f t="shared" ca="1" si="290"/>
        <v>130.33410000000001</v>
      </c>
      <c r="AH985" s="1">
        <f t="shared" ca="1" si="290"/>
        <v>130.33410000000001</v>
      </c>
      <c r="AI985" s="1">
        <f t="shared" ca="1" si="288"/>
        <v>195.50115</v>
      </c>
    </row>
    <row r="986" spans="2:35" x14ac:dyDescent="0.15">
      <c r="B986" s="1" t="str">
        <f t="shared" si="285"/>
        <v>雷系93</v>
      </c>
      <c r="C986" s="1">
        <f t="shared" si="275"/>
        <v>93</v>
      </c>
      <c r="D986" s="14" t="s">
        <v>99</v>
      </c>
      <c r="E986" s="14">
        <f t="shared" si="276"/>
        <v>10</v>
      </c>
      <c r="F986" s="1" t="str">
        <f t="shared" si="281"/>
        <v>电击</v>
      </c>
      <c r="H986" s="1">
        <f t="shared" ca="1" si="282"/>
        <v>4316.4963281667397</v>
      </c>
      <c r="I986" s="1">
        <f t="shared" ca="1" si="289"/>
        <v>150</v>
      </c>
      <c r="J986" s="1">
        <f t="shared" ca="1" si="289"/>
        <v>1927.6998768472899</v>
      </c>
      <c r="K986" s="1">
        <f t="shared" ca="1" si="289"/>
        <v>131.750775</v>
      </c>
      <c r="L986" s="1">
        <f t="shared" ca="1" si="289"/>
        <v>1927.6998768472899</v>
      </c>
      <c r="M986" s="1">
        <f t="shared" ca="1" si="289"/>
        <v>131.750775</v>
      </c>
      <c r="N986" s="1">
        <f t="shared" ca="1" si="289"/>
        <v>0.2</v>
      </c>
      <c r="O986" s="1">
        <f t="shared" ca="1" si="289"/>
        <v>0.2</v>
      </c>
      <c r="P986" s="1">
        <f t="shared" ca="1" si="289"/>
        <v>0.36</v>
      </c>
      <c r="Q986" s="1">
        <f t="shared" ca="1" si="289"/>
        <v>0.1</v>
      </c>
      <c r="R986" s="1">
        <f t="shared" ca="1" si="289"/>
        <v>2</v>
      </c>
      <c r="S986" s="1">
        <f t="shared" ca="1" si="290"/>
        <v>0.1</v>
      </c>
      <c r="T986" s="1">
        <f t="shared" ca="1" si="290"/>
        <v>0.9</v>
      </c>
      <c r="U986" s="1">
        <f t="shared" ca="1" si="290"/>
        <v>179.8</v>
      </c>
      <c r="V986" s="1">
        <f t="shared" ca="1" si="290"/>
        <v>0</v>
      </c>
      <c r="W986" s="1">
        <f t="shared" ca="1" si="290"/>
        <v>0</v>
      </c>
      <c r="X986" s="1">
        <f t="shared" ca="1" si="290"/>
        <v>0</v>
      </c>
      <c r="Y986" s="1">
        <f t="shared" ca="1" si="290"/>
        <v>0</v>
      </c>
      <c r="Z986" s="1">
        <f t="shared" ca="1" si="290"/>
        <v>0</v>
      </c>
      <c r="AA986" s="1">
        <f t="shared" ca="1" si="290"/>
        <v>0</v>
      </c>
      <c r="AB986" s="1">
        <f t="shared" ca="1" si="287"/>
        <v>2513.216194581285</v>
      </c>
      <c r="AC986" s="1">
        <f t="shared" ca="1" si="290"/>
        <v>131.750775</v>
      </c>
      <c r="AD986" s="1">
        <f t="shared" ca="1" si="290"/>
        <v>131.750775</v>
      </c>
      <c r="AE986" s="1">
        <f t="shared" ca="1" si="290"/>
        <v>131.750775</v>
      </c>
      <c r="AF986" s="1">
        <f t="shared" ca="1" si="290"/>
        <v>131.750775</v>
      </c>
      <c r="AG986" s="1">
        <f t="shared" ca="1" si="290"/>
        <v>131.750775</v>
      </c>
      <c r="AH986" s="1">
        <f t="shared" ca="1" si="290"/>
        <v>131.750775</v>
      </c>
      <c r="AI986" s="1">
        <f t="shared" ca="1" si="288"/>
        <v>197.62616250000002</v>
      </c>
    </row>
    <row r="987" spans="2:35" x14ac:dyDescent="0.15">
      <c r="B987" s="1" t="str">
        <f t="shared" si="285"/>
        <v>雷系94</v>
      </c>
      <c r="C987" s="1">
        <f t="shared" si="275"/>
        <v>94</v>
      </c>
      <c r="D987" s="14" t="s">
        <v>99</v>
      </c>
      <c r="E987" s="14">
        <f t="shared" si="276"/>
        <v>10</v>
      </c>
      <c r="F987" s="1" t="str">
        <f t="shared" si="281"/>
        <v>电击</v>
      </c>
      <c r="H987" s="1">
        <f t="shared" ca="1" si="282"/>
        <v>4380.9388220023402</v>
      </c>
      <c r="I987" s="1">
        <f t="shared" ca="1" si="289"/>
        <v>150</v>
      </c>
      <c r="J987" s="1">
        <f t="shared" ca="1" si="289"/>
        <v>1972.1977443609101</v>
      </c>
      <c r="K987" s="1">
        <f t="shared" ca="1" si="289"/>
        <v>133.16745</v>
      </c>
      <c r="L987" s="1">
        <f t="shared" ca="1" si="289"/>
        <v>1972.1977443609101</v>
      </c>
      <c r="M987" s="1">
        <f t="shared" ca="1" si="289"/>
        <v>133.16745</v>
      </c>
      <c r="N987" s="1">
        <f t="shared" ca="1" si="289"/>
        <v>0.2</v>
      </c>
      <c r="O987" s="1">
        <f t="shared" ca="1" si="289"/>
        <v>0.2</v>
      </c>
      <c r="P987" s="1">
        <f t="shared" ca="1" si="289"/>
        <v>0.36</v>
      </c>
      <c r="Q987" s="1">
        <f t="shared" ca="1" si="289"/>
        <v>0.1</v>
      </c>
      <c r="R987" s="1">
        <f t="shared" ca="1" si="289"/>
        <v>2</v>
      </c>
      <c r="S987" s="1">
        <f t="shared" ca="1" si="290"/>
        <v>0.1</v>
      </c>
      <c r="T987" s="1">
        <f t="shared" ca="1" si="290"/>
        <v>0.9</v>
      </c>
      <c r="U987" s="1">
        <f t="shared" ca="1" si="290"/>
        <v>181.73333333333301</v>
      </c>
      <c r="V987" s="1">
        <f t="shared" ca="1" si="290"/>
        <v>0</v>
      </c>
      <c r="W987" s="1">
        <f t="shared" ca="1" si="290"/>
        <v>0</v>
      </c>
      <c r="X987" s="1">
        <f t="shared" ca="1" si="290"/>
        <v>0</v>
      </c>
      <c r="Y987" s="1">
        <f t="shared" ca="1" si="290"/>
        <v>0</v>
      </c>
      <c r="Z987" s="1">
        <f t="shared" ca="1" si="290"/>
        <v>0</v>
      </c>
      <c r="AA987" s="1">
        <f t="shared" ca="1" si="290"/>
        <v>0</v>
      </c>
      <c r="AB987" s="1">
        <f t="shared" ca="1" si="287"/>
        <v>2623.395112781955</v>
      </c>
      <c r="AC987" s="1">
        <f t="shared" ca="1" si="290"/>
        <v>133.16745</v>
      </c>
      <c r="AD987" s="1">
        <f t="shared" ca="1" si="290"/>
        <v>133.16745</v>
      </c>
      <c r="AE987" s="1">
        <f t="shared" ca="1" si="290"/>
        <v>133.16745</v>
      </c>
      <c r="AF987" s="1">
        <f t="shared" ca="1" si="290"/>
        <v>133.16745</v>
      </c>
      <c r="AG987" s="1">
        <f t="shared" ca="1" si="290"/>
        <v>133.16745</v>
      </c>
      <c r="AH987" s="1">
        <f t="shared" ca="1" si="290"/>
        <v>133.16745</v>
      </c>
      <c r="AI987" s="1">
        <f t="shared" ca="1" si="288"/>
        <v>199.75117499999999</v>
      </c>
    </row>
    <row r="988" spans="2:35" x14ac:dyDescent="0.15">
      <c r="B988" s="1" t="str">
        <f t="shared" si="285"/>
        <v>雷系95</v>
      </c>
      <c r="C988" s="1">
        <f t="shared" si="275"/>
        <v>95</v>
      </c>
      <c r="D988" s="14" t="s">
        <v>99</v>
      </c>
      <c r="E988" s="14">
        <f t="shared" si="276"/>
        <v>10</v>
      </c>
      <c r="F988" s="1" t="str">
        <f t="shared" si="281"/>
        <v>电击</v>
      </c>
      <c r="H988" s="1">
        <f t="shared" ca="1" si="282"/>
        <v>4445.76490211077</v>
      </c>
      <c r="I988" s="1">
        <f t="shared" ca="1" si="289"/>
        <v>150</v>
      </c>
      <c r="J988" s="1">
        <f t="shared" ca="1" si="289"/>
        <v>2017.9017857142901</v>
      </c>
      <c r="K988" s="1">
        <f t="shared" ca="1" si="289"/>
        <v>134.584125</v>
      </c>
      <c r="L988" s="1">
        <f t="shared" ca="1" si="289"/>
        <v>2017.9017857142901</v>
      </c>
      <c r="M988" s="1">
        <f t="shared" ca="1" si="289"/>
        <v>134.584125</v>
      </c>
      <c r="N988" s="1">
        <f t="shared" ca="1" si="289"/>
        <v>0.2</v>
      </c>
      <c r="O988" s="1">
        <f t="shared" ca="1" si="289"/>
        <v>0.2</v>
      </c>
      <c r="P988" s="1">
        <f t="shared" ca="1" si="289"/>
        <v>0.36</v>
      </c>
      <c r="Q988" s="1">
        <f t="shared" ca="1" si="289"/>
        <v>0.1</v>
      </c>
      <c r="R988" s="1">
        <f t="shared" ca="1" si="289"/>
        <v>2</v>
      </c>
      <c r="S988" s="1">
        <f t="shared" ca="1" si="290"/>
        <v>0.1</v>
      </c>
      <c r="T988" s="1">
        <f t="shared" ca="1" si="290"/>
        <v>0.9</v>
      </c>
      <c r="U988" s="1">
        <f t="shared" ca="1" si="290"/>
        <v>183.666666666667</v>
      </c>
      <c r="V988" s="1">
        <f t="shared" ca="1" si="290"/>
        <v>0</v>
      </c>
      <c r="W988" s="1">
        <f t="shared" ca="1" si="290"/>
        <v>0</v>
      </c>
      <c r="X988" s="1">
        <f t="shared" ca="1" si="290"/>
        <v>0</v>
      </c>
      <c r="Y988" s="1">
        <f t="shared" ca="1" si="290"/>
        <v>0</v>
      </c>
      <c r="Z988" s="1">
        <f t="shared" ca="1" si="290"/>
        <v>0</v>
      </c>
      <c r="AA988" s="1">
        <f t="shared" ca="1" si="290"/>
        <v>0</v>
      </c>
      <c r="AB988" s="1">
        <f t="shared" ca="1" si="287"/>
        <v>2738.580994897965</v>
      </c>
      <c r="AC988" s="1">
        <f t="shared" ca="1" si="290"/>
        <v>134.584125</v>
      </c>
      <c r="AD988" s="1">
        <f t="shared" ca="1" si="290"/>
        <v>134.584125</v>
      </c>
      <c r="AE988" s="1">
        <f t="shared" ca="1" si="290"/>
        <v>134.584125</v>
      </c>
      <c r="AF988" s="1">
        <f t="shared" ca="1" si="290"/>
        <v>134.584125</v>
      </c>
      <c r="AG988" s="1">
        <f t="shared" ca="1" si="290"/>
        <v>134.584125</v>
      </c>
      <c r="AH988" s="1">
        <f t="shared" ca="1" si="290"/>
        <v>134.584125</v>
      </c>
      <c r="AI988" s="1">
        <f t="shared" ca="1" si="288"/>
        <v>201.87618750000001</v>
      </c>
    </row>
    <row r="989" spans="2:35" x14ac:dyDescent="0.15">
      <c r="B989" s="1" t="str">
        <f t="shared" si="285"/>
        <v>雷系96</v>
      </c>
      <c r="C989" s="1">
        <f t="shared" si="275"/>
        <v>96</v>
      </c>
      <c r="D989" s="14" t="s">
        <v>99</v>
      </c>
      <c r="E989" s="14">
        <f t="shared" si="276"/>
        <v>10</v>
      </c>
      <c r="F989" s="1" t="str">
        <f t="shared" si="281"/>
        <v>电击</v>
      </c>
      <c r="H989" s="1">
        <f t="shared" ca="1" si="282"/>
        <v>4510.9745684920399</v>
      </c>
      <c r="I989" s="1">
        <f t="shared" ca="1" si="289"/>
        <v>150</v>
      </c>
      <c r="J989" s="1">
        <f t="shared" ca="1" si="289"/>
        <v>2064.8727272727301</v>
      </c>
      <c r="K989" s="1">
        <f t="shared" ca="1" si="289"/>
        <v>136.0008</v>
      </c>
      <c r="L989" s="1">
        <f t="shared" ca="1" si="289"/>
        <v>2064.8727272727301</v>
      </c>
      <c r="M989" s="1">
        <f t="shared" ca="1" si="289"/>
        <v>136.0008</v>
      </c>
      <c r="N989" s="1">
        <f t="shared" ca="1" si="289"/>
        <v>0.2</v>
      </c>
      <c r="O989" s="1">
        <f t="shared" ca="1" si="289"/>
        <v>0.2</v>
      </c>
      <c r="P989" s="1">
        <f t="shared" ca="1" si="289"/>
        <v>0.36</v>
      </c>
      <c r="Q989" s="1">
        <f t="shared" ca="1" si="289"/>
        <v>0.1</v>
      </c>
      <c r="R989" s="1">
        <f t="shared" ca="1" si="289"/>
        <v>2</v>
      </c>
      <c r="S989" s="1">
        <f t="shared" ca="1" si="290"/>
        <v>0.1</v>
      </c>
      <c r="T989" s="1">
        <f t="shared" ca="1" si="290"/>
        <v>0.9</v>
      </c>
      <c r="U989" s="1">
        <f t="shared" ca="1" si="290"/>
        <v>185.6</v>
      </c>
      <c r="V989" s="1">
        <f t="shared" ca="1" si="290"/>
        <v>0</v>
      </c>
      <c r="W989" s="1">
        <f t="shared" ca="1" si="290"/>
        <v>0</v>
      </c>
      <c r="X989" s="1">
        <f t="shared" ca="1" si="290"/>
        <v>0</v>
      </c>
      <c r="Y989" s="1">
        <f t="shared" ca="1" si="290"/>
        <v>0</v>
      </c>
      <c r="Z989" s="1">
        <f t="shared" ca="1" si="290"/>
        <v>0</v>
      </c>
      <c r="AA989" s="1">
        <f t="shared" ca="1" si="290"/>
        <v>0</v>
      </c>
      <c r="AB989" s="1">
        <f t="shared" ca="1" si="290"/>
        <v>2859.054545454555</v>
      </c>
      <c r="AC989" s="1">
        <f t="shared" ca="1" si="290"/>
        <v>136.0008</v>
      </c>
      <c r="AD989" s="1">
        <f t="shared" ca="1" si="290"/>
        <v>136.0008</v>
      </c>
      <c r="AE989" s="1">
        <f t="shared" ca="1" si="290"/>
        <v>136.0008</v>
      </c>
      <c r="AF989" s="1">
        <f t="shared" ca="1" si="290"/>
        <v>136.0008</v>
      </c>
      <c r="AG989" s="1">
        <f t="shared" ca="1" si="290"/>
        <v>136.0008</v>
      </c>
      <c r="AH989" s="1">
        <f t="shared" ca="1" si="290"/>
        <v>136.0008</v>
      </c>
      <c r="AI989" s="1">
        <f t="shared" ca="1" si="288"/>
        <v>204.00119999999998</v>
      </c>
    </row>
    <row r="990" spans="2:35" x14ac:dyDescent="0.15">
      <c r="B990" s="1" t="str">
        <f t="shared" si="285"/>
        <v>雷系97</v>
      </c>
      <c r="C990" s="1">
        <f t="shared" si="275"/>
        <v>97</v>
      </c>
      <c r="D990" s="14" t="s">
        <v>99</v>
      </c>
      <c r="E990" s="14">
        <f t="shared" si="276"/>
        <v>10</v>
      </c>
      <c r="F990" s="1" t="str">
        <f t="shared" si="281"/>
        <v>电击</v>
      </c>
      <c r="H990" s="1">
        <f t="shared" ca="1" si="282"/>
        <v>4576.56782114613</v>
      </c>
      <c r="I990" s="1">
        <f t="shared" ca="1" si="289"/>
        <v>150</v>
      </c>
      <c r="J990" s="1">
        <f t="shared" ca="1" si="289"/>
        <v>2113.1757936508002</v>
      </c>
      <c r="K990" s="1">
        <f t="shared" ca="1" si="289"/>
        <v>137.417475</v>
      </c>
      <c r="L990" s="1">
        <f t="shared" ca="1" si="289"/>
        <v>2113.1757936508002</v>
      </c>
      <c r="M990" s="1">
        <f t="shared" ca="1" si="289"/>
        <v>137.417475</v>
      </c>
      <c r="N990" s="1">
        <f t="shared" ca="1" si="289"/>
        <v>0.2</v>
      </c>
      <c r="O990" s="1">
        <f t="shared" ca="1" si="289"/>
        <v>0.2</v>
      </c>
      <c r="P990" s="1">
        <f t="shared" ca="1" si="289"/>
        <v>0.36</v>
      </c>
      <c r="Q990" s="1">
        <f t="shared" ca="1" si="289"/>
        <v>0.1</v>
      </c>
      <c r="R990" s="1">
        <f t="shared" ca="1" si="289"/>
        <v>2</v>
      </c>
      <c r="S990" s="1">
        <f t="shared" ca="1" si="290"/>
        <v>0.1</v>
      </c>
      <c r="T990" s="1">
        <f t="shared" ca="1" si="290"/>
        <v>0.9</v>
      </c>
      <c r="U990" s="1">
        <f t="shared" ca="1" si="290"/>
        <v>187.53333333333299</v>
      </c>
      <c r="V990" s="1">
        <f t="shared" ca="1" si="290"/>
        <v>0</v>
      </c>
      <c r="W990" s="1">
        <f t="shared" ca="1" si="290"/>
        <v>0</v>
      </c>
      <c r="X990" s="1">
        <f t="shared" ca="1" si="290"/>
        <v>0</v>
      </c>
      <c r="Y990" s="1">
        <f t="shared" ca="1" si="290"/>
        <v>0</v>
      </c>
      <c r="Z990" s="1">
        <f t="shared" ca="1" si="290"/>
        <v>0</v>
      </c>
      <c r="AA990" s="1">
        <f t="shared" ca="1" si="290"/>
        <v>0</v>
      </c>
      <c r="AB990" s="1">
        <f t="shared" ca="1" si="290"/>
        <v>2985.1172619047702</v>
      </c>
      <c r="AC990" s="1">
        <f t="shared" ca="1" si="290"/>
        <v>137.417475</v>
      </c>
      <c r="AD990" s="1">
        <f t="shared" ca="1" si="290"/>
        <v>137.417475</v>
      </c>
      <c r="AE990" s="1">
        <f t="shared" ca="1" si="290"/>
        <v>137.417475</v>
      </c>
      <c r="AF990" s="1">
        <f t="shared" ca="1" si="290"/>
        <v>137.417475</v>
      </c>
      <c r="AG990" s="1">
        <f t="shared" ca="1" si="290"/>
        <v>137.417475</v>
      </c>
      <c r="AH990" s="1">
        <f t="shared" ca="1" si="290"/>
        <v>137.417475</v>
      </c>
      <c r="AI990" s="1">
        <f t="shared" ca="1" si="288"/>
        <v>206.12621250000001</v>
      </c>
    </row>
    <row r="991" spans="2:35" x14ac:dyDescent="0.15">
      <c r="B991" s="1" t="str">
        <f t="shared" si="285"/>
        <v>雷系98</v>
      </c>
      <c r="C991" s="1">
        <f t="shared" si="275"/>
        <v>98</v>
      </c>
      <c r="D991" s="14" t="s">
        <v>99</v>
      </c>
      <c r="E991" s="14">
        <f t="shared" si="276"/>
        <v>10</v>
      </c>
      <c r="F991" s="1" t="str">
        <f t="shared" si="281"/>
        <v>电击</v>
      </c>
      <c r="H991" s="1">
        <f t="shared" ca="1" si="282"/>
        <v>4642.5446600730502</v>
      </c>
      <c r="I991" s="1">
        <f t="shared" ca="1" si="289"/>
        <v>150</v>
      </c>
      <c r="J991" s="1">
        <f t="shared" ca="1" si="289"/>
        <v>2162.8811320754799</v>
      </c>
      <c r="K991" s="1">
        <f t="shared" ca="1" si="289"/>
        <v>138.83414999999999</v>
      </c>
      <c r="L991" s="1">
        <f t="shared" ca="1" si="289"/>
        <v>2162.8811320754799</v>
      </c>
      <c r="M991" s="1">
        <f t="shared" ca="1" si="289"/>
        <v>138.83414999999999</v>
      </c>
      <c r="N991" s="1">
        <f t="shared" ca="1" si="289"/>
        <v>0.2</v>
      </c>
      <c r="O991" s="1">
        <f t="shared" ca="1" si="289"/>
        <v>0.2</v>
      </c>
      <c r="P991" s="1">
        <f t="shared" ca="1" si="289"/>
        <v>0.36</v>
      </c>
      <c r="Q991" s="1">
        <f t="shared" ca="1" si="289"/>
        <v>0.1</v>
      </c>
      <c r="R991" s="1">
        <f t="shared" ca="1" si="289"/>
        <v>2</v>
      </c>
      <c r="S991" s="1">
        <f t="shared" ca="1" si="290"/>
        <v>0.1</v>
      </c>
      <c r="T991" s="1">
        <f t="shared" ca="1" si="290"/>
        <v>0.9</v>
      </c>
      <c r="U991" s="1">
        <f t="shared" ca="1" si="290"/>
        <v>189.46666666666701</v>
      </c>
      <c r="V991" s="1">
        <f t="shared" ca="1" si="290"/>
        <v>0</v>
      </c>
      <c r="W991" s="1">
        <f t="shared" ca="1" si="290"/>
        <v>0</v>
      </c>
      <c r="X991" s="1">
        <f t="shared" ca="1" si="290"/>
        <v>0</v>
      </c>
      <c r="Y991" s="1">
        <f t="shared" ca="1" si="290"/>
        <v>0</v>
      </c>
      <c r="Z991" s="1">
        <f t="shared" ca="1" si="290"/>
        <v>0</v>
      </c>
      <c r="AA991" s="1">
        <f t="shared" ca="1" si="290"/>
        <v>0</v>
      </c>
      <c r="AB991" s="1">
        <f t="shared" ca="1" si="290"/>
        <v>3117.0933962264248</v>
      </c>
      <c r="AC991" s="1">
        <f t="shared" ca="1" si="290"/>
        <v>138.83414999999999</v>
      </c>
      <c r="AD991" s="1">
        <f t="shared" ca="1" si="290"/>
        <v>138.83414999999999</v>
      </c>
      <c r="AE991" s="1">
        <f t="shared" ca="1" si="290"/>
        <v>138.83414999999999</v>
      </c>
      <c r="AF991" s="1">
        <f t="shared" ca="1" si="290"/>
        <v>138.83414999999999</v>
      </c>
      <c r="AG991" s="1">
        <f t="shared" ca="1" si="290"/>
        <v>138.83414999999999</v>
      </c>
      <c r="AH991" s="1">
        <f t="shared" ca="1" si="290"/>
        <v>138.83414999999999</v>
      </c>
      <c r="AI991" s="1">
        <f t="shared" ca="1" si="288"/>
        <v>208.25122499999998</v>
      </c>
    </row>
    <row r="992" spans="2:35" x14ac:dyDescent="0.15">
      <c r="B992" s="1" t="str">
        <f t="shared" si="285"/>
        <v>雷系99</v>
      </c>
      <c r="C992" s="1">
        <f t="shared" si="275"/>
        <v>99</v>
      </c>
      <c r="D992" s="14" t="s">
        <v>99</v>
      </c>
      <c r="E992" s="14">
        <f t="shared" si="276"/>
        <v>10</v>
      </c>
      <c r="F992" s="1" t="str">
        <f t="shared" si="281"/>
        <v>电击</v>
      </c>
      <c r="H992" s="1">
        <f t="shared" ca="1" si="282"/>
        <v>4708.9050852728096</v>
      </c>
      <c r="I992" s="1">
        <f t="shared" ca="1" si="289"/>
        <v>150</v>
      </c>
      <c r="J992" s="1">
        <f t="shared" ca="1" si="289"/>
        <v>2214.0642857142898</v>
      </c>
      <c r="K992" s="1">
        <f t="shared" ca="1" si="289"/>
        <v>140.25082499999999</v>
      </c>
      <c r="L992" s="1">
        <f t="shared" ca="1" si="289"/>
        <v>2214.0642857142898</v>
      </c>
      <c r="M992" s="1">
        <f t="shared" ca="1" si="289"/>
        <v>140.25082499999999</v>
      </c>
      <c r="N992" s="1">
        <f t="shared" ca="1" si="289"/>
        <v>0.2</v>
      </c>
      <c r="O992" s="1">
        <f t="shared" ca="1" si="289"/>
        <v>0.2</v>
      </c>
      <c r="P992" s="1">
        <f t="shared" ca="1" si="289"/>
        <v>0.36</v>
      </c>
      <c r="Q992" s="1">
        <f t="shared" ca="1" si="289"/>
        <v>0.1</v>
      </c>
      <c r="R992" s="1">
        <f t="shared" ca="1" si="289"/>
        <v>2</v>
      </c>
      <c r="S992" s="1">
        <f t="shared" ca="1" si="290"/>
        <v>0.1</v>
      </c>
      <c r="T992" s="1">
        <f t="shared" ca="1" si="290"/>
        <v>0.9</v>
      </c>
      <c r="U992" s="1">
        <f t="shared" ca="1" si="290"/>
        <v>191.4</v>
      </c>
      <c r="V992" s="1">
        <f t="shared" ca="1" si="290"/>
        <v>0</v>
      </c>
      <c r="W992" s="1">
        <f t="shared" ca="1" si="290"/>
        <v>0</v>
      </c>
      <c r="X992" s="1">
        <f t="shared" ca="1" si="290"/>
        <v>0</v>
      </c>
      <c r="Y992" s="1">
        <f t="shared" ca="1" si="290"/>
        <v>0</v>
      </c>
      <c r="Z992" s="1">
        <f t="shared" ca="1" si="290"/>
        <v>0</v>
      </c>
      <c r="AA992" s="1">
        <f t="shared" ca="1" si="290"/>
        <v>0</v>
      </c>
      <c r="AB992" s="1">
        <f t="shared" ca="1" si="290"/>
        <v>3255.3321428571448</v>
      </c>
      <c r="AC992" s="1">
        <f t="shared" ca="1" si="290"/>
        <v>140.25082499999999</v>
      </c>
      <c r="AD992" s="1">
        <f t="shared" ca="1" si="290"/>
        <v>140.25082499999999</v>
      </c>
      <c r="AE992" s="1">
        <f t="shared" ca="1" si="290"/>
        <v>140.25082499999999</v>
      </c>
      <c r="AF992" s="1">
        <f t="shared" ca="1" si="290"/>
        <v>140.25082499999999</v>
      </c>
      <c r="AG992" s="1">
        <f t="shared" ca="1" si="290"/>
        <v>140.25082499999999</v>
      </c>
      <c r="AH992" s="1">
        <f t="shared" ca="1" si="290"/>
        <v>140.25082499999999</v>
      </c>
      <c r="AI992" s="1">
        <f t="shared" ca="1" si="288"/>
        <v>210.3762375</v>
      </c>
    </row>
    <row r="993" spans="2:35" x14ac:dyDescent="0.15">
      <c r="B993" s="1" t="str">
        <f t="shared" ref="B993:B1021" si="291">D993&amp;C993</f>
        <v>风系1</v>
      </c>
      <c r="C993" s="1">
        <f>C894</f>
        <v>1</v>
      </c>
      <c r="D993" s="14" t="s">
        <v>100</v>
      </c>
      <c r="E993" s="14">
        <f t="shared" si="276"/>
        <v>11</v>
      </c>
      <c r="F993" s="1" t="str">
        <f t="shared" si="281"/>
        <v>地脉</v>
      </c>
      <c r="H993" s="1">
        <f t="shared" ref="H993:H1020" ca="1" si="292">mVlookup(C993,monsterBaseDate,H$2,FALSE)*(1+mVlookup(E993,monsterType,H$2,FALSE))*(1+mVlookup(C993,monsterHpRevise,D993,FALSE))</f>
        <v>11.6833207784558</v>
      </c>
      <c r="I993" s="1">
        <f t="shared" ref="I993:R1002" ca="1" si="293">mVlookup($C993,monsterBaseDate,I$2,FALSE)*(1+mVlookup($E993,monsterType,I$2,FALSE))</f>
        <v>150</v>
      </c>
      <c r="J993" s="1">
        <f t="shared" ca="1" si="293"/>
        <v>8.0843749999999996</v>
      </c>
      <c r="K993" s="1">
        <f t="shared" ca="1" si="293"/>
        <v>1.4166749999999999</v>
      </c>
      <c r="L993" s="1">
        <f t="shared" ca="1" si="293"/>
        <v>8.0843749999999996</v>
      </c>
      <c r="M993" s="1">
        <f t="shared" ca="1" si="293"/>
        <v>1.4166749999999999</v>
      </c>
      <c r="N993" s="1">
        <f t="shared" ca="1" si="293"/>
        <v>0.2</v>
      </c>
      <c r="O993" s="1">
        <f t="shared" ca="1" si="293"/>
        <v>0.2</v>
      </c>
      <c r="P993" s="1">
        <f t="shared" ca="1" si="293"/>
        <v>0.36</v>
      </c>
      <c r="Q993" s="1">
        <f t="shared" ca="1" si="293"/>
        <v>0.1</v>
      </c>
      <c r="R993" s="1">
        <f t="shared" ca="1" si="293"/>
        <v>2</v>
      </c>
      <c r="S993" s="1">
        <f t="shared" ref="S993:AH1008" ca="1" si="294">mVlookup($C993,monsterBaseDate,S$2,FALSE)*(1+mVlookup($E993,monsterType,S$2,FALSE))</f>
        <v>0.1</v>
      </c>
      <c r="T993" s="1">
        <f t="shared" ca="1" si="294"/>
        <v>1.1700000000000002</v>
      </c>
      <c r="U993" s="1">
        <f t="shared" ca="1" si="294"/>
        <v>1.93333333333333</v>
      </c>
      <c r="V993" s="1">
        <f t="shared" ca="1" si="294"/>
        <v>0</v>
      </c>
      <c r="W993" s="1">
        <f t="shared" ca="1" si="294"/>
        <v>6.0937500000000006E-2</v>
      </c>
      <c r="X993" s="1">
        <f t="shared" ca="1" si="294"/>
        <v>0</v>
      </c>
      <c r="Y993" s="1">
        <f t="shared" ca="1" si="294"/>
        <v>0</v>
      </c>
      <c r="Z993" s="1">
        <f t="shared" ca="1" si="294"/>
        <v>0</v>
      </c>
      <c r="AA993" s="1">
        <f t="shared" ca="1" si="294"/>
        <v>0</v>
      </c>
      <c r="AB993" s="1">
        <f t="shared" ca="1" si="290"/>
        <v>0</v>
      </c>
      <c r="AC993" s="1">
        <f t="shared" ca="1" si="294"/>
        <v>1.4166749999999999</v>
      </c>
      <c r="AD993" s="1">
        <f t="shared" ca="1" si="294"/>
        <v>2.1250125</v>
      </c>
      <c r="AE993" s="1">
        <f t="shared" ca="1" si="294"/>
        <v>1.4166749999999999</v>
      </c>
      <c r="AF993" s="1">
        <f t="shared" ca="1" si="294"/>
        <v>1.4166749999999999</v>
      </c>
      <c r="AG993" s="1">
        <f t="shared" ca="1" si="294"/>
        <v>1.4166749999999999</v>
      </c>
      <c r="AH993" s="1">
        <f t="shared" ca="1" si="294"/>
        <v>1.4166749999999999</v>
      </c>
      <c r="AI993" s="1">
        <f t="shared" ca="1" si="288"/>
        <v>1.4166749999999999</v>
      </c>
    </row>
    <row r="994" spans="2:35" x14ac:dyDescent="0.15">
      <c r="B994" s="1" t="str">
        <f t="shared" si="291"/>
        <v>风系2</v>
      </c>
      <c r="C994" s="1">
        <f t="shared" ref="C994:C1057" si="295">C895</f>
        <v>2</v>
      </c>
      <c r="D994" s="14" t="s">
        <v>100</v>
      </c>
      <c r="E994" s="14">
        <f t="shared" si="276"/>
        <v>11</v>
      </c>
      <c r="F994" s="1" t="str">
        <f t="shared" si="281"/>
        <v>地脉</v>
      </c>
      <c r="H994" s="1">
        <f t="shared" ca="1" si="292"/>
        <v>25.660820909772099</v>
      </c>
      <c r="I994" s="1">
        <f t="shared" ca="1" si="293"/>
        <v>150</v>
      </c>
      <c r="J994" s="1">
        <f t="shared" ca="1" si="293"/>
        <v>16.721476510067099</v>
      </c>
      <c r="K994" s="1">
        <f t="shared" ca="1" si="293"/>
        <v>2.8333499999999998</v>
      </c>
      <c r="L994" s="1">
        <f t="shared" ca="1" si="293"/>
        <v>16.721476510067099</v>
      </c>
      <c r="M994" s="1">
        <f t="shared" ca="1" si="293"/>
        <v>2.8333499999999998</v>
      </c>
      <c r="N994" s="1">
        <f t="shared" ca="1" si="293"/>
        <v>0.2</v>
      </c>
      <c r="O994" s="1">
        <f t="shared" ca="1" si="293"/>
        <v>0.2</v>
      </c>
      <c r="P994" s="1">
        <f t="shared" ca="1" si="293"/>
        <v>0.36</v>
      </c>
      <c r="Q994" s="1">
        <f t="shared" ca="1" si="293"/>
        <v>0.1</v>
      </c>
      <c r="R994" s="1">
        <f t="shared" ca="1" si="293"/>
        <v>2</v>
      </c>
      <c r="S994" s="1">
        <f t="shared" ca="1" si="294"/>
        <v>0.1</v>
      </c>
      <c r="T994" s="1">
        <f t="shared" ca="1" si="294"/>
        <v>1.1700000000000002</v>
      </c>
      <c r="U994" s="1">
        <f t="shared" ca="1" si="294"/>
        <v>3.8666666666666698</v>
      </c>
      <c r="V994" s="1">
        <f t="shared" ca="1" si="294"/>
        <v>0</v>
      </c>
      <c r="W994" s="1">
        <f t="shared" ca="1" si="294"/>
        <v>0.25335570469798652</v>
      </c>
      <c r="X994" s="1">
        <f t="shared" ca="1" si="294"/>
        <v>0</v>
      </c>
      <c r="Y994" s="1">
        <f t="shared" ca="1" si="294"/>
        <v>0</v>
      </c>
      <c r="Z994" s="1">
        <f t="shared" ca="1" si="294"/>
        <v>0</v>
      </c>
      <c r="AA994" s="1">
        <f t="shared" ca="1" si="294"/>
        <v>0</v>
      </c>
      <c r="AB994" s="1">
        <f t="shared" ca="1" si="290"/>
        <v>0</v>
      </c>
      <c r="AC994" s="1">
        <f t="shared" ca="1" si="294"/>
        <v>2.8333499999999998</v>
      </c>
      <c r="AD994" s="1">
        <f t="shared" ca="1" si="294"/>
        <v>4.2500249999999999</v>
      </c>
      <c r="AE994" s="1">
        <f t="shared" ca="1" si="294"/>
        <v>2.8333499999999998</v>
      </c>
      <c r="AF994" s="1">
        <f t="shared" ca="1" si="294"/>
        <v>2.8333499999999998</v>
      </c>
      <c r="AG994" s="1">
        <f t="shared" ca="1" si="294"/>
        <v>2.8333499999999998</v>
      </c>
      <c r="AH994" s="1">
        <f t="shared" ca="1" si="294"/>
        <v>2.8333499999999998</v>
      </c>
      <c r="AI994" s="1">
        <f t="shared" ca="1" si="288"/>
        <v>2.8333499999999998</v>
      </c>
    </row>
    <row r="995" spans="2:35" x14ac:dyDescent="0.15">
      <c r="B995" s="1" t="str">
        <f t="shared" si="291"/>
        <v>风系3</v>
      </c>
      <c r="C995" s="1">
        <f t="shared" si="295"/>
        <v>3</v>
      </c>
      <c r="D995" s="14" t="s">
        <v>100</v>
      </c>
      <c r="E995" s="14">
        <f t="shared" si="276"/>
        <v>11</v>
      </c>
      <c r="F995" s="1" t="str">
        <f t="shared" si="281"/>
        <v>地脉</v>
      </c>
      <c r="H995" s="1">
        <f t="shared" ca="1" si="292"/>
        <v>41.974985196779599</v>
      </c>
      <c r="I995" s="1">
        <f t="shared" ca="1" si="293"/>
        <v>150</v>
      </c>
      <c r="J995" s="1">
        <f t="shared" ca="1" si="293"/>
        <v>25.956081081081098</v>
      </c>
      <c r="K995" s="1">
        <f t="shared" ca="1" si="293"/>
        <v>4.2500249999999999</v>
      </c>
      <c r="L995" s="1">
        <f t="shared" ca="1" si="293"/>
        <v>25.956081081081098</v>
      </c>
      <c r="M995" s="1">
        <f t="shared" ca="1" si="293"/>
        <v>4.2500249999999999</v>
      </c>
      <c r="N995" s="1">
        <f t="shared" ca="1" si="293"/>
        <v>0.2</v>
      </c>
      <c r="O995" s="1">
        <f t="shared" ca="1" si="293"/>
        <v>0.2</v>
      </c>
      <c r="P995" s="1">
        <f t="shared" ca="1" si="293"/>
        <v>0.36</v>
      </c>
      <c r="Q995" s="1">
        <f t="shared" ca="1" si="293"/>
        <v>0.1</v>
      </c>
      <c r="R995" s="1">
        <f t="shared" ca="1" si="293"/>
        <v>2</v>
      </c>
      <c r="S995" s="1">
        <f t="shared" ca="1" si="294"/>
        <v>0.1</v>
      </c>
      <c r="T995" s="1">
        <f t="shared" ca="1" si="294"/>
        <v>1.1700000000000002</v>
      </c>
      <c r="U995" s="1">
        <f t="shared" ca="1" si="294"/>
        <v>5.8</v>
      </c>
      <c r="V995" s="1">
        <f t="shared" ca="1" si="294"/>
        <v>0</v>
      </c>
      <c r="W995" s="1">
        <f t="shared" ca="1" si="294"/>
        <v>0.59290540540540504</v>
      </c>
      <c r="X995" s="1">
        <f t="shared" ca="1" si="294"/>
        <v>0</v>
      </c>
      <c r="Y995" s="1">
        <f t="shared" ca="1" si="294"/>
        <v>0</v>
      </c>
      <c r="Z995" s="1">
        <f t="shared" ca="1" si="294"/>
        <v>0</v>
      </c>
      <c r="AA995" s="1">
        <f t="shared" ca="1" si="294"/>
        <v>0</v>
      </c>
      <c r="AB995" s="1">
        <f t="shared" ca="1" si="290"/>
        <v>0</v>
      </c>
      <c r="AC995" s="1">
        <f t="shared" ca="1" si="294"/>
        <v>4.2500249999999999</v>
      </c>
      <c r="AD995" s="1">
        <f t="shared" ca="1" si="294"/>
        <v>6.3750374999999995</v>
      </c>
      <c r="AE995" s="1">
        <f t="shared" ca="1" si="294"/>
        <v>4.2500249999999999</v>
      </c>
      <c r="AF995" s="1">
        <f t="shared" ca="1" si="294"/>
        <v>4.2500249999999999</v>
      </c>
      <c r="AG995" s="1">
        <f t="shared" ca="1" si="294"/>
        <v>4.2500249999999999</v>
      </c>
      <c r="AH995" s="1">
        <f t="shared" ca="1" si="294"/>
        <v>4.2500249999999999</v>
      </c>
      <c r="AI995" s="1">
        <f t="shared" ca="1" si="288"/>
        <v>4.2500249999999999</v>
      </c>
    </row>
    <row r="996" spans="2:35" x14ac:dyDescent="0.15">
      <c r="B996" s="1" t="str">
        <f t="shared" si="291"/>
        <v>风系4</v>
      </c>
      <c r="C996" s="1">
        <f t="shared" si="295"/>
        <v>4</v>
      </c>
      <c r="D996" s="14" t="s">
        <v>100</v>
      </c>
      <c r="E996" s="14">
        <f t="shared" si="276"/>
        <v>11</v>
      </c>
      <c r="F996" s="1" t="str">
        <f t="shared" si="281"/>
        <v>地脉</v>
      </c>
      <c r="H996" s="1">
        <f t="shared" ca="1" si="292"/>
        <v>60.668298442308902</v>
      </c>
      <c r="I996" s="1">
        <f t="shared" ca="1" si="293"/>
        <v>150</v>
      </c>
      <c r="J996" s="1">
        <f t="shared" ca="1" si="293"/>
        <v>35.837837837837803</v>
      </c>
      <c r="K996" s="1">
        <f t="shared" ca="1" si="293"/>
        <v>5.6666999999999996</v>
      </c>
      <c r="L996" s="1">
        <f t="shared" ca="1" si="293"/>
        <v>35.837837837837803</v>
      </c>
      <c r="M996" s="1">
        <f t="shared" ca="1" si="293"/>
        <v>5.6666999999999996</v>
      </c>
      <c r="N996" s="1">
        <f t="shared" ca="1" si="293"/>
        <v>0.2</v>
      </c>
      <c r="O996" s="1">
        <f t="shared" ca="1" si="293"/>
        <v>0.2</v>
      </c>
      <c r="P996" s="1">
        <f t="shared" ca="1" si="293"/>
        <v>0.36</v>
      </c>
      <c r="Q996" s="1">
        <f t="shared" ca="1" si="293"/>
        <v>0.1</v>
      </c>
      <c r="R996" s="1">
        <f t="shared" ca="1" si="293"/>
        <v>2</v>
      </c>
      <c r="S996" s="1">
        <f t="shared" ca="1" si="294"/>
        <v>0.1</v>
      </c>
      <c r="T996" s="1">
        <f t="shared" ca="1" si="294"/>
        <v>1.1700000000000002</v>
      </c>
      <c r="U996" s="1">
        <f t="shared" ca="1" si="294"/>
        <v>7.7333333333333298</v>
      </c>
      <c r="V996" s="1">
        <f t="shared" ca="1" si="294"/>
        <v>0</v>
      </c>
      <c r="W996" s="1">
        <f t="shared" ca="1" si="294"/>
        <v>1.09707666850524</v>
      </c>
      <c r="X996" s="1">
        <f t="shared" ca="1" si="294"/>
        <v>0</v>
      </c>
      <c r="Y996" s="1">
        <f t="shared" ca="1" si="294"/>
        <v>0</v>
      </c>
      <c r="Z996" s="1">
        <f t="shared" ca="1" si="294"/>
        <v>0</v>
      </c>
      <c r="AA996" s="1">
        <f t="shared" ca="1" si="294"/>
        <v>0</v>
      </c>
      <c r="AB996" s="1">
        <f t="shared" ca="1" si="290"/>
        <v>0</v>
      </c>
      <c r="AC996" s="1">
        <f t="shared" ca="1" si="294"/>
        <v>5.6666999999999996</v>
      </c>
      <c r="AD996" s="1">
        <f t="shared" ca="1" si="294"/>
        <v>8.5000499999999999</v>
      </c>
      <c r="AE996" s="1">
        <f t="shared" ca="1" si="294"/>
        <v>5.6666999999999996</v>
      </c>
      <c r="AF996" s="1">
        <f t="shared" ca="1" si="294"/>
        <v>5.6666999999999996</v>
      </c>
      <c r="AG996" s="1">
        <f t="shared" ca="1" si="294"/>
        <v>5.6666999999999996</v>
      </c>
      <c r="AH996" s="1">
        <f t="shared" ca="1" si="294"/>
        <v>5.6666999999999996</v>
      </c>
      <c r="AI996" s="1">
        <f t="shared" ca="1" si="288"/>
        <v>5.6666999999999996</v>
      </c>
    </row>
    <row r="997" spans="2:35" x14ac:dyDescent="0.15">
      <c r="B997" s="1" t="str">
        <f t="shared" si="291"/>
        <v>风系5</v>
      </c>
      <c r="C997" s="1">
        <f t="shared" si="295"/>
        <v>5</v>
      </c>
      <c r="D997" s="14" t="s">
        <v>100</v>
      </c>
      <c r="E997" s="14">
        <f t="shared" si="276"/>
        <v>11</v>
      </c>
      <c r="F997" s="1" t="str">
        <f t="shared" si="281"/>
        <v>地脉</v>
      </c>
      <c r="H997" s="1">
        <f t="shared" ca="1" si="292"/>
        <v>81.783245449191</v>
      </c>
      <c r="I997" s="1">
        <f t="shared" ca="1" si="293"/>
        <v>150</v>
      </c>
      <c r="J997" s="1">
        <f t="shared" ca="1" si="293"/>
        <v>46.421946347031998</v>
      </c>
      <c r="K997" s="1">
        <f t="shared" ca="1" si="293"/>
        <v>7.0833750000000002</v>
      </c>
      <c r="L997" s="1">
        <f t="shared" ca="1" si="293"/>
        <v>46.421946347031998</v>
      </c>
      <c r="M997" s="1">
        <f t="shared" ca="1" si="293"/>
        <v>7.0833750000000002</v>
      </c>
      <c r="N997" s="1">
        <f t="shared" ca="1" si="293"/>
        <v>0.2</v>
      </c>
      <c r="O997" s="1">
        <f t="shared" ca="1" si="293"/>
        <v>0.2</v>
      </c>
      <c r="P997" s="1">
        <f t="shared" ca="1" si="293"/>
        <v>0.36</v>
      </c>
      <c r="Q997" s="1">
        <f t="shared" ca="1" si="293"/>
        <v>0.1</v>
      </c>
      <c r="R997" s="1">
        <f t="shared" ca="1" si="293"/>
        <v>2</v>
      </c>
      <c r="S997" s="1">
        <f t="shared" ca="1" si="294"/>
        <v>0.1</v>
      </c>
      <c r="T997" s="1">
        <f t="shared" ca="1" si="294"/>
        <v>1.1700000000000002</v>
      </c>
      <c r="U997" s="1">
        <f t="shared" ca="1" si="294"/>
        <v>9.6666666666666696</v>
      </c>
      <c r="V997" s="1">
        <f t="shared" ca="1" si="294"/>
        <v>0</v>
      </c>
      <c r="W997" s="1">
        <f t="shared" ca="1" si="294"/>
        <v>1.7854594748858401</v>
      </c>
      <c r="X997" s="1">
        <f t="shared" ca="1" si="294"/>
        <v>0</v>
      </c>
      <c r="Y997" s="1">
        <f t="shared" ca="1" si="294"/>
        <v>0</v>
      </c>
      <c r="Z997" s="1">
        <f t="shared" ca="1" si="294"/>
        <v>0</v>
      </c>
      <c r="AA997" s="1">
        <f t="shared" ca="1" si="294"/>
        <v>0</v>
      </c>
      <c r="AB997" s="1">
        <f t="shared" ca="1" si="290"/>
        <v>0</v>
      </c>
      <c r="AC997" s="1">
        <f t="shared" ca="1" si="294"/>
        <v>7.0833750000000002</v>
      </c>
      <c r="AD997" s="1">
        <f t="shared" ca="1" si="294"/>
        <v>10.6250625</v>
      </c>
      <c r="AE997" s="1">
        <f t="shared" ca="1" si="294"/>
        <v>7.0833750000000002</v>
      </c>
      <c r="AF997" s="1">
        <f t="shared" ca="1" si="294"/>
        <v>7.0833750000000002</v>
      </c>
      <c r="AG997" s="1">
        <f t="shared" ca="1" si="294"/>
        <v>7.0833750000000002</v>
      </c>
      <c r="AH997" s="1">
        <f t="shared" ca="1" si="294"/>
        <v>7.0833750000000002</v>
      </c>
      <c r="AI997" s="1">
        <f t="shared" ca="1" si="288"/>
        <v>7.0833750000000002</v>
      </c>
    </row>
    <row r="998" spans="2:35" x14ac:dyDescent="0.15">
      <c r="B998" s="1" t="str">
        <f t="shared" si="291"/>
        <v>风系6</v>
      </c>
      <c r="C998" s="1">
        <f t="shared" si="295"/>
        <v>6</v>
      </c>
      <c r="D998" s="14" t="s">
        <v>100</v>
      </c>
      <c r="E998" s="14">
        <f t="shared" si="276"/>
        <v>11</v>
      </c>
      <c r="F998" s="1" t="str">
        <f t="shared" si="281"/>
        <v>地脉</v>
      </c>
      <c r="H998" s="1">
        <f t="shared" ca="1" si="292"/>
        <v>105.362311020256</v>
      </c>
      <c r="I998" s="1">
        <f t="shared" ca="1" si="293"/>
        <v>150</v>
      </c>
      <c r="J998" s="1">
        <f t="shared" ca="1" si="293"/>
        <v>57.7699507389163</v>
      </c>
      <c r="K998" s="1">
        <f t="shared" ca="1" si="293"/>
        <v>8.5000499999999999</v>
      </c>
      <c r="L998" s="1">
        <f t="shared" ca="1" si="293"/>
        <v>57.7699507389163</v>
      </c>
      <c r="M998" s="1">
        <f t="shared" ca="1" si="293"/>
        <v>8.5000499999999999</v>
      </c>
      <c r="N998" s="1">
        <f t="shared" ca="1" si="293"/>
        <v>0.2</v>
      </c>
      <c r="O998" s="1">
        <f t="shared" ca="1" si="293"/>
        <v>0.2</v>
      </c>
      <c r="P998" s="1">
        <f t="shared" ca="1" si="293"/>
        <v>0.36</v>
      </c>
      <c r="Q998" s="1">
        <f t="shared" ca="1" si="293"/>
        <v>0.1</v>
      </c>
      <c r="R998" s="1">
        <f t="shared" ca="1" si="293"/>
        <v>2</v>
      </c>
      <c r="S998" s="1">
        <f t="shared" ca="1" si="294"/>
        <v>0.1</v>
      </c>
      <c r="T998" s="1">
        <f t="shared" ca="1" si="294"/>
        <v>1.1700000000000002</v>
      </c>
      <c r="U998" s="1">
        <f t="shared" ca="1" si="294"/>
        <v>11.6</v>
      </c>
      <c r="V998" s="1">
        <f t="shared" ca="1" si="294"/>
        <v>0</v>
      </c>
      <c r="W998" s="1">
        <f t="shared" ca="1" si="294"/>
        <v>2.6800492610837399</v>
      </c>
      <c r="X998" s="1">
        <f t="shared" ca="1" si="294"/>
        <v>0</v>
      </c>
      <c r="Y998" s="1">
        <f t="shared" ca="1" si="294"/>
        <v>0</v>
      </c>
      <c r="Z998" s="1">
        <f t="shared" ca="1" si="294"/>
        <v>0</v>
      </c>
      <c r="AA998" s="1">
        <f t="shared" ca="1" si="294"/>
        <v>0</v>
      </c>
      <c r="AB998" s="1">
        <f t="shared" ca="1" si="290"/>
        <v>0</v>
      </c>
      <c r="AC998" s="1">
        <f t="shared" ca="1" si="294"/>
        <v>8.5000499999999999</v>
      </c>
      <c r="AD998" s="1">
        <f t="shared" ca="1" si="294"/>
        <v>12.750074999999999</v>
      </c>
      <c r="AE998" s="1">
        <f t="shared" ca="1" si="294"/>
        <v>8.5000499999999999</v>
      </c>
      <c r="AF998" s="1">
        <f t="shared" ca="1" si="294"/>
        <v>8.5000499999999999</v>
      </c>
      <c r="AG998" s="1">
        <f t="shared" ca="1" si="294"/>
        <v>8.5000499999999999</v>
      </c>
      <c r="AH998" s="1">
        <f t="shared" ca="1" si="294"/>
        <v>8.5000499999999999</v>
      </c>
      <c r="AI998" s="1">
        <f t="shared" ca="1" si="288"/>
        <v>8.5000499999999999</v>
      </c>
    </row>
    <row r="999" spans="2:35" x14ac:dyDescent="0.15">
      <c r="B999" s="1" t="str">
        <f t="shared" si="291"/>
        <v>风系7</v>
      </c>
      <c r="C999" s="1">
        <f t="shared" si="295"/>
        <v>7</v>
      </c>
      <c r="D999" s="14" t="s">
        <v>100</v>
      </c>
      <c r="E999" s="14">
        <f t="shared" ref="E999:E1062" si="296">E900+1</f>
        <v>11</v>
      </c>
      <c r="F999" s="1" t="str">
        <f t="shared" si="281"/>
        <v>地脉</v>
      </c>
      <c r="H999" s="1">
        <f t="shared" ca="1" si="292"/>
        <v>131.44797995833599</v>
      </c>
      <c r="I999" s="1">
        <f t="shared" ca="1" si="293"/>
        <v>150</v>
      </c>
      <c r="J999" s="1">
        <f t="shared" ca="1" si="293"/>
        <v>67.952083333333306</v>
      </c>
      <c r="K999" s="1">
        <f t="shared" ca="1" si="293"/>
        <v>9.9167249999999996</v>
      </c>
      <c r="L999" s="1">
        <f t="shared" ca="1" si="293"/>
        <v>67.952083333333306</v>
      </c>
      <c r="M999" s="1">
        <f t="shared" ca="1" si="293"/>
        <v>9.9167249999999996</v>
      </c>
      <c r="N999" s="1">
        <f t="shared" ca="1" si="293"/>
        <v>0.2</v>
      </c>
      <c r="O999" s="1">
        <f t="shared" ca="1" si="293"/>
        <v>0.2</v>
      </c>
      <c r="P999" s="1">
        <f t="shared" ca="1" si="293"/>
        <v>0.36</v>
      </c>
      <c r="Q999" s="1">
        <f t="shared" ca="1" si="293"/>
        <v>0.1</v>
      </c>
      <c r="R999" s="1">
        <f t="shared" ca="1" si="293"/>
        <v>2</v>
      </c>
      <c r="S999" s="1">
        <f t="shared" ca="1" si="294"/>
        <v>0.1</v>
      </c>
      <c r="T999" s="1">
        <f t="shared" ca="1" si="294"/>
        <v>1.1700000000000002</v>
      </c>
      <c r="U999" s="1">
        <f t="shared" ca="1" si="294"/>
        <v>13.533333333333299</v>
      </c>
      <c r="V999" s="1">
        <f t="shared" ca="1" si="294"/>
        <v>0</v>
      </c>
      <c r="W999" s="1">
        <f t="shared" ca="1" si="294"/>
        <v>3.696874999999995</v>
      </c>
      <c r="X999" s="1">
        <f t="shared" ca="1" si="294"/>
        <v>0</v>
      </c>
      <c r="Y999" s="1">
        <f t="shared" ca="1" si="294"/>
        <v>0</v>
      </c>
      <c r="Z999" s="1">
        <f t="shared" ca="1" si="294"/>
        <v>0</v>
      </c>
      <c r="AA999" s="1">
        <f t="shared" ca="1" si="294"/>
        <v>0</v>
      </c>
      <c r="AB999" s="1">
        <f t="shared" ca="1" si="294"/>
        <v>0</v>
      </c>
      <c r="AC999" s="1">
        <f t="shared" ca="1" si="294"/>
        <v>9.9167249999999996</v>
      </c>
      <c r="AD999" s="1">
        <f t="shared" ca="1" si="294"/>
        <v>14.875087499999999</v>
      </c>
      <c r="AE999" s="1">
        <f t="shared" ca="1" si="294"/>
        <v>9.9167249999999996</v>
      </c>
      <c r="AF999" s="1">
        <f t="shared" ca="1" si="294"/>
        <v>9.9167249999999996</v>
      </c>
      <c r="AG999" s="1">
        <f t="shared" ca="1" si="294"/>
        <v>9.9167249999999996</v>
      </c>
      <c r="AH999" s="1">
        <f t="shared" ca="1" si="294"/>
        <v>9.9167249999999996</v>
      </c>
      <c r="AI999" s="1">
        <f t="shared" ca="1" si="288"/>
        <v>9.9167249999999996</v>
      </c>
    </row>
    <row r="1000" spans="2:35" x14ac:dyDescent="0.15">
      <c r="B1000" s="1" t="str">
        <f t="shared" si="291"/>
        <v>风系8</v>
      </c>
      <c r="C1000" s="1">
        <f t="shared" si="295"/>
        <v>8</v>
      </c>
      <c r="D1000" s="14" t="s">
        <v>100</v>
      </c>
      <c r="E1000" s="14">
        <f t="shared" si="296"/>
        <v>11</v>
      </c>
      <c r="F1000" s="1" t="str">
        <f t="shared" si="281"/>
        <v>地脉</v>
      </c>
      <c r="H1000" s="1">
        <f t="shared" ca="1" si="292"/>
        <v>160.08273706626099</v>
      </c>
      <c r="I1000" s="1">
        <f t="shared" ca="1" si="293"/>
        <v>150</v>
      </c>
      <c r="J1000" s="1">
        <f t="shared" ca="1" si="293"/>
        <v>78.296103896103901</v>
      </c>
      <c r="K1000" s="1">
        <f t="shared" ca="1" si="293"/>
        <v>11.333399999999999</v>
      </c>
      <c r="L1000" s="1">
        <f t="shared" ca="1" si="293"/>
        <v>78.296103896103901</v>
      </c>
      <c r="M1000" s="1">
        <f t="shared" ca="1" si="293"/>
        <v>11.333399999999999</v>
      </c>
      <c r="N1000" s="1">
        <f t="shared" ca="1" si="293"/>
        <v>0.2</v>
      </c>
      <c r="O1000" s="1">
        <f t="shared" ca="1" si="293"/>
        <v>0.2</v>
      </c>
      <c r="P1000" s="1">
        <f t="shared" ca="1" si="293"/>
        <v>0.36</v>
      </c>
      <c r="Q1000" s="1">
        <f t="shared" ca="1" si="293"/>
        <v>0.1</v>
      </c>
      <c r="R1000" s="1">
        <f t="shared" ca="1" si="293"/>
        <v>2</v>
      </c>
      <c r="S1000" s="1">
        <f t="shared" ca="1" si="294"/>
        <v>0.1</v>
      </c>
      <c r="T1000" s="1">
        <f t="shared" ca="1" si="294"/>
        <v>1.1700000000000002</v>
      </c>
      <c r="U1000" s="1">
        <f t="shared" ca="1" si="294"/>
        <v>15.466666666666701</v>
      </c>
      <c r="V1000" s="1">
        <f t="shared" ca="1" si="294"/>
        <v>0</v>
      </c>
      <c r="W1000" s="1">
        <f t="shared" ca="1" si="294"/>
        <v>4.8935064935064894</v>
      </c>
      <c r="X1000" s="1">
        <f t="shared" ca="1" si="294"/>
        <v>0</v>
      </c>
      <c r="Y1000" s="1">
        <f t="shared" ca="1" si="294"/>
        <v>0</v>
      </c>
      <c r="Z1000" s="1">
        <f t="shared" ca="1" si="294"/>
        <v>0</v>
      </c>
      <c r="AA1000" s="1">
        <f t="shared" ca="1" si="294"/>
        <v>0</v>
      </c>
      <c r="AB1000" s="1">
        <f t="shared" ca="1" si="294"/>
        <v>0</v>
      </c>
      <c r="AC1000" s="1">
        <f t="shared" ca="1" si="294"/>
        <v>11.333399999999999</v>
      </c>
      <c r="AD1000" s="1">
        <f t="shared" ca="1" si="294"/>
        <v>17.0001</v>
      </c>
      <c r="AE1000" s="1">
        <f t="shared" ca="1" si="294"/>
        <v>11.333399999999999</v>
      </c>
      <c r="AF1000" s="1">
        <f t="shared" ca="1" si="294"/>
        <v>11.333399999999999</v>
      </c>
      <c r="AG1000" s="1">
        <f t="shared" ca="1" si="294"/>
        <v>11.333399999999999</v>
      </c>
      <c r="AH1000" s="1">
        <f t="shared" ca="1" si="294"/>
        <v>11.333399999999999</v>
      </c>
      <c r="AI1000" s="1">
        <f t="shared" ca="1" si="288"/>
        <v>11.333399999999999</v>
      </c>
    </row>
    <row r="1001" spans="2:35" x14ac:dyDescent="0.15">
      <c r="B1001" s="1" t="str">
        <f t="shared" si="291"/>
        <v>风系9</v>
      </c>
      <c r="C1001" s="1">
        <f t="shared" si="295"/>
        <v>9</v>
      </c>
      <c r="D1001" s="14" t="s">
        <v>100</v>
      </c>
      <c r="E1001" s="14">
        <f t="shared" si="296"/>
        <v>11</v>
      </c>
      <c r="F1001" s="1" t="str">
        <f t="shared" si="281"/>
        <v>地脉</v>
      </c>
      <c r="H1001" s="1">
        <f t="shared" ca="1" si="292"/>
        <v>191.309067146861</v>
      </c>
      <c r="I1001" s="1">
        <f t="shared" ca="1" si="293"/>
        <v>150</v>
      </c>
      <c r="J1001" s="1">
        <f t="shared" ca="1" si="293"/>
        <v>88.803470824949699</v>
      </c>
      <c r="K1001" s="1">
        <f t="shared" ca="1" si="293"/>
        <v>12.750075000000001</v>
      </c>
      <c r="L1001" s="1">
        <f t="shared" ca="1" si="293"/>
        <v>88.803470824949699</v>
      </c>
      <c r="M1001" s="1">
        <f t="shared" ca="1" si="293"/>
        <v>12.750075000000001</v>
      </c>
      <c r="N1001" s="1">
        <f t="shared" ca="1" si="293"/>
        <v>0.2</v>
      </c>
      <c r="O1001" s="1">
        <f t="shared" ca="1" si="293"/>
        <v>0.2</v>
      </c>
      <c r="P1001" s="1">
        <f t="shared" ca="1" si="293"/>
        <v>0.36</v>
      </c>
      <c r="Q1001" s="1">
        <f t="shared" ca="1" si="293"/>
        <v>0.1</v>
      </c>
      <c r="R1001" s="1">
        <f t="shared" ca="1" si="293"/>
        <v>2</v>
      </c>
      <c r="S1001" s="1">
        <f t="shared" ca="1" si="294"/>
        <v>0.1</v>
      </c>
      <c r="T1001" s="1">
        <f t="shared" ca="1" si="294"/>
        <v>1.1700000000000002</v>
      </c>
      <c r="U1001" s="1">
        <f t="shared" ca="1" si="294"/>
        <v>17.399999999999999</v>
      </c>
      <c r="V1001" s="1">
        <f t="shared" ca="1" si="294"/>
        <v>0</v>
      </c>
      <c r="W1001" s="1">
        <f t="shared" ca="1" si="294"/>
        <v>6.2766851106639905</v>
      </c>
      <c r="X1001" s="1">
        <f t="shared" ca="1" si="294"/>
        <v>0</v>
      </c>
      <c r="Y1001" s="1">
        <f t="shared" ca="1" si="294"/>
        <v>0</v>
      </c>
      <c r="Z1001" s="1">
        <f t="shared" ca="1" si="294"/>
        <v>0</v>
      </c>
      <c r="AA1001" s="1">
        <f t="shared" ca="1" si="294"/>
        <v>0</v>
      </c>
      <c r="AB1001" s="1">
        <f t="shared" ca="1" si="294"/>
        <v>0</v>
      </c>
      <c r="AC1001" s="1">
        <f t="shared" ca="1" si="294"/>
        <v>12.750075000000001</v>
      </c>
      <c r="AD1001" s="1">
        <f t="shared" ca="1" si="294"/>
        <v>19.1251125</v>
      </c>
      <c r="AE1001" s="1">
        <f t="shared" ca="1" si="294"/>
        <v>12.750075000000001</v>
      </c>
      <c r="AF1001" s="1">
        <f t="shared" ca="1" si="294"/>
        <v>12.750075000000001</v>
      </c>
      <c r="AG1001" s="1">
        <f t="shared" ca="1" si="294"/>
        <v>12.750075000000001</v>
      </c>
      <c r="AH1001" s="1">
        <f t="shared" ca="1" si="294"/>
        <v>12.750075000000001</v>
      </c>
      <c r="AI1001" s="1">
        <f t="shared" ca="1" si="288"/>
        <v>12.750075000000001</v>
      </c>
    </row>
    <row r="1002" spans="2:35" x14ac:dyDescent="0.15">
      <c r="B1002" s="1" t="str">
        <f t="shared" si="291"/>
        <v>风系10</v>
      </c>
      <c r="C1002" s="1">
        <f t="shared" si="295"/>
        <v>10</v>
      </c>
      <c r="D1002" s="14" t="s">
        <v>100</v>
      </c>
      <c r="E1002" s="14">
        <f t="shared" si="296"/>
        <v>11</v>
      </c>
      <c r="F1002" s="1" t="str">
        <f t="shared" si="281"/>
        <v>地脉</v>
      </c>
      <c r="H1002" s="1">
        <f t="shared" ca="1" si="292"/>
        <v>225.169455002967</v>
      </c>
      <c r="I1002" s="1">
        <f t="shared" ca="1" si="293"/>
        <v>150</v>
      </c>
      <c r="J1002" s="1">
        <f t="shared" ca="1" si="293"/>
        <v>99.4756838905775</v>
      </c>
      <c r="K1002" s="1">
        <f t="shared" ca="1" si="293"/>
        <v>14.16675</v>
      </c>
      <c r="L1002" s="1">
        <f t="shared" ca="1" si="293"/>
        <v>99.4756838905775</v>
      </c>
      <c r="M1002" s="1">
        <f t="shared" ca="1" si="293"/>
        <v>14.16675</v>
      </c>
      <c r="N1002" s="1">
        <f t="shared" ca="1" si="293"/>
        <v>0.2</v>
      </c>
      <c r="O1002" s="1">
        <f t="shared" ca="1" si="293"/>
        <v>0.2</v>
      </c>
      <c r="P1002" s="1">
        <f t="shared" ca="1" si="293"/>
        <v>0.36</v>
      </c>
      <c r="Q1002" s="1">
        <f t="shared" ca="1" si="293"/>
        <v>0.1</v>
      </c>
      <c r="R1002" s="1">
        <f t="shared" ca="1" si="293"/>
        <v>2</v>
      </c>
      <c r="S1002" s="1">
        <f t="shared" ca="1" si="294"/>
        <v>0.1</v>
      </c>
      <c r="T1002" s="1">
        <f t="shared" ca="1" si="294"/>
        <v>1.1700000000000002</v>
      </c>
      <c r="U1002" s="1">
        <f t="shared" ca="1" si="294"/>
        <v>19.3333333333333</v>
      </c>
      <c r="V1002" s="1">
        <f t="shared" ca="1" si="294"/>
        <v>0</v>
      </c>
      <c r="W1002" s="1">
        <f t="shared" ca="1" si="294"/>
        <v>7.8533434650456009</v>
      </c>
      <c r="X1002" s="1">
        <f t="shared" ca="1" si="294"/>
        <v>0</v>
      </c>
      <c r="Y1002" s="1">
        <f t="shared" ca="1" si="294"/>
        <v>0</v>
      </c>
      <c r="Z1002" s="1">
        <f t="shared" ca="1" si="294"/>
        <v>0</v>
      </c>
      <c r="AA1002" s="1">
        <f t="shared" ca="1" si="294"/>
        <v>0</v>
      </c>
      <c r="AB1002" s="1">
        <f t="shared" ca="1" si="294"/>
        <v>0</v>
      </c>
      <c r="AC1002" s="1">
        <f t="shared" ca="1" si="294"/>
        <v>14.16675</v>
      </c>
      <c r="AD1002" s="1">
        <f t="shared" ca="1" si="294"/>
        <v>21.250125000000001</v>
      </c>
      <c r="AE1002" s="1">
        <f t="shared" ca="1" si="294"/>
        <v>14.16675</v>
      </c>
      <c r="AF1002" s="1">
        <f t="shared" ca="1" si="294"/>
        <v>14.16675</v>
      </c>
      <c r="AG1002" s="1">
        <f t="shared" ca="1" si="294"/>
        <v>14.16675</v>
      </c>
      <c r="AH1002" s="1">
        <f t="shared" ca="1" si="294"/>
        <v>14.16675</v>
      </c>
      <c r="AI1002" s="1">
        <f t="shared" ca="1" si="288"/>
        <v>14.16675</v>
      </c>
    </row>
    <row r="1003" spans="2:35" x14ac:dyDescent="0.15">
      <c r="B1003" s="1" t="str">
        <f t="shared" si="291"/>
        <v>风系11</v>
      </c>
      <c r="C1003" s="1">
        <f t="shared" si="295"/>
        <v>11</v>
      </c>
      <c r="D1003" s="14" t="s">
        <v>100</v>
      </c>
      <c r="E1003" s="14">
        <f t="shared" si="296"/>
        <v>11</v>
      </c>
      <c r="F1003" s="1" t="str">
        <f t="shared" si="281"/>
        <v>地脉</v>
      </c>
      <c r="H1003" s="1">
        <f t="shared" ca="1" si="292"/>
        <v>249.24417660705799</v>
      </c>
      <c r="I1003" s="1">
        <f t="shared" ref="I1003:R1012" ca="1" si="297">mVlookup($C1003,monsterBaseDate,I$2,FALSE)*(1+mVlookup($E1003,monsterType,I$2,FALSE))</f>
        <v>150</v>
      </c>
      <c r="J1003" s="1">
        <f t="shared" ca="1" si="297"/>
        <v>110.314285714286</v>
      </c>
      <c r="K1003" s="1">
        <f t="shared" ca="1" si="297"/>
        <v>15.583425</v>
      </c>
      <c r="L1003" s="1">
        <f t="shared" ca="1" si="297"/>
        <v>110.314285714286</v>
      </c>
      <c r="M1003" s="1">
        <f t="shared" ca="1" si="297"/>
        <v>15.583425</v>
      </c>
      <c r="N1003" s="1">
        <f t="shared" ca="1" si="297"/>
        <v>0.2</v>
      </c>
      <c r="O1003" s="1">
        <f t="shared" ca="1" si="297"/>
        <v>0.2</v>
      </c>
      <c r="P1003" s="1">
        <f t="shared" ca="1" si="297"/>
        <v>0.36</v>
      </c>
      <c r="Q1003" s="1">
        <f t="shared" ca="1" si="297"/>
        <v>0.1</v>
      </c>
      <c r="R1003" s="1">
        <f t="shared" ca="1" si="297"/>
        <v>2</v>
      </c>
      <c r="S1003" s="1">
        <f t="shared" ref="S1003:AH1018" ca="1" si="298">mVlookup($C1003,monsterBaseDate,S$2,FALSE)*(1+mVlookup($E1003,monsterType,S$2,FALSE))</f>
        <v>0.1</v>
      </c>
      <c r="T1003" s="1">
        <f t="shared" ca="1" si="298"/>
        <v>1.1700000000000002</v>
      </c>
      <c r="U1003" s="1">
        <f t="shared" ca="1" si="298"/>
        <v>21.266666666666701</v>
      </c>
      <c r="V1003" s="1">
        <f t="shared" ca="1" si="298"/>
        <v>0</v>
      </c>
      <c r="W1003" s="1">
        <f t="shared" ca="1" si="298"/>
        <v>9.6306122448979643</v>
      </c>
      <c r="X1003" s="1">
        <f t="shared" ca="1" si="298"/>
        <v>0</v>
      </c>
      <c r="Y1003" s="1">
        <f t="shared" ca="1" si="298"/>
        <v>0</v>
      </c>
      <c r="Z1003" s="1">
        <f t="shared" ca="1" si="298"/>
        <v>0</v>
      </c>
      <c r="AA1003" s="1">
        <f t="shared" ca="1" si="298"/>
        <v>0</v>
      </c>
      <c r="AB1003" s="1">
        <f t="shared" ca="1" si="294"/>
        <v>0</v>
      </c>
      <c r="AC1003" s="1">
        <f t="shared" ca="1" si="298"/>
        <v>15.583425</v>
      </c>
      <c r="AD1003" s="1">
        <f t="shared" ca="1" si="298"/>
        <v>23.375137500000001</v>
      </c>
      <c r="AE1003" s="1">
        <f t="shared" ca="1" si="298"/>
        <v>15.583425</v>
      </c>
      <c r="AF1003" s="1">
        <f t="shared" ca="1" si="298"/>
        <v>15.583425</v>
      </c>
      <c r="AG1003" s="1">
        <f t="shared" ca="1" si="298"/>
        <v>15.583425</v>
      </c>
      <c r="AH1003" s="1">
        <f t="shared" ca="1" si="298"/>
        <v>15.583425</v>
      </c>
      <c r="AI1003" s="1">
        <f t="shared" ca="1" si="288"/>
        <v>15.583425</v>
      </c>
    </row>
    <row r="1004" spans="2:35" x14ac:dyDescent="0.15">
      <c r="B1004" s="1" t="str">
        <f t="shared" si="291"/>
        <v>风系12</v>
      </c>
      <c r="C1004" s="1">
        <f t="shared" si="295"/>
        <v>12</v>
      </c>
      <c r="D1004" s="14" t="s">
        <v>100</v>
      </c>
      <c r="E1004" s="14">
        <f t="shared" si="296"/>
        <v>11</v>
      </c>
      <c r="F1004" s="1" t="str">
        <f t="shared" si="281"/>
        <v>地脉</v>
      </c>
      <c r="H1004" s="1">
        <f t="shared" ca="1" si="292"/>
        <v>283.638742464666</v>
      </c>
      <c r="I1004" s="1">
        <f t="shared" ca="1" si="297"/>
        <v>150</v>
      </c>
      <c r="J1004" s="1">
        <f t="shared" ca="1" si="297"/>
        <v>121.320863309353</v>
      </c>
      <c r="K1004" s="1">
        <f t="shared" ca="1" si="297"/>
        <v>17.0001</v>
      </c>
      <c r="L1004" s="1">
        <f t="shared" ca="1" si="297"/>
        <v>121.320863309353</v>
      </c>
      <c r="M1004" s="1">
        <f t="shared" ca="1" si="297"/>
        <v>17.0001</v>
      </c>
      <c r="N1004" s="1">
        <f t="shared" ca="1" si="297"/>
        <v>0.2</v>
      </c>
      <c r="O1004" s="1">
        <f t="shared" ca="1" si="297"/>
        <v>0.2</v>
      </c>
      <c r="P1004" s="1">
        <f t="shared" ca="1" si="297"/>
        <v>0.36</v>
      </c>
      <c r="Q1004" s="1">
        <f t="shared" ca="1" si="297"/>
        <v>0.1</v>
      </c>
      <c r="R1004" s="1">
        <f t="shared" ca="1" si="297"/>
        <v>2</v>
      </c>
      <c r="S1004" s="1">
        <f t="shared" ca="1" si="298"/>
        <v>0.1</v>
      </c>
      <c r="T1004" s="1">
        <f t="shared" ca="1" si="298"/>
        <v>1.1700000000000002</v>
      </c>
      <c r="U1004" s="1">
        <f t="shared" ca="1" si="298"/>
        <v>23.2</v>
      </c>
      <c r="V1004" s="1">
        <f t="shared" ca="1" si="298"/>
        <v>0</v>
      </c>
      <c r="W1004" s="1">
        <f t="shared" ca="1" si="298"/>
        <v>11.615827338129495</v>
      </c>
      <c r="X1004" s="1">
        <f t="shared" ca="1" si="298"/>
        <v>0</v>
      </c>
      <c r="Y1004" s="1">
        <f t="shared" ca="1" si="298"/>
        <v>0</v>
      </c>
      <c r="Z1004" s="1">
        <f t="shared" ca="1" si="298"/>
        <v>0</v>
      </c>
      <c r="AA1004" s="1">
        <f t="shared" ca="1" si="298"/>
        <v>0</v>
      </c>
      <c r="AB1004" s="1">
        <f t="shared" ca="1" si="294"/>
        <v>0</v>
      </c>
      <c r="AC1004" s="1">
        <f t="shared" ca="1" si="298"/>
        <v>17.0001</v>
      </c>
      <c r="AD1004" s="1">
        <f t="shared" ca="1" si="298"/>
        <v>25.500149999999998</v>
      </c>
      <c r="AE1004" s="1">
        <f t="shared" ca="1" si="298"/>
        <v>17.0001</v>
      </c>
      <c r="AF1004" s="1">
        <f t="shared" ca="1" si="298"/>
        <v>17.0001</v>
      </c>
      <c r="AG1004" s="1">
        <f t="shared" ca="1" si="298"/>
        <v>17.0001</v>
      </c>
      <c r="AH1004" s="1">
        <f t="shared" ca="1" si="298"/>
        <v>17.0001</v>
      </c>
      <c r="AI1004" s="1">
        <f t="shared" ca="1" si="288"/>
        <v>17.0001</v>
      </c>
    </row>
    <row r="1005" spans="2:35" x14ac:dyDescent="0.15">
      <c r="B1005" s="1" t="str">
        <f t="shared" si="291"/>
        <v>风系13</v>
      </c>
      <c r="C1005" s="1">
        <f t="shared" si="295"/>
        <v>13</v>
      </c>
      <c r="D1005" s="14" t="s">
        <v>100</v>
      </c>
      <c r="E1005" s="14">
        <f t="shared" si="296"/>
        <v>11</v>
      </c>
      <c r="F1005" s="1" t="str">
        <f t="shared" si="281"/>
        <v>地脉</v>
      </c>
      <c r="H1005" s="1">
        <f t="shared" ca="1" si="292"/>
        <v>309.183846599682</v>
      </c>
      <c r="I1005" s="1">
        <f t="shared" ca="1" si="297"/>
        <v>150</v>
      </c>
      <c r="J1005" s="1">
        <f t="shared" ca="1" si="297"/>
        <v>132.49704968944101</v>
      </c>
      <c r="K1005" s="1">
        <f t="shared" ca="1" si="297"/>
        <v>18.416775000000001</v>
      </c>
      <c r="L1005" s="1">
        <f t="shared" ca="1" si="297"/>
        <v>132.49704968944101</v>
      </c>
      <c r="M1005" s="1">
        <f t="shared" ca="1" si="297"/>
        <v>18.416775000000001</v>
      </c>
      <c r="N1005" s="1">
        <f t="shared" ca="1" si="297"/>
        <v>0.2</v>
      </c>
      <c r="O1005" s="1">
        <f t="shared" ca="1" si="297"/>
        <v>0.2</v>
      </c>
      <c r="P1005" s="1">
        <f t="shared" ca="1" si="297"/>
        <v>0.36</v>
      </c>
      <c r="Q1005" s="1">
        <f t="shared" ca="1" si="297"/>
        <v>0.1</v>
      </c>
      <c r="R1005" s="1">
        <f t="shared" ca="1" si="297"/>
        <v>2</v>
      </c>
      <c r="S1005" s="1">
        <f t="shared" ca="1" si="298"/>
        <v>0.1</v>
      </c>
      <c r="T1005" s="1">
        <f t="shared" ca="1" si="298"/>
        <v>1.1700000000000002</v>
      </c>
      <c r="U1005" s="1">
        <f t="shared" ca="1" si="298"/>
        <v>25.133333333333301</v>
      </c>
      <c r="V1005" s="1">
        <f t="shared" ca="1" si="298"/>
        <v>0</v>
      </c>
      <c r="W1005" s="1">
        <f t="shared" ca="1" si="298"/>
        <v>13.816537267080751</v>
      </c>
      <c r="X1005" s="1">
        <f t="shared" ca="1" si="298"/>
        <v>0</v>
      </c>
      <c r="Y1005" s="1">
        <f t="shared" ca="1" si="298"/>
        <v>0</v>
      </c>
      <c r="Z1005" s="1">
        <f t="shared" ca="1" si="298"/>
        <v>0</v>
      </c>
      <c r="AA1005" s="1">
        <f t="shared" ca="1" si="298"/>
        <v>0</v>
      </c>
      <c r="AB1005" s="1">
        <f t="shared" ca="1" si="294"/>
        <v>0</v>
      </c>
      <c r="AC1005" s="1">
        <f t="shared" ca="1" si="298"/>
        <v>18.416775000000001</v>
      </c>
      <c r="AD1005" s="1">
        <f t="shared" ca="1" si="298"/>
        <v>27.625162500000002</v>
      </c>
      <c r="AE1005" s="1">
        <f t="shared" ca="1" si="298"/>
        <v>18.416775000000001</v>
      </c>
      <c r="AF1005" s="1">
        <f t="shared" ca="1" si="298"/>
        <v>18.416775000000001</v>
      </c>
      <c r="AG1005" s="1">
        <f t="shared" ca="1" si="298"/>
        <v>18.416775000000001</v>
      </c>
      <c r="AH1005" s="1">
        <f t="shared" ca="1" si="298"/>
        <v>18.416775000000001</v>
      </c>
      <c r="AI1005" s="1">
        <f t="shared" ca="1" si="288"/>
        <v>18.416775000000001</v>
      </c>
    </row>
    <row r="1006" spans="2:35" x14ac:dyDescent="0.15">
      <c r="B1006" s="1" t="str">
        <f t="shared" si="291"/>
        <v>风系14</v>
      </c>
      <c r="C1006" s="1">
        <f t="shared" si="295"/>
        <v>14</v>
      </c>
      <c r="D1006" s="14" t="s">
        <v>100</v>
      </c>
      <c r="E1006" s="14">
        <f t="shared" si="296"/>
        <v>11</v>
      </c>
      <c r="F1006" s="1" t="str">
        <f t="shared" si="281"/>
        <v>地脉</v>
      </c>
      <c r="H1006" s="1">
        <f t="shared" ca="1" si="292"/>
        <v>335.02257262130797</v>
      </c>
      <c r="I1006" s="1">
        <f t="shared" ca="1" si="297"/>
        <v>150</v>
      </c>
      <c r="J1006" s="1">
        <f t="shared" ca="1" si="297"/>
        <v>143.84452554744499</v>
      </c>
      <c r="K1006" s="1">
        <f t="shared" ca="1" si="297"/>
        <v>19.833449999999999</v>
      </c>
      <c r="L1006" s="1">
        <f t="shared" ca="1" si="297"/>
        <v>143.84452554744499</v>
      </c>
      <c r="M1006" s="1">
        <f t="shared" ca="1" si="297"/>
        <v>19.833449999999999</v>
      </c>
      <c r="N1006" s="1">
        <f t="shared" ca="1" si="297"/>
        <v>0.2</v>
      </c>
      <c r="O1006" s="1">
        <f t="shared" ca="1" si="297"/>
        <v>0.2</v>
      </c>
      <c r="P1006" s="1">
        <f t="shared" ca="1" si="297"/>
        <v>0.36</v>
      </c>
      <c r="Q1006" s="1">
        <f t="shared" ca="1" si="297"/>
        <v>0.1</v>
      </c>
      <c r="R1006" s="1">
        <f t="shared" ca="1" si="297"/>
        <v>2</v>
      </c>
      <c r="S1006" s="1">
        <f t="shared" ca="1" si="298"/>
        <v>0.1</v>
      </c>
      <c r="T1006" s="1">
        <f t="shared" ca="1" si="298"/>
        <v>1.1700000000000002</v>
      </c>
      <c r="U1006" s="1">
        <f t="shared" ca="1" si="298"/>
        <v>27.066666666666698</v>
      </c>
      <c r="V1006" s="1">
        <f t="shared" ca="1" si="298"/>
        <v>0</v>
      </c>
      <c r="W1006" s="1">
        <f t="shared" ca="1" si="298"/>
        <v>16.24051094890515</v>
      </c>
      <c r="X1006" s="1">
        <f t="shared" ca="1" si="298"/>
        <v>0</v>
      </c>
      <c r="Y1006" s="1">
        <f t="shared" ca="1" si="298"/>
        <v>0</v>
      </c>
      <c r="Z1006" s="1">
        <f t="shared" ca="1" si="298"/>
        <v>0</v>
      </c>
      <c r="AA1006" s="1">
        <f t="shared" ca="1" si="298"/>
        <v>0</v>
      </c>
      <c r="AB1006" s="1">
        <f t="shared" ca="1" si="294"/>
        <v>0</v>
      </c>
      <c r="AC1006" s="1">
        <f t="shared" ca="1" si="298"/>
        <v>19.833449999999999</v>
      </c>
      <c r="AD1006" s="1">
        <f t="shared" ca="1" si="298"/>
        <v>29.750174999999999</v>
      </c>
      <c r="AE1006" s="1">
        <f t="shared" ca="1" si="298"/>
        <v>19.833449999999999</v>
      </c>
      <c r="AF1006" s="1">
        <f t="shared" ca="1" si="298"/>
        <v>19.833449999999999</v>
      </c>
      <c r="AG1006" s="1">
        <f t="shared" ca="1" si="298"/>
        <v>19.833449999999999</v>
      </c>
      <c r="AH1006" s="1">
        <f t="shared" ca="1" si="298"/>
        <v>19.833449999999999</v>
      </c>
      <c r="AI1006" s="1">
        <f t="shared" ca="1" si="288"/>
        <v>19.833449999999999</v>
      </c>
    </row>
    <row r="1007" spans="2:35" x14ac:dyDescent="0.15">
      <c r="B1007" s="1" t="str">
        <f t="shared" si="291"/>
        <v>风系15</v>
      </c>
      <c r="C1007" s="1">
        <f t="shared" si="295"/>
        <v>15</v>
      </c>
      <c r="D1007" s="14" t="s">
        <v>100</v>
      </c>
      <c r="E1007" s="14">
        <f t="shared" si="296"/>
        <v>11</v>
      </c>
      <c r="F1007" s="1" t="str">
        <f t="shared" si="281"/>
        <v>地脉</v>
      </c>
      <c r="H1007" s="1">
        <f t="shared" ca="1" si="292"/>
        <v>361.15492052954301</v>
      </c>
      <c r="I1007" s="1">
        <f t="shared" ca="1" si="297"/>
        <v>150</v>
      </c>
      <c r="J1007" s="1">
        <f t="shared" ca="1" si="297"/>
        <v>155.365021008403</v>
      </c>
      <c r="K1007" s="1">
        <f t="shared" ca="1" si="297"/>
        <v>21.250125000000001</v>
      </c>
      <c r="L1007" s="1">
        <f t="shared" ca="1" si="297"/>
        <v>155.365021008403</v>
      </c>
      <c r="M1007" s="1">
        <f t="shared" ca="1" si="297"/>
        <v>21.250125000000001</v>
      </c>
      <c r="N1007" s="1">
        <f t="shared" ca="1" si="297"/>
        <v>0.2</v>
      </c>
      <c r="O1007" s="1">
        <f t="shared" ca="1" si="297"/>
        <v>0.2</v>
      </c>
      <c r="P1007" s="1">
        <f t="shared" ca="1" si="297"/>
        <v>0.36</v>
      </c>
      <c r="Q1007" s="1">
        <f t="shared" ca="1" si="297"/>
        <v>0.1</v>
      </c>
      <c r="R1007" s="1">
        <f t="shared" ca="1" si="297"/>
        <v>2</v>
      </c>
      <c r="S1007" s="1">
        <f t="shared" ca="1" si="298"/>
        <v>0.1</v>
      </c>
      <c r="T1007" s="1">
        <f t="shared" ca="1" si="298"/>
        <v>1.1700000000000002</v>
      </c>
      <c r="U1007" s="1">
        <f t="shared" ca="1" si="298"/>
        <v>29</v>
      </c>
      <c r="V1007" s="1">
        <f t="shared" ca="1" si="298"/>
        <v>0</v>
      </c>
      <c r="W1007" s="1">
        <f t="shared" ca="1" si="298"/>
        <v>18.8957457983193</v>
      </c>
      <c r="X1007" s="1">
        <f t="shared" ca="1" si="298"/>
        <v>0</v>
      </c>
      <c r="Y1007" s="1">
        <f t="shared" ca="1" si="298"/>
        <v>0</v>
      </c>
      <c r="Z1007" s="1">
        <f t="shared" ca="1" si="298"/>
        <v>0</v>
      </c>
      <c r="AA1007" s="1">
        <f t="shared" ca="1" si="298"/>
        <v>0</v>
      </c>
      <c r="AB1007" s="1">
        <f t="shared" ca="1" si="294"/>
        <v>0</v>
      </c>
      <c r="AC1007" s="1">
        <f t="shared" ca="1" si="298"/>
        <v>21.250125000000001</v>
      </c>
      <c r="AD1007" s="1">
        <f t="shared" ca="1" si="298"/>
        <v>31.875187500000003</v>
      </c>
      <c r="AE1007" s="1">
        <f t="shared" ca="1" si="298"/>
        <v>21.250125000000001</v>
      </c>
      <c r="AF1007" s="1">
        <f t="shared" ca="1" si="298"/>
        <v>21.250125000000001</v>
      </c>
      <c r="AG1007" s="1">
        <f t="shared" ca="1" si="298"/>
        <v>21.250125000000001</v>
      </c>
      <c r="AH1007" s="1">
        <f t="shared" ca="1" si="298"/>
        <v>21.250125000000001</v>
      </c>
      <c r="AI1007" s="1">
        <f t="shared" ca="1" si="288"/>
        <v>21.250125000000001</v>
      </c>
    </row>
    <row r="1008" spans="2:35" x14ac:dyDescent="0.15">
      <c r="B1008" s="1" t="str">
        <f t="shared" si="291"/>
        <v>风系16</v>
      </c>
      <c r="C1008" s="1">
        <f t="shared" si="295"/>
        <v>16</v>
      </c>
      <c r="D1008" s="14" t="s">
        <v>100</v>
      </c>
      <c r="E1008" s="14">
        <f t="shared" si="296"/>
        <v>11</v>
      </c>
      <c r="F1008" s="1" t="str">
        <f t="shared" si="281"/>
        <v>地脉</v>
      </c>
      <c r="H1008" s="1">
        <f t="shared" ca="1" si="292"/>
        <v>387.58089032438801</v>
      </c>
      <c r="I1008" s="1">
        <f t="shared" ca="1" si="297"/>
        <v>150</v>
      </c>
      <c r="J1008" s="1">
        <f t="shared" ca="1" si="297"/>
        <v>167.06031746031701</v>
      </c>
      <c r="K1008" s="1">
        <f t="shared" ca="1" si="297"/>
        <v>22.666799999999999</v>
      </c>
      <c r="L1008" s="1">
        <f t="shared" ca="1" si="297"/>
        <v>167.06031746031701</v>
      </c>
      <c r="M1008" s="1">
        <f t="shared" ca="1" si="297"/>
        <v>22.666799999999999</v>
      </c>
      <c r="N1008" s="1">
        <f t="shared" ca="1" si="297"/>
        <v>0.2</v>
      </c>
      <c r="O1008" s="1">
        <f t="shared" ca="1" si="297"/>
        <v>0.2</v>
      </c>
      <c r="P1008" s="1">
        <f t="shared" ca="1" si="297"/>
        <v>0.36</v>
      </c>
      <c r="Q1008" s="1">
        <f t="shared" ca="1" si="297"/>
        <v>0.1</v>
      </c>
      <c r="R1008" s="1">
        <f t="shared" ca="1" si="297"/>
        <v>2</v>
      </c>
      <c r="S1008" s="1">
        <f t="shared" ca="1" si="298"/>
        <v>0.1</v>
      </c>
      <c r="T1008" s="1">
        <f t="shared" ca="1" si="298"/>
        <v>1.1700000000000002</v>
      </c>
      <c r="U1008" s="1">
        <f t="shared" ca="1" si="298"/>
        <v>30.933333333333302</v>
      </c>
      <c r="V1008" s="1">
        <f t="shared" ca="1" si="298"/>
        <v>0</v>
      </c>
      <c r="W1008" s="1">
        <f t="shared" ca="1" si="298"/>
        <v>21.790476190476149</v>
      </c>
      <c r="X1008" s="1">
        <f t="shared" ca="1" si="298"/>
        <v>0</v>
      </c>
      <c r="Y1008" s="1">
        <f t="shared" ca="1" si="298"/>
        <v>0</v>
      </c>
      <c r="Z1008" s="1">
        <f t="shared" ca="1" si="298"/>
        <v>0</v>
      </c>
      <c r="AA1008" s="1">
        <f t="shared" ca="1" si="298"/>
        <v>0</v>
      </c>
      <c r="AB1008" s="1">
        <f t="shared" ca="1" si="294"/>
        <v>0</v>
      </c>
      <c r="AC1008" s="1">
        <f t="shared" ca="1" si="298"/>
        <v>22.666799999999999</v>
      </c>
      <c r="AD1008" s="1">
        <f t="shared" ca="1" si="298"/>
        <v>34.0002</v>
      </c>
      <c r="AE1008" s="1">
        <f t="shared" ca="1" si="298"/>
        <v>22.666799999999999</v>
      </c>
      <c r="AF1008" s="1">
        <f t="shared" ca="1" si="298"/>
        <v>22.666799999999999</v>
      </c>
      <c r="AG1008" s="1">
        <f t="shared" ca="1" si="298"/>
        <v>22.666799999999999</v>
      </c>
      <c r="AH1008" s="1">
        <f t="shared" ca="1" si="298"/>
        <v>22.666799999999999</v>
      </c>
      <c r="AI1008" s="1">
        <f t="shared" ca="1" si="288"/>
        <v>22.666799999999999</v>
      </c>
    </row>
    <row r="1009" spans="2:35" x14ac:dyDescent="0.15">
      <c r="B1009" s="1" t="str">
        <f t="shared" si="291"/>
        <v>风系17</v>
      </c>
      <c r="C1009" s="1">
        <f t="shared" si="295"/>
        <v>17</v>
      </c>
      <c r="D1009" s="14" t="s">
        <v>100</v>
      </c>
      <c r="E1009" s="14">
        <f t="shared" si="296"/>
        <v>11</v>
      </c>
      <c r="F1009" s="1" t="str">
        <f t="shared" si="281"/>
        <v>地脉</v>
      </c>
      <c r="H1009" s="1">
        <f t="shared" ca="1" si="292"/>
        <v>414.30048200584201</v>
      </c>
      <c r="I1009" s="1">
        <f t="shared" ca="1" si="297"/>
        <v>150</v>
      </c>
      <c r="J1009" s="1">
        <f t="shared" ca="1" si="297"/>
        <v>178.93224946695099</v>
      </c>
      <c r="K1009" s="1">
        <f t="shared" ca="1" si="297"/>
        <v>24.083475</v>
      </c>
      <c r="L1009" s="1">
        <f t="shared" ca="1" si="297"/>
        <v>178.93224946695099</v>
      </c>
      <c r="M1009" s="1">
        <f t="shared" ca="1" si="297"/>
        <v>24.083475</v>
      </c>
      <c r="N1009" s="1">
        <f t="shared" ca="1" si="297"/>
        <v>0.2</v>
      </c>
      <c r="O1009" s="1">
        <f t="shared" ca="1" si="297"/>
        <v>0.2</v>
      </c>
      <c r="P1009" s="1">
        <f t="shared" ca="1" si="297"/>
        <v>0.36</v>
      </c>
      <c r="Q1009" s="1">
        <f t="shared" ca="1" si="297"/>
        <v>0.1</v>
      </c>
      <c r="R1009" s="1">
        <f t="shared" ca="1" si="297"/>
        <v>2</v>
      </c>
      <c r="S1009" s="1">
        <f t="shared" ca="1" si="298"/>
        <v>0.1</v>
      </c>
      <c r="T1009" s="1">
        <f t="shared" ca="1" si="298"/>
        <v>1.1700000000000002</v>
      </c>
      <c r="U1009" s="1">
        <f t="shared" ca="1" si="298"/>
        <v>32.866666666666703</v>
      </c>
      <c r="V1009" s="1">
        <f t="shared" ca="1" si="298"/>
        <v>0</v>
      </c>
      <c r="W1009" s="1">
        <f t="shared" ca="1" si="298"/>
        <v>24.933182302771801</v>
      </c>
      <c r="X1009" s="1">
        <f t="shared" ca="1" si="298"/>
        <v>0</v>
      </c>
      <c r="Y1009" s="1">
        <f t="shared" ca="1" si="298"/>
        <v>0</v>
      </c>
      <c r="Z1009" s="1">
        <f t="shared" ca="1" si="298"/>
        <v>0</v>
      </c>
      <c r="AA1009" s="1">
        <f t="shared" ca="1" si="298"/>
        <v>0</v>
      </c>
      <c r="AB1009" s="1">
        <f t="shared" ca="1" si="298"/>
        <v>0</v>
      </c>
      <c r="AC1009" s="1">
        <f t="shared" ca="1" si="298"/>
        <v>24.083475</v>
      </c>
      <c r="AD1009" s="1">
        <f t="shared" ca="1" si="298"/>
        <v>36.125212500000004</v>
      </c>
      <c r="AE1009" s="1">
        <f t="shared" ca="1" si="298"/>
        <v>24.083475</v>
      </c>
      <c r="AF1009" s="1">
        <f t="shared" ca="1" si="298"/>
        <v>24.083475</v>
      </c>
      <c r="AG1009" s="1">
        <f t="shared" ca="1" si="298"/>
        <v>24.083475</v>
      </c>
      <c r="AH1009" s="1">
        <f t="shared" ca="1" si="298"/>
        <v>24.083475</v>
      </c>
      <c r="AI1009" s="1">
        <f t="shared" ca="1" si="288"/>
        <v>24.083475</v>
      </c>
    </row>
    <row r="1010" spans="2:35" x14ac:dyDescent="0.15">
      <c r="B1010" s="1" t="str">
        <f t="shared" si="291"/>
        <v>风系18</v>
      </c>
      <c r="C1010" s="1">
        <f t="shared" si="295"/>
        <v>18</v>
      </c>
      <c r="D1010" s="14" t="s">
        <v>100</v>
      </c>
      <c r="E1010" s="14">
        <f t="shared" si="296"/>
        <v>11</v>
      </c>
      <c r="F1010" s="1" t="str">
        <f t="shared" si="281"/>
        <v>地脉</v>
      </c>
      <c r="H1010" s="1">
        <f t="shared" ca="1" si="292"/>
        <v>441.31369557390599</v>
      </c>
      <c r="I1010" s="1">
        <f t="shared" ca="1" si="297"/>
        <v>150</v>
      </c>
      <c r="J1010" s="1">
        <f t="shared" ca="1" si="297"/>
        <v>190.982706766917</v>
      </c>
      <c r="K1010" s="1">
        <f t="shared" ca="1" si="297"/>
        <v>25.500150000000001</v>
      </c>
      <c r="L1010" s="1">
        <f t="shared" ca="1" si="297"/>
        <v>190.982706766917</v>
      </c>
      <c r="M1010" s="1">
        <f t="shared" ca="1" si="297"/>
        <v>25.500150000000001</v>
      </c>
      <c r="N1010" s="1">
        <f t="shared" ca="1" si="297"/>
        <v>0.2</v>
      </c>
      <c r="O1010" s="1">
        <f t="shared" ca="1" si="297"/>
        <v>0.2</v>
      </c>
      <c r="P1010" s="1">
        <f t="shared" ca="1" si="297"/>
        <v>0.36</v>
      </c>
      <c r="Q1010" s="1">
        <f t="shared" ca="1" si="297"/>
        <v>0.1</v>
      </c>
      <c r="R1010" s="1">
        <f t="shared" ca="1" si="297"/>
        <v>2</v>
      </c>
      <c r="S1010" s="1">
        <f t="shared" ca="1" si="298"/>
        <v>0.1</v>
      </c>
      <c r="T1010" s="1">
        <f t="shared" ca="1" si="298"/>
        <v>1.1700000000000002</v>
      </c>
      <c r="U1010" s="1">
        <f t="shared" ca="1" si="298"/>
        <v>34.799999999999997</v>
      </c>
      <c r="V1010" s="1">
        <f t="shared" ca="1" si="298"/>
        <v>0</v>
      </c>
      <c r="W1010" s="1">
        <f t="shared" ca="1" si="298"/>
        <v>28.332599355531752</v>
      </c>
      <c r="X1010" s="1">
        <f t="shared" ca="1" si="298"/>
        <v>0</v>
      </c>
      <c r="Y1010" s="1">
        <f t="shared" ca="1" si="298"/>
        <v>0</v>
      </c>
      <c r="Z1010" s="1">
        <f t="shared" ca="1" si="298"/>
        <v>0</v>
      </c>
      <c r="AA1010" s="1">
        <f t="shared" ca="1" si="298"/>
        <v>0</v>
      </c>
      <c r="AB1010" s="1">
        <f t="shared" ca="1" si="298"/>
        <v>0</v>
      </c>
      <c r="AC1010" s="1">
        <f t="shared" ca="1" si="298"/>
        <v>25.500150000000001</v>
      </c>
      <c r="AD1010" s="1">
        <f t="shared" ca="1" si="298"/>
        <v>38.250225</v>
      </c>
      <c r="AE1010" s="1">
        <f t="shared" ca="1" si="298"/>
        <v>25.500150000000001</v>
      </c>
      <c r="AF1010" s="1">
        <f t="shared" ca="1" si="298"/>
        <v>25.500150000000001</v>
      </c>
      <c r="AG1010" s="1">
        <f t="shared" ca="1" si="298"/>
        <v>25.500150000000001</v>
      </c>
      <c r="AH1010" s="1">
        <f t="shared" ca="1" si="298"/>
        <v>25.500150000000001</v>
      </c>
      <c r="AI1010" s="1">
        <f t="shared" ca="1" si="288"/>
        <v>25.500150000000001</v>
      </c>
    </row>
    <row r="1011" spans="2:35" x14ac:dyDescent="0.15">
      <c r="B1011" s="1" t="str">
        <f t="shared" si="291"/>
        <v>风系19</v>
      </c>
      <c r="C1011" s="1">
        <f t="shared" si="295"/>
        <v>19</v>
      </c>
      <c r="D1011" s="14" t="s">
        <v>100</v>
      </c>
      <c r="E1011" s="14">
        <f t="shared" si="296"/>
        <v>11</v>
      </c>
      <c r="F1011" s="1" t="str">
        <f t="shared" si="281"/>
        <v>地脉</v>
      </c>
      <c r="H1011" s="1">
        <f t="shared" ca="1" si="292"/>
        <v>468.620531028578</v>
      </c>
      <c r="I1011" s="1">
        <f t="shared" ca="1" si="297"/>
        <v>150</v>
      </c>
      <c r="J1011" s="1">
        <f t="shared" ca="1" si="297"/>
        <v>203.213636363636</v>
      </c>
      <c r="K1011" s="1">
        <f t="shared" ca="1" si="297"/>
        <v>26.916824999999999</v>
      </c>
      <c r="L1011" s="1">
        <f t="shared" ca="1" si="297"/>
        <v>203.213636363636</v>
      </c>
      <c r="M1011" s="1">
        <f t="shared" ca="1" si="297"/>
        <v>26.916824999999999</v>
      </c>
      <c r="N1011" s="1">
        <f t="shared" ca="1" si="297"/>
        <v>0.2</v>
      </c>
      <c r="O1011" s="1">
        <f t="shared" ca="1" si="297"/>
        <v>0.2</v>
      </c>
      <c r="P1011" s="1">
        <f t="shared" ca="1" si="297"/>
        <v>0.36</v>
      </c>
      <c r="Q1011" s="1">
        <f t="shared" ca="1" si="297"/>
        <v>0.1</v>
      </c>
      <c r="R1011" s="1">
        <f t="shared" ca="1" si="297"/>
        <v>2</v>
      </c>
      <c r="S1011" s="1">
        <f t="shared" ca="1" si="298"/>
        <v>0.1</v>
      </c>
      <c r="T1011" s="1">
        <f t="shared" ca="1" si="298"/>
        <v>1.1700000000000002</v>
      </c>
      <c r="U1011" s="1">
        <f t="shared" ca="1" si="298"/>
        <v>36.733333333333299</v>
      </c>
      <c r="V1011" s="1">
        <f t="shared" ca="1" si="298"/>
        <v>0</v>
      </c>
      <c r="W1011" s="1">
        <f t="shared" ca="1" si="298"/>
        <v>31.9977272727273</v>
      </c>
      <c r="X1011" s="1">
        <f t="shared" ca="1" si="298"/>
        <v>0</v>
      </c>
      <c r="Y1011" s="1">
        <f t="shared" ca="1" si="298"/>
        <v>0</v>
      </c>
      <c r="Z1011" s="1">
        <f t="shared" ca="1" si="298"/>
        <v>0</v>
      </c>
      <c r="AA1011" s="1">
        <f t="shared" ca="1" si="298"/>
        <v>0</v>
      </c>
      <c r="AB1011" s="1">
        <f t="shared" ca="1" si="298"/>
        <v>0</v>
      </c>
      <c r="AC1011" s="1">
        <f t="shared" ca="1" si="298"/>
        <v>26.916824999999999</v>
      </c>
      <c r="AD1011" s="1">
        <f t="shared" ca="1" si="298"/>
        <v>40.375237499999997</v>
      </c>
      <c r="AE1011" s="1">
        <f t="shared" ca="1" si="298"/>
        <v>26.916824999999999</v>
      </c>
      <c r="AF1011" s="1">
        <f t="shared" ca="1" si="298"/>
        <v>26.916824999999999</v>
      </c>
      <c r="AG1011" s="1">
        <f t="shared" ca="1" si="298"/>
        <v>26.916824999999999</v>
      </c>
      <c r="AH1011" s="1">
        <f t="shared" ca="1" si="298"/>
        <v>26.916824999999999</v>
      </c>
      <c r="AI1011" s="1">
        <f t="shared" ca="1" si="288"/>
        <v>26.916824999999999</v>
      </c>
    </row>
    <row r="1012" spans="2:35" x14ac:dyDescent="0.15">
      <c r="B1012" s="1" t="str">
        <f t="shared" si="291"/>
        <v>风系20</v>
      </c>
      <c r="C1012" s="1">
        <f t="shared" si="295"/>
        <v>20</v>
      </c>
      <c r="D1012" s="14" t="s">
        <v>100</v>
      </c>
      <c r="E1012" s="14">
        <f t="shared" si="296"/>
        <v>11</v>
      </c>
      <c r="F1012" s="1" t="str">
        <f t="shared" si="281"/>
        <v>地脉</v>
      </c>
      <c r="H1012" s="1">
        <f t="shared" ca="1" si="292"/>
        <v>496.22098836985998</v>
      </c>
      <c r="I1012" s="1">
        <f t="shared" ca="1" si="297"/>
        <v>150</v>
      </c>
      <c r="J1012" s="1">
        <f t="shared" ca="1" si="297"/>
        <v>215.62704471101401</v>
      </c>
      <c r="K1012" s="1">
        <f t="shared" ca="1" si="297"/>
        <v>28.333500000000001</v>
      </c>
      <c r="L1012" s="1">
        <f t="shared" ca="1" si="297"/>
        <v>215.62704471101401</v>
      </c>
      <c r="M1012" s="1">
        <f t="shared" ca="1" si="297"/>
        <v>28.333500000000001</v>
      </c>
      <c r="N1012" s="1">
        <f t="shared" ca="1" si="297"/>
        <v>0.2</v>
      </c>
      <c r="O1012" s="1">
        <f t="shared" ca="1" si="297"/>
        <v>0.2</v>
      </c>
      <c r="P1012" s="1">
        <f t="shared" ca="1" si="297"/>
        <v>0.36</v>
      </c>
      <c r="Q1012" s="1">
        <f t="shared" ca="1" si="297"/>
        <v>0.1</v>
      </c>
      <c r="R1012" s="1">
        <f t="shared" ca="1" si="297"/>
        <v>2</v>
      </c>
      <c r="S1012" s="1">
        <f t="shared" ca="1" si="298"/>
        <v>0.1</v>
      </c>
      <c r="T1012" s="1">
        <f t="shared" ca="1" si="298"/>
        <v>1.1700000000000002</v>
      </c>
      <c r="U1012" s="1">
        <f t="shared" ca="1" si="298"/>
        <v>38.6666666666667</v>
      </c>
      <c r="V1012" s="1">
        <f t="shared" ca="1" si="298"/>
        <v>0</v>
      </c>
      <c r="W1012" s="1">
        <f t="shared" ca="1" si="298"/>
        <v>35.937840785169001</v>
      </c>
      <c r="X1012" s="1">
        <f t="shared" ca="1" si="298"/>
        <v>0</v>
      </c>
      <c r="Y1012" s="1">
        <f t="shared" ca="1" si="298"/>
        <v>0</v>
      </c>
      <c r="Z1012" s="1">
        <f t="shared" ca="1" si="298"/>
        <v>0</v>
      </c>
      <c r="AA1012" s="1">
        <f t="shared" ca="1" si="298"/>
        <v>0</v>
      </c>
      <c r="AB1012" s="1">
        <f t="shared" ca="1" si="298"/>
        <v>0</v>
      </c>
      <c r="AC1012" s="1">
        <f t="shared" ca="1" si="298"/>
        <v>28.333500000000001</v>
      </c>
      <c r="AD1012" s="1">
        <f t="shared" ca="1" si="298"/>
        <v>42.500250000000001</v>
      </c>
      <c r="AE1012" s="1">
        <f t="shared" ca="1" si="298"/>
        <v>28.333500000000001</v>
      </c>
      <c r="AF1012" s="1">
        <f t="shared" ca="1" si="298"/>
        <v>28.333500000000001</v>
      </c>
      <c r="AG1012" s="1">
        <f t="shared" ca="1" si="298"/>
        <v>28.333500000000001</v>
      </c>
      <c r="AH1012" s="1">
        <f t="shared" ca="1" si="298"/>
        <v>28.333500000000001</v>
      </c>
      <c r="AI1012" s="1">
        <f t="shared" ca="1" si="288"/>
        <v>28.333500000000001</v>
      </c>
    </row>
    <row r="1013" spans="2:35" x14ac:dyDescent="0.15">
      <c r="B1013" s="1" t="str">
        <f t="shared" si="291"/>
        <v>风系21</v>
      </c>
      <c r="C1013" s="1">
        <f t="shared" si="295"/>
        <v>21</v>
      </c>
      <c r="D1013" s="14" t="s">
        <v>100</v>
      </c>
      <c r="E1013" s="14">
        <f t="shared" si="296"/>
        <v>11</v>
      </c>
      <c r="F1013" s="1" t="str">
        <f t="shared" si="281"/>
        <v>地脉</v>
      </c>
      <c r="H1013" s="1">
        <f t="shared" ca="1" si="292"/>
        <v>524.11506759775205</v>
      </c>
      <c r="I1013" s="1">
        <f t="shared" ref="I1013:R1022" ca="1" si="299">mVlookup($C1013,monsterBaseDate,I$2,FALSE)*(1+mVlookup($E1013,monsterType,I$2,FALSE))</f>
        <v>150</v>
      </c>
      <c r="J1013" s="1">
        <f t="shared" ca="1" si="299"/>
        <v>228.22499999999999</v>
      </c>
      <c r="K1013" s="1">
        <f t="shared" ca="1" si="299"/>
        <v>29.750174999999999</v>
      </c>
      <c r="L1013" s="1">
        <f t="shared" ca="1" si="299"/>
        <v>228.22499999999999</v>
      </c>
      <c r="M1013" s="1">
        <f t="shared" ca="1" si="299"/>
        <v>29.750174999999999</v>
      </c>
      <c r="N1013" s="1">
        <f t="shared" ca="1" si="299"/>
        <v>0.2</v>
      </c>
      <c r="O1013" s="1">
        <f t="shared" ca="1" si="299"/>
        <v>0.2</v>
      </c>
      <c r="P1013" s="1">
        <f t="shared" ca="1" si="299"/>
        <v>0.36</v>
      </c>
      <c r="Q1013" s="1">
        <f t="shared" ca="1" si="299"/>
        <v>0.1</v>
      </c>
      <c r="R1013" s="1">
        <f t="shared" ca="1" si="299"/>
        <v>2</v>
      </c>
      <c r="S1013" s="1">
        <f t="shared" ref="S1013:AH1028" ca="1" si="300">mVlookup($C1013,monsterBaseDate,S$2,FALSE)*(1+mVlookup($E1013,monsterType,S$2,FALSE))</f>
        <v>0.1</v>
      </c>
      <c r="T1013" s="1">
        <f t="shared" ca="1" si="300"/>
        <v>1.1700000000000002</v>
      </c>
      <c r="U1013" s="1">
        <f t="shared" ca="1" si="300"/>
        <v>40.6</v>
      </c>
      <c r="V1013" s="1">
        <f t="shared" ca="1" si="300"/>
        <v>0</v>
      </c>
      <c r="W1013" s="1">
        <f t="shared" ca="1" si="300"/>
        <v>40.162499999999994</v>
      </c>
      <c r="X1013" s="1">
        <f t="shared" ca="1" si="300"/>
        <v>0</v>
      </c>
      <c r="Y1013" s="1">
        <f t="shared" ca="1" si="300"/>
        <v>0</v>
      </c>
      <c r="Z1013" s="1">
        <f t="shared" ca="1" si="300"/>
        <v>0</v>
      </c>
      <c r="AA1013" s="1">
        <f t="shared" ca="1" si="300"/>
        <v>0</v>
      </c>
      <c r="AB1013" s="1">
        <f t="shared" ca="1" si="298"/>
        <v>0</v>
      </c>
      <c r="AC1013" s="1">
        <f t="shared" ca="1" si="300"/>
        <v>29.750174999999999</v>
      </c>
      <c r="AD1013" s="1">
        <f t="shared" ca="1" si="300"/>
        <v>44.625262499999998</v>
      </c>
      <c r="AE1013" s="1">
        <f t="shared" ca="1" si="300"/>
        <v>29.750174999999999</v>
      </c>
      <c r="AF1013" s="1">
        <f t="shared" ca="1" si="300"/>
        <v>29.750174999999999</v>
      </c>
      <c r="AG1013" s="1">
        <f t="shared" ca="1" si="300"/>
        <v>29.750174999999999</v>
      </c>
      <c r="AH1013" s="1">
        <f t="shared" ca="1" si="300"/>
        <v>29.750174999999999</v>
      </c>
      <c r="AI1013" s="1">
        <f t="shared" ca="1" si="288"/>
        <v>29.750174999999999</v>
      </c>
    </row>
    <row r="1014" spans="2:35" x14ac:dyDescent="0.15">
      <c r="B1014" s="1" t="str">
        <f t="shared" si="291"/>
        <v>风系22</v>
      </c>
      <c r="C1014" s="1">
        <f t="shared" si="295"/>
        <v>22</v>
      </c>
      <c r="D1014" s="14" t="s">
        <v>100</v>
      </c>
      <c r="E1014" s="14">
        <f t="shared" si="296"/>
        <v>11</v>
      </c>
      <c r="F1014" s="1" t="str">
        <f t="shared" si="281"/>
        <v>地脉</v>
      </c>
      <c r="H1014" s="1">
        <f t="shared" ca="1" si="292"/>
        <v>552.30276871225306</v>
      </c>
      <c r="I1014" s="1">
        <f t="shared" ca="1" si="299"/>
        <v>150</v>
      </c>
      <c r="J1014" s="1">
        <f t="shared" ca="1" si="299"/>
        <v>241.009634551495</v>
      </c>
      <c r="K1014" s="1">
        <f t="shared" ca="1" si="299"/>
        <v>31.16685</v>
      </c>
      <c r="L1014" s="1">
        <f t="shared" ca="1" si="299"/>
        <v>241.009634551495</v>
      </c>
      <c r="M1014" s="1">
        <f t="shared" ca="1" si="299"/>
        <v>31.16685</v>
      </c>
      <c r="N1014" s="1">
        <f t="shared" ca="1" si="299"/>
        <v>0.2</v>
      </c>
      <c r="O1014" s="1">
        <f t="shared" ca="1" si="299"/>
        <v>0.2</v>
      </c>
      <c r="P1014" s="1">
        <f t="shared" ca="1" si="299"/>
        <v>0.36</v>
      </c>
      <c r="Q1014" s="1">
        <f t="shared" ca="1" si="299"/>
        <v>0.1</v>
      </c>
      <c r="R1014" s="1">
        <f t="shared" ca="1" si="299"/>
        <v>2</v>
      </c>
      <c r="S1014" s="1">
        <f t="shared" ca="1" si="300"/>
        <v>0.1</v>
      </c>
      <c r="T1014" s="1">
        <f t="shared" ca="1" si="300"/>
        <v>1.1700000000000002</v>
      </c>
      <c r="U1014" s="1">
        <f t="shared" ca="1" si="300"/>
        <v>42.533333333333303</v>
      </c>
      <c r="V1014" s="1">
        <f t="shared" ca="1" si="300"/>
        <v>0</v>
      </c>
      <c r="W1014" s="1">
        <f t="shared" ca="1" si="300"/>
        <v>44.681561461794004</v>
      </c>
      <c r="X1014" s="1">
        <f t="shared" ca="1" si="300"/>
        <v>0</v>
      </c>
      <c r="Y1014" s="1">
        <f t="shared" ca="1" si="300"/>
        <v>0</v>
      </c>
      <c r="Z1014" s="1">
        <f t="shared" ca="1" si="300"/>
        <v>0</v>
      </c>
      <c r="AA1014" s="1">
        <f t="shared" ca="1" si="300"/>
        <v>0</v>
      </c>
      <c r="AB1014" s="1">
        <f t="shared" ca="1" si="298"/>
        <v>0</v>
      </c>
      <c r="AC1014" s="1">
        <f t="shared" ca="1" si="300"/>
        <v>31.16685</v>
      </c>
      <c r="AD1014" s="1">
        <f t="shared" ca="1" si="300"/>
        <v>46.750275000000002</v>
      </c>
      <c r="AE1014" s="1">
        <f t="shared" ca="1" si="300"/>
        <v>31.16685</v>
      </c>
      <c r="AF1014" s="1">
        <f t="shared" ca="1" si="300"/>
        <v>31.16685</v>
      </c>
      <c r="AG1014" s="1">
        <f t="shared" ca="1" si="300"/>
        <v>31.16685</v>
      </c>
      <c r="AH1014" s="1">
        <f t="shared" ca="1" si="300"/>
        <v>31.16685</v>
      </c>
      <c r="AI1014" s="1">
        <f t="shared" ca="1" si="288"/>
        <v>31.16685</v>
      </c>
    </row>
    <row r="1015" spans="2:35" x14ac:dyDescent="0.15">
      <c r="B1015" s="1" t="str">
        <f t="shared" si="291"/>
        <v>风系23</v>
      </c>
      <c r="C1015" s="1">
        <f t="shared" si="295"/>
        <v>23</v>
      </c>
      <c r="D1015" s="14" t="s">
        <v>100</v>
      </c>
      <c r="E1015" s="14">
        <f t="shared" si="296"/>
        <v>11</v>
      </c>
      <c r="F1015" s="1" t="str">
        <f t="shared" si="281"/>
        <v>地脉</v>
      </c>
      <c r="H1015" s="1">
        <f t="shared" ca="1" si="292"/>
        <v>602.50505466107904</v>
      </c>
      <c r="I1015" s="1">
        <f t="shared" ca="1" si="299"/>
        <v>150</v>
      </c>
      <c r="J1015" s="1">
        <f t="shared" ca="1" si="299"/>
        <v>253.98314732142899</v>
      </c>
      <c r="K1015" s="1">
        <f t="shared" ca="1" si="299"/>
        <v>32.583525000000002</v>
      </c>
      <c r="L1015" s="1">
        <f t="shared" ca="1" si="299"/>
        <v>253.98314732142899</v>
      </c>
      <c r="M1015" s="1">
        <f t="shared" ca="1" si="299"/>
        <v>32.583525000000002</v>
      </c>
      <c r="N1015" s="1">
        <f t="shared" ca="1" si="299"/>
        <v>0.2</v>
      </c>
      <c r="O1015" s="1">
        <f t="shared" ca="1" si="299"/>
        <v>0.2</v>
      </c>
      <c r="P1015" s="1">
        <f t="shared" ca="1" si="299"/>
        <v>0.36</v>
      </c>
      <c r="Q1015" s="1">
        <f t="shared" ca="1" si="299"/>
        <v>0.1</v>
      </c>
      <c r="R1015" s="1">
        <f t="shared" ca="1" si="299"/>
        <v>2</v>
      </c>
      <c r="S1015" s="1">
        <f t="shared" ca="1" si="300"/>
        <v>0.1</v>
      </c>
      <c r="T1015" s="1">
        <f t="shared" ca="1" si="300"/>
        <v>1.1700000000000002</v>
      </c>
      <c r="U1015" s="1">
        <f t="shared" ca="1" si="300"/>
        <v>44.466666666666697</v>
      </c>
      <c r="V1015" s="1">
        <f t="shared" ca="1" si="300"/>
        <v>0</v>
      </c>
      <c r="W1015" s="1">
        <f t="shared" ca="1" si="300"/>
        <v>49.505189732142895</v>
      </c>
      <c r="X1015" s="1">
        <f t="shared" ca="1" si="300"/>
        <v>0</v>
      </c>
      <c r="Y1015" s="1">
        <f t="shared" ca="1" si="300"/>
        <v>0</v>
      </c>
      <c r="Z1015" s="1">
        <f t="shared" ca="1" si="300"/>
        <v>0</v>
      </c>
      <c r="AA1015" s="1">
        <f t="shared" ca="1" si="300"/>
        <v>0</v>
      </c>
      <c r="AB1015" s="1">
        <f t="shared" ca="1" si="298"/>
        <v>0</v>
      </c>
      <c r="AC1015" s="1">
        <f t="shared" ca="1" si="300"/>
        <v>32.583525000000002</v>
      </c>
      <c r="AD1015" s="1">
        <f t="shared" ca="1" si="300"/>
        <v>48.875287499999999</v>
      </c>
      <c r="AE1015" s="1">
        <f t="shared" ca="1" si="300"/>
        <v>32.583525000000002</v>
      </c>
      <c r="AF1015" s="1">
        <f t="shared" ca="1" si="300"/>
        <v>32.583525000000002</v>
      </c>
      <c r="AG1015" s="1">
        <f t="shared" ca="1" si="300"/>
        <v>32.583525000000002</v>
      </c>
      <c r="AH1015" s="1">
        <f t="shared" ca="1" si="300"/>
        <v>32.583525000000002</v>
      </c>
      <c r="AI1015" s="1">
        <f t="shared" ca="1" si="288"/>
        <v>32.583525000000002</v>
      </c>
    </row>
    <row r="1016" spans="2:35" x14ac:dyDescent="0.15">
      <c r="B1016" s="1" t="str">
        <f t="shared" si="291"/>
        <v>风系24</v>
      </c>
      <c r="C1016" s="1">
        <f t="shared" si="295"/>
        <v>24</v>
      </c>
      <c r="D1016" s="14" t="s">
        <v>100</v>
      </c>
      <c r="E1016" s="14">
        <f t="shared" si="296"/>
        <v>11</v>
      </c>
      <c r="F1016" s="1" t="str">
        <f t="shared" si="281"/>
        <v>地脉</v>
      </c>
      <c r="H1016" s="1">
        <f t="shared" ca="1" si="292"/>
        <v>632.35616454823003</v>
      </c>
      <c r="I1016" s="1">
        <f t="shared" ca="1" si="299"/>
        <v>150</v>
      </c>
      <c r="J1016" s="1">
        <f t="shared" ca="1" si="299"/>
        <v>267.14780652418398</v>
      </c>
      <c r="K1016" s="1">
        <f t="shared" ca="1" si="299"/>
        <v>34.0002</v>
      </c>
      <c r="L1016" s="1">
        <f t="shared" ca="1" si="299"/>
        <v>267.14780652418398</v>
      </c>
      <c r="M1016" s="1">
        <f t="shared" ca="1" si="299"/>
        <v>34.0002</v>
      </c>
      <c r="N1016" s="1">
        <f t="shared" ca="1" si="299"/>
        <v>0.2</v>
      </c>
      <c r="O1016" s="1">
        <f t="shared" ca="1" si="299"/>
        <v>0.2</v>
      </c>
      <c r="P1016" s="1">
        <f t="shared" ca="1" si="299"/>
        <v>0.36</v>
      </c>
      <c r="Q1016" s="1">
        <f t="shared" ca="1" si="299"/>
        <v>0.1</v>
      </c>
      <c r="R1016" s="1">
        <f t="shared" ca="1" si="299"/>
        <v>2</v>
      </c>
      <c r="S1016" s="1">
        <f t="shared" ca="1" si="300"/>
        <v>0.1</v>
      </c>
      <c r="T1016" s="1">
        <f t="shared" ca="1" si="300"/>
        <v>1.1700000000000002</v>
      </c>
      <c r="U1016" s="1">
        <f t="shared" ca="1" si="300"/>
        <v>46.4</v>
      </c>
      <c r="V1016" s="1">
        <f t="shared" ca="1" si="300"/>
        <v>0</v>
      </c>
      <c r="W1016" s="1">
        <f t="shared" ca="1" si="300"/>
        <v>54.643869516310502</v>
      </c>
      <c r="X1016" s="1">
        <f t="shared" ca="1" si="300"/>
        <v>0</v>
      </c>
      <c r="Y1016" s="1">
        <f t="shared" ca="1" si="300"/>
        <v>0</v>
      </c>
      <c r="Z1016" s="1">
        <f t="shared" ca="1" si="300"/>
        <v>0</v>
      </c>
      <c r="AA1016" s="1">
        <f t="shared" ca="1" si="300"/>
        <v>0</v>
      </c>
      <c r="AB1016" s="1">
        <f t="shared" ca="1" si="298"/>
        <v>0</v>
      </c>
      <c r="AC1016" s="1">
        <f t="shared" ca="1" si="300"/>
        <v>34.0002</v>
      </c>
      <c r="AD1016" s="1">
        <f t="shared" ca="1" si="300"/>
        <v>51.000299999999996</v>
      </c>
      <c r="AE1016" s="1">
        <f t="shared" ca="1" si="300"/>
        <v>34.0002</v>
      </c>
      <c r="AF1016" s="1">
        <f t="shared" ca="1" si="300"/>
        <v>34.0002</v>
      </c>
      <c r="AG1016" s="1">
        <f t="shared" ca="1" si="300"/>
        <v>34.0002</v>
      </c>
      <c r="AH1016" s="1">
        <f t="shared" ca="1" si="300"/>
        <v>34.0002</v>
      </c>
      <c r="AI1016" s="1">
        <f t="shared" ca="1" si="288"/>
        <v>34.0002</v>
      </c>
    </row>
    <row r="1017" spans="2:35" x14ac:dyDescent="0.15">
      <c r="B1017" s="1" t="str">
        <f t="shared" si="291"/>
        <v>风系25</v>
      </c>
      <c r="C1017" s="1">
        <f t="shared" si="295"/>
        <v>25</v>
      </c>
      <c r="D1017" s="14" t="s">
        <v>100</v>
      </c>
      <c r="E1017" s="14">
        <f t="shared" si="296"/>
        <v>11</v>
      </c>
      <c r="F1017" s="1" t="str">
        <f t="shared" si="281"/>
        <v>地脉</v>
      </c>
      <c r="H1017" s="1">
        <f t="shared" ca="1" si="292"/>
        <v>662.51187759749598</v>
      </c>
      <c r="I1017" s="1">
        <f t="shared" ca="1" si="299"/>
        <v>150</v>
      </c>
      <c r="J1017" s="1">
        <f t="shared" ca="1" si="299"/>
        <v>280.50595238095201</v>
      </c>
      <c r="K1017" s="1">
        <f t="shared" ca="1" si="299"/>
        <v>35.416874999999997</v>
      </c>
      <c r="L1017" s="1">
        <f t="shared" ca="1" si="299"/>
        <v>280.50595238095201</v>
      </c>
      <c r="M1017" s="1">
        <f t="shared" ca="1" si="299"/>
        <v>35.416874999999997</v>
      </c>
      <c r="N1017" s="1">
        <f t="shared" ca="1" si="299"/>
        <v>0.2</v>
      </c>
      <c r="O1017" s="1">
        <f t="shared" ca="1" si="299"/>
        <v>0.2</v>
      </c>
      <c r="P1017" s="1">
        <f t="shared" ca="1" si="299"/>
        <v>0.36</v>
      </c>
      <c r="Q1017" s="1">
        <f t="shared" ca="1" si="299"/>
        <v>0.1</v>
      </c>
      <c r="R1017" s="1">
        <f t="shared" ca="1" si="299"/>
        <v>2</v>
      </c>
      <c r="S1017" s="1">
        <f t="shared" ca="1" si="300"/>
        <v>0.1</v>
      </c>
      <c r="T1017" s="1">
        <f t="shared" ca="1" si="300"/>
        <v>1.1700000000000002</v>
      </c>
      <c r="U1017" s="1">
        <f t="shared" ca="1" si="300"/>
        <v>48.3333333333333</v>
      </c>
      <c r="V1017" s="1">
        <f t="shared" ca="1" si="300"/>
        <v>0</v>
      </c>
      <c r="W1017" s="1">
        <f t="shared" ca="1" si="300"/>
        <v>60.1084183673469</v>
      </c>
      <c r="X1017" s="1">
        <f t="shared" ca="1" si="300"/>
        <v>0</v>
      </c>
      <c r="Y1017" s="1">
        <f t="shared" ca="1" si="300"/>
        <v>0</v>
      </c>
      <c r="Z1017" s="1">
        <f t="shared" ca="1" si="300"/>
        <v>0</v>
      </c>
      <c r="AA1017" s="1">
        <f t="shared" ca="1" si="300"/>
        <v>0</v>
      </c>
      <c r="AB1017" s="1">
        <f t="shared" ca="1" si="298"/>
        <v>0</v>
      </c>
      <c r="AC1017" s="1">
        <f t="shared" ca="1" si="300"/>
        <v>35.416874999999997</v>
      </c>
      <c r="AD1017" s="1">
        <f t="shared" ca="1" si="300"/>
        <v>53.125312499999993</v>
      </c>
      <c r="AE1017" s="1">
        <f t="shared" ca="1" si="300"/>
        <v>35.416874999999997</v>
      </c>
      <c r="AF1017" s="1">
        <f t="shared" ca="1" si="300"/>
        <v>35.416874999999997</v>
      </c>
      <c r="AG1017" s="1">
        <f t="shared" ca="1" si="300"/>
        <v>35.416874999999997</v>
      </c>
      <c r="AH1017" s="1">
        <f t="shared" ca="1" si="300"/>
        <v>35.416874999999997</v>
      </c>
      <c r="AI1017" s="1">
        <f t="shared" ca="1" si="288"/>
        <v>35.416874999999997</v>
      </c>
    </row>
    <row r="1018" spans="2:35" x14ac:dyDescent="0.15">
      <c r="B1018" s="1" t="str">
        <f t="shared" si="291"/>
        <v>风系26</v>
      </c>
      <c r="C1018" s="1">
        <f t="shared" si="295"/>
        <v>26</v>
      </c>
      <c r="D1018" s="14" t="s">
        <v>100</v>
      </c>
      <c r="E1018" s="14">
        <f t="shared" si="296"/>
        <v>11</v>
      </c>
      <c r="F1018" s="1" t="str">
        <f t="shared" si="281"/>
        <v>地脉</v>
      </c>
      <c r="H1018" s="1">
        <f t="shared" ca="1" si="292"/>
        <v>692.97219380887498</v>
      </c>
      <c r="I1018" s="1">
        <f t="shared" ca="1" si="299"/>
        <v>150</v>
      </c>
      <c r="J1018" s="1">
        <f t="shared" ca="1" si="299"/>
        <v>294.06</v>
      </c>
      <c r="K1018" s="1">
        <f t="shared" ca="1" si="299"/>
        <v>36.833550000000002</v>
      </c>
      <c r="L1018" s="1">
        <f t="shared" ca="1" si="299"/>
        <v>294.06</v>
      </c>
      <c r="M1018" s="1">
        <f t="shared" ca="1" si="299"/>
        <v>36.833550000000002</v>
      </c>
      <c r="N1018" s="1">
        <f t="shared" ca="1" si="299"/>
        <v>0.2</v>
      </c>
      <c r="O1018" s="1">
        <f t="shared" ca="1" si="299"/>
        <v>0.2</v>
      </c>
      <c r="P1018" s="1">
        <f t="shared" ca="1" si="299"/>
        <v>0.36</v>
      </c>
      <c r="Q1018" s="1">
        <f t="shared" ca="1" si="299"/>
        <v>0.1</v>
      </c>
      <c r="R1018" s="1">
        <f t="shared" ca="1" si="299"/>
        <v>2</v>
      </c>
      <c r="S1018" s="1">
        <f t="shared" ca="1" si="300"/>
        <v>0.1</v>
      </c>
      <c r="T1018" s="1">
        <f t="shared" ca="1" si="300"/>
        <v>1.1700000000000002</v>
      </c>
      <c r="U1018" s="1">
        <f t="shared" ca="1" si="300"/>
        <v>50.266666666666701</v>
      </c>
      <c r="V1018" s="1">
        <f t="shared" ca="1" si="300"/>
        <v>0</v>
      </c>
      <c r="W1018" s="1">
        <f t="shared" ca="1" si="300"/>
        <v>65.91</v>
      </c>
      <c r="X1018" s="1">
        <f t="shared" ca="1" si="300"/>
        <v>0</v>
      </c>
      <c r="Y1018" s="1">
        <f t="shared" ca="1" si="300"/>
        <v>0</v>
      </c>
      <c r="Z1018" s="1">
        <f t="shared" ca="1" si="300"/>
        <v>0</v>
      </c>
      <c r="AA1018" s="1">
        <f t="shared" ca="1" si="300"/>
        <v>0</v>
      </c>
      <c r="AB1018" s="1">
        <f t="shared" ca="1" si="298"/>
        <v>0</v>
      </c>
      <c r="AC1018" s="1">
        <f t="shared" ca="1" si="300"/>
        <v>36.833550000000002</v>
      </c>
      <c r="AD1018" s="1">
        <f t="shared" ca="1" si="300"/>
        <v>55.250325000000004</v>
      </c>
      <c r="AE1018" s="1">
        <f t="shared" ca="1" si="300"/>
        <v>36.833550000000002</v>
      </c>
      <c r="AF1018" s="1">
        <f t="shared" ca="1" si="300"/>
        <v>36.833550000000002</v>
      </c>
      <c r="AG1018" s="1">
        <f t="shared" ca="1" si="300"/>
        <v>36.833550000000002</v>
      </c>
      <c r="AH1018" s="1">
        <f t="shared" ca="1" si="300"/>
        <v>36.833550000000002</v>
      </c>
      <c r="AI1018" s="1">
        <f t="shared" ca="1" si="288"/>
        <v>36.833550000000002</v>
      </c>
    </row>
    <row r="1019" spans="2:35" x14ac:dyDescent="0.15">
      <c r="B1019" s="1" t="str">
        <f t="shared" si="291"/>
        <v>风系27</v>
      </c>
      <c r="C1019" s="1">
        <f t="shared" si="295"/>
        <v>27</v>
      </c>
      <c r="D1019" s="14" t="s">
        <v>100</v>
      </c>
      <c r="E1019" s="14">
        <f t="shared" si="296"/>
        <v>11</v>
      </c>
      <c r="F1019" s="1" t="str">
        <f t="shared" si="281"/>
        <v>地脉</v>
      </c>
      <c r="H1019" s="1">
        <f t="shared" ca="1" si="292"/>
        <v>723.73711318236803</v>
      </c>
      <c r="I1019" s="1">
        <f t="shared" ca="1" si="299"/>
        <v>150</v>
      </c>
      <c r="J1019" s="1">
        <f t="shared" ca="1" si="299"/>
        <v>307.81244239631297</v>
      </c>
      <c r="K1019" s="1">
        <f t="shared" ca="1" si="299"/>
        <v>38.250225</v>
      </c>
      <c r="L1019" s="1">
        <f t="shared" ca="1" si="299"/>
        <v>307.81244239631297</v>
      </c>
      <c r="M1019" s="1">
        <f t="shared" ca="1" si="299"/>
        <v>38.250225</v>
      </c>
      <c r="N1019" s="1">
        <f t="shared" ca="1" si="299"/>
        <v>0.2</v>
      </c>
      <c r="O1019" s="1">
        <f t="shared" ca="1" si="299"/>
        <v>0.2</v>
      </c>
      <c r="P1019" s="1">
        <f t="shared" ca="1" si="299"/>
        <v>0.36</v>
      </c>
      <c r="Q1019" s="1">
        <f t="shared" ca="1" si="299"/>
        <v>0.1</v>
      </c>
      <c r="R1019" s="1">
        <f t="shared" ca="1" si="299"/>
        <v>2</v>
      </c>
      <c r="S1019" s="1">
        <f t="shared" ca="1" si="300"/>
        <v>0.1</v>
      </c>
      <c r="T1019" s="1">
        <f t="shared" ca="1" si="300"/>
        <v>1.1700000000000002</v>
      </c>
      <c r="U1019" s="1">
        <f t="shared" ca="1" si="300"/>
        <v>52.2</v>
      </c>
      <c r="V1019" s="1">
        <f t="shared" ca="1" si="300"/>
        <v>0</v>
      </c>
      <c r="W1019" s="1">
        <f t="shared" ca="1" si="300"/>
        <v>72.060138248847892</v>
      </c>
      <c r="X1019" s="1">
        <f t="shared" ca="1" si="300"/>
        <v>0</v>
      </c>
      <c r="Y1019" s="1">
        <f t="shared" ca="1" si="300"/>
        <v>0</v>
      </c>
      <c r="Z1019" s="1">
        <f t="shared" ca="1" si="300"/>
        <v>0</v>
      </c>
      <c r="AA1019" s="1">
        <f t="shared" ca="1" si="300"/>
        <v>0</v>
      </c>
      <c r="AB1019" s="1">
        <f t="shared" ca="1" si="300"/>
        <v>0</v>
      </c>
      <c r="AC1019" s="1">
        <f t="shared" ca="1" si="300"/>
        <v>38.250225</v>
      </c>
      <c r="AD1019" s="1">
        <f t="shared" ca="1" si="300"/>
        <v>57.375337500000001</v>
      </c>
      <c r="AE1019" s="1">
        <f t="shared" ca="1" si="300"/>
        <v>38.250225</v>
      </c>
      <c r="AF1019" s="1">
        <f t="shared" ca="1" si="300"/>
        <v>38.250225</v>
      </c>
      <c r="AG1019" s="1">
        <f t="shared" ca="1" si="300"/>
        <v>38.250225</v>
      </c>
      <c r="AH1019" s="1">
        <f t="shared" ca="1" si="300"/>
        <v>38.250225</v>
      </c>
      <c r="AI1019" s="1">
        <f t="shared" ca="1" si="288"/>
        <v>38.250225</v>
      </c>
    </row>
    <row r="1020" spans="2:35" x14ac:dyDescent="0.15">
      <c r="B1020" s="1" t="str">
        <f t="shared" si="291"/>
        <v>风系28</v>
      </c>
      <c r="C1020" s="1">
        <f t="shared" si="295"/>
        <v>28</v>
      </c>
      <c r="D1020" s="14" t="s">
        <v>100</v>
      </c>
      <c r="E1020" s="14">
        <f t="shared" si="296"/>
        <v>11</v>
      </c>
      <c r="F1020" s="1" t="str">
        <f t="shared" si="281"/>
        <v>地脉</v>
      </c>
      <c r="H1020" s="1">
        <f t="shared" ca="1" si="292"/>
        <v>754.80663571797402</v>
      </c>
      <c r="I1020" s="1">
        <f t="shared" ca="1" si="299"/>
        <v>150</v>
      </c>
      <c r="J1020" s="1">
        <f t="shared" ca="1" si="299"/>
        <v>321.76585365853703</v>
      </c>
      <c r="K1020" s="1">
        <f t="shared" ca="1" si="299"/>
        <v>39.666899999999998</v>
      </c>
      <c r="L1020" s="1">
        <f t="shared" ca="1" si="299"/>
        <v>321.76585365853703</v>
      </c>
      <c r="M1020" s="1">
        <f t="shared" ca="1" si="299"/>
        <v>39.666899999999998</v>
      </c>
      <c r="N1020" s="1">
        <f t="shared" ca="1" si="299"/>
        <v>0.2</v>
      </c>
      <c r="O1020" s="1">
        <f t="shared" ca="1" si="299"/>
        <v>0.2</v>
      </c>
      <c r="P1020" s="1">
        <f t="shared" ca="1" si="299"/>
        <v>0.36</v>
      </c>
      <c r="Q1020" s="1">
        <f t="shared" ca="1" si="299"/>
        <v>0.1</v>
      </c>
      <c r="R1020" s="1">
        <f t="shared" ca="1" si="299"/>
        <v>2</v>
      </c>
      <c r="S1020" s="1">
        <f t="shared" ca="1" si="300"/>
        <v>0.1</v>
      </c>
      <c r="T1020" s="1">
        <f t="shared" ca="1" si="300"/>
        <v>1.1700000000000002</v>
      </c>
      <c r="U1020" s="1">
        <f t="shared" ca="1" si="300"/>
        <v>54.133333333333297</v>
      </c>
      <c r="V1020" s="1">
        <f t="shared" ca="1" si="300"/>
        <v>0</v>
      </c>
      <c r="W1020" s="1">
        <f t="shared" ca="1" si="300"/>
        <v>78.570731707317151</v>
      </c>
      <c r="X1020" s="1">
        <f t="shared" ca="1" si="300"/>
        <v>0</v>
      </c>
      <c r="Y1020" s="1">
        <f t="shared" ca="1" si="300"/>
        <v>0</v>
      </c>
      <c r="Z1020" s="1">
        <f t="shared" ca="1" si="300"/>
        <v>0</v>
      </c>
      <c r="AA1020" s="1">
        <f t="shared" ca="1" si="300"/>
        <v>0</v>
      </c>
      <c r="AB1020" s="1">
        <f t="shared" ca="1" si="300"/>
        <v>0</v>
      </c>
      <c r="AC1020" s="1">
        <f t="shared" ca="1" si="300"/>
        <v>39.666899999999998</v>
      </c>
      <c r="AD1020" s="1">
        <f t="shared" ca="1" si="300"/>
        <v>59.500349999999997</v>
      </c>
      <c r="AE1020" s="1">
        <f t="shared" ca="1" si="300"/>
        <v>39.666899999999998</v>
      </c>
      <c r="AF1020" s="1">
        <f t="shared" ca="1" si="300"/>
        <v>39.666899999999998</v>
      </c>
      <c r="AG1020" s="1">
        <f t="shared" ca="1" si="300"/>
        <v>39.666899999999998</v>
      </c>
      <c r="AH1020" s="1">
        <f t="shared" ca="1" si="300"/>
        <v>39.666899999999998</v>
      </c>
      <c r="AI1020" s="1">
        <f t="shared" ca="1" si="288"/>
        <v>39.666899999999998</v>
      </c>
    </row>
    <row r="1021" spans="2:35" x14ac:dyDescent="0.15">
      <c r="B1021" s="1" t="str">
        <f t="shared" si="291"/>
        <v>风系29</v>
      </c>
      <c r="C1021" s="1">
        <f t="shared" si="295"/>
        <v>29</v>
      </c>
      <c r="D1021" s="14" t="s">
        <v>100</v>
      </c>
      <c r="E1021" s="14">
        <f t="shared" si="296"/>
        <v>11</v>
      </c>
      <c r="F1021" s="1" t="str">
        <f t="shared" si="281"/>
        <v>地脉</v>
      </c>
      <c r="H1021" s="1">
        <f t="shared" ref="H1021:H1084" ca="1" si="301">mVlookup(C1021,monsterBaseDate,H$2,FALSE)*(1+mVlookup(E1021,monsterType,H$2,FALSE))*(1+mVlookup(C1021,monsterHpRevise,D1021,FALSE))</f>
        <v>786.18076141569497</v>
      </c>
      <c r="I1021" s="1">
        <f t="shared" ca="1" si="299"/>
        <v>150</v>
      </c>
      <c r="J1021" s="1">
        <f t="shared" ca="1" si="299"/>
        <v>335.92289227166299</v>
      </c>
      <c r="K1021" s="1">
        <f t="shared" ca="1" si="299"/>
        <v>41.083575000000003</v>
      </c>
      <c r="L1021" s="1">
        <f t="shared" ca="1" si="299"/>
        <v>335.92289227166299</v>
      </c>
      <c r="M1021" s="1">
        <f t="shared" ca="1" si="299"/>
        <v>41.083575000000003</v>
      </c>
      <c r="N1021" s="1">
        <f t="shared" ca="1" si="299"/>
        <v>0.2</v>
      </c>
      <c r="O1021" s="1">
        <f t="shared" ca="1" si="299"/>
        <v>0.2</v>
      </c>
      <c r="P1021" s="1">
        <f t="shared" ca="1" si="299"/>
        <v>0.36</v>
      </c>
      <c r="Q1021" s="1">
        <f t="shared" ca="1" si="299"/>
        <v>0.1</v>
      </c>
      <c r="R1021" s="1">
        <f t="shared" ca="1" si="299"/>
        <v>2</v>
      </c>
      <c r="S1021" s="1">
        <f t="shared" ca="1" si="300"/>
        <v>0.1</v>
      </c>
      <c r="T1021" s="1">
        <f t="shared" ca="1" si="300"/>
        <v>1.1700000000000002</v>
      </c>
      <c r="U1021" s="1">
        <f t="shared" ca="1" si="300"/>
        <v>56.066666666666698</v>
      </c>
      <c r="V1021" s="1">
        <f t="shared" ca="1" si="300"/>
        <v>0</v>
      </c>
      <c r="W1021" s="1">
        <f t="shared" ca="1" si="300"/>
        <v>85.45406908665106</v>
      </c>
      <c r="X1021" s="1">
        <f t="shared" ca="1" si="300"/>
        <v>0</v>
      </c>
      <c r="Y1021" s="1">
        <f t="shared" ca="1" si="300"/>
        <v>0</v>
      </c>
      <c r="Z1021" s="1">
        <f t="shared" ca="1" si="300"/>
        <v>0</v>
      </c>
      <c r="AA1021" s="1">
        <f t="shared" ca="1" si="300"/>
        <v>0</v>
      </c>
      <c r="AB1021" s="1">
        <f t="shared" ca="1" si="300"/>
        <v>0</v>
      </c>
      <c r="AC1021" s="1">
        <f t="shared" ca="1" si="300"/>
        <v>41.083575000000003</v>
      </c>
      <c r="AD1021" s="1">
        <f t="shared" ca="1" si="300"/>
        <v>61.625362500000008</v>
      </c>
      <c r="AE1021" s="1">
        <f t="shared" ca="1" si="300"/>
        <v>41.083575000000003</v>
      </c>
      <c r="AF1021" s="1">
        <f t="shared" ca="1" si="300"/>
        <v>41.083575000000003</v>
      </c>
      <c r="AG1021" s="1">
        <f t="shared" ca="1" si="300"/>
        <v>41.083575000000003</v>
      </c>
      <c r="AH1021" s="1">
        <f t="shared" ca="1" si="300"/>
        <v>41.083575000000003</v>
      </c>
      <c r="AI1021" s="1">
        <f t="shared" ca="1" si="288"/>
        <v>41.083575000000003</v>
      </c>
    </row>
    <row r="1022" spans="2:35" x14ac:dyDescent="0.15">
      <c r="B1022" s="1" t="str">
        <f t="shared" ref="B1022:B1085" si="302">D1022&amp;C1022</f>
        <v>风系30</v>
      </c>
      <c r="C1022" s="1">
        <f t="shared" si="295"/>
        <v>30</v>
      </c>
      <c r="D1022" s="14" t="s">
        <v>100</v>
      </c>
      <c r="E1022" s="14">
        <f t="shared" si="296"/>
        <v>11</v>
      </c>
      <c r="F1022" s="1" t="str">
        <f t="shared" si="281"/>
        <v>地脉</v>
      </c>
      <c r="H1022" s="1">
        <f t="shared" ca="1" si="301"/>
        <v>817.85949027552897</v>
      </c>
      <c r="I1022" s="1">
        <f t="shared" ca="1" si="299"/>
        <v>150</v>
      </c>
      <c r="J1022" s="1">
        <f t="shared" ca="1" si="299"/>
        <v>350.28630460448602</v>
      </c>
      <c r="K1022" s="1">
        <f t="shared" ca="1" si="299"/>
        <v>42.500250000000001</v>
      </c>
      <c r="L1022" s="1">
        <f t="shared" ca="1" si="299"/>
        <v>350.28630460448602</v>
      </c>
      <c r="M1022" s="1">
        <f t="shared" ca="1" si="299"/>
        <v>42.500250000000001</v>
      </c>
      <c r="N1022" s="1">
        <f t="shared" ca="1" si="299"/>
        <v>0.2</v>
      </c>
      <c r="O1022" s="1">
        <f t="shared" ca="1" si="299"/>
        <v>0.2</v>
      </c>
      <c r="P1022" s="1">
        <f t="shared" ca="1" si="299"/>
        <v>0.36</v>
      </c>
      <c r="Q1022" s="1">
        <f t="shared" ca="1" si="299"/>
        <v>0.1</v>
      </c>
      <c r="R1022" s="1">
        <f t="shared" ca="1" si="299"/>
        <v>2</v>
      </c>
      <c r="S1022" s="1">
        <f t="shared" ca="1" si="300"/>
        <v>0.1</v>
      </c>
      <c r="T1022" s="1">
        <f t="shared" ca="1" si="300"/>
        <v>1.1700000000000002</v>
      </c>
      <c r="U1022" s="1">
        <f t="shared" ca="1" si="300"/>
        <v>58</v>
      </c>
      <c r="V1022" s="1">
        <f t="shared" ca="1" si="300"/>
        <v>0</v>
      </c>
      <c r="W1022" s="1">
        <f t="shared" ca="1" si="300"/>
        <v>92.72284533648164</v>
      </c>
      <c r="X1022" s="1">
        <f t="shared" ca="1" si="300"/>
        <v>0</v>
      </c>
      <c r="Y1022" s="1">
        <f t="shared" ca="1" si="300"/>
        <v>0</v>
      </c>
      <c r="Z1022" s="1">
        <f t="shared" ca="1" si="300"/>
        <v>0</v>
      </c>
      <c r="AA1022" s="1">
        <f t="shared" ca="1" si="300"/>
        <v>0</v>
      </c>
      <c r="AB1022" s="1">
        <f t="shared" ca="1" si="300"/>
        <v>0</v>
      </c>
      <c r="AC1022" s="1">
        <f t="shared" ca="1" si="300"/>
        <v>42.500250000000001</v>
      </c>
      <c r="AD1022" s="1">
        <f t="shared" ca="1" si="300"/>
        <v>63.750375000000005</v>
      </c>
      <c r="AE1022" s="1">
        <f t="shared" ca="1" si="300"/>
        <v>42.500250000000001</v>
      </c>
      <c r="AF1022" s="1">
        <f t="shared" ca="1" si="300"/>
        <v>42.500250000000001</v>
      </c>
      <c r="AG1022" s="1">
        <f t="shared" ca="1" si="300"/>
        <v>42.500250000000001</v>
      </c>
      <c r="AH1022" s="1">
        <f t="shared" ca="1" si="300"/>
        <v>42.500250000000001</v>
      </c>
      <c r="AI1022" s="1">
        <f t="shared" ca="1" si="288"/>
        <v>42.500250000000001</v>
      </c>
    </row>
    <row r="1023" spans="2:35" x14ac:dyDescent="0.15">
      <c r="B1023" s="1" t="str">
        <f t="shared" si="302"/>
        <v>风系31</v>
      </c>
      <c r="C1023" s="1">
        <f t="shared" si="295"/>
        <v>31</v>
      </c>
      <c r="D1023" s="14" t="s">
        <v>100</v>
      </c>
      <c r="E1023" s="14">
        <f t="shared" si="296"/>
        <v>11</v>
      </c>
      <c r="F1023" s="1" t="str">
        <f t="shared" si="281"/>
        <v>地脉</v>
      </c>
      <c r="H1023" s="1">
        <f t="shared" ca="1" si="301"/>
        <v>849.84282229747703</v>
      </c>
      <c r="I1023" s="1">
        <f t="shared" ref="I1023:R1032" ca="1" si="303">mVlookup($C1023,monsterBaseDate,I$2,FALSE)*(1+mVlookup($E1023,monsterType,I$2,FALSE))</f>
        <v>150</v>
      </c>
      <c r="J1023" s="1">
        <f t="shared" ca="1" si="303"/>
        <v>364.85892857142898</v>
      </c>
      <c r="K1023" s="1">
        <f t="shared" ca="1" si="303"/>
        <v>43.916924999999999</v>
      </c>
      <c r="L1023" s="1">
        <f t="shared" ca="1" si="303"/>
        <v>364.85892857142898</v>
      </c>
      <c r="M1023" s="1">
        <f t="shared" ca="1" si="303"/>
        <v>43.916924999999999</v>
      </c>
      <c r="N1023" s="1">
        <f t="shared" ca="1" si="303"/>
        <v>0.2</v>
      </c>
      <c r="O1023" s="1">
        <f t="shared" ca="1" si="303"/>
        <v>0.2</v>
      </c>
      <c r="P1023" s="1">
        <f t="shared" ca="1" si="303"/>
        <v>0.36</v>
      </c>
      <c r="Q1023" s="1">
        <f t="shared" ca="1" si="303"/>
        <v>0.1</v>
      </c>
      <c r="R1023" s="1">
        <f t="shared" ca="1" si="303"/>
        <v>2</v>
      </c>
      <c r="S1023" s="1">
        <f t="shared" ref="S1023:AH1038" ca="1" si="304">mVlookup($C1023,monsterBaseDate,S$2,FALSE)*(1+mVlookup($E1023,monsterType,S$2,FALSE))</f>
        <v>0.1</v>
      </c>
      <c r="T1023" s="1">
        <f t="shared" ca="1" si="304"/>
        <v>1.1700000000000002</v>
      </c>
      <c r="U1023" s="1">
        <f t="shared" ca="1" si="304"/>
        <v>59.933333333333302</v>
      </c>
      <c r="V1023" s="1">
        <f t="shared" ca="1" si="304"/>
        <v>0</v>
      </c>
      <c r="W1023" s="1">
        <f t="shared" ca="1" si="304"/>
        <v>100.39017857142855</v>
      </c>
      <c r="X1023" s="1">
        <f t="shared" ca="1" si="304"/>
        <v>0</v>
      </c>
      <c r="Y1023" s="1">
        <f t="shared" ca="1" si="304"/>
        <v>0</v>
      </c>
      <c r="Z1023" s="1">
        <f t="shared" ca="1" si="304"/>
        <v>0</v>
      </c>
      <c r="AA1023" s="1">
        <f t="shared" ca="1" si="304"/>
        <v>0</v>
      </c>
      <c r="AB1023" s="1">
        <f t="shared" ca="1" si="300"/>
        <v>0</v>
      </c>
      <c r="AC1023" s="1">
        <f t="shared" ca="1" si="304"/>
        <v>43.916924999999999</v>
      </c>
      <c r="AD1023" s="1">
        <f t="shared" ca="1" si="304"/>
        <v>65.875387500000002</v>
      </c>
      <c r="AE1023" s="1">
        <f t="shared" ca="1" si="304"/>
        <v>43.916924999999999</v>
      </c>
      <c r="AF1023" s="1">
        <f t="shared" ca="1" si="304"/>
        <v>43.916924999999999</v>
      </c>
      <c r="AG1023" s="1">
        <f t="shared" ca="1" si="304"/>
        <v>43.916924999999999</v>
      </c>
      <c r="AH1023" s="1">
        <f t="shared" ca="1" si="304"/>
        <v>43.916924999999999</v>
      </c>
      <c r="AI1023" s="1">
        <f t="shared" ca="1" si="288"/>
        <v>43.916924999999999</v>
      </c>
    </row>
    <row r="1024" spans="2:35" x14ac:dyDescent="0.15">
      <c r="B1024" s="1" t="str">
        <f t="shared" si="302"/>
        <v>风系32</v>
      </c>
      <c r="C1024" s="1">
        <f t="shared" si="295"/>
        <v>32</v>
      </c>
      <c r="D1024" s="14" t="s">
        <v>100</v>
      </c>
      <c r="E1024" s="14">
        <f t="shared" si="296"/>
        <v>11</v>
      </c>
      <c r="F1024" s="1" t="str">
        <f t="shared" si="281"/>
        <v>地脉</v>
      </c>
      <c r="H1024" s="1">
        <f t="shared" ca="1" si="301"/>
        <v>882.13075748153904</v>
      </c>
      <c r="I1024" s="1">
        <f t="shared" ca="1" si="303"/>
        <v>150</v>
      </c>
      <c r="J1024" s="1">
        <f t="shared" ca="1" si="303"/>
        <v>379.64369747899201</v>
      </c>
      <c r="K1024" s="1">
        <f t="shared" ca="1" si="303"/>
        <v>45.333599999999997</v>
      </c>
      <c r="L1024" s="1">
        <f t="shared" ca="1" si="303"/>
        <v>379.64369747899201</v>
      </c>
      <c r="M1024" s="1">
        <f t="shared" ca="1" si="303"/>
        <v>45.333599999999997</v>
      </c>
      <c r="N1024" s="1">
        <f t="shared" ca="1" si="303"/>
        <v>0.2</v>
      </c>
      <c r="O1024" s="1">
        <f t="shared" ca="1" si="303"/>
        <v>0.2</v>
      </c>
      <c r="P1024" s="1">
        <f t="shared" ca="1" si="303"/>
        <v>0.36</v>
      </c>
      <c r="Q1024" s="1">
        <f t="shared" ca="1" si="303"/>
        <v>0.1</v>
      </c>
      <c r="R1024" s="1">
        <f t="shared" ca="1" si="303"/>
        <v>2</v>
      </c>
      <c r="S1024" s="1">
        <f t="shared" ca="1" si="304"/>
        <v>0.1</v>
      </c>
      <c r="T1024" s="1">
        <f t="shared" ca="1" si="304"/>
        <v>1.1700000000000002</v>
      </c>
      <c r="U1024" s="1">
        <f t="shared" ca="1" si="304"/>
        <v>61.866666666666703</v>
      </c>
      <c r="V1024" s="1">
        <f t="shared" ca="1" si="304"/>
        <v>0</v>
      </c>
      <c r="W1024" s="1">
        <f t="shared" ca="1" si="304"/>
        <v>108.46962785114042</v>
      </c>
      <c r="X1024" s="1">
        <f t="shared" ca="1" si="304"/>
        <v>0</v>
      </c>
      <c r="Y1024" s="1">
        <f t="shared" ca="1" si="304"/>
        <v>0</v>
      </c>
      <c r="Z1024" s="1">
        <f t="shared" ca="1" si="304"/>
        <v>0</v>
      </c>
      <c r="AA1024" s="1">
        <f t="shared" ca="1" si="304"/>
        <v>0</v>
      </c>
      <c r="AB1024" s="1">
        <f t="shared" ca="1" si="300"/>
        <v>0</v>
      </c>
      <c r="AC1024" s="1">
        <f t="shared" ca="1" si="304"/>
        <v>45.333599999999997</v>
      </c>
      <c r="AD1024" s="1">
        <f t="shared" ca="1" si="304"/>
        <v>68.000399999999999</v>
      </c>
      <c r="AE1024" s="1">
        <f t="shared" ca="1" si="304"/>
        <v>45.333599999999997</v>
      </c>
      <c r="AF1024" s="1">
        <f t="shared" ca="1" si="304"/>
        <v>45.333599999999997</v>
      </c>
      <c r="AG1024" s="1">
        <f t="shared" ca="1" si="304"/>
        <v>45.333599999999997</v>
      </c>
      <c r="AH1024" s="1">
        <f t="shared" ca="1" si="304"/>
        <v>45.333599999999997</v>
      </c>
      <c r="AI1024" s="1">
        <f t="shared" ca="1" si="288"/>
        <v>45.333599999999997</v>
      </c>
    </row>
    <row r="1025" spans="2:35" x14ac:dyDescent="0.15">
      <c r="B1025" s="1" t="str">
        <f t="shared" si="302"/>
        <v>风系33</v>
      </c>
      <c r="C1025" s="1">
        <f t="shared" si="295"/>
        <v>33</v>
      </c>
      <c r="D1025" s="14" t="s">
        <v>100</v>
      </c>
      <c r="E1025" s="14">
        <f t="shared" si="296"/>
        <v>11</v>
      </c>
      <c r="F1025" s="1" t="str">
        <f t="shared" si="281"/>
        <v>地脉</v>
      </c>
      <c r="H1025" s="1">
        <f t="shared" ca="1" si="301"/>
        <v>914.72329582771499</v>
      </c>
      <c r="I1025" s="1">
        <f t="shared" ca="1" si="303"/>
        <v>150</v>
      </c>
      <c r="J1025" s="1">
        <f t="shared" ca="1" si="303"/>
        <v>394.64364406779703</v>
      </c>
      <c r="K1025" s="1">
        <f t="shared" ca="1" si="303"/>
        <v>46.750275000000002</v>
      </c>
      <c r="L1025" s="1">
        <f t="shared" ca="1" si="303"/>
        <v>394.64364406779703</v>
      </c>
      <c r="M1025" s="1">
        <f t="shared" ca="1" si="303"/>
        <v>46.750275000000002</v>
      </c>
      <c r="N1025" s="1">
        <f t="shared" ca="1" si="303"/>
        <v>0.2</v>
      </c>
      <c r="O1025" s="1">
        <f t="shared" ca="1" si="303"/>
        <v>0.2</v>
      </c>
      <c r="P1025" s="1">
        <f t="shared" ca="1" si="303"/>
        <v>0.36</v>
      </c>
      <c r="Q1025" s="1">
        <f t="shared" ca="1" si="303"/>
        <v>0.1</v>
      </c>
      <c r="R1025" s="1">
        <f t="shared" ca="1" si="303"/>
        <v>2</v>
      </c>
      <c r="S1025" s="1">
        <f t="shared" ca="1" si="304"/>
        <v>0.1</v>
      </c>
      <c r="T1025" s="1">
        <f t="shared" ca="1" si="304"/>
        <v>1.1700000000000002</v>
      </c>
      <c r="U1025" s="1">
        <f t="shared" ca="1" si="304"/>
        <v>63.8</v>
      </c>
      <c r="V1025" s="1">
        <f t="shared" ca="1" si="304"/>
        <v>0</v>
      </c>
      <c r="W1025" s="1">
        <f t="shared" ca="1" si="304"/>
        <v>116.97521186440682</v>
      </c>
      <c r="X1025" s="1">
        <f t="shared" ca="1" si="304"/>
        <v>0</v>
      </c>
      <c r="Y1025" s="1">
        <f t="shared" ca="1" si="304"/>
        <v>0</v>
      </c>
      <c r="Z1025" s="1">
        <f t="shared" ca="1" si="304"/>
        <v>0</v>
      </c>
      <c r="AA1025" s="1">
        <f t="shared" ca="1" si="304"/>
        <v>0</v>
      </c>
      <c r="AB1025" s="1">
        <f t="shared" ca="1" si="300"/>
        <v>0</v>
      </c>
      <c r="AC1025" s="1">
        <f t="shared" ca="1" si="304"/>
        <v>46.750275000000002</v>
      </c>
      <c r="AD1025" s="1">
        <f t="shared" ca="1" si="304"/>
        <v>70.12541250000001</v>
      </c>
      <c r="AE1025" s="1">
        <f t="shared" ca="1" si="304"/>
        <v>46.750275000000002</v>
      </c>
      <c r="AF1025" s="1">
        <f t="shared" ca="1" si="304"/>
        <v>46.750275000000002</v>
      </c>
      <c r="AG1025" s="1">
        <f t="shared" ca="1" si="304"/>
        <v>46.750275000000002</v>
      </c>
      <c r="AH1025" s="1">
        <f t="shared" ca="1" si="304"/>
        <v>46.750275000000002</v>
      </c>
      <c r="AI1025" s="1">
        <f t="shared" ca="1" si="288"/>
        <v>46.750275000000002</v>
      </c>
    </row>
    <row r="1026" spans="2:35" x14ac:dyDescent="0.15">
      <c r="B1026" s="1" t="str">
        <f t="shared" si="302"/>
        <v>风系34</v>
      </c>
      <c r="C1026" s="1">
        <f t="shared" si="295"/>
        <v>34</v>
      </c>
      <c r="D1026" s="14" t="s">
        <v>100</v>
      </c>
      <c r="E1026" s="14">
        <f t="shared" si="296"/>
        <v>11</v>
      </c>
      <c r="F1026" s="1" t="str">
        <f t="shared" si="281"/>
        <v>地脉</v>
      </c>
      <c r="H1026" s="1">
        <f t="shared" ca="1" si="301"/>
        <v>983.66060335075701</v>
      </c>
      <c r="I1026" s="1">
        <f t="shared" ca="1" si="303"/>
        <v>150</v>
      </c>
      <c r="J1026" s="1">
        <f t="shared" ca="1" si="303"/>
        <v>409.86190476190501</v>
      </c>
      <c r="K1026" s="1">
        <f t="shared" ca="1" si="303"/>
        <v>48.16695</v>
      </c>
      <c r="L1026" s="1">
        <f t="shared" ca="1" si="303"/>
        <v>409.86190476190501</v>
      </c>
      <c r="M1026" s="1">
        <f t="shared" ca="1" si="303"/>
        <v>48.16695</v>
      </c>
      <c r="N1026" s="1">
        <f t="shared" ca="1" si="303"/>
        <v>0.2</v>
      </c>
      <c r="O1026" s="1">
        <f t="shared" ca="1" si="303"/>
        <v>0.2</v>
      </c>
      <c r="P1026" s="1">
        <f t="shared" ca="1" si="303"/>
        <v>0.36</v>
      </c>
      <c r="Q1026" s="1">
        <f t="shared" ca="1" si="303"/>
        <v>0.1</v>
      </c>
      <c r="R1026" s="1">
        <f t="shared" ca="1" si="303"/>
        <v>2</v>
      </c>
      <c r="S1026" s="1">
        <f t="shared" ca="1" si="304"/>
        <v>0.1</v>
      </c>
      <c r="T1026" s="1">
        <f t="shared" ca="1" si="304"/>
        <v>1.1700000000000002</v>
      </c>
      <c r="U1026" s="1">
        <f t="shared" ca="1" si="304"/>
        <v>65.733333333333306</v>
      </c>
      <c r="V1026" s="1">
        <f t="shared" ca="1" si="304"/>
        <v>0</v>
      </c>
      <c r="W1026" s="1">
        <f t="shared" ca="1" si="304"/>
        <v>125.92142857142865</v>
      </c>
      <c r="X1026" s="1">
        <f t="shared" ca="1" si="304"/>
        <v>0</v>
      </c>
      <c r="Y1026" s="1">
        <f t="shared" ca="1" si="304"/>
        <v>0</v>
      </c>
      <c r="Z1026" s="1">
        <f t="shared" ca="1" si="304"/>
        <v>0</v>
      </c>
      <c r="AA1026" s="1">
        <f t="shared" ca="1" si="304"/>
        <v>0</v>
      </c>
      <c r="AB1026" s="1">
        <f t="shared" ca="1" si="300"/>
        <v>0</v>
      </c>
      <c r="AC1026" s="1">
        <f t="shared" ca="1" si="304"/>
        <v>48.16695</v>
      </c>
      <c r="AD1026" s="1">
        <f t="shared" ca="1" si="304"/>
        <v>72.250425000000007</v>
      </c>
      <c r="AE1026" s="1">
        <f t="shared" ca="1" si="304"/>
        <v>48.16695</v>
      </c>
      <c r="AF1026" s="1">
        <f t="shared" ca="1" si="304"/>
        <v>48.16695</v>
      </c>
      <c r="AG1026" s="1">
        <f t="shared" ca="1" si="304"/>
        <v>48.16695</v>
      </c>
      <c r="AH1026" s="1">
        <f t="shared" ca="1" si="304"/>
        <v>48.16695</v>
      </c>
      <c r="AI1026" s="1">
        <f t="shared" ca="1" si="288"/>
        <v>48.16695</v>
      </c>
    </row>
    <row r="1027" spans="2:35" x14ac:dyDescent="0.15">
      <c r="B1027" s="1" t="str">
        <f t="shared" si="302"/>
        <v>风系35</v>
      </c>
      <c r="C1027" s="1">
        <f t="shared" si="295"/>
        <v>35</v>
      </c>
      <c r="D1027" s="14" t="s">
        <v>100</v>
      </c>
      <c r="E1027" s="14">
        <f t="shared" si="296"/>
        <v>11</v>
      </c>
      <c r="F1027" s="1" t="str">
        <f t="shared" ref="F1027:F1090" si="305">VLOOKUP(E1027,monsterType,4,FALSE)</f>
        <v>地脉</v>
      </c>
      <c r="H1027" s="1">
        <f t="shared" ca="1" si="301"/>
        <v>1018.12508607825</v>
      </c>
      <c r="I1027" s="1">
        <f t="shared" ca="1" si="303"/>
        <v>150</v>
      </c>
      <c r="J1027" s="1">
        <f t="shared" ca="1" si="303"/>
        <v>425.30172413793099</v>
      </c>
      <c r="K1027" s="1">
        <f t="shared" ca="1" si="303"/>
        <v>49.583624999999998</v>
      </c>
      <c r="L1027" s="1">
        <f t="shared" ca="1" si="303"/>
        <v>425.30172413793099</v>
      </c>
      <c r="M1027" s="1">
        <f t="shared" ca="1" si="303"/>
        <v>49.583624999999998</v>
      </c>
      <c r="N1027" s="1">
        <f t="shared" ca="1" si="303"/>
        <v>0.2</v>
      </c>
      <c r="O1027" s="1">
        <f t="shared" ca="1" si="303"/>
        <v>0.2</v>
      </c>
      <c r="P1027" s="1">
        <f t="shared" ca="1" si="303"/>
        <v>0.36</v>
      </c>
      <c r="Q1027" s="1">
        <f t="shared" ca="1" si="303"/>
        <v>0.1</v>
      </c>
      <c r="R1027" s="1">
        <f t="shared" ca="1" si="303"/>
        <v>2</v>
      </c>
      <c r="S1027" s="1">
        <f t="shared" ca="1" si="304"/>
        <v>0.1</v>
      </c>
      <c r="T1027" s="1">
        <f t="shared" ca="1" si="304"/>
        <v>1.1700000000000002</v>
      </c>
      <c r="U1027" s="1">
        <f t="shared" ca="1" si="304"/>
        <v>67.6666666666667</v>
      </c>
      <c r="V1027" s="1">
        <f t="shared" ca="1" si="304"/>
        <v>0</v>
      </c>
      <c r="W1027" s="1">
        <f t="shared" ca="1" si="304"/>
        <v>135.32327586206895</v>
      </c>
      <c r="X1027" s="1">
        <f t="shared" ca="1" si="304"/>
        <v>0</v>
      </c>
      <c r="Y1027" s="1">
        <f t="shared" ca="1" si="304"/>
        <v>0</v>
      </c>
      <c r="Z1027" s="1">
        <f t="shared" ca="1" si="304"/>
        <v>0</v>
      </c>
      <c r="AA1027" s="1">
        <f t="shared" ca="1" si="304"/>
        <v>0</v>
      </c>
      <c r="AB1027" s="1">
        <f t="shared" ca="1" si="300"/>
        <v>0</v>
      </c>
      <c r="AC1027" s="1">
        <f t="shared" ca="1" si="304"/>
        <v>49.583624999999998</v>
      </c>
      <c r="AD1027" s="1">
        <f t="shared" ca="1" si="304"/>
        <v>74.375437500000004</v>
      </c>
      <c r="AE1027" s="1">
        <f t="shared" ca="1" si="304"/>
        <v>49.583624999999998</v>
      </c>
      <c r="AF1027" s="1">
        <f t="shared" ca="1" si="304"/>
        <v>49.583624999999998</v>
      </c>
      <c r="AG1027" s="1">
        <f t="shared" ca="1" si="304"/>
        <v>49.583624999999998</v>
      </c>
      <c r="AH1027" s="1">
        <f t="shared" ca="1" si="304"/>
        <v>49.583624999999998</v>
      </c>
      <c r="AI1027" s="1">
        <f t="shared" ca="1" si="288"/>
        <v>49.583624999999998</v>
      </c>
    </row>
    <row r="1028" spans="2:35" x14ac:dyDescent="0.15">
      <c r="B1028" s="1" t="str">
        <f t="shared" si="302"/>
        <v>风系36</v>
      </c>
      <c r="C1028" s="1">
        <f t="shared" si="295"/>
        <v>36</v>
      </c>
      <c r="D1028" s="14" t="s">
        <v>100</v>
      </c>
      <c r="E1028" s="14">
        <f t="shared" si="296"/>
        <v>11</v>
      </c>
      <c r="F1028" s="1" t="str">
        <f t="shared" si="305"/>
        <v>地脉</v>
      </c>
      <c r="H1028" s="1">
        <f t="shared" ca="1" si="301"/>
        <v>1052.9057567206801</v>
      </c>
      <c r="I1028" s="1">
        <f t="shared" ca="1" si="303"/>
        <v>150</v>
      </c>
      <c r="J1028" s="1">
        <f t="shared" ca="1" si="303"/>
        <v>440.96645962732902</v>
      </c>
      <c r="K1028" s="1">
        <f t="shared" ca="1" si="303"/>
        <v>51.000300000000003</v>
      </c>
      <c r="L1028" s="1">
        <f t="shared" ca="1" si="303"/>
        <v>440.96645962732902</v>
      </c>
      <c r="M1028" s="1">
        <f t="shared" ca="1" si="303"/>
        <v>51.000300000000003</v>
      </c>
      <c r="N1028" s="1">
        <f t="shared" ca="1" si="303"/>
        <v>0.2</v>
      </c>
      <c r="O1028" s="1">
        <f t="shared" ca="1" si="303"/>
        <v>0.2</v>
      </c>
      <c r="P1028" s="1">
        <f t="shared" ca="1" si="303"/>
        <v>0.36</v>
      </c>
      <c r="Q1028" s="1">
        <f t="shared" ca="1" si="303"/>
        <v>0.1</v>
      </c>
      <c r="R1028" s="1">
        <f t="shared" ca="1" si="303"/>
        <v>2</v>
      </c>
      <c r="S1028" s="1">
        <f t="shared" ca="1" si="304"/>
        <v>0.1</v>
      </c>
      <c r="T1028" s="1">
        <f t="shared" ca="1" si="304"/>
        <v>1.1700000000000002</v>
      </c>
      <c r="U1028" s="1">
        <f t="shared" ca="1" si="304"/>
        <v>69.599999999999994</v>
      </c>
      <c r="V1028" s="1">
        <f t="shared" ca="1" si="304"/>
        <v>0</v>
      </c>
      <c r="W1028" s="1">
        <f t="shared" ca="1" si="304"/>
        <v>145.19627329192545</v>
      </c>
      <c r="X1028" s="1">
        <f t="shared" ca="1" si="304"/>
        <v>0</v>
      </c>
      <c r="Y1028" s="1">
        <f t="shared" ca="1" si="304"/>
        <v>0</v>
      </c>
      <c r="Z1028" s="1">
        <f t="shared" ca="1" si="304"/>
        <v>0</v>
      </c>
      <c r="AA1028" s="1">
        <f t="shared" ca="1" si="304"/>
        <v>0</v>
      </c>
      <c r="AB1028" s="1">
        <f t="shared" ca="1" si="300"/>
        <v>0</v>
      </c>
      <c r="AC1028" s="1">
        <f t="shared" ca="1" si="304"/>
        <v>51.000300000000003</v>
      </c>
      <c r="AD1028" s="1">
        <f t="shared" ca="1" si="304"/>
        <v>76.500450000000001</v>
      </c>
      <c r="AE1028" s="1">
        <f t="shared" ca="1" si="304"/>
        <v>51.000300000000003</v>
      </c>
      <c r="AF1028" s="1">
        <f t="shared" ca="1" si="304"/>
        <v>51.000300000000003</v>
      </c>
      <c r="AG1028" s="1">
        <f t="shared" ca="1" si="304"/>
        <v>51.000300000000003</v>
      </c>
      <c r="AH1028" s="1">
        <f t="shared" ca="1" si="304"/>
        <v>51.000300000000003</v>
      </c>
      <c r="AI1028" s="1">
        <f t="shared" ca="1" si="288"/>
        <v>51.000300000000003</v>
      </c>
    </row>
    <row r="1029" spans="2:35" x14ac:dyDescent="0.15">
      <c r="B1029" s="1" t="str">
        <f t="shared" si="302"/>
        <v>风系37</v>
      </c>
      <c r="C1029" s="1">
        <f t="shared" si="295"/>
        <v>37</v>
      </c>
      <c r="D1029" s="14" t="s">
        <v>100</v>
      </c>
      <c r="E1029" s="14">
        <f t="shared" si="296"/>
        <v>11</v>
      </c>
      <c r="F1029" s="1" t="str">
        <f t="shared" si="305"/>
        <v>地脉</v>
      </c>
      <c r="H1029" s="1">
        <f t="shared" ca="1" si="301"/>
        <v>1088.0026152780299</v>
      </c>
      <c r="I1029" s="1">
        <f t="shared" ca="1" si="303"/>
        <v>150</v>
      </c>
      <c r="J1029" s="1">
        <f t="shared" ca="1" si="303"/>
        <v>456.85958646616501</v>
      </c>
      <c r="K1029" s="1">
        <f t="shared" ca="1" si="303"/>
        <v>52.416975000000001</v>
      </c>
      <c r="L1029" s="1">
        <f t="shared" ca="1" si="303"/>
        <v>456.85958646616501</v>
      </c>
      <c r="M1029" s="1">
        <f t="shared" ca="1" si="303"/>
        <v>52.416975000000001</v>
      </c>
      <c r="N1029" s="1">
        <f t="shared" ca="1" si="303"/>
        <v>0.2</v>
      </c>
      <c r="O1029" s="1">
        <f t="shared" ca="1" si="303"/>
        <v>0.2</v>
      </c>
      <c r="P1029" s="1">
        <f t="shared" ca="1" si="303"/>
        <v>0.36</v>
      </c>
      <c r="Q1029" s="1">
        <f t="shared" ca="1" si="303"/>
        <v>0.1</v>
      </c>
      <c r="R1029" s="1">
        <f t="shared" ca="1" si="303"/>
        <v>2</v>
      </c>
      <c r="S1029" s="1">
        <f t="shared" ca="1" si="304"/>
        <v>0.1</v>
      </c>
      <c r="T1029" s="1">
        <f t="shared" ca="1" si="304"/>
        <v>1.1700000000000002</v>
      </c>
      <c r="U1029" s="1">
        <f t="shared" ca="1" si="304"/>
        <v>71.533333333333303</v>
      </c>
      <c r="V1029" s="1">
        <f t="shared" ca="1" si="304"/>
        <v>0</v>
      </c>
      <c r="W1029" s="1">
        <f t="shared" ca="1" si="304"/>
        <v>155.5564849624065</v>
      </c>
      <c r="X1029" s="1">
        <f t="shared" ca="1" si="304"/>
        <v>0</v>
      </c>
      <c r="Y1029" s="1">
        <f t="shared" ca="1" si="304"/>
        <v>0</v>
      </c>
      <c r="Z1029" s="1">
        <f t="shared" ca="1" si="304"/>
        <v>0</v>
      </c>
      <c r="AA1029" s="1">
        <f t="shared" ca="1" si="304"/>
        <v>0</v>
      </c>
      <c r="AB1029" s="1">
        <f t="shared" ca="1" si="304"/>
        <v>0</v>
      </c>
      <c r="AC1029" s="1">
        <f t="shared" ca="1" si="304"/>
        <v>52.416975000000001</v>
      </c>
      <c r="AD1029" s="1">
        <f t="shared" ca="1" si="304"/>
        <v>78.625462499999998</v>
      </c>
      <c r="AE1029" s="1">
        <f t="shared" ca="1" si="304"/>
        <v>52.416975000000001</v>
      </c>
      <c r="AF1029" s="1">
        <f t="shared" ca="1" si="304"/>
        <v>52.416975000000001</v>
      </c>
      <c r="AG1029" s="1">
        <f t="shared" ca="1" si="304"/>
        <v>52.416975000000001</v>
      </c>
      <c r="AH1029" s="1">
        <f t="shared" ca="1" si="304"/>
        <v>52.416975000000001</v>
      </c>
      <c r="AI1029" s="1">
        <f t="shared" ca="1" si="288"/>
        <v>52.416975000000001</v>
      </c>
    </row>
    <row r="1030" spans="2:35" x14ac:dyDescent="0.15">
      <c r="B1030" s="1" t="str">
        <f t="shared" si="302"/>
        <v>风系38</v>
      </c>
      <c r="C1030" s="1">
        <f t="shared" si="295"/>
        <v>38</v>
      </c>
      <c r="D1030" s="14" t="s">
        <v>100</v>
      </c>
      <c r="E1030" s="14">
        <f t="shared" si="296"/>
        <v>11</v>
      </c>
      <c r="F1030" s="1" t="str">
        <f t="shared" si="305"/>
        <v>地脉</v>
      </c>
      <c r="H1030" s="1">
        <f t="shared" ca="1" si="301"/>
        <v>1123.4156617503199</v>
      </c>
      <c r="I1030" s="1">
        <f t="shared" ca="1" si="303"/>
        <v>150</v>
      </c>
      <c r="J1030" s="1">
        <f t="shared" ca="1" si="303"/>
        <v>472.98470290771201</v>
      </c>
      <c r="K1030" s="1">
        <f t="shared" ca="1" si="303"/>
        <v>53.833649999999999</v>
      </c>
      <c r="L1030" s="1">
        <f t="shared" ca="1" si="303"/>
        <v>472.98470290771201</v>
      </c>
      <c r="M1030" s="1">
        <f t="shared" ca="1" si="303"/>
        <v>53.833649999999999</v>
      </c>
      <c r="N1030" s="1">
        <f t="shared" ca="1" si="303"/>
        <v>0.2</v>
      </c>
      <c r="O1030" s="1">
        <f t="shared" ca="1" si="303"/>
        <v>0.2</v>
      </c>
      <c r="P1030" s="1">
        <f t="shared" ca="1" si="303"/>
        <v>0.36</v>
      </c>
      <c r="Q1030" s="1">
        <f t="shared" ca="1" si="303"/>
        <v>0.1</v>
      </c>
      <c r="R1030" s="1">
        <f t="shared" ca="1" si="303"/>
        <v>2</v>
      </c>
      <c r="S1030" s="1">
        <f t="shared" ca="1" si="304"/>
        <v>0.1</v>
      </c>
      <c r="T1030" s="1">
        <f t="shared" ca="1" si="304"/>
        <v>1.1700000000000002</v>
      </c>
      <c r="U1030" s="1">
        <f t="shared" ca="1" si="304"/>
        <v>73.466666666666697</v>
      </c>
      <c r="V1030" s="1">
        <f t="shared" ca="1" si="304"/>
        <v>0</v>
      </c>
      <c r="W1030" s="1">
        <f t="shared" ca="1" si="304"/>
        <v>166.42054361567699</v>
      </c>
      <c r="X1030" s="1">
        <f t="shared" ca="1" si="304"/>
        <v>0</v>
      </c>
      <c r="Y1030" s="1">
        <f t="shared" ca="1" si="304"/>
        <v>0</v>
      </c>
      <c r="Z1030" s="1">
        <f t="shared" ca="1" si="304"/>
        <v>0</v>
      </c>
      <c r="AA1030" s="1">
        <f t="shared" ca="1" si="304"/>
        <v>0</v>
      </c>
      <c r="AB1030" s="1">
        <f t="shared" ca="1" si="304"/>
        <v>0</v>
      </c>
      <c r="AC1030" s="1">
        <f t="shared" ca="1" si="304"/>
        <v>53.833649999999999</v>
      </c>
      <c r="AD1030" s="1">
        <f t="shared" ca="1" si="304"/>
        <v>80.750474999999994</v>
      </c>
      <c r="AE1030" s="1">
        <f t="shared" ca="1" si="304"/>
        <v>53.833649999999999</v>
      </c>
      <c r="AF1030" s="1">
        <f t="shared" ca="1" si="304"/>
        <v>53.833649999999999</v>
      </c>
      <c r="AG1030" s="1">
        <f t="shared" ca="1" si="304"/>
        <v>53.833649999999999</v>
      </c>
      <c r="AH1030" s="1">
        <f t="shared" ca="1" si="304"/>
        <v>53.833649999999999</v>
      </c>
      <c r="AI1030" s="1">
        <f t="shared" ca="1" si="288"/>
        <v>53.833649999999999</v>
      </c>
    </row>
    <row r="1031" spans="2:35" x14ac:dyDescent="0.15">
      <c r="B1031" s="1" t="str">
        <f t="shared" si="302"/>
        <v>风系39</v>
      </c>
      <c r="C1031" s="1">
        <f t="shared" si="295"/>
        <v>39</v>
      </c>
      <c r="D1031" s="14" t="s">
        <v>100</v>
      </c>
      <c r="E1031" s="14">
        <f t="shared" si="296"/>
        <v>11</v>
      </c>
      <c r="F1031" s="1" t="str">
        <f t="shared" si="305"/>
        <v>地脉</v>
      </c>
      <c r="H1031" s="1">
        <f t="shared" ca="1" si="301"/>
        <v>1159.1448961375399</v>
      </c>
      <c r="I1031" s="1">
        <f t="shared" ca="1" si="303"/>
        <v>150</v>
      </c>
      <c r="J1031" s="1">
        <f t="shared" ca="1" si="303"/>
        <v>489.34553571428597</v>
      </c>
      <c r="K1031" s="1">
        <f t="shared" ca="1" si="303"/>
        <v>55.250324999999997</v>
      </c>
      <c r="L1031" s="1">
        <f t="shared" ca="1" si="303"/>
        <v>489.34553571428597</v>
      </c>
      <c r="M1031" s="1">
        <f t="shared" ca="1" si="303"/>
        <v>55.250324999999997</v>
      </c>
      <c r="N1031" s="1">
        <f t="shared" ca="1" si="303"/>
        <v>0.2</v>
      </c>
      <c r="O1031" s="1">
        <f t="shared" ca="1" si="303"/>
        <v>0.2</v>
      </c>
      <c r="P1031" s="1">
        <f t="shared" ca="1" si="303"/>
        <v>0.36</v>
      </c>
      <c r="Q1031" s="1">
        <f t="shared" ca="1" si="303"/>
        <v>0.1</v>
      </c>
      <c r="R1031" s="1">
        <f t="shared" ca="1" si="303"/>
        <v>2</v>
      </c>
      <c r="S1031" s="1">
        <f t="shared" ca="1" si="304"/>
        <v>0.1</v>
      </c>
      <c r="T1031" s="1">
        <f t="shared" ca="1" si="304"/>
        <v>1.1700000000000002</v>
      </c>
      <c r="U1031" s="1">
        <f t="shared" ca="1" si="304"/>
        <v>75.400000000000006</v>
      </c>
      <c r="V1031" s="1">
        <f t="shared" ca="1" si="304"/>
        <v>0</v>
      </c>
      <c r="W1031" s="1">
        <f t="shared" ca="1" si="304"/>
        <v>177.8056760204085</v>
      </c>
      <c r="X1031" s="1">
        <f t="shared" ca="1" si="304"/>
        <v>0</v>
      </c>
      <c r="Y1031" s="1">
        <f t="shared" ca="1" si="304"/>
        <v>0</v>
      </c>
      <c r="Z1031" s="1">
        <f t="shared" ca="1" si="304"/>
        <v>0</v>
      </c>
      <c r="AA1031" s="1">
        <f t="shared" ca="1" si="304"/>
        <v>0</v>
      </c>
      <c r="AB1031" s="1">
        <f t="shared" ca="1" si="304"/>
        <v>0</v>
      </c>
      <c r="AC1031" s="1">
        <f t="shared" ca="1" si="304"/>
        <v>55.250324999999997</v>
      </c>
      <c r="AD1031" s="1">
        <f t="shared" ca="1" si="304"/>
        <v>82.875487499999991</v>
      </c>
      <c r="AE1031" s="1">
        <f t="shared" ca="1" si="304"/>
        <v>55.250324999999997</v>
      </c>
      <c r="AF1031" s="1">
        <f t="shared" ca="1" si="304"/>
        <v>55.250324999999997</v>
      </c>
      <c r="AG1031" s="1">
        <f t="shared" ca="1" si="304"/>
        <v>55.250324999999997</v>
      </c>
      <c r="AH1031" s="1">
        <f t="shared" ca="1" si="304"/>
        <v>55.250324999999997</v>
      </c>
      <c r="AI1031" s="1">
        <f t="shared" ca="1" si="288"/>
        <v>55.250324999999997</v>
      </c>
    </row>
    <row r="1032" spans="2:35" x14ac:dyDescent="0.15">
      <c r="B1032" s="1" t="str">
        <f t="shared" si="302"/>
        <v>风系40</v>
      </c>
      <c r="C1032" s="1">
        <f t="shared" si="295"/>
        <v>40</v>
      </c>
      <c r="D1032" s="14" t="s">
        <v>100</v>
      </c>
      <c r="E1032" s="14">
        <f t="shared" si="296"/>
        <v>11</v>
      </c>
      <c r="F1032" s="1" t="str">
        <f t="shared" si="305"/>
        <v>地脉</v>
      </c>
      <c r="H1032" s="1">
        <f t="shared" ca="1" si="301"/>
        <v>1195.1903184396899</v>
      </c>
      <c r="I1032" s="1">
        <f t="shared" ca="1" si="303"/>
        <v>150</v>
      </c>
      <c r="J1032" s="1">
        <f t="shared" ca="1" si="303"/>
        <v>505.94594594594599</v>
      </c>
      <c r="K1032" s="1">
        <f t="shared" ca="1" si="303"/>
        <v>56.667000000000002</v>
      </c>
      <c r="L1032" s="1">
        <f t="shared" ca="1" si="303"/>
        <v>505.94594594594599</v>
      </c>
      <c r="M1032" s="1">
        <f t="shared" ca="1" si="303"/>
        <v>56.667000000000002</v>
      </c>
      <c r="N1032" s="1">
        <f t="shared" ca="1" si="303"/>
        <v>0.2</v>
      </c>
      <c r="O1032" s="1">
        <f t="shared" ca="1" si="303"/>
        <v>0.2</v>
      </c>
      <c r="P1032" s="1">
        <f t="shared" ca="1" si="303"/>
        <v>0.36</v>
      </c>
      <c r="Q1032" s="1">
        <f t="shared" ca="1" si="303"/>
        <v>0.1</v>
      </c>
      <c r="R1032" s="1">
        <f t="shared" ca="1" si="303"/>
        <v>2</v>
      </c>
      <c r="S1032" s="1">
        <f t="shared" ca="1" si="304"/>
        <v>0.1</v>
      </c>
      <c r="T1032" s="1">
        <f t="shared" ca="1" si="304"/>
        <v>1.1700000000000002</v>
      </c>
      <c r="U1032" s="1">
        <f t="shared" ca="1" si="304"/>
        <v>77.3333333333333</v>
      </c>
      <c r="V1032" s="1">
        <f t="shared" ca="1" si="304"/>
        <v>0</v>
      </c>
      <c r="W1032" s="1">
        <f t="shared" ca="1" si="304"/>
        <v>189.72972972973048</v>
      </c>
      <c r="X1032" s="1">
        <f t="shared" ca="1" si="304"/>
        <v>0</v>
      </c>
      <c r="Y1032" s="1">
        <f t="shared" ca="1" si="304"/>
        <v>0</v>
      </c>
      <c r="Z1032" s="1">
        <f t="shared" ca="1" si="304"/>
        <v>0</v>
      </c>
      <c r="AA1032" s="1">
        <f t="shared" ca="1" si="304"/>
        <v>0</v>
      </c>
      <c r="AB1032" s="1">
        <f t="shared" ca="1" si="304"/>
        <v>0</v>
      </c>
      <c r="AC1032" s="1">
        <f t="shared" ca="1" si="304"/>
        <v>56.667000000000002</v>
      </c>
      <c r="AD1032" s="1">
        <f t="shared" ca="1" si="304"/>
        <v>85.000500000000002</v>
      </c>
      <c r="AE1032" s="1">
        <f t="shared" ca="1" si="304"/>
        <v>56.667000000000002</v>
      </c>
      <c r="AF1032" s="1">
        <f t="shared" ca="1" si="304"/>
        <v>56.667000000000002</v>
      </c>
      <c r="AG1032" s="1">
        <f t="shared" ca="1" si="304"/>
        <v>56.667000000000002</v>
      </c>
      <c r="AH1032" s="1">
        <f t="shared" ca="1" si="304"/>
        <v>56.667000000000002</v>
      </c>
      <c r="AI1032" s="1">
        <f t="shared" ca="1" si="288"/>
        <v>56.667000000000002</v>
      </c>
    </row>
    <row r="1033" spans="2:35" x14ac:dyDescent="0.15">
      <c r="B1033" s="1" t="str">
        <f t="shared" si="302"/>
        <v>风系41</v>
      </c>
      <c r="C1033" s="1">
        <f t="shared" si="295"/>
        <v>41</v>
      </c>
      <c r="D1033" s="14" t="s">
        <v>100</v>
      </c>
      <c r="E1033" s="14">
        <f t="shared" si="296"/>
        <v>11</v>
      </c>
      <c r="F1033" s="1" t="str">
        <f t="shared" si="305"/>
        <v>地脉</v>
      </c>
      <c r="H1033" s="1">
        <f t="shared" ca="1" si="301"/>
        <v>1231.5519286567701</v>
      </c>
      <c r="I1033" s="1">
        <f t="shared" ref="I1033:R1042" ca="1" si="306">mVlookup($C1033,monsterBaseDate,I$2,FALSE)*(1+mVlookup($E1033,monsterType,I$2,FALSE))</f>
        <v>150</v>
      </c>
      <c r="J1033" s="1">
        <f t="shared" ca="1" si="306"/>
        <v>522.78993506493498</v>
      </c>
      <c r="K1033" s="1">
        <f t="shared" ca="1" si="306"/>
        <v>58.083674999999999</v>
      </c>
      <c r="L1033" s="1">
        <f t="shared" ca="1" si="306"/>
        <v>522.78993506493498</v>
      </c>
      <c r="M1033" s="1">
        <f t="shared" ca="1" si="306"/>
        <v>58.083674999999999</v>
      </c>
      <c r="N1033" s="1">
        <f t="shared" ca="1" si="306"/>
        <v>0.2</v>
      </c>
      <c r="O1033" s="1">
        <f t="shared" ca="1" si="306"/>
        <v>0.2</v>
      </c>
      <c r="P1033" s="1">
        <f t="shared" ca="1" si="306"/>
        <v>0.36</v>
      </c>
      <c r="Q1033" s="1">
        <f t="shared" ca="1" si="306"/>
        <v>0.1</v>
      </c>
      <c r="R1033" s="1">
        <f t="shared" ca="1" si="306"/>
        <v>2</v>
      </c>
      <c r="S1033" s="1">
        <f t="shared" ref="S1033:AH1048" ca="1" si="307">mVlookup($C1033,monsterBaseDate,S$2,FALSE)*(1+mVlookup($E1033,monsterType,S$2,FALSE))</f>
        <v>0.1</v>
      </c>
      <c r="T1033" s="1">
        <f t="shared" ca="1" si="307"/>
        <v>1.1700000000000002</v>
      </c>
      <c r="U1033" s="1">
        <f t="shared" ca="1" si="307"/>
        <v>79.266666666666694</v>
      </c>
      <c r="V1033" s="1">
        <f t="shared" ca="1" si="307"/>
        <v>0</v>
      </c>
      <c r="W1033" s="1">
        <f t="shared" ca="1" si="307"/>
        <v>202.21120129870201</v>
      </c>
      <c r="X1033" s="1">
        <f t="shared" ca="1" si="307"/>
        <v>0</v>
      </c>
      <c r="Y1033" s="1">
        <f t="shared" ca="1" si="307"/>
        <v>0</v>
      </c>
      <c r="Z1033" s="1">
        <f t="shared" ca="1" si="307"/>
        <v>0</v>
      </c>
      <c r="AA1033" s="1">
        <f t="shared" ca="1" si="307"/>
        <v>0</v>
      </c>
      <c r="AB1033" s="1">
        <f t="shared" ca="1" si="304"/>
        <v>0</v>
      </c>
      <c r="AC1033" s="1">
        <f t="shared" ca="1" si="307"/>
        <v>58.083674999999999</v>
      </c>
      <c r="AD1033" s="1">
        <f t="shared" ca="1" si="307"/>
        <v>87.125512499999999</v>
      </c>
      <c r="AE1033" s="1">
        <f t="shared" ca="1" si="307"/>
        <v>58.083674999999999</v>
      </c>
      <c r="AF1033" s="1">
        <f t="shared" ca="1" si="307"/>
        <v>58.083674999999999</v>
      </c>
      <c r="AG1033" s="1">
        <f t="shared" ca="1" si="307"/>
        <v>58.083674999999999</v>
      </c>
      <c r="AH1033" s="1">
        <f t="shared" ca="1" si="307"/>
        <v>58.083674999999999</v>
      </c>
      <c r="AI1033" s="1">
        <f t="shared" ca="1" si="288"/>
        <v>58.083674999999999</v>
      </c>
    </row>
    <row r="1034" spans="2:35" x14ac:dyDescent="0.15">
      <c r="B1034" s="1" t="str">
        <f t="shared" si="302"/>
        <v>风系42</v>
      </c>
      <c r="C1034" s="1">
        <f t="shared" si="295"/>
        <v>42</v>
      </c>
      <c r="D1034" s="14" t="s">
        <v>100</v>
      </c>
      <c r="E1034" s="14">
        <f t="shared" si="296"/>
        <v>11</v>
      </c>
      <c r="F1034" s="1" t="str">
        <f t="shared" si="305"/>
        <v>地脉</v>
      </c>
      <c r="H1034" s="1">
        <f t="shared" ca="1" si="301"/>
        <v>1268.22972678878</v>
      </c>
      <c r="I1034" s="1">
        <f t="shared" ca="1" si="306"/>
        <v>150</v>
      </c>
      <c r="J1034" s="1">
        <f t="shared" ca="1" si="306"/>
        <v>539.88165137614703</v>
      </c>
      <c r="K1034" s="1">
        <f t="shared" ca="1" si="306"/>
        <v>59.500349999999997</v>
      </c>
      <c r="L1034" s="1">
        <f t="shared" ca="1" si="306"/>
        <v>539.88165137614703</v>
      </c>
      <c r="M1034" s="1">
        <f t="shared" ca="1" si="306"/>
        <v>59.500349999999997</v>
      </c>
      <c r="N1034" s="1">
        <f t="shared" ca="1" si="306"/>
        <v>0.2</v>
      </c>
      <c r="O1034" s="1">
        <f t="shared" ca="1" si="306"/>
        <v>0.2</v>
      </c>
      <c r="P1034" s="1">
        <f t="shared" ca="1" si="306"/>
        <v>0.36</v>
      </c>
      <c r="Q1034" s="1">
        <f t="shared" ca="1" si="306"/>
        <v>0.1</v>
      </c>
      <c r="R1034" s="1">
        <f t="shared" ca="1" si="306"/>
        <v>2</v>
      </c>
      <c r="S1034" s="1">
        <f t="shared" ca="1" si="307"/>
        <v>0.1</v>
      </c>
      <c r="T1034" s="1">
        <f t="shared" ca="1" si="307"/>
        <v>1.1700000000000002</v>
      </c>
      <c r="U1034" s="1">
        <f t="shared" ca="1" si="307"/>
        <v>81.2</v>
      </c>
      <c r="V1034" s="1">
        <f t="shared" ca="1" si="307"/>
        <v>0</v>
      </c>
      <c r="W1034" s="1">
        <f t="shared" ca="1" si="307"/>
        <v>215.26926605504551</v>
      </c>
      <c r="X1034" s="1">
        <f t="shared" ca="1" si="307"/>
        <v>0</v>
      </c>
      <c r="Y1034" s="1">
        <f t="shared" ca="1" si="307"/>
        <v>0</v>
      </c>
      <c r="Z1034" s="1">
        <f t="shared" ca="1" si="307"/>
        <v>0</v>
      </c>
      <c r="AA1034" s="1">
        <f t="shared" ca="1" si="307"/>
        <v>0</v>
      </c>
      <c r="AB1034" s="1">
        <f t="shared" ca="1" si="304"/>
        <v>0</v>
      </c>
      <c r="AC1034" s="1">
        <f t="shared" ca="1" si="307"/>
        <v>59.500349999999997</v>
      </c>
      <c r="AD1034" s="1">
        <f t="shared" ca="1" si="307"/>
        <v>89.250524999999996</v>
      </c>
      <c r="AE1034" s="1">
        <f t="shared" ca="1" si="307"/>
        <v>59.500349999999997</v>
      </c>
      <c r="AF1034" s="1">
        <f t="shared" ca="1" si="307"/>
        <v>59.500349999999997</v>
      </c>
      <c r="AG1034" s="1">
        <f t="shared" ca="1" si="307"/>
        <v>59.500349999999997</v>
      </c>
      <c r="AH1034" s="1">
        <f t="shared" ca="1" si="307"/>
        <v>59.500349999999997</v>
      </c>
      <c r="AI1034" s="1">
        <f t="shared" ca="1" si="288"/>
        <v>59.500349999999997</v>
      </c>
    </row>
    <row r="1035" spans="2:35" x14ac:dyDescent="0.15">
      <c r="B1035" s="1" t="str">
        <f t="shared" si="302"/>
        <v>风系43</v>
      </c>
      <c r="C1035" s="1">
        <f t="shared" si="295"/>
        <v>43</v>
      </c>
      <c r="D1035" s="14" t="s">
        <v>100</v>
      </c>
      <c r="E1035" s="14">
        <f t="shared" si="296"/>
        <v>11</v>
      </c>
      <c r="F1035" s="1" t="str">
        <f t="shared" si="305"/>
        <v>地脉</v>
      </c>
      <c r="H1035" s="1">
        <f t="shared" ca="1" si="301"/>
        <v>1305.2237128357201</v>
      </c>
      <c r="I1035" s="1">
        <f t="shared" ca="1" si="306"/>
        <v>150</v>
      </c>
      <c r="J1035" s="1">
        <f t="shared" ca="1" si="306"/>
        <v>557.22539682539696</v>
      </c>
      <c r="K1035" s="1">
        <f t="shared" ca="1" si="306"/>
        <v>60.917025000000002</v>
      </c>
      <c r="L1035" s="1">
        <f t="shared" ca="1" si="306"/>
        <v>557.22539682539696</v>
      </c>
      <c r="M1035" s="1">
        <f t="shared" ca="1" si="306"/>
        <v>60.917025000000002</v>
      </c>
      <c r="N1035" s="1">
        <f t="shared" ca="1" si="306"/>
        <v>0.2</v>
      </c>
      <c r="O1035" s="1">
        <f t="shared" ca="1" si="306"/>
        <v>0.2</v>
      </c>
      <c r="P1035" s="1">
        <f t="shared" ca="1" si="306"/>
        <v>0.36</v>
      </c>
      <c r="Q1035" s="1">
        <f t="shared" ca="1" si="306"/>
        <v>0.1</v>
      </c>
      <c r="R1035" s="1">
        <f t="shared" ca="1" si="306"/>
        <v>2</v>
      </c>
      <c r="S1035" s="1">
        <f t="shared" ca="1" si="307"/>
        <v>0.1</v>
      </c>
      <c r="T1035" s="1">
        <f t="shared" ca="1" si="307"/>
        <v>1.1700000000000002</v>
      </c>
      <c r="U1035" s="1">
        <f t="shared" ca="1" si="307"/>
        <v>83.133333333333297</v>
      </c>
      <c r="V1035" s="1">
        <f t="shared" ca="1" si="307"/>
        <v>0</v>
      </c>
      <c r="W1035" s="1">
        <f t="shared" ca="1" si="307"/>
        <v>228.9238095238095</v>
      </c>
      <c r="X1035" s="1">
        <f t="shared" ca="1" si="307"/>
        <v>0</v>
      </c>
      <c r="Y1035" s="1">
        <f t="shared" ca="1" si="307"/>
        <v>0</v>
      </c>
      <c r="Z1035" s="1">
        <f t="shared" ca="1" si="307"/>
        <v>0</v>
      </c>
      <c r="AA1035" s="1">
        <f t="shared" ca="1" si="307"/>
        <v>0</v>
      </c>
      <c r="AB1035" s="1">
        <f t="shared" ca="1" si="304"/>
        <v>0</v>
      </c>
      <c r="AC1035" s="1">
        <f t="shared" ca="1" si="307"/>
        <v>60.917025000000002</v>
      </c>
      <c r="AD1035" s="1">
        <f t="shared" ca="1" si="307"/>
        <v>91.375537500000007</v>
      </c>
      <c r="AE1035" s="1">
        <f t="shared" ca="1" si="307"/>
        <v>60.917025000000002</v>
      </c>
      <c r="AF1035" s="1">
        <f t="shared" ca="1" si="307"/>
        <v>60.917025000000002</v>
      </c>
      <c r="AG1035" s="1">
        <f t="shared" ca="1" si="307"/>
        <v>60.917025000000002</v>
      </c>
      <c r="AH1035" s="1">
        <f t="shared" ca="1" si="307"/>
        <v>60.917025000000002</v>
      </c>
      <c r="AI1035" s="1">
        <f t="shared" ca="1" si="288"/>
        <v>60.917025000000002</v>
      </c>
    </row>
    <row r="1036" spans="2:35" x14ac:dyDescent="0.15">
      <c r="B1036" s="1" t="str">
        <f t="shared" si="302"/>
        <v>风系44</v>
      </c>
      <c r="C1036" s="1">
        <f t="shared" si="295"/>
        <v>44</v>
      </c>
      <c r="D1036" s="14" t="s">
        <v>100</v>
      </c>
      <c r="E1036" s="14">
        <f t="shared" si="296"/>
        <v>11</v>
      </c>
      <c r="F1036" s="1" t="str">
        <f t="shared" si="305"/>
        <v>地脉</v>
      </c>
      <c r="H1036" s="1">
        <f t="shared" ca="1" si="301"/>
        <v>1342.53388679759</v>
      </c>
      <c r="I1036" s="1">
        <f t="shared" ca="1" si="306"/>
        <v>150</v>
      </c>
      <c r="J1036" s="1">
        <f t="shared" ca="1" si="306"/>
        <v>574.82563417890503</v>
      </c>
      <c r="K1036" s="1">
        <f t="shared" ca="1" si="306"/>
        <v>62.3337</v>
      </c>
      <c r="L1036" s="1">
        <f t="shared" ca="1" si="306"/>
        <v>574.82563417890503</v>
      </c>
      <c r="M1036" s="1">
        <f t="shared" ca="1" si="306"/>
        <v>62.3337</v>
      </c>
      <c r="N1036" s="1">
        <f t="shared" ca="1" si="306"/>
        <v>0.2</v>
      </c>
      <c r="O1036" s="1">
        <f t="shared" ca="1" si="306"/>
        <v>0.2</v>
      </c>
      <c r="P1036" s="1">
        <f t="shared" ca="1" si="306"/>
        <v>0.36</v>
      </c>
      <c r="Q1036" s="1">
        <f t="shared" ca="1" si="306"/>
        <v>0.1</v>
      </c>
      <c r="R1036" s="1">
        <f t="shared" ca="1" si="306"/>
        <v>2</v>
      </c>
      <c r="S1036" s="1">
        <f t="shared" ca="1" si="307"/>
        <v>0.1</v>
      </c>
      <c r="T1036" s="1">
        <f t="shared" ca="1" si="307"/>
        <v>1.1700000000000002</v>
      </c>
      <c r="U1036" s="1">
        <f t="shared" ca="1" si="307"/>
        <v>85.066666666666706</v>
      </c>
      <c r="V1036" s="1">
        <f t="shared" ca="1" si="307"/>
        <v>0</v>
      </c>
      <c r="W1036" s="1">
        <f t="shared" ca="1" si="307"/>
        <v>243.19546061415303</v>
      </c>
      <c r="X1036" s="1">
        <f t="shared" ca="1" si="307"/>
        <v>0</v>
      </c>
      <c r="Y1036" s="1">
        <f t="shared" ca="1" si="307"/>
        <v>0</v>
      </c>
      <c r="Z1036" s="1">
        <f t="shared" ca="1" si="307"/>
        <v>0</v>
      </c>
      <c r="AA1036" s="1">
        <f t="shared" ca="1" si="307"/>
        <v>0</v>
      </c>
      <c r="AB1036" s="1">
        <f t="shared" ca="1" si="304"/>
        <v>0</v>
      </c>
      <c r="AC1036" s="1">
        <f t="shared" ca="1" si="307"/>
        <v>62.3337</v>
      </c>
      <c r="AD1036" s="1">
        <f t="shared" ca="1" si="307"/>
        <v>93.500550000000004</v>
      </c>
      <c r="AE1036" s="1">
        <f t="shared" ca="1" si="307"/>
        <v>62.3337</v>
      </c>
      <c r="AF1036" s="1">
        <f t="shared" ca="1" si="307"/>
        <v>62.3337</v>
      </c>
      <c r="AG1036" s="1">
        <f t="shared" ca="1" si="307"/>
        <v>62.3337</v>
      </c>
      <c r="AH1036" s="1">
        <f t="shared" ca="1" si="307"/>
        <v>62.3337</v>
      </c>
      <c r="AI1036" s="1">
        <f t="shared" ca="1" si="288"/>
        <v>62.3337</v>
      </c>
    </row>
    <row r="1037" spans="2:35" x14ac:dyDescent="0.15">
      <c r="B1037" s="1" t="str">
        <f t="shared" si="302"/>
        <v>风系45</v>
      </c>
      <c r="C1037" s="1">
        <f t="shared" si="295"/>
        <v>45</v>
      </c>
      <c r="D1037" s="14" t="s">
        <v>100</v>
      </c>
      <c r="E1037" s="14">
        <f t="shared" si="296"/>
        <v>11</v>
      </c>
      <c r="F1037" s="1" t="str">
        <f t="shared" si="305"/>
        <v>地脉</v>
      </c>
      <c r="H1037" s="1">
        <f t="shared" ca="1" si="301"/>
        <v>1433.4145567624901</v>
      </c>
      <c r="I1037" s="1">
        <f t="shared" ca="1" si="306"/>
        <v>150</v>
      </c>
      <c r="J1037" s="1">
        <f t="shared" ca="1" si="306"/>
        <v>592.68699460916503</v>
      </c>
      <c r="K1037" s="1">
        <f t="shared" ca="1" si="306"/>
        <v>63.750374999999998</v>
      </c>
      <c r="L1037" s="1">
        <f t="shared" ca="1" si="306"/>
        <v>592.68699460916503</v>
      </c>
      <c r="M1037" s="1">
        <f t="shared" ca="1" si="306"/>
        <v>63.750374999999998</v>
      </c>
      <c r="N1037" s="1">
        <f t="shared" ca="1" si="306"/>
        <v>0.2</v>
      </c>
      <c r="O1037" s="1">
        <f t="shared" ca="1" si="306"/>
        <v>0.2</v>
      </c>
      <c r="P1037" s="1">
        <f t="shared" ca="1" si="306"/>
        <v>0.36</v>
      </c>
      <c r="Q1037" s="1">
        <f t="shared" ca="1" si="306"/>
        <v>0.1</v>
      </c>
      <c r="R1037" s="1">
        <f t="shared" ca="1" si="306"/>
        <v>2</v>
      </c>
      <c r="S1037" s="1">
        <f t="shared" ca="1" si="307"/>
        <v>0.1</v>
      </c>
      <c r="T1037" s="1">
        <f t="shared" ca="1" si="307"/>
        <v>1.1700000000000002</v>
      </c>
      <c r="U1037" s="1">
        <f t="shared" ca="1" si="307"/>
        <v>87</v>
      </c>
      <c r="V1037" s="1">
        <f t="shared" ca="1" si="307"/>
        <v>0</v>
      </c>
      <c r="W1037" s="1">
        <f t="shared" ca="1" si="307"/>
        <v>258.105626684637</v>
      </c>
      <c r="X1037" s="1">
        <f t="shared" ca="1" si="307"/>
        <v>0</v>
      </c>
      <c r="Y1037" s="1">
        <f t="shared" ca="1" si="307"/>
        <v>0</v>
      </c>
      <c r="Z1037" s="1">
        <f t="shared" ca="1" si="307"/>
        <v>0</v>
      </c>
      <c r="AA1037" s="1">
        <f t="shared" ca="1" si="307"/>
        <v>0</v>
      </c>
      <c r="AB1037" s="1">
        <f t="shared" ca="1" si="304"/>
        <v>0</v>
      </c>
      <c r="AC1037" s="1">
        <f t="shared" ca="1" si="307"/>
        <v>63.750374999999998</v>
      </c>
      <c r="AD1037" s="1">
        <f t="shared" ca="1" si="307"/>
        <v>95.625562500000001</v>
      </c>
      <c r="AE1037" s="1">
        <f t="shared" ca="1" si="307"/>
        <v>63.750374999999998</v>
      </c>
      <c r="AF1037" s="1">
        <f t="shared" ca="1" si="307"/>
        <v>63.750374999999998</v>
      </c>
      <c r="AG1037" s="1">
        <f t="shared" ca="1" si="307"/>
        <v>63.750374999999998</v>
      </c>
      <c r="AH1037" s="1">
        <f t="shared" ca="1" si="307"/>
        <v>63.750374999999998</v>
      </c>
      <c r="AI1037" s="1">
        <f t="shared" ca="1" si="288"/>
        <v>63.750374999999998</v>
      </c>
    </row>
    <row r="1038" spans="2:35" x14ac:dyDescent="0.15">
      <c r="B1038" s="1" t="str">
        <f t="shared" si="302"/>
        <v>风系46</v>
      </c>
      <c r="C1038" s="1">
        <f t="shared" si="295"/>
        <v>46</v>
      </c>
      <c r="D1038" s="14" t="s">
        <v>100</v>
      </c>
      <c r="E1038" s="14">
        <f t="shared" si="296"/>
        <v>11</v>
      </c>
      <c r="F1038" s="1" t="str">
        <f t="shared" si="305"/>
        <v>地脉</v>
      </c>
      <c r="H1038" s="1">
        <f t="shared" ca="1" si="301"/>
        <v>1472.82114251541</v>
      </c>
      <c r="I1038" s="1">
        <f t="shared" ca="1" si="306"/>
        <v>150</v>
      </c>
      <c r="J1038" s="1">
        <f t="shared" ca="1" si="306"/>
        <v>610.81428571428603</v>
      </c>
      <c r="K1038" s="1">
        <f t="shared" ca="1" si="306"/>
        <v>65.167050000000003</v>
      </c>
      <c r="L1038" s="1">
        <f t="shared" ca="1" si="306"/>
        <v>610.81428571428603</v>
      </c>
      <c r="M1038" s="1">
        <f t="shared" ca="1" si="306"/>
        <v>65.167050000000003</v>
      </c>
      <c r="N1038" s="1">
        <f t="shared" ca="1" si="306"/>
        <v>0.2</v>
      </c>
      <c r="O1038" s="1">
        <f t="shared" ca="1" si="306"/>
        <v>0.2</v>
      </c>
      <c r="P1038" s="1">
        <f t="shared" ca="1" si="306"/>
        <v>0.36</v>
      </c>
      <c r="Q1038" s="1">
        <f t="shared" ca="1" si="306"/>
        <v>0.1</v>
      </c>
      <c r="R1038" s="1">
        <f t="shared" ca="1" si="306"/>
        <v>2</v>
      </c>
      <c r="S1038" s="1">
        <f t="shared" ca="1" si="307"/>
        <v>0.1</v>
      </c>
      <c r="T1038" s="1">
        <f t="shared" ca="1" si="307"/>
        <v>1.1700000000000002</v>
      </c>
      <c r="U1038" s="1">
        <f t="shared" ca="1" si="307"/>
        <v>88.933333333333294</v>
      </c>
      <c r="V1038" s="1">
        <f t="shared" ca="1" si="307"/>
        <v>0</v>
      </c>
      <c r="W1038" s="1">
        <f t="shared" ca="1" si="307"/>
        <v>273.67653061224451</v>
      </c>
      <c r="X1038" s="1">
        <f t="shared" ca="1" si="307"/>
        <v>0</v>
      </c>
      <c r="Y1038" s="1">
        <f t="shared" ca="1" si="307"/>
        <v>0</v>
      </c>
      <c r="Z1038" s="1">
        <f t="shared" ca="1" si="307"/>
        <v>0</v>
      </c>
      <c r="AA1038" s="1">
        <f t="shared" ca="1" si="307"/>
        <v>0</v>
      </c>
      <c r="AB1038" s="1">
        <f t="shared" ca="1" si="304"/>
        <v>0</v>
      </c>
      <c r="AC1038" s="1">
        <f t="shared" ca="1" si="307"/>
        <v>65.167050000000003</v>
      </c>
      <c r="AD1038" s="1">
        <f t="shared" ca="1" si="307"/>
        <v>97.750574999999998</v>
      </c>
      <c r="AE1038" s="1">
        <f t="shared" ca="1" si="307"/>
        <v>65.167050000000003</v>
      </c>
      <c r="AF1038" s="1">
        <f t="shared" ca="1" si="307"/>
        <v>65.167050000000003</v>
      </c>
      <c r="AG1038" s="1">
        <f t="shared" ca="1" si="307"/>
        <v>65.167050000000003</v>
      </c>
      <c r="AH1038" s="1">
        <f t="shared" ca="1" si="307"/>
        <v>65.167050000000003</v>
      </c>
      <c r="AI1038" s="1">
        <f t="shared" ca="1" si="288"/>
        <v>65.167050000000003</v>
      </c>
    </row>
    <row r="1039" spans="2:35" x14ac:dyDescent="0.15">
      <c r="B1039" s="1" t="str">
        <f t="shared" si="302"/>
        <v>风系47</v>
      </c>
      <c r="C1039" s="1">
        <f t="shared" si="295"/>
        <v>47</v>
      </c>
      <c r="D1039" s="14" t="s">
        <v>100</v>
      </c>
      <c r="E1039" s="14">
        <f t="shared" si="296"/>
        <v>11</v>
      </c>
      <c r="F1039" s="1" t="str">
        <f t="shared" si="305"/>
        <v>地脉</v>
      </c>
      <c r="H1039" s="1">
        <f t="shared" ca="1" si="301"/>
        <v>1512.5561164829401</v>
      </c>
      <c r="I1039" s="1">
        <f t="shared" ca="1" si="306"/>
        <v>150</v>
      </c>
      <c r="J1039" s="1">
        <f t="shared" ca="1" si="306"/>
        <v>629.21249999999998</v>
      </c>
      <c r="K1039" s="1">
        <f t="shared" ca="1" si="306"/>
        <v>66.583725000000001</v>
      </c>
      <c r="L1039" s="1">
        <f t="shared" ca="1" si="306"/>
        <v>629.21249999999998</v>
      </c>
      <c r="M1039" s="1">
        <f t="shared" ca="1" si="306"/>
        <v>66.583725000000001</v>
      </c>
      <c r="N1039" s="1">
        <f t="shared" ca="1" si="306"/>
        <v>0.2</v>
      </c>
      <c r="O1039" s="1">
        <f t="shared" ca="1" si="306"/>
        <v>0.2</v>
      </c>
      <c r="P1039" s="1">
        <f t="shared" ca="1" si="306"/>
        <v>0.36</v>
      </c>
      <c r="Q1039" s="1">
        <f t="shared" ca="1" si="306"/>
        <v>0.1</v>
      </c>
      <c r="R1039" s="1">
        <f t="shared" ca="1" si="306"/>
        <v>2</v>
      </c>
      <c r="S1039" s="1">
        <f t="shared" ca="1" si="307"/>
        <v>0.1</v>
      </c>
      <c r="T1039" s="1">
        <f t="shared" ca="1" si="307"/>
        <v>1.1700000000000002</v>
      </c>
      <c r="U1039" s="1">
        <f t="shared" ca="1" si="307"/>
        <v>90.866666666666703</v>
      </c>
      <c r="V1039" s="1">
        <f t="shared" ca="1" si="307"/>
        <v>0</v>
      </c>
      <c r="W1039" s="1">
        <f t="shared" ca="1" si="307"/>
        <v>289.93124999999998</v>
      </c>
      <c r="X1039" s="1">
        <f t="shared" ca="1" si="307"/>
        <v>0</v>
      </c>
      <c r="Y1039" s="1">
        <f t="shared" ca="1" si="307"/>
        <v>0</v>
      </c>
      <c r="Z1039" s="1">
        <f t="shared" ca="1" si="307"/>
        <v>0</v>
      </c>
      <c r="AA1039" s="1">
        <f t="shared" ca="1" si="307"/>
        <v>0</v>
      </c>
      <c r="AB1039" s="1">
        <f t="shared" ca="1" si="307"/>
        <v>0</v>
      </c>
      <c r="AC1039" s="1">
        <f t="shared" ca="1" si="307"/>
        <v>66.583725000000001</v>
      </c>
      <c r="AD1039" s="1">
        <f t="shared" ca="1" si="307"/>
        <v>99.875587499999995</v>
      </c>
      <c r="AE1039" s="1">
        <f t="shared" ca="1" si="307"/>
        <v>66.583725000000001</v>
      </c>
      <c r="AF1039" s="1">
        <f t="shared" ca="1" si="307"/>
        <v>66.583725000000001</v>
      </c>
      <c r="AG1039" s="1">
        <f t="shared" ca="1" si="307"/>
        <v>66.583725000000001</v>
      </c>
      <c r="AH1039" s="1">
        <f t="shared" ca="1" si="307"/>
        <v>66.583725000000001</v>
      </c>
      <c r="AI1039" s="1">
        <f t="shared" ca="1" si="288"/>
        <v>66.583725000000001</v>
      </c>
    </row>
    <row r="1040" spans="2:35" x14ac:dyDescent="0.15">
      <c r="B1040" s="1" t="str">
        <f t="shared" si="302"/>
        <v>风系48</v>
      </c>
      <c r="C1040" s="1">
        <f t="shared" si="295"/>
        <v>48</v>
      </c>
      <c r="D1040" s="14" t="s">
        <v>100</v>
      </c>
      <c r="E1040" s="14">
        <f t="shared" si="296"/>
        <v>11</v>
      </c>
      <c r="F1040" s="1" t="str">
        <f t="shared" si="305"/>
        <v>地脉</v>
      </c>
      <c r="H1040" s="1">
        <f t="shared" ca="1" si="301"/>
        <v>1552.6194786650699</v>
      </c>
      <c r="I1040" s="1">
        <f t="shared" ca="1" si="306"/>
        <v>150</v>
      </c>
      <c r="J1040" s="1">
        <f t="shared" ca="1" si="306"/>
        <v>647.88682385575601</v>
      </c>
      <c r="K1040" s="1">
        <f t="shared" ca="1" si="306"/>
        <v>68.000399999999999</v>
      </c>
      <c r="L1040" s="1">
        <f t="shared" ca="1" si="306"/>
        <v>647.88682385575601</v>
      </c>
      <c r="M1040" s="1">
        <f t="shared" ca="1" si="306"/>
        <v>68.000399999999999</v>
      </c>
      <c r="N1040" s="1">
        <f t="shared" ca="1" si="306"/>
        <v>0.2</v>
      </c>
      <c r="O1040" s="1">
        <f t="shared" ca="1" si="306"/>
        <v>0.2</v>
      </c>
      <c r="P1040" s="1">
        <f t="shared" ca="1" si="306"/>
        <v>0.36</v>
      </c>
      <c r="Q1040" s="1">
        <f t="shared" ca="1" si="306"/>
        <v>0.1</v>
      </c>
      <c r="R1040" s="1">
        <f t="shared" ca="1" si="306"/>
        <v>2</v>
      </c>
      <c r="S1040" s="1">
        <f t="shared" ca="1" si="307"/>
        <v>0.1</v>
      </c>
      <c r="T1040" s="1">
        <f t="shared" ca="1" si="307"/>
        <v>1.1700000000000002</v>
      </c>
      <c r="U1040" s="1">
        <f t="shared" ca="1" si="307"/>
        <v>92.8</v>
      </c>
      <c r="V1040" s="1">
        <f t="shared" ca="1" si="307"/>
        <v>0</v>
      </c>
      <c r="W1040" s="1">
        <f t="shared" ca="1" si="307"/>
        <v>306.893758668516</v>
      </c>
      <c r="X1040" s="1">
        <f t="shared" ca="1" si="307"/>
        <v>0</v>
      </c>
      <c r="Y1040" s="1">
        <f t="shared" ca="1" si="307"/>
        <v>0</v>
      </c>
      <c r="Z1040" s="1">
        <f t="shared" ca="1" si="307"/>
        <v>0</v>
      </c>
      <c r="AA1040" s="1">
        <f t="shared" ca="1" si="307"/>
        <v>0</v>
      </c>
      <c r="AB1040" s="1">
        <f t="shared" ca="1" si="307"/>
        <v>0</v>
      </c>
      <c r="AC1040" s="1">
        <f t="shared" ca="1" si="307"/>
        <v>68.000399999999999</v>
      </c>
      <c r="AD1040" s="1">
        <f t="shared" ca="1" si="307"/>
        <v>102.00059999999999</v>
      </c>
      <c r="AE1040" s="1">
        <f t="shared" ca="1" si="307"/>
        <v>68.000399999999999</v>
      </c>
      <c r="AF1040" s="1">
        <f t="shared" ca="1" si="307"/>
        <v>68.000399999999999</v>
      </c>
      <c r="AG1040" s="1">
        <f t="shared" ca="1" si="307"/>
        <v>68.000399999999999</v>
      </c>
      <c r="AH1040" s="1">
        <f t="shared" ca="1" si="307"/>
        <v>68.000399999999999</v>
      </c>
      <c r="AI1040" s="1">
        <f t="shared" ca="1" si="288"/>
        <v>68.000399999999999</v>
      </c>
    </row>
    <row r="1041" spans="2:35" x14ac:dyDescent="0.15">
      <c r="B1041" s="1" t="str">
        <f t="shared" si="302"/>
        <v>风系49</v>
      </c>
      <c r="C1041" s="1">
        <f t="shared" si="295"/>
        <v>49</v>
      </c>
      <c r="D1041" s="14" t="s">
        <v>100</v>
      </c>
      <c r="E1041" s="14">
        <f t="shared" si="296"/>
        <v>11</v>
      </c>
      <c r="F1041" s="1" t="str">
        <f t="shared" si="305"/>
        <v>地脉</v>
      </c>
      <c r="H1041" s="1">
        <f t="shared" ca="1" si="301"/>
        <v>1593.0112290618199</v>
      </c>
      <c r="I1041" s="1">
        <f t="shared" ca="1" si="306"/>
        <v>150</v>
      </c>
      <c r="J1041" s="1">
        <f t="shared" ca="1" si="306"/>
        <v>666.84264705882401</v>
      </c>
      <c r="K1041" s="1">
        <f t="shared" ca="1" si="306"/>
        <v>69.417074999999997</v>
      </c>
      <c r="L1041" s="1">
        <f t="shared" ca="1" si="306"/>
        <v>666.84264705882401</v>
      </c>
      <c r="M1041" s="1">
        <f t="shared" ca="1" si="306"/>
        <v>69.417074999999997</v>
      </c>
      <c r="N1041" s="1">
        <f t="shared" ca="1" si="306"/>
        <v>0.2</v>
      </c>
      <c r="O1041" s="1">
        <f t="shared" ca="1" si="306"/>
        <v>0.2</v>
      </c>
      <c r="P1041" s="1">
        <f t="shared" ca="1" si="306"/>
        <v>0.36</v>
      </c>
      <c r="Q1041" s="1">
        <f t="shared" ca="1" si="306"/>
        <v>0.1</v>
      </c>
      <c r="R1041" s="1">
        <f t="shared" ca="1" si="306"/>
        <v>2</v>
      </c>
      <c r="S1041" s="1">
        <f t="shared" ca="1" si="307"/>
        <v>0.1</v>
      </c>
      <c r="T1041" s="1">
        <f t="shared" ca="1" si="307"/>
        <v>1.1700000000000002</v>
      </c>
      <c r="U1041" s="1">
        <f t="shared" ca="1" si="307"/>
        <v>94.733333333333306</v>
      </c>
      <c r="V1041" s="1">
        <f t="shared" ca="1" si="307"/>
        <v>0</v>
      </c>
      <c r="W1041" s="1">
        <f t="shared" ca="1" si="307"/>
        <v>324.58897058823601</v>
      </c>
      <c r="X1041" s="1">
        <f t="shared" ca="1" si="307"/>
        <v>0</v>
      </c>
      <c r="Y1041" s="1">
        <f t="shared" ca="1" si="307"/>
        <v>0</v>
      </c>
      <c r="Z1041" s="1">
        <f t="shared" ca="1" si="307"/>
        <v>0</v>
      </c>
      <c r="AA1041" s="1">
        <f t="shared" ca="1" si="307"/>
        <v>0</v>
      </c>
      <c r="AB1041" s="1">
        <f t="shared" ca="1" si="307"/>
        <v>0</v>
      </c>
      <c r="AC1041" s="1">
        <f t="shared" ca="1" si="307"/>
        <v>69.417074999999997</v>
      </c>
      <c r="AD1041" s="1">
        <f t="shared" ca="1" si="307"/>
        <v>104.12561249999999</v>
      </c>
      <c r="AE1041" s="1">
        <f t="shared" ca="1" si="307"/>
        <v>69.417074999999997</v>
      </c>
      <c r="AF1041" s="1">
        <f t="shared" ca="1" si="307"/>
        <v>69.417074999999997</v>
      </c>
      <c r="AG1041" s="1">
        <f t="shared" ca="1" si="307"/>
        <v>69.417074999999997</v>
      </c>
      <c r="AH1041" s="1">
        <f t="shared" ca="1" si="307"/>
        <v>69.417074999999997</v>
      </c>
      <c r="AI1041" s="1">
        <f t="shared" ca="1" si="288"/>
        <v>69.417074999999997</v>
      </c>
    </row>
    <row r="1042" spans="2:35" x14ac:dyDescent="0.15">
      <c r="B1042" s="1" t="str">
        <f t="shared" si="302"/>
        <v>风系50</v>
      </c>
      <c r="C1042" s="1">
        <f t="shared" si="295"/>
        <v>50</v>
      </c>
      <c r="D1042" s="14" t="s">
        <v>100</v>
      </c>
      <c r="E1042" s="14">
        <f t="shared" si="296"/>
        <v>11</v>
      </c>
      <c r="F1042" s="1" t="str">
        <f t="shared" si="305"/>
        <v>地脉</v>
      </c>
      <c r="H1042" s="1">
        <f t="shared" ca="1" si="301"/>
        <v>1633.7313676731701</v>
      </c>
      <c r="I1042" s="1">
        <f t="shared" ca="1" si="306"/>
        <v>150</v>
      </c>
      <c r="J1042" s="1">
        <f t="shared" ca="1" si="306"/>
        <v>686.085572842999</v>
      </c>
      <c r="K1042" s="1">
        <f t="shared" ca="1" si="306"/>
        <v>70.833749999999995</v>
      </c>
      <c r="L1042" s="1">
        <f t="shared" ca="1" si="306"/>
        <v>686.085572842999</v>
      </c>
      <c r="M1042" s="1">
        <f t="shared" ca="1" si="306"/>
        <v>70.833749999999995</v>
      </c>
      <c r="N1042" s="1">
        <f t="shared" ca="1" si="306"/>
        <v>0.2</v>
      </c>
      <c r="O1042" s="1">
        <f t="shared" ca="1" si="306"/>
        <v>0.2</v>
      </c>
      <c r="P1042" s="1">
        <f t="shared" ca="1" si="306"/>
        <v>0.36</v>
      </c>
      <c r="Q1042" s="1">
        <f t="shared" ca="1" si="306"/>
        <v>0.1</v>
      </c>
      <c r="R1042" s="1">
        <f t="shared" ca="1" si="306"/>
        <v>2</v>
      </c>
      <c r="S1042" s="1">
        <f t="shared" ca="1" si="307"/>
        <v>0.1</v>
      </c>
      <c r="T1042" s="1">
        <f t="shared" ca="1" si="307"/>
        <v>1.1700000000000002</v>
      </c>
      <c r="U1042" s="1">
        <f t="shared" ca="1" si="307"/>
        <v>96.6666666666667</v>
      </c>
      <c r="V1042" s="1">
        <f t="shared" ca="1" si="307"/>
        <v>0</v>
      </c>
      <c r="W1042" s="1">
        <f t="shared" ca="1" si="307"/>
        <v>343.04278642149899</v>
      </c>
      <c r="X1042" s="1">
        <f t="shared" ca="1" si="307"/>
        <v>0</v>
      </c>
      <c r="Y1042" s="1">
        <f t="shared" ca="1" si="307"/>
        <v>0</v>
      </c>
      <c r="Z1042" s="1">
        <f t="shared" ca="1" si="307"/>
        <v>0</v>
      </c>
      <c r="AA1042" s="1">
        <f t="shared" ca="1" si="307"/>
        <v>0</v>
      </c>
      <c r="AB1042" s="1">
        <f t="shared" ca="1" si="307"/>
        <v>0</v>
      </c>
      <c r="AC1042" s="1">
        <f t="shared" ca="1" si="307"/>
        <v>70.833749999999995</v>
      </c>
      <c r="AD1042" s="1">
        <f t="shared" ca="1" si="307"/>
        <v>106.25062499999999</v>
      </c>
      <c r="AE1042" s="1">
        <f t="shared" ca="1" si="307"/>
        <v>70.833749999999995</v>
      </c>
      <c r="AF1042" s="1">
        <f t="shared" ca="1" si="307"/>
        <v>70.833749999999995</v>
      </c>
      <c r="AG1042" s="1">
        <f t="shared" ca="1" si="307"/>
        <v>70.833749999999995</v>
      </c>
      <c r="AH1042" s="1">
        <f t="shared" ca="1" si="307"/>
        <v>70.833749999999995</v>
      </c>
      <c r="AI1042" s="1">
        <f t="shared" ca="1" si="288"/>
        <v>70.833749999999995</v>
      </c>
    </row>
    <row r="1043" spans="2:35" x14ac:dyDescent="0.15">
      <c r="B1043" s="1" t="str">
        <f t="shared" si="302"/>
        <v>风系51</v>
      </c>
      <c r="C1043" s="1">
        <f t="shared" si="295"/>
        <v>51</v>
      </c>
      <c r="D1043" s="14" t="s">
        <v>100</v>
      </c>
      <c r="E1043" s="14">
        <f t="shared" si="296"/>
        <v>11</v>
      </c>
      <c r="F1043" s="1" t="str">
        <f t="shared" si="305"/>
        <v>地脉</v>
      </c>
      <c r="H1043" s="1">
        <f t="shared" ca="1" si="301"/>
        <v>1674.77989449913</v>
      </c>
      <c r="I1043" s="1">
        <f t="shared" ref="I1043:R1052" ca="1" si="308">mVlookup($C1043,monsterBaseDate,I$2,FALSE)*(1+mVlookup($E1043,monsterType,I$2,FALSE))</f>
        <v>150</v>
      </c>
      <c r="J1043" s="1">
        <f t="shared" ca="1" si="308"/>
        <v>705.62142857142896</v>
      </c>
      <c r="K1043" s="1">
        <f t="shared" ca="1" si="308"/>
        <v>72.250425000000007</v>
      </c>
      <c r="L1043" s="1">
        <f t="shared" ca="1" si="308"/>
        <v>705.62142857142896</v>
      </c>
      <c r="M1043" s="1">
        <f t="shared" ca="1" si="308"/>
        <v>72.250425000000007</v>
      </c>
      <c r="N1043" s="1">
        <f t="shared" ca="1" si="308"/>
        <v>0.2</v>
      </c>
      <c r="O1043" s="1">
        <f t="shared" ca="1" si="308"/>
        <v>0.2</v>
      </c>
      <c r="P1043" s="1">
        <f t="shared" ca="1" si="308"/>
        <v>0.36</v>
      </c>
      <c r="Q1043" s="1">
        <f t="shared" ca="1" si="308"/>
        <v>0.1</v>
      </c>
      <c r="R1043" s="1">
        <f t="shared" ca="1" si="308"/>
        <v>2</v>
      </c>
      <c r="S1043" s="1">
        <f t="shared" ref="S1043:AH1058" ca="1" si="309">mVlookup($C1043,monsterBaseDate,S$2,FALSE)*(1+mVlookup($E1043,monsterType,S$2,FALSE))</f>
        <v>0.1</v>
      </c>
      <c r="T1043" s="1">
        <f t="shared" ca="1" si="309"/>
        <v>1.1700000000000002</v>
      </c>
      <c r="U1043" s="1">
        <f t="shared" ca="1" si="309"/>
        <v>98.6</v>
      </c>
      <c r="V1043" s="1">
        <f t="shared" ca="1" si="309"/>
        <v>0</v>
      </c>
      <c r="W1043" s="1">
        <f t="shared" ca="1" si="309"/>
        <v>362.28214285714353</v>
      </c>
      <c r="X1043" s="1">
        <f t="shared" ca="1" si="309"/>
        <v>0</v>
      </c>
      <c r="Y1043" s="1">
        <f t="shared" ca="1" si="309"/>
        <v>0</v>
      </c>
      <c r="Z1043" s="1">
        <f t="shared" ca="1" si="309"/>
        <v>0</v>
      </c>
      <c r="AA1043" s="1">
        <f t="shared" ca="1" si="309"/>
        <v>0</v>
      </c>
      <c r="AB1043" s="1">
        <f t="shared" ca="1" si="307"/>
        <v>0</v>
      </c>
      <c r="AC1043" s="1">
        <f t="shared" ca="1" si="309"/>
        <v>72.250425000000007</v>
      </c>
      <c r="AD1043" s="1">
        <f t="shared" ca="1" si="309"/>
        <v>108.37563750000001</v>
      </c>
      <c r="AE1043" s="1">
        <f t="shared" ca="1" si="309"/>
        <v>72.250425000000007</v>
      </c>
      <c r="AF1043" s="1">
        <f t="shared" ca="1" si="309"/>
        <v>72.250425000000007</v>
      </c>
      <c r="AG1043" s="1">
        <f t="shared" ca="1" si="309"/>
        <v>72.250425000000007</v>
      </c>
      <c r="AH1043" s="1">
        <f t="shared" ca="1" si="309"/>
        <v>72.250425000000007</v>
      </c>
      <c r="AI1043" s="1">
        <f t="shared" ref="AI1043:AI1091" ca="1" si="310">mVlookup($C1043,monsterBaseDate,AI$2,FALSE)*(1+mVlookup($E1043,monsterType,AI$2,FALSE))</f>
        <v>72.250425000000007</v>
      </c>
    </row>
    <row r="1044" spans="2:35" x14ac:dyDescent="0.15">
      <c r="B1044" s="1" t="str">
        <f t="shared" si="302"/>
        <v>风系52</v>
      </c>
      <c r="C1044" s="1">
        <f t="shared" si="295"/>
        <v>52</v>
      </c>
      <c r="D1044" s="14" t="s">
        <v>100</v>
      </c>
      <c r="E1044" s="14">
        <f t="shared" si="296"/>
        <v>11</v>
      </c>
      <c r="F1044" s="1" t="str">
        <f t="shared" si="305"/>
        <v>地脉</v>
      </c>
      <c r="H1044" s="1">
        <f t="shared" ca="1" si="301"/>
        <v>1716.1568095396899</v>
      </c>
      <c r="I1044" s="1">
        <f t="shared" ca="1" si="308"/>
        <v>150</v>
      </c>
      <c r="J1044" s="1">
        <f t="shared" ca="1" si="308"/>
        <v>725.45627705627703</v>
      </c>
      <c r="K1044" s="1">
        <f t="shared" ca="1" si="308"/>
        <v>73.667100000000005</v>
      </c>
      <c r="L1044" s="1">
        <f t="shared" ca="1" si="308"/>
        <v>725.45627705627703</v>
      </c>
      <c r="M1044" s="1">
        <f t="shared" ca="1" si="308"/>
        <v>73.667100000000005</v>
      </c>
      <c r="N1044" s="1">
        <f t="shared" ca="1" si="308"/>
        <v>0.2</v>
      </c>
      <c r="O1044" s="1">
        <f t="shared" ca="1" si="308"/>
        <v>0.2</v>
      </c>
      <c r="P1044" s="1">
        <f t="shared" ca="1" si="308"/>
        <v>0.36</v>
      </c>
      <c r="Q1044" s="1">
        <f t="shared" ca="1" si="308"/>
        <v>0.1</v>
      </c>
      <c r="R1044" s="1">
        <f t="shared" ca="1" si="308"/>
        <v>2</v>
      </c>
      <c r="S1044" s="1">
        <f t="shared" ca="1" si="309"/>
        <v>0.1</v>
      </c>
      <c r="T1044" s="1">
        <f t="shared" ca="1" si="309"/>
        <v>1.1700000000000002</v>
      </c>
      <c r="U1044" s="1">
        <f t="shared" ca="1" si="309"/>
        <v>100.533333333333</v>
      </c>
      <c r="V1044" s="1">
        <f t="shared" ca="1" si="309"/>
        <v>0</v>
      </c>
      <c r="W1044" s="1">
        <f t="shared" ca="1" si="309"/>
        <v>382.33506493506451</v>
      </c>
      <c r="X1044" s="1">
        <f t="shared" ca="1" si="309"/>
        <v>0</v>
      </c>
      <c r="Y1044" s="1">
        <f t="shared" ca="1" si="309"/>
        <v>0</v>
      </c>
      <c r="Z1044" s="1">
        <f t="shared" ca="1" si="309"/>
        <v>0</v>
      </c>
      <c r="AA1044" s="1">
        <f t="shared" ca="1" si="309"/>
        <v>0</v>
      </c>
      <c r="AB1044" s="1">
        <f t="shared" ca="1" si="307"/>
        <v>0</v>
      </c>
      <c r="AC1044" s="1">
        <f t="shared" ca="1" si="309"/>
        <v>73.667100000000005</v>
      </c>
      <c r="AD1044" s="1">
        <f t="shared" ca="1" si="309"/>
        <v>110.50065000000001</v>
      </c>
      <c r="AE1044" s="1">
        <f t="shared" ca="1" si="309"/>
        <v>73.667100000000005</v>
      </c>
      <c r="AF1044" s="1">
        <f t="shared" ca="1" si="309"/>
        <v>73.667100000000005</v>
      </c>
      <c r="AG1044" s="1">
        <f t="shared" ca="1" si="309"/>
        <v>73.667100000000005</v>
      </c>
      <c r="AH1044" s="1">
        <f t="shared" ca="1" si="309"/>
        <v>73.667100000000005</v>
      </c>
      <c r="AI1044" s="1">
        <f t="shared" ca="1" si="310"/>
        <v>73.667100000000005</v>
      </c>
    </row>
    <row r="1045" spans="2:35" x14ac:dyDescent="0.15">
      <c r="B1045" s="1" t="str">
        <f t="shared" si="302"/>
        <v>风系53</v>
      </c>
      <c r="C1045" s="1">
        <f t="shared" si="295"/>
        <v>53</v>
      </c>
      <c r="D1045" s="14" t="s">
        <v>100</v>
      </c>
      <c r="E1045" s="14">
        <f t="shared" si="296"/>
        <v>11</v>
      </c>
      <c r="F1045" s="1" t="str">
        <f t="shared" si="305"/>
        <v>地脉</v>
      </c>
      <c r="H1045" s="1">
        <f t="shared" ca="1" si="301"/>
        <v>1757.86211279487</v>
      </c>
      <c r="I1045" s="1">
        <f t="shared" ca="1" si="308"/>
        <v>150</v>
      </c>
      <c r="J1045" s="1">
        <f t="shared" ca="1" si="308"/>
        <v>745.59642857142899</v>
      </c>
      <c r="K1045" s="1">
        <f t="shared" ca="1" si="308"/>
        <v>75.083775000000003</v>
      </c>
      <c r="L1045" s="1">
        <f t="shared" ca="1" si="308"/>
        <v>745.59642857142899</v>
      </c>
      <c r="M1045" s="1">
        <f t="shared" ca="1" si="308"/>
        <v>75.083775000000003</v>
      </c>
      <c r="N1045" s="1">
        <f t="shared" ca="1" si="308"/>
        <v>0.2</v>
      </c>
      <c r="O1045" s="1">
        <f t="shared" ca="1" si="308"/>
        <v>0.2</v>
      </c>
      <c r="P1045" s="1">
        <f t="shared" ca="1" si="308"/>
        <v>0.36</v>
      </c>
      <c r="Q1045" s="1">
        <f t="shared" ca="1" si="308"/>
        <v>0.1</v>
      </c>
      <c r="R1045" s="1">
        <f t="shared" ca="1" si="308"/>
        <v>2</v>
      </c>
      <c r="S1045" s="1">
        <f t="shared" ca="1" si="309"/>
        <v>0.1</v>
      </c>
      <c r="T1045" s="1">
        <f t="shared" ca="1" si="309"/>
        <v>1.1700000000000002</v>
      </c>
      <c r="U1045" s="1">
        <f t="shared" ca="1" si="309"/>
        <v>102.466666666667</v>
      </c>
      <c r="V1045" s="1">
        <f t="shared" ca="1" si="309"/>
        <v>0</v>
      </c>
      <c r="W1045" s="1">
        <f t="shared" ca="1" si="309"/>
        <v>403.2307215743445</v>
      </c>
      <c r="X1045" s="1">
        <f t="shared" ca="1" si="309"/>
        <v>0</v>
      </c>
      <c r="Y1045" s="1">
        <f t="shared" ca="1" si="309"/>
        <v>0</v>
      </c>
      <c r="Z1045" s="1">
        <f t="shared" ca="1" si="309"/>
        <v>0</v>
      </c>
      <c r="AA1045" s="1">
        <f t="shared" ca="1" si="309"/>
        <v>0</v>
      </c>
      <c r="AB1045" s="1">
        <f t="shared" ca="1" si="307"/>
        <v>0</v>
      </c>
      <c r="AC1045" s="1">
        <f t="shared" ca="1" si="309"/>
        <v>75.083775000000003</v>
      </c>
      <c r="AD1045" s="1">
        <f t="shared" ca="1" si="309"/>
        <v>112.6256625</v>
      </c>
      <c r="AE1045" s="1">
        <f t="shared" ca="1" si="309"/>
        <v>75.083775000000003</v>
      </c>
      <c r="AF1045" s="1">
        <f t="shared" ca="1" si="309"/>
        <v>75.083775000000003</v>
      </c>
      <c r="AG1045" s="1">
        <f t="shared" ca="1" si="309"/>
        <v>75.083775000000003</v>
      </c>
      <c r="AH1045" s="1">
        <f t="shared" ca="1" si="309"/>
        <v>75.083775000000003</v>
      </c>
      <c r="AI1045" s="1">
        <f t="shared" ca="1" si="310"/>
        <v>75.083775000000003</v>
      </c>
    </row>
    <row r="1046" spans="2:35" x14ac:dyDescent="0.15">
      <c r="B1046" s="1" t="str">
        <f t="shared" si="302"/>
        <v>风系54</v>
      </c>
      <c r="C1046" s="1">
        <f t="shared" si="295"/>
        <v>54</v>
      </c>
      <c r="D1046" s="14" t="s">
        <v>100</v>
      </c>
      <c r="E1046" s="14">
        <f t="shared" si="296"/>
        <v>11</v>
      </c>
      <c r="F1046" s="1" t="str">
        <f t="shared" si="305"/>
        <v>地脉</v>
      </c>
      <c r="H1046" s="1">
        <f t="shared" ca="1" si="301"/>
        <v>1799.89580426465</v>
      </c>
      <c r="I1046" s="1">
        <f t="shared" ca="1" si="308"/>
        <v>150</v>
      </c>
      <c r="J1046" s="1">
        <f t="shared" ca="1" si="308"/>
        <v>766.048453608248</v>
      </c>
      <c r="K1046" s="1">
        <f t="shared" ca="1" si="308"/>
        <v>76.500450000000001</v>
      </c>
      <c r="L1046" s="1">
        <f t="shared" ca="1" si="308"/>
        <v>766.048453608248</v>
      </c>
      <c r="M1046" s="1">
        <f t="shared" ca="1" si="308"/>
        <v>76.500450000000001</v>
      </c>
      <c r="N1046" s="1">
        <f t="shared" ca="1" si="308"/>
        <v>0.2</v>
      </c>
      <c r="O1046" s="1">
        <f t="shared" ca="1" si="308"/>
        <v>0.2</v>
      </c>
      <c r="P1046" s="1">
        <f t="shared" ca="1" si="308"/>
        <v>0.36</v>
      </c>
      <c r="Q1046" s="1">
        <f t="shared" ca="1" si="308"/>
        <v>0.1</v>
      </c>
      <c r="R1046" s="1">
        <f t="shared" ca="1" si="308"/>
        <v>2</v>
      </c>
      <c r="S1046" s="1">
        <f t="shared" ca="1" si="309"/>
        <v>0.1</v>
      </c>
      <c r="T1046" s="1">
        <f t="shared" ca="1" si="309"/>
        <v>1.1700000000000002</v>
      </c>
      <c r="U1046" s="1">
        <f t="shared" ca="1" si="309"/>
        <v>104.4</v>
      </c>
      <c r="V1046" s="1">
        <f t="shared" ca="1" si="309"/>
        <v>0</v>
      </c>
      <c r="W1046" s="1">
        <f t="shared" ca="1" si="309"/>
        <v>424.999484536083</v>
      </c>
      <c r="X1046" s="1">
        <f t="shared" ca="1" si="309"/>
        <v>0</v>
      </c>
      <c r="Y1046" s="1">
        <f t="shared" ca="1" si="309"/>
        <v>0</v>
      </c>
      <c r="Z1046" s="1">
        <f t="shared" ca="1" si="309"/>
        <v>0</v>
      </c>
      <c r="AA1046" s="1">
        <f t="shared" ca="1" si="309"/>
        <v>0</v>
      </c>
      <c r="AB1046" s="1">
        <f t="shared" ca="1" si="307"/>
        <v>0</v>
      </c>
      <c r="AC1046" s="1">
        <f t="shared" ca="1" si="309"/>
        <v>76.500450000000001</v>
      </c>
      <c r="AD1046" s="1">
        <f t="shared" ca="1" si="309"/>
        <v>114.750675</v>
      </c>
      <c r="AE1046" s="1">
        <f t="shared" ca="1" si="309"/>
        <v>76.500450000000001</v>
      </c>
      <c r="AF1046" s="1">
        <f t="shared" ca="1" si="309"/>
        <v>76.500450000000001</v>
      </c>
      <c r="AG1046" s="1">
        <f t="shared" ca="1" si="309"/>
        <v>76.500450000000001</v>
      </c>
      <c r="AH1046" s="1">
        <f t="shared" ca="1" si="309"/>
        <v>76.500450000000001</v>
      </c>
      <c r="AI1046" s="1">
        <f t="shared" ca="1" si="310"/>
        <v>76.500450000000001</v>
      </c>
    </row>
    <row r="1047" spans="2:35" x14ac:dyDescent="0.15">
      <c r="B1047" s="1" t="str">
        <f t="shared" si="302"/>
        <v>风系55</v>
      </c>
      <c r="C1047" s="1">
        <f t="shared" si="295"/>
        <v>55</v>
      </c>
      <c r="D1047" s="14" t="s">
        <v>100</v>
      </c>
      <c r="E1047" s="14">
        <f t="shared" si="296"/>
        <v>11</v>
      </c>
      <c r="F1047" s="1" t="str">
        <f t="shared" si="305"/>
        <v>地脉</v>
      </c>
      <c r="H1047" s="1">
        <f t="shared" ca="1" si="301"/>
        <v>1842.25788394904</v>
      </c>
      <c r="I1047" s="1">
        <f t="shared" ca="1" si="308"/>
        <v>150</v>
      </c>
      <c r="J1047" s="1">
        <f t="shared" ca="1" si="308"/>
        <v>786.81919642857201</v>
      </c>
      <c r="K1047" s="1">
        <f t="shared" ca="1" si="308"/>
        <v>77.917124999999999</v>
      </c>
      <c r="L1047" s="1">
        <f t="shared" ca="1" si="308"/>
        <v>786.81919642857201</v>
      </c>
      <c r="M1047" s="1">
        <f t="shared" ca="1" si="308"/>
        <v>77.917124999999999</v>
      </c>
      <c r="N1047" s="1">
        <f t="shared" ca="1" si="308"/>
        <v>0.2</v>
      </c>
      <c r="O1047" s="1">
        <f t="shared" ca="1" si="308"/>
        <v>0.2</v>
      </c>
      <c r="P1047" s="1">
        <f t="shared" ca="1" si="308"/>
        <v>0.36</v>
      </c>
      <c r="Q1047" s="1">
        <f t="shared" ca="1" si="308"/>
        <v>0.1</v>
      </c>
      <c r="R1047" s="1">
        <f t="shared" ca="1" si="308"/>
        <v>2</v>
      </c>
      <c r="S1047" s="1">
        <f t="shared" ca="1" si="309"/>
        <v>0.1</v>
      </c>
      <c r="T1047" s="1">
        <f t="shared" ca="1" si="309"/>
        <v>1.1700000000000002</v>
      </c>
      <c r="U1047" s="1">
        <f t="shared" ca="1" si="309"/>
        <v>106.333333333333</v>
      </c>
      <c r="V1047" s="1">
        <f t="shared" ca="1" si="309"/>
        <v>0</v>
      </c>
      <c r="W1047" s="1">
        <f t="shared" ca="1" si="309"/>
        <v>447.67299107142901</v>
      </c>
      <c r="X1047" s="1">
        <f t="shared" ca="1" si="309"/>
        <v>0</v>
      </c>
      <c r="Y1047" s="1">
        <f t="shared" ca="1" si="309"/>
        <v>0</v>
      </c>
      <c r="Z1047" s="1">
        <f t="shared" ca="1" si="309"/>
        <v>0</v>
      </c>
      <c r="AA1047" s="1">
        <f t="shared" ca="1" si="309"/>
        <v>0</v>
      </c>
      <c r="AB1047" s="1">
        <f t="shared" ca="1" si="307"/>
        <v>0</v>
      </c>
      <c r="AC1047" s="1">
        <f t="shared" ca="1" si="309"/>
        <v>77.917124999999999</v>
      </c>
      <c r="AD1047" s="1">
        <f t="shared" ca="1" si="309"/>
        <v>116.8756875</v>
      </c>
      <c r="AE1047" s="1">
        <f t="shared" ca="1" si="309"/>
        <v>77.917124999999999</v>
      </c>
      <c r="AF1047" s="1">
        <f t="shared" ca="1" si="309"/>
        <v>77.917124999999999</v>
      </c>
      <c r="AG1047" s="1">
        <f t="shared" ca="1" si="309"/>
        <v>77.917124999999999</v>
      </c>
      <c r="AH1047" s="1">
        <f t="shared" ca="1" si="309"/>
        <v>77.917124999999999</v>
      </c>
      <c r="AI1047" s="1">
        <f t="shared" ca="1" si="310"/>
        <v>77.917124999999999</v>
      </c>
    </row>
    <row r="1048" spans="2:35" x14ac:dyDescent="0.15">
      <c r="B1048" s="1" t="str">
        <f t="shared" si="302"/>
        <v>风系56</v>
      </c>
      <c r="C1048" s="1">
        <f t="shared" si="295"/>
        <v>56</v>
      </c>
      <c r="D1048" s="14" t="s">
        <v>100</v>
      </c>
      <c r="E1048" s="14">
        <f t="shared" si="296"/>
        <v>11</v>
      </c>
      <c r="F1048" s="1" t="str">
        <f t="shared" si="305"/>
        <v>地脉</v>
      </c>
      <c r="H1048" s="1">
        <f t="shared" ca="1" si="301"/>
        <v>1958.58059015868</v>
      </c>
      <c r="I1048" s="1">
        <f t="shared" ca="1" si="308"/>
        <v>150</v>
      </c>
      <c r="J1048" s="1">
        <f t="shared" ca="1" si="308"/>
        <v>807.91578947368498</v>
      </c>
      <c r="K1048" s="1">
        <f t="shared" ca="1" si="308"/>
        <v>79.333799999999997</v>
      </c>
      <c r="L1048" s="1">
        <f t="shared" ca="1" si="308"/>
        <v>807.91578947368498</v>
      </c>
      <c r="M1048" s="1">
        <f t="shared" ca="1" si="308"/>
        <v>79.333799999999997</v>
      </c>
      <c r="N1048" s="1">
        <f t="shared" ca="1" si="308"/>
        <v>0.2</v>
      </c>
      <c r="O1048" s="1">
        <f t="shared" ca="1" si="308"/>
        <v>0.2</v>
      </c>
      <c r="P1048" s="1">
        <f t="shared" ca="1" si="308"/>
        <v>0.36</v>
      </c>
      <c r="Q1048" s="1">
        <f t="shared" ca="1" si="308"/>
        <v>0.1</v>
      </c>
      <c r="R1048" s="1">
        <f t="shared" ca="1" si="308"/>
        <v>2</v>
      </c>
      <c r="S1048" s="1">
        <f t="shared" ca="1" si="309"/>
        <v>0.1</v>
      </c>
      <c r="T1048" s="1">
        <f t="shared" ca="1" si="309"/>
        <v>1.1700000000000002</v>
      </c>
      <c r="U1048" s="1">
        <f t="shared" ca="1" si="309"/>
        <v>108.26666666666701</v>
      </c>
      <c r="V1048" s="1">
        <f t="shared" ca="1" si="309"/>
        <v>0</v>
      </c>
      <c r="W1048" s="1">
        <f t="shared" ca="1" si="309"/>
        <v>471.28421052631654</v>
      </c>
      <c r="X1048" s="1">
        <f t="shared" ca="1" si="309"/>
        <v>0</v>
      </c>
      <c r="Y1048" s="1">
        <f t="shared" ca="1" si="309"/>
        <v>0</v>
      </c>
      <c r="Z1048" s="1">
        <f t="shared" ca="1" si="309"/>
        <v>0</v>
      </c>
      <c r="AA1048" s="1">
        <f t="shared" ca="1" si="309"/>
        <v>0</v>
      </c>
      <c r="AB1048" s="1">
        <f t="shared" ca="1" si="307"/>
        <v>0</v>
      </c>
      <c r="AC1048" s="1">
        <f t="shared" ca="1" si="309"/>
        <v>79.333799999999997</v>
      </c>
      <c r="AD1048" s="1">
        <f t="shared" ca="1" si="309"/>
        <v>119.00069999999999</v>
      </c>
      <c r="AE1048" s="1">
        <f t="shared" ca="1" si="309"/>
        <v>79.333799999999997</v>
      </c>
      <c r="AF1048" s="1">
        <f t="shared" ca="1" si="309"/>
        <v>79.333799999999997</v>
      </c>
      <c r="AG1048" s="1">
        <f t="shared" ca="1" si="309"/>
        <v>79.333799999999997</v>
      </c>
      <c r="AH1048" s="1">
        <f t="shared" ca="1" si="309"/>
        <v>79.333799999999997</v>
      </c>
      <c r="AI1048" s="1">
        <f t="shared" ca="1" si="310"/>
        <v>79.333799999999997</v>
      </c>
    </row>
    <row r="1049" spans="2:35" x14ac:dyDescent="0.15">
      <c r="B1049" s="1" t="str">
        <f t="shared" si="302"/>
        <v>风系57</v>
      </c>
      <c r="C1049" s="1">
        <f t="shared" si="295"/>
        <v>57</v>
      </c>
      <c r="D1049" s="14" t="s">
        <v>100</v>
      </c>
      <c r="E1049" s="14">
        <f t="shared" si="296"/>
        <v>11</v>
      </c>
      <c r="F1049" s="1" t="str">
        <f t="shared" si="305"/>
        <v>地脉</v>
      </c>
      <c r="H1049" s="1">
        <f t="shared" ca="1" si="301"/>
        <v>2003.2799032790199</v>
      </c>
      <c r="I1049" s="1">
        <f t="shared" ca="1" si="308"/>
        <v>150</v>
      </c>
      <c r="J1049" s="1">
        <f t="shared" ca="1" si="308"/>
        <v>829.34566869301</v>
      </c>
      <c r="K1049" s="1">
        <f t="shared" ca="1" si="308"/>
        <v>80.750474999999994</v>
      </c>
      <c r="L1049" s="1">
        <f t="shared" ca="1" si="308"/>
        <v>829.34566869301</v>
      </c>
      <c r="M1049" s="1">
        <f t="shared" ca="1" si="308"/>
        <v>80.750474999999994</v>
      </c>
      <c r="N1049" s="1">
        <f t="shared" ca="1" si="308"/>
        <v>0.2</v>
      </c>
      <c r="O1049" s="1">
        <f t="shared" ca="1" si="308"/>
        <v>0.2</v>
      </c>
      <c r="P1049" s="1">
        <f t="shared" ca="1" si="308"/>
        <v>0.36</v>
      </c>
      <c r="Q1049" s="1">
        <f t="shared" ca="1" si="308"/>
        <v>0.1</v>
      </c>
      <c r="R1049" s="1">
        <f t="shared" ca="1" si="308"/>
        <v>2</v>
      </c>
      <c r="S1049" s="1">
        <f t="shared" ca="1" si="309"/>
        <v>0.1</v>
      </c>
      <c r="T1049" s="1">
        <f t="shared" ca="1" si="309"/>
        <v>1.1700000000000002</v>
      </c>
      <c r="U1049" s="1">
        <f t="shared" ca="1" si="309"/>
        <v>110.2</v>
      </c>
      <c r="V1049" s="1">
        <f t="shared" ca="1" si="309"/>
        <v>0</v>
      </c>
      <c r="W1049" s="1">
        <f t="shared" ca="1" si="309"/>
        <v>495.86751519756899</v>
      </c>
      <c r="X1049" s="1">
        <f t="shared" ca="1" si="309"/>
        <v>0</v>
      </c>
      <c r="Y1049" s="1">
        <f t="shared" ca="1" si="309"/>
        <v>0</v>
      </c>
      <c r="Z1049" s="1">
        <f t="shared" ca="1" si="309"/>
        <v>0</v>
      </c>
      <c r="AA1049" s="1">
        <f t="shared" ca="1" si="309"/>
        <v>0</v>
      </c>
      <c r="AB1049" s="1">
        <f t="shared" ca="1" si="309"/>
        <v>0</v>
      </c>
      <c r="AC1049" s="1">
        <f t="shared" ca="1" si="309"/>
        <v>80.750474999999994</v>
      </c>
      <c r="AD1049" s="1">
        <f t="shared" ca="1" si="309"/>
        <v>121.12571249999999</v>
      </c>
      <c r="AE1049" s="1">
        <f t="shared" ca="1" si="309"/>
        <v>80.750474999999994</v>
      </c>
      <c r="AF1049" s="1">
        <f t="shared" ca="1" si="309"/>
        <v>80.750474999999994</v>
      </c>
      <c r="AG1049" s="1">
        <f t="shared" ca="1" si="309"/>
        <v>80.750474999999994</v>
      </c>
      <c r="AH1049" s="1">
        <f t="shared" ca="1" si="309"/>
        <v>80.750474999999994</v>
      </c>
      <c r="AI1049" s="1">
        <f t="shared" ca="1" si="310"/>
        <v>80.750474999999994</v>
      </c>
    </row>
    <row r="1050" spans="2:35" x14ac:dyDescent="0.15">
      <c r="B1050" s="1" t="str">
        <f t="shared" si="302"/>
        <v>风系58</v>
      </c>
      <c r="C1050" s="1">
        <f t="shared" si="295"/>
        <v>58</v>
      </c>
      <c r="D1050" s="14" t="s">
        <v>100</v>
      </c>
      <c r="E1050" s="14">
        <f t="shared" si="296"/>
        <v>11</v>
      </c>
      <c r="F1050" s="1" t="str">
        <f t="shared" si="305"/>
        <v>地脉</v>
      </c>
      <c r="H1050" s="1">
        <f t="shared" ca="1" si="301"/>
        <v>2048.3204325300599</v>
      </c>
      <c r="I1050" s="1">
        <f t="shared" ca="1" si="308"/>
        <v>150</v>
      </c>
      <c r="J1050" s="1">
        <f t="shared" ca="1" si="308"/>
        <v>851.116589861752</v>
      </c>
      <c r="K1050" s="1">
        <f t="shared" ca="1" si="308"/>
        <v>82.167150000000007</v>
      </c>
      <c r="L1050" s="1">
        <f t="shared" ca="1" si="308"/>
        <v>851.116589861752</v>
      </c>
      <c r="M1050" s="1">
        <f t="shared" ca="1" si="308"/>
        <v>82.167150000000007</v>
      </c>
      <c r="N1050" s="1">
        <f t="shared" ca="1" si="308"/>
        <v>0.2</v>
      </c>
      <c r="O1050" s="1">
        <f t="shared" ca="1" si="308"/>
        <v>0.2</v>
      </c>
      <c r="P1050" s="1">
        <f t="shared" ca="1" si="308"/>
        <v>0.36</v>
      </c>
      <c r="Q1050" s="1">
        <f t="shared" ca="1" si="308"/>
        <v>0.1</v>
      </c>
      <c r="R1050" s="1">
        <f t="shared" ca="1" si="308"/>
        <v>2</v>
      </c>
      <c r="S1050" s="1">
        <f t="shared" ca="1" si="309"/>
        <v>0.1</v>
      </c>
      <c r="T1050" s="1">
        <f t="shared" ca="1" si="309"/>
        <v>1.1700000000000002</v>
      </c>
      <c r="U1050" s="1">
        <f t="shared" ca="1" si="309"/>
        <v>112.133333333333</v>
      </c>
      <c r="V1050" s="1">
        <f t="shared" ca="1" si="309"/>
        <v>0</v>
      </c>
      <c r="W1050" s="1">
        <f t="shared" ca="1" si="309"/>
        <v>521.45875576036951</v>
      </c>
      <c r="X1050" s="1">
        <f t="shared" ca="1" si="309"/>
        <v>0</v>
      </c>
      <c r="Y1050" s="1">
        <f t="shared" ca="1" si="309"/>
        <v>0</v>
      </c>
      <c r="Z1050" s="1">
        <f t="shared" ca="1" si="309"/>
        <v>0</v>
      </c>
      <c r="AA1050" s="1">
        <f t="shared" ca="1" si="309"/>
        <v>0</v>
      </c>
      <c r="AB1050" s="1">
        <f t="shared" ca="1" si="309"/>
        <v>0</v>
      </c>
      <c r="AC1050" s="1">
        <f t="shared" ca="1" si="309"/>
        <v>82.167150000000007</v>
      </c>
      <c r="AD1050" s="1">
        <f t="shared" ca="1" si="309"/>
        <v>123.25072500000002</v>
      </c>
      <c r="AE1050" s="1">
        <f t="shared" ca="1" si="309"/>
        <v>82.167150000000007</v>
      </c>
      <c r="AF1050" s="1">
        <f t="shared" ca="1" si="309"/>
        <v>82.167150000000007</v>
      </c>
      <c r="AG1050" s="1">
        <f t="shared" ca="1" si="309"/>
        <v>82.167150000000007</v>
      </c>
      <c r="AH1050" s="1">
        <f t="shared" ca="1" si="309"/>
        <v>82.167150000000007</v>
      </c>
      <c r="AI1050" s="1">
        <f t="shared" ca="1" si="310"/>
        <v>82.167150000000007</v>
      </c>
    </row>
    <row r="1051" spans="2:35" x14ac:dyDescent="0.15">
      <c r="B1051" s="1" t="str">
        <f t="shared" si="302"/>
        <v>风系59</v>
      </c>
      <c r="C1051" s="1">
        <f t="shared" si="295"/>
        <v>59</v>
      </c>
      <c r="D1051" s="14" t="s">
        <v>100</v>
      </c>
      <c r="E1051" s="14">
        <f t="shared" si="296"/>
        <v>11</v>
      </c>
      <c r="F1051" s="1" t="str">
        <f t="shared" si="305"/>
        <v>地脉</v>
      </c>
      <c r="H1051" s="1">
        <f t="shared" ca="1" si="301"/>
        <v>2093.7021779117799</v>
      </c>
      <c r="I1051" s="1">
        <f t="shared" ca="1" si="308"/>
        <v>150</v>
      </c>
      <c r="J1051" s="1">
        <f t="shared" ca="1" si="308"/>
        <v>873.23664596273295</v>
      </c>
      <c r="K1051" s="1">
        <f t="shared" ca="1" si="308"/>
        <v>83.583825000000004</v>
      </c>
      <c r="L1051" s="1">
        <f t="shared" ca="1" si="308"/>
        <v>873.23664596273295</v>
      </c>
      <c r="M1051" s="1">
        <f t="shared" ca="1" si="308"/>
        <v>83.583825000000004</v>
      </c>
      <c r="N1051" s="1">
        <f t="shared" ca="1" si="308"/>
        <v>0.2</v>
      </c>
      <c r="O1051" s="1">
        <f t="shared" ca="1" si="308"/>
        <v>0.2</v>
      </c>
      <c r="P1051" s="1">
        <f t="shared" ca="1" si="308"/>
        <v>0.36</v>
      </c>
      <c r="Q1051" s="1">
        <f t="shared" ca="1" si="308"/>
        <v>0.1</v>
      </c>
      <c r="R1051" s="1">
        <f t="shared" ca="1" si="308"/>
        <v>2</v>
      </c>
      <c r="S1051" s="1">
        <f t="shared" ca="1" si="309"/>
        <v>0.1</v>
      </c>
      <c r="T1051" s="1">
        <f t="shared" ca="1" si="309"/>
        <v>1.1700000000000002</v>
      </c>
      <c r="U1051" s="1">
        <f t="shared" ca="1" si="309"/>
        <v>114.066666666667</v>
      </c>
      <c r="V1051" s="1">
        <f t="shared" ca="1" si="309"/>
        <v>0</v>
      </c>
      <c r="W1051" s="1">
        <f t="shared" ca="1" si="309"/>
        <v>548.09534161490706</v>
      </c>
      <c r="X1051" s="1">
        <f t="shared" ca="1" si="309"/>
        <v>0</v>
      </c>
      <c r="Y1051" s="1">
        <f t="shared" ca="1" si="309"/>
        <v>0</v>
      </c>
      <c r="Z1051" s="1">
        <f t="shared" ca="1" si="309"/>
        <v>0</v>
      </c>
      <c r="AA1051" s="1">
        <f t="shared" ca="1" si="309"/>
        <v>0</v>
      </c>
      <c r="AB1051" s="1">
        <f t="shared" ca="1" si="309"/>
        <v>0</v>
      </c>
      <c r="AC1051" s="1">
        <f t="shared" ca="1" si="309"/>
        <v>83.583825000000004</v>
      </c>
      <c r="AD1051" s="1">
        <f t="shared" ca="1" si="309"/>
        <v>125.37573750000001</v>
      </c>
      <c r="AE1051" s="1">
        <f t="shared" ca="1" si="309"/>
        <v>83.583825000000004</v>
      </c>
      <c r="AF1051" s="1">
        <f t="shared" ca="1" si="309"/>
        <v>83.583825000000004</v>
      </c>
      <c r="AG1051" s="1">
        <f t="shared" ca="1" si="309"/>
        <v>83.583825000000004</v>
      </c>
      <c r="AH1051" s="1">
        <f t="shared" ca="1" si="309"/>
        <v>83.583825000000004</v>
      </c>
      <c r="AI1051" s="1">
        <f t="shared" ca="1" si="310"/>
        <v>83.583825000000004</v>
      </c>
    </row>
    <row r="1052" spans="2:35" x14ac:dyDescent="0.15">
      <c r="B1052" s="1" t="str">
        <f t="shared" si="302"/>
        <v>风系60</v>
      </c>
      <c r="C1052" s="1">
        <f t="shared" si="295"/>
        <v>60</v>
      </c>
      <c r="D1052" s="14" t="s">
        <v>100</v>
      </c>
      <c r="E1052" s="14">
        <f t="shared" si="296"/>
        <v>11</v>
      </c>
      <c r="F1052" s="1" t="str">
        <f t="shared" si="305"/>
        <v>地脉</v>
      </c>
      <c r="H1052" s="1">
        <f t="shared" ca="1" si="301"/>
        <v>2139.4251394242001</v>
      </c>
      <c r="I1052" s="1">
        <f t="shared" ca="1" si="308"/>
        <v>150</v>
      </c>
      <c r="J1052" s="1">
        <f t="shared" ca="1" si="308"/>
        <v>895.71428571428601</v>
      </c>
      <c r="K1052" s="1">
        <f t="shared" ca="1" si="308"/>
        <v>85.000500000000002</v>
      </c>
      <c r="L1052" s="1">
        <f t="shared" ca="1" si="308"/>
        <v>895.71428571428601</v>
      </c>
      <c r="M1052" s="1">
        <f t="shared" ca="1" si="308"/>
        <v>85.000500000000002</v>
      </c>
      <c r="N1052" s="1">
        <f t="shared" ca="1" si="308"/>
        <v>0.2</v>
      </c>
      <c r="O1052" s="1">
        <f t="shared" ca="1" si="308"/>
        <v>0.2</v>
      </c>
      <c r="P1052" s="1">
        <f t="shared" ca="1" si="308"/>
        <v>0.36</v>
      </c>
      <c r="Q1052" s="1">
        <f t="shared" ca="1" si="308"/>
        <v>0.1</v>
      </c>
      <c r="R1052" s="1">
        <f t="shared" ca="1" si="308"/>
        <v>2</v>
      </c>
      <c r="S1052" s="1">
        <f t="shared" ca="1" si="309"/>
        <v>0.1</v>
      </c>
      <c r="T1052" s="1">
        <f t="shared" ca="1" si="309"/>
        <v>1.1700000000000002</v>
      </c>
      <c r="U1052" s="1">
        <f t="shared" ca="1" si="309"/>
        <v>116</v>
      </c>
      <c r="V1052" s="1">
        <f t="shared" ca="1" si="309"/>
        <v>0</v>
      </c>
      <c r="W1052" s="1">
        <f t="shared" ca="1" si="309"/>
        <v>575.81632653061206</v>
      </c>
      <c r="X1052" s="1">
        <f t="shared" ca="1" si="309"/>
        <v>0</v>
      </c>
      <c r="Y1052" s="1">
        <f t="shared" ca="1" si="309"/>
        <v>0</v>
      </c>
      <c r="Z1052" s="1">
        <f t="shared" ca="1" si="309"/>
        <v>0</v>
      </c>
      <c r="AA1052" s="1">
        <f t="shared" ca="1" si="309"/>
        <v>0</v>
      </c>
      <c r="AB1052" s="1">
        <f t="shared" ca="1" si="309"/>
        <v>0</v>
      </c>
      <c r="AC1052" s="1">
        <f t="shared" ca="1" si="309"/>
        <v>85.000500000000002</v>
      </c>
      <c r="AD1052" s="1">
        <f t="shared" ca="1" si="309"/>
        <v>127.50075000000001</v>
      </c>
      <c r="AE1052" s="1">
        <f t="shared" ca="1" si="309"/>
        <v>85.000500000000002</v>
      </c>
      <c r="AF1052" s="1">
        <f t="shared" ca="1" si="309"/>
        <v>85.000500000000002</v>
      </c>
      <c r="AG1052" s="1">
        <f t="shared" ca="1" si="309"/>
        <v>85.000500000000002</v>
      </c>
      <c r="AH1052" s="1">
        <f t="shared" ca="1" si="309"/>
        <v>85.000500000000002</v>
      </c>
      <c r="AI1052" s="1">
        <f t="shared" ca="1" si="310"/>
        <v>85.000500000000002</v>
      </c>
    </row>
    <row r="1053" spans="2:35" x14ac:dyDescent="0.15">
      <c r="B1053" s="1" t="str">
        <f t="shared" si="302"/>
        <v>风系61</v>
      </c>
      <c r="C1053" s="1">
        <f t="shared" si="295"/>
        <v>61</v>
      </c>
      <c r="D1053" s="14" t="s">
        <v>100</v>
      </c>
      <c r="E1053" s="14">
        <f t="shared" si="296"/>
        <v>11</v>
      </c>
      <c r="F1053" s="1" t="str">
        <f t="shared" si="305"/>
        <v>地脉</v>
      </c>
      <c r="H1053" s="1">
        <f t="shared" ca="1" si="301"/>
        <v>2185.4893170672999</v>
      </c>
      <c r="I1053" s="1">
        <f t="shared" ref="I1053:R1062" ca="1" si="311">mVlookup($C1053,monsterBaseDate,I$2,FALSE)*(1+mVlookup($E1053,monsterType,I$2,FALSE))</f>
        <v>150</v>
      </c>
      <c r="J1053" s="1">
        <f t="shared" ca="1" si="311"/>
        <v>918.55833333333396</v>
      </c>
      <c r="K1053" s="1">
        <f t="shared" ca="1" si="311"/>
        <v>86.417175</v>
      </c>
      <c r="L1053" s="1">
        <f t="shared" ca="1" si="311"/>
        <v>918.55833333333396</v>
      </c>
      <c r="M1053" s="1">
        <f t="shared" ca="1" si="311"/>
        <v>86.417175</v>
      </c>
      <c r="N1053" s="1">
        <f t="shared" ca="1" si="311"/>
        <v>0.2</v>
      </c>
      <c r="O1053" s="1">
        <f t="shared" ca="1" si="311"/>
        <v>0.2</v>
      </c>
      <c r="P1053" s="1">
        <f t="shared" ca="1" si="311"/>
        <v>0.36</v>
      </c>
      <c r="Q1053" s="1">
        <f t="shared" ca="1" si="311"/>
        <v>0.1</v>
      </c>
      <c r="R1053" s="1">
        <f t="shared" ca="1" si="311"/>
        <v>2</v>
      </c>
      <c r="S1053" s="1">
        <f t="shared" ref="S1053:AH1068" ca="1" si="312">mVlookup($C1053,monsterBaseDate,S$2,FALSE)*(1+mVlookup($E1053,monsterType,S$2,FALSE))</f>
        <v>0.1</v>
      </c>
      <c r="T1053" s="1">
        <f t="shared" ca="1" si="312"/>
        <v>1.1700000000000002</v>
      </c>
      <c r="U1053" s="1">
        <f t="shared" ca="1" si="312"/>
        <v>117.933333333333</v>
      </c>
      <c r="V1053" s="1">
        <f t="shared" ca="1" si="312"/>
        <v>0</v>
      </c>
      <c r="W1053" s="1">
        <f t="shared" ca="1" si="312"/>
        <v>604.66250000000093</v>
      </c>
      <c r="X1053" s="1">
        <f t="shared" ca="1" si="312"/>
        <v>0</v>
      </c>
      <c r="Y1053" s="1">
        <f t="shared" ca="1" si="312"/>
        <v>0</v>
      </c>
      <c r="Z1053" s="1">
        <f t="shared" ca="1" si="312"/>
        <v>0</v>
      </c>
      <c r="AA1053" s="1">
        <f t="shared" ca="1" si="312"/>
        <v>0</v>
      </c>
      <c r="AB1053" s="1">
        <f t="shared" ca="1" si="309"/>
        <v>0</v>
      </c>
      <c r="AC1053" s="1">
        <f t="shared" ca="1" si="312"/>
        <v>86.417175</v>
      </c>
      <c r="AD1053" s="1">
        <f t="shared" ca="1" si="312"/>
        <v>129.62576250000001</v>
      </c>
      <c r="AE1053" s="1">
        <f t="shared" ca="1" si="312"/>
        <v>86.417175</v>
      </c>
      <c r="AF1053" s="1">
        <f t="shared" ca="1" si="312"/>
        <v>86.417175</v>
      </c>
      <c r="AG1053" s="1">
        <f t="shared" ca="1" si="312"/>
        <v>86.417175</v>
      </c>
      <c r="AH1053" s="1">
        <f t="shared" ca="1" si="312"/>
        <v>86.417175</v>
      </c>
      <c r="AI1053" s="1">
        <f t="shared" ca="1" si="310"/>
        <v>86.417175</v>
      </c>
    </row>
    <row r="1054" spans="2:35" x14ac:dyDescent="0.15">
      <c r="B1054" s="1" t="str">
        <f t="shared" si="302"/>
        <v>风系62</v>
      </c>
      <c r="C1054" s="1">
        <f t="shared" si="295"/>
        <v>62</v>
      </c>
      <c r="D1054" s="14" t="s">
        <v>100</v>
      </c>
      <c r="E1054" s="14">
        <f t="shared" si="296"/>
        <v>11</v>
      </c>
      <c r="F1054" s="1" t="str">
        <f t="shared" si="305"/>
        <v>地脉</v>
      </c>
      <c r="H1054" s="1">
        <f t="shared" ca="1" si="301"/>
        <v>2231.8947108410998</v>
      </c>
      <c r="I1054" s="1">
        <f t="shared" ca="1" si="311"/>
        <v>150</v>
      </c>
      <c r="J1054" s="1">
        <f t="shared" ca="1" si="311"/>
        <v>941.77800963081904</v>
      </c>
      <c r="K1054" s="1">
        <f t="shared" ca="1" si="311"/>
        <v>87.833849999999998</v>
      </c>
      <c r="L1054" s="1">
        <f t="shared" ca="1" si="311"/>
        <v>941.77800963081904</v>
      </c>
      <c r="M1054" s="1">
        <f t="shared" ca="1" si="311"/>
        <v>87.833849999999998</v>
      </c>
      <c r="N1054" s="1">
        <f t="shared" ca="1" si="311"/>
        <v>0.2</v>
      </c>
      <c r="O1054" s="1">
        <f t="shared" ca="1" si="311"/>
        <v>0.2</v>
      </c>
      <c r="P1054" s="1">
        <f t="shared" ca="1" si="311"/>
        <v>0.36</v>
      </c>
      <c r="Q1054" s="1">
        <f t="shared" ca="1" si="311"/>
        <v>0.1</v>
      </c>
      <c r="R1054" s="1">
        <f t="shared" ca="1" si="311"/>
        <v>2</v>
      </c>
      <c r="S1054" s="1">
        <f t="shared" ca="1" si="312"/>
        <v>0.1</v>
      </c>
      <c r="T1054" s="1">
        <f t="shared" ca="1" si="312"/>
        <v>1.1700000000000002</v>
      </c>
      <c r="U1054" s="1">
        <f t="shared" ca="1" si="312"/>
        <v>119.866666666667</v>
      </c>
      <c r="V1054" s="1">
        <f t="shared" ca="1" si="312"/>
        <v>0</v>
      </c>
      <c r="W1054" s="1">
        <f t="shared" ca="1" si="312"/>
        <v>634.6764847512045</v>
      </c>
      <c r="X1054" s="1">
        <f t="shared" ca="1" si="312"/>
        <v>0</v>
      </c>
      <c r="Y1054" s="1">
        <f t="shared" ca="1" si="312"/>
        <v>0</v>
      </c>
      <c r="Z1054" s="1">
        <f t="shared" ca="1" si="312"/>
        <v>0</v>
      </c>
      <c r="AA1054" s="1">
        <f t="shared" ca="1" si="312"/>
        <v>0</v>
      </c>
      <c r="AB1054" s="1">
        <f t="shared" ca="1" si="309"/>
        <v>0</v>
      </c>
      <c r="AC1054" s="1">
        <f t="shared" ca="1" si="312"/>
        <v>87.833849999999998</v>
      </c>
      <c r="AD1054" s="1">
        <f t="shared" ca="1" si="312"/>
        <v>131.750775</v>
      </c>
      <c r="AE1054" s="1">
        <f t="shared" ca="1" si="312"/>
        <v>87.833849999999998</v>
      </c>
      <c r="AF1054" s="1">
        <f t="shared" ca="1" si="312"/>
        <v>87.833849999999998</v>
      </c>
      <c r="AG1054" s="1">
        <f t="shared" ca="1" si="312"/>
        <v>87.833849999999998</v>
      </c>
      <c r="AH1054" s="1">
        <f t="shared" ca="1" si="312"/>
        <v>87.833849999999998</v>
      </c>
      <c r="AI1054" s="1">
        <f t="shared" ca="1" si="310"/>
        <v>87.833849999999998</v>
      </c>
    </row>
    <row r="1055" spans="2:35" x14ac:dyDescent="0.15">
      <c r="B1055" s="1" t="str">
        <f t="shared" si="302"/>
        <v>风系63</v>
      </c>
      <c r="C1055" s="1">
        <f t="shared" si="295"/>
        <v>63</v>
      </c>
      <c r="D1055" s="14" t="s">
        <v>100</v>
      </c>
      <c r="E1055" s="14">
        <f t="shared" si="296"/>
        <v>11</v>
      </c>
      <c r="F1055" s="1" t="str">
        <f t="shared" si="305"/>
        <v>地脉</v>
      </c>
      <c r="H1055" s="1">
        <f t="shared" ca="1" si="301"/>
        <v>2278.6413207455798</v>
      </c>
      <c r="I1055" s="1">
        <f t="shared" ca="1" si="311"/>
        <v>150</v>
      </c>
      <c r="J1055" s="1">
        <f t="shared" ca="1" si="311"/>
        <v>965.38295454545505</v>
      </c>
      <c r="K1055" s="1">
        <f t="shared" ca="1" si="311"/>
        <v>89.250524999999996</v>
      </c>
      <c r="L1055" s="1">
        <f t="shared" ca="1" si="311"/>
        <v>965.38295454545505</v>
      </c>
      <c r="M1055" s="1">
        <f t="shared" ca="1" si="311"/>
        <v>89.250524999999996</v>
      </c>
      <c r="N1055" s="1">
        <f t="shared" ca="1" si="311"/>
        <v>0.2</v>
      </c>
      <c r="O1055" s="1">
        <f t="shared" ca="1" si="311"/>
        <v>0.2</v>
      </c>
      <c r="P1055" s="1">
        <f t="shared" ca="1" si="311"/>
        <v>0.36</v>
      </c>
      <c r="Q1055" s="1">
        <f t="shared" ca="1" si="311"/>
        <v>0.1</v>
      </c>
      <c r="R1055" s="1">
        <f t="shared" ca="1" si="311"/>
        <v>2</v>
      </c>
      <c r="S1055" s="1">
        <f t="shared" ca="1" si="312"/>
        <v>0.1</v>
      </c>
      <c r="T1055" s="1">
        <f t="shared" ca="1" si="312"/>
        <v>1.1700000000000002</v>
      </c>
      <c r="U1055" s="1">
        <f t="shared" ca="1" si="312"/>
        <v>121.8</v>
      </c>
      <c r="V1055" s="1">
        <f t="shared" ca="1" si="312"/>
        <v>0</v>
      </c>
      <c r="W1055" s="1">
        <f t="shared" ca="1" si="312"/>
        <v>665.90284090909199</v>
      </c>
      <c r="X1055" s="1">
        <f t="shared" ca="1" si="312"/>
        <v>0</v>
      </c>
      <c r="Y1055" s="1">
        <f t="shared" ca="1" si="312"/>
        <v>0</v>
      </c>
      <c r="Z1055" s="1">
        <f t="shared" ca="1" si="312"/>
        <v>0</v>
      </c>
      <c r="AA1055" s="1">
        <f t="shared" ca="1" si="312"/>
        <v>0</v>
      </c>
      <c r="AB1055" s="1">
        <f t="shared" ca="1" si="309"/>
        <v>0</v>
      </c>
      <c r="AC1055" s="1">
        <f t="shared" ca="1" si="312"/>
        <v>89.250524999999996</v>
      </c>
      <c r="AD1055" s="1">
        <f t="shared" ca="1" si="312"/>
        <v>133.8757875</v>
      </c>
      <c r="AE1055" s="1">
        <f t="shared" ca="1" si="312"/>
        <v>89.250524999999996</v>
      </c>
      <c r="AF1055" s="1">
        <f t="shared" ca="1" si="312"/>
        <v>89.250524999999996</v>
      </c>
      <c r="AG1055" s="1">
        <f t="shared" ca="1" si="312"/>
        <v>89.250524999999996</v>
      </c>
      <c r="AH1055" s="1">
        <f t="shared" ca="1" si="312"/>
        <v>89.250524999999996</v>
      </c>
      <c r="AI1055" s="1">
        <f t="shared" ca="1" si="310"/>
        <v>89.250524999999996</v>
      </c>
    </row>
    <row r="1056" spans="2:35" x14ac:dyDescent="0.15">
      <c r="B1056" s="1" t="str">
        <f t="shared" si="302"/>
        <v>风系64</v>
      </c>
      <c r="C1056" s="1">
        <f t="shared" si="295"/>
        <v>64</v>
      </c>
      <c r="D1056" s="14" t="s">
        <v>100</v>
      </c>
      <c r="E1056" s="14">
        <f t="shared" si="296"/>
        <v>11</v>
      </c>
      <c r="F1056" s="1" t="str">
        <f t="shared" si="305"/>
        <v>地脉</v>
      </c>
      <c r="H1056" s="1">
        <f t="shared" ca="1" si="301"/>
        <v>2325.7291467807499</v>
      </c>
      <c r="I1056" s="1">
        <f t="shared" ca="1" si="311"/>
        <v>150</v>
      </c>
      <c r="J1056" s="1">
        <f t="shared" ca="1" si="311"/>
        <v>989.38325123152799</v>
      </c>
      <c r="K1056" s="1">
        <f t="shared" ca="1" si="311"/>
        <v>90.667199999999994</v>
      </c>
      <c r="L1056" s="1">
        <f t="shared" ca="1" si="311"/>
        <v>989.38325123152799</v>
      </c>
      <c r="M1056" s="1">
        <f t="shared" ca="1" si="311"/>
        <v>90.667199999999994</v>
      </c>
      <c r="N1056" s="1">
        <f t="shared" ca="1" si="311"/>
        <v>0.2</v>
      </c>
      <c r="O1056" s="1">
        <f t="shared" ca="1" si="311"/>
        <v>0.2</v>
      </c>
      <c r="P1056" s="1">
        <f t="shared" ca="1" si="311"/>
        <v>0.36</v>
      </c>
      <c r="Q1056" s="1">
        <f t="shared" ca="1" si="311"/>
        <v>0.1</v>
      </c>
      <c r="R1056" s="1">
        <f t="shared" ca="1" si="311"/>
        <v>2</v>
      </c>
      <c r="S1056" s="1">
        <f t="shared" ca="1" si="312"/>
        <v>0.1</v>
      </c>
      <c r="T1056" s="1">
        <f t="shared" ca="1" si="312"/>
        <v>1.1700000000000002</v>
      </c>
      <c r="U1056" s="1">
        <f t="shared" ca="1" si="312"/>
        <v>123.73333333333299</v>
      </c>
      <c r="V1056" s="1">
        <f t="shared" ca="1" si="312"/>
        <v>0</v>
      </c>
      <c r="W1056" s="1">
        <f t="shared" ca="1" si="312"/>
        <v>698.3881773399014</v>
      </c>
      <c r="X1056" s="1">
        <f t="shared" ca="1" si="312"/>
        <v>0</v>
      </c>
      <c r="Y1056" s="1">
        <f t="shared" ca="1" si="312"/>
        <v>0</v>
      </c>
      <c r="Z1056" s="1">
        <f t="shared" ca="1" si="312"/>
        <v>0</v>
      </c>
      <c r="AA1056" s="1">
        <f t="shared" ca="1" si="312"/>
        <v>0</v>
      </c>
      <c r="AB1056" s="1">
        <f t="shared" ca="1" si="309"/>
        <v>0</v>
      </c>
      <c r="AC1056" s="1">
        <f t="shared" ca="1" si="312"/>
        <v>90.667199999999994</v>
      </c>
      <c r="AD1056" s="1">
        <f t="shared" ca="1" si="312"/>
        <v>136.0008</v>
      </c>
      <c r="AE1056" s="1">
        <f t="shared" ca="1" si="312"/>
        <v>90.667199999999994</v>
      </c>
      <c r="AF1056" s="1">
        <f t="shared" ca="1" si="312"/>
        <v>90.667199999999994</v>
      </c>
      <c r="AG1056" s="1">
        <f t="shared" ca="1" si="312"/>
        <v>90.667199999999994</v>
      </c>
      <c r="AH1056" s="1">
        <f t="shared" ca="1" si="312"/>
        <v>90.667199999999994</v>
      </c>
      <c r="AI1056" s="1">
        <f t="shared" ca="1" si="310"/>
        <v>90.667199999999994</v>
      </c>
    </row>
    <row r="1057" spans="2:35" x14ac:dyDescent="0.15">
      <c r="B1057" s="1" t="str">
        <f t="shared" si="302"/>
        <v>风系65</v>
      </c>
      <c r="C1057" s="1">
        <f t="shared" si="295"/>
        <v>65</v>
      </c>
      <c r="D1057" s="14" t="s">
        <v>100</v>
      </c>
      <c r="E1057" s="14">
        <f t="shared" si="296"/>
        <v>11</v>
      </c>
      <c r="F1057" s="1" t="str">
        <f t="shared" si="305"/>
        <v>地脉</v>
      </c>
      <c r="H1057" s="1">
        <f t="shared" ca="1" si="301"/>
        <v>2373.1581889466202</v>
      </c>
      <c r="I1057" s="1">
        <f t="shared" ca="1" si="311"/>
        <v>150</v>
      </c>
      <c r="J1057" s="1">
        <f t="shared" ca="1" si="311"/>
        <v>1013.78945182724</v>
      </c>
      <c r="K1057" s="1">
        <f t="shared" ca="1" si="311"/>
        <v>92.083875000000006</v>
      </c>
      <c r="L1057" s="1">
        <f t="shared" ca="1" si="311"/>
        <v>1013.78945182724</v>
      </c>
      <c r="M1057" s="1">
        <f t="shared" ca="1" si="311"/>
        <v>92.083875000000006</v>
      </c>
      <c r="N1057" s="1">
        <f t="shared" ca="1" si="311"/>
        <v>0.2</v>
      </c>
      <c r="O1057" s="1">
        <f t="shared" ca="1" si="311"/>
        <v>0.2</v>
      </c>
      <c r="P1057" s="1">
        <f t="shared" ca="1" si="311"/>
        <v>0.36</v>
      </c>
      <c r="Q1057" s="1">
        <f t="shared" ca="1" si="311"/>
        <v>0.1</v>
      </c>
      <c r="R1057" s="1">
        <f t="shared" ca="1" si="311"/>
        <v>2</v>
      </c>
      <c r="S1057" s="1">
        <f t="shared" ca="1" si="312"/>
        <v>0.1</v>
      </c>
      <c r="T1057" s="1">
        <f t="shared" ca="1" si="312"/>
        <v>1.1700000000000002</v>
      </c>
      <c r="U1057" s="1">
        <f t="shared" ca="1" si="312"/>
        <v>125.666666666667</v>
      </c>
      <c r="V1057" s="1">
        <f t="shared" ca="1" si="312"/>
        <v>0</v>
      </c>
      <c r="W1057" s="1">
        <f t="shared" ca="1" si="312"/>
        <v>732.18127076411997</v>
      </c>
      <c r="X1057" s="1">
        <f t="shared" ca="1" si="312"/>
        <v>0</v>
      </c>
      <c r="Y1057" s="1">
        <f t="shared" ca="1" si="312"/>
        <v>0</v>
      </c>
      <c r="Z1057" s="1">
        <f t="shared" ca="1" si="312"/>
        <v>0</v>
      </c>
      <c r="AA1057" s="1">
        <f t="shared" ca="1" si="312"/>
        <v>0</v>
      </c>
      <c r="AB1057" s="1">
        <f t="shared" ca="1" si="309"/>
        <v>0</v>
      </c>
      <c r="AC1057" s="1">
        <f t="shared" ca="1" si="312"/>
        <v>92.083875000000006</v>
      </c>
      <c r="AD1057" s="1">
        <f t="shared" ca="1" si="312"/>
        <v>138.12581249999999</v>
      </c>
      <c r="AE1057" s="1">
        <f t="shared" ca="1" si="312"/>
        <v>92.083875000000006</v>
      </c>
      <c r="AF1057" s="1">
        <f t="shared" ca="1" si="312"/>
        <v>92.083875000000006</v>
      </c>
      <c r="AG1057" s="1">
        <f t="shared" ca="1" si="312"/>
        <v>92.083875000000006</v>
      </c>
      <c r="AH1057" s="1">
        <f t="shared" ca="1" si="312"/>
        <v>92.083875000000006</v>
      </c>
      <c r="AI1057" s="1">
        <f t="shared" ca="1" si="310"/>
        <v>92.083875000000006</v>
      </c>
    </row>
    <row r="1058" spans="2:35" x14ac:dyDescent="0.15">
      <c r="B1058" s="1" t="str">
        <f t="shared" si="302"/>
        <v>风系66</v>
      </c>
      <c r="C1058" s="1">
        <f t="shared" ref="C1058:C1091" si="313">C959</f>
        <v>66</v>
      </c>
      <c r="D1058" s="14" t="s">
        <v>100</v>
      </c>
      <c r="E1058" s="14">
        <f t="shared" si="296"/>
        <v>11</v>
      </c>
      <c r="F1058" s="1" t="str">
        <f t="shared" si="305"/>
        <v>地脉</v>
      </c>
      <c r="H1058" s="1">
        <f t="shared" ca="1" si="301"/>
        <v>2420.92844724317</v>
      </c>
      <c r="I1058" s="1">
        <f t="shared" ca="1" si="311"/>
        <v>150</v>
      </c>
      <c r="J1058" s="1">
        <f t="shared" ca="1" si="311"/>
        <v>1038.61260504202</v>
      </c>
      <c r="K1058" s="1">
        <f t="shared" ca="1" si="311"/>
        <v>93.500550000000004</v>
      </c>
      <c r="L1058" s="1">
        <f t="shared" ca="1" si="311"/>
        <v>1038.61260504202</v>
      </c>
      <c r="M1058" s="1">
        <f t="shared" ca="1" si="311"/>
        <v>93.500550000000004</v>
      </c>
      <c r="N1058" s="1">
        <f t="shared" ca="1" si="311"/>
        <v>0.2</v>
      </c>
      <c r="O1058" s="1">
        <f t="shared" ca="1" si="311"/>
        <v>0.2</v>
      </c>
      <c r="P1058" s="1">
        <f t="shared" ca="1" si="311"/>
        <v>0.36</v>
      </c>
      <c r="Q1058" s="1">
        <f t="shared" ca="1" si="311"/>
        <v>0.1</v>
      </c>
      <c r="R1058" s="1">
        <f t="shared" ca="1" si="311"/>
        <v>2</v>
      </c>
      <c r="S1058" s="1">
        <f t="shared" ca="1" si="312"/>
        <v>0.1</v>
      </c>
      <c r="T1058" s="1">
        <f t="shared" ca="1" si="312"/>
        <v>1.1700000000000002</v>
      </c>
      <c r="U1058" s="1">
        <f t="shared" ca="1" si="312"/>
        <v>127.6</v>
      </c>
      <c r="V1058" s="1">
        <f t="shared" ca="1" si="312"/>
        <v>0</v>
      </c>
      <c r="W1058" s="1">
        <f t="shared" ca="1" si="312"/>
        <v>767.33319327731101</v>
      </c>
      <c r="X1058" s="1">
        <f t="shared" ca="1" si="312"/>
        <v>0</v>
      </c>
      <c r="Y1058" s="1">
        <f t="shared" ca="1" si="312"/>
        <v>0</v>
      </c>
      <c r="Z1058" s="1">
        <f t="shared" ca="1" si="312"/>
        <v>0</v>
      </c>
      <c r="AA1058" s="1">
        <f t="shared" ca="1" si="312"/>
        <v>0</v>
      </c>
      <c r="AB1058" s="1">
        <f t="shared" ca="1" si="309"/>
        <v>0</v>
      </c>
      <c r="AC1058" s="1">
        <f t="shared" ca="1" si="312"/>
        <v>93.500550000000004</v>
      </c>
      <c r="AD1058" s="1">
        <f t="shared" ca="1" si="312"/>
        <v>140.25082500000002</v>
      </c>
      <c r="AE1058" s="1">
        <f t="shared" ca="1" si="312"/>
        <v>93.500550000000004</v>
      </c>
      <c r="AF1058" s="1">
        <f t="shared" ca="1" si="312"/>
        <v>93.500550000000004</v>
      </c>
      <c r="AG1058" s="1">
        <f t="shared" ca="1" si="312"/>
        <v>93.500550000000004</v>
      </c>
      <c r="AH1058" s="1">
        <f t="shared" ca="1" si="312"/>
        <v>93.500550000000004</v>
      </c>
      <c r="AI1058" s="1">
        <f t="shared" ca="1" si="310"/>
        <v>93.500550000000004</v>
      </c>
    </row>
    <row r="1059" spans="2:35" x14ac:dyDescent="0.15">
      <c r="B1059" s="1" t="str">
        <f t="shared" si="302"/>
        <v>风系67</v>
      </c>
      <c r="C1059" s="1">
        <f t="shared" si="313"/>
        <v>67</v>
      </c>
      <c r="D1059" s="14" t="s">
        <v>100</v>
      </c>
      <c r="E1059" s="14">
        <f t="shared" si="296"/>
        <v>11</v>
      </c>
      <c r="F1059" s="1" t="str">
        <f t="shared" si="305"/>
        <v>地脉</v>
      </c>
      <c r="H1059" s="1">
        <f t="shared" ca="1" si="301"/>
        <v>2566.4914899863102</v>
      </c>
      <c r="I1059" s="1">
        <f t="shared" ca="1" si="311"/>
        <v>150</v>
      </c>
      <c r="J1059" s="1">
        <f t="shared" ca="1" si="311"/>
        <v>1063.86428571429</v>
      </c>
      <c r="K1059" s="1">
        <f t="shared" ca="1" si="311"/>
        <v>94.917225000000002</v>
      </c>
      <c r="L1059" s="1">
        <f t="shared" ca="1" si="311"/>
        <v>1063.86428571429</v>
      </c>
      <c r="M1059" s="1">
        <f t="shared" ca="1" si="311"/>
        <v>94.917225000000002</v>
      </c>
      <c r="N1059" s="1">
        <f t="shared" ca="1" si="311"/>
        <v>0.2</v>
      </c>
      <c r="O1059" s="1">
        <f t="shared" ca="1" si="311"/>
        <v>0.2</v>
      </c>
      <c r="P1059" s="1">
        <f t="shared" ca="1" si="311"/>
        <v>0.36</v>
      </c>
      <c r="Q1059" s="1">
        <f t="shared" ca="1" si="311"/>
        <v>0.1</v>
      </c>
      <c r="R1059" s="1">
        <f t="shared" ca="1" si="311"/>
        <v>2</v>
      </c>
      <c r="S1059" s="1">
        <f t="shared" ca="1" si="312"/>
        <v>0.1</v>
      </c>
      <c r="T1059" s="1">
        <f t="shared" ca="1" si="312"/>
        <v>1.1700000000000002</v>
      </c>
      <c r="U1059" s="1">
        <f t="shared" ca="1" si="312"/>
        <v>129.53333333333299</v>
      </c>
      <c r="V1059" s="1">
        <f t="shared" ca="1" si="312"/>
        <v>0</v>
      </c>
      <c r="W1059" s="1">
        <f t="shared" ca="1" si="312"/>
        <v>803.89744897959304</v>
      </c>
      <c r="X1059" s="1">
        <f t="shared" ca="1" si="312"/>
        <v>0</v>
      </c>
      <c r="Y1059" s="1">
        <f t="shared" ca="1" si="312"/>
        <v>0</v>
      </c>
      <c r="Z1059" s="1">
        <f t="shared" ca="1" si="312"/>
        <v>0</v>
      </c>
      <c r="AA1059" s="1">
        <f t="shared" ca="1" si="312"/>
        <v>0</v>
      </c>
      <c r="AB1059" s="1">
        <f t="shared" ca="1" si="312"/>
        <v>0</v>
      </c>
      <c r="AC1059" s="1">
        <f t="shared" ca="1" si="312"/>
        <v>94.917225000000002</v>
      </c>
      <c r="AD1059" s="1">
        <f t="shared" ca="1" si="312"/>
        <v>142.37583749999999</v>
      </c>
      <c r="AE1059" s="1">
        <f t="shared" ca="1" si="312"/>
        <v>94.917225000000002</v>
      </c>
      <c r="AF1059" s="1">
        <f t="shared" ca="1" si="312"/>
        <v>94.917225000000002</v>
      </c>
      <c r="AG1059" s="1">
        <f t="shared" ca="1" si="312"/>
        <v>94.917225000000002</v>
      </c>
      <c r="AH1059" s="1">
        <f t="shared" ca="1" si="312"/>
        <v>94.917225000000002</v>
      </c>
      <c r="AI1059" s="1">
        <f t="shared" ca="1" si="310"/>
        <v>94.917225000000002</v>
      </c>
    </row>
    <row r="1060" spans="2:35" x14ac:dyDescent="0.15">
      <c r="B1060" s="1" t="str">
        <f t="shared" si="302"/>
        <v>风系68</v>
      </c>
      <c r="C1060" s="1">
        <f t="shared" si="313"/>
        <v>68</v>
      </c>
      <c r="D1060" s="14" t="s">
        <v>100</v>
      </c>
      <c r="E1060" s="14">
        <f t="shared" si="296"/>
        <v>11</v>
      </c>
      <c r="F1060" s="1" t="str">
        <f t="shared" si="305"/>
        <v>地脉</v>
      </c>
      <c r="H1060" s="1">
        <f t="shared" ca="1" si="301"/>
        <v>2616.8565800330298</v>
      </c>
      <c r="I1060" s="1">
        <f t="shared" ca="1" si="311"/>
        <v>150</v>
      </c>
      <c r="J1060" s="1">
        <f t="shared" ca="1" si="311"/>
        <v>1089.5566265060199</v>
      </c>
      <c r="K1060" s="1">
        <f t="shared" ca="1" si="311"/>
        <v>96.3339</v>
      </c>
      <c r="L1060" s="1">
        <f t="shared" ca="1" si="311"/>
        <v>1089.5566265060199</v>
      </c>
      <c r="M1060" s="1">
        <f t="shared" ca="1" si="311"/>
        <v>96.3339</v>
      </c>
      <c r="N1060" s="1">
        <f t="shared" ca="1" si="311"/>
        <v>0.2</v>
      </c>
      <c r="O1060" s="1">
        <f t="shared" ca="1" si="311"/>
        <v>0.2</v>
      </c>
      <c r="P1060" s="1">
        <f t="shared" ca="1" si="311"/>
        <v>0.36</v>
      </c>
      <c r="Q1060" s="1">
        <f t="shared" ca="1" si="311"/>
        <v>0.1</v>
      </c>
      <c r="R1060" s="1">
        <f t="shared" ca="1" si="311"/>
        <v>2</v>
      </c>
      <c r="S1060" s="1">
        <f t="shared" ca="1" si="312"/>
        <v>0.1</v>
      </c>
      <c r="T1060" s="1">
        <f t="shared" ca="1" si="312"/>
        <v>1.1700000000000002</v>
      </c>
      <c r="U1060" s="1">
        <f t="shared" ca="1" si="312"/>
        <v>131.46666666666701</v>
      </c>
      <c r="V1060" s="1">
        <f t="shared" ca="1" si="312"/>
        <v>0</v>
      </c>
      <c r="W1060" s="1">
        <f t="shared" ca="1" si="312"/>
        <v>841.93012048192804</v>
      </c>
      <c r="X1060" s="1">
        <f t="shared" ca="1" si="312"/>
        <v>0</v>
      </c>
      <c r="Y1060" s="1">
        <f t="shared" ca="1" si="312"/>
        <v>0</v>
      </c>
      <c r="Z1060" s="1">
        <f t="shared" ca="1" si="312"/>
        <v>0</v>
      </c>
      <c r="AA1060" s="1">
        <f t="shared" ca="1" si="312"/>
        <v>0</v>
      </c>
      <c r="AB1060" s="1">
        <f t="shared" ca="1" si="312"/>
        <v>0</v>
      </c>
      <c r="AC1060" s="1">
        <f t="shared" ca="1" si="312"/>
        <v>96.3339</v>
      </c>
      <c r="AD1060" s="1">
        <f t="shared" ca="1" si="312"/>
        <v>144.50085000000001</v>
      </c>
      <c r="AE1060" s="1">
        <f t="shared" ca="1" si="312"/>
        <v>96.3339</v>
      </c>
      <c r="AF1060" s="1">
        <f t="shared" ca="1" si="312"/>
        <v>96.3339</v>
      </c>
      <c r="AG1060" s="1">
        <f t="shared" ca="1" si="312"/>
        <v>96.3339</v>
      </c>
      <c r="AH1060" s="1">
        <f t="shared" ca="1" si="312"/>
        <v>96.3339</v>
      </c>
      <c r="AI1060" s="1">
        <f t="shared" ca="1" si="310"/>
        <v>96.3339</v>
      </c>
    </row>
    <row r="1061" spans="2:35" x14ac:dyDescent="0.15">
      <c r="B1061" s="1" t="str">
        <f t="shared" si="302"/>
        <v>风系69</v>
      </c>
      <c r="C1061" s="1">
        <f t="shared" si="313"/>
        <v>69</v>
      </c>
      <c r="D1061" s="14" t="s">
        <v>100</v>
      </c>
      <c r="E1061" s="14">
        <f t="shared" si="296"/>
        <v>11</v>
      </c>
      <c r="F1061" s="1" t="str">
        <f t="shared" si="305"/>
        <v>地脉</v>
      </c>
      <c r="H1061" s="1">
        <f t="shared" ca="1" si="301"/>
        <v>2667.5763538124702</v>
      </c>
      <c r="I1061" s="1">
        <f t="shared" ca="1" si="311"/>
        <v>150</v>
      </c>
      <c r="J1061" s="1">
        <f t="shared" ca="1" si="311"/>
        <v>1115.7023519163799</v>
      </c>
      <c r="K1061" s="1">
        <f t="shared" ca="1" si="311"/>
        <v>97.750574999999998</v>
      </c>
      <c r="L1061" s="1">
        <f t="shared" ca="1" si="311"/>
        <v>1115.7023519163799</v>
      </c>
      <c r="M1061" s="1">
        <f t="shared" ca="1" si="311"/>
        <v>97.750574999999998</v>
      </c>
      <c r="N1061" s="1">
        <f t="shared" ca="1" si="311"/>
        <v>0.2</v>
      </c>
      <c r="O1061" s="1">
        <f t="shared" ca="1" si="311"/>
        <v>0.2</v>
      </c>
      <c r="P1061" s="1">
        <f t="shared" ca="1" si="311"/>
        <v>0.36</v>
      </c>
      <c r="Q1061" s="1">
        <f t="shared" ca="1" si="311"/>
        <v>0.1</v>
      </c>
      <c r="R1061" s="1">
        <f t="shared" ca="1" si="311"/>
        <v>2</v>
      </c>
      <c r="S1061" s="1">
        <f t="shared" ca="1" si="312"/>
        <v>0.1</v>
      </c>
      <c r="T1061" s="1">
        <f t="shared" ca="1" si="312"/>
        <v>1.1700000000000002</v>
      </c>
      <c r="U1061" s="1">
        <f t="shared" ca="1" si="312"/>
        <v>133.4</v>
      </c>
      <c r="V1061" s="1">
        <f t="shared" ca="1" si="312"/>
        <v>0</v>
      </c>
      <c r="W1061" s="1">
        <f t="shared" ca="1" si="312"/>
        <v>881.49002613240452</v>
      </c>
      <c r="X1061" s="1">
        <f t="shared" ca="1" si="312"/>
        <v>0</v>
      </c>
      <c r="Y1061" s="1">
        <f t="shared" ca="1" si="312"/>
        <v>0</v>
      </c>
      <c r="Z1061" s="1">
        <f t="shared" ca="1" si="312"/>
        <v>0</v>
      </c>
      <c r="AA1061" s="1">
        <f t="shared" ca="1" si="312"/>
        <v>0</v>
      </c>
      <c r="AB1061" s="1">
        <f t="shared" ca="1" si="312"/>
        <v>0</v>
      </c>
      <c r="AC1061" s="1">
        <f t="shared" ca="1" si="312"/>
        <v>97.750574999999998</v>
      </c>
      <c r="AD1061" s="1">
        <f t="shared" ca="1" si="312"/>
        <v>146.62586249999998</v>
      </c>
      <c r="AE1061" s="1">
        <f t="shared" ca="1" si="312"/>
        <v>97.750574999999998</v>
      </c>
      <c r="AF1061" s="1">
        <f t="shared" ca="1" si="312"/>
        <v>97.750574999999998</v>
      </c>
      <c r="AG1061" s="1">
        <f t="shared" ca="1" si="312"/>
        <v>97.750574999999998</v>
      </c>
      <c r="AH1061" s="1">
        <f t="shared" ca="1" si="312"/>
        <v>97.750574999999998</v>
      </c>
      <c r="AI1061" s="1">
        <f t="shared" ca="1" si="310"/>
        <v>97.750574999999998</v>
      </c>
    </row>
    <row r="1062" spans="2:35" x14ac:dyDescent="0.15">
      <c r="B1062" s="1" t="str">
        <f t="shared" si="302"/>
        <v>风系70</v>
      </c>
      <c r="C1062" s="1">
        <f t="shared" si="313"/>
        <v>70</v>
      </c>
      <c r="D1062" s="14" t="s">
        <v>100</v>
      </c>
      <c r="E1062" s="14">
        <f t="shared" si="296"/>
        <v>11</v>
      </c>
      <c r="F1062" s="1" t="str">
        <f t="shared" si="305"/>
        <v>地脉</v>
      </c>
      <c r="H1062" s="1">
        <f t="shared" ca="1" si="301"/>
        <v>2718.65081132463</v>
      </c>
      <c r="I1062" s="1">
        <f t="shared" ca="1" si="311"/>
        <v>150</v>
      </c>
      <c r="J1062" s="1">
        <f t="shared" ca="1" si="311"/>
        <v>1142.31481481482</v>
      </c>
      <c r="K1062" s="1">
        <f t="shared" ca="1" si="311"/>
        <v>99.167249999999996</v>
      </c>
      <c r="L1062" s="1">
        <f t="shared" ca="1" si="311"/>
        <v>1142.31481481482</v>
      </c>
      <c r="M1062" s="1">
        <f t="shared" ca="1" si="311"/>
        <v>99.167249999999996</v>
      </c>
      <c r="N1062" s="1">
        <f t="shared" ca="1" si="311"/>
        <v>0.2</v>
      </c>
      <c r="O1062" s="1">
        <f t="shared" ca="1" si="311"/>
        <v>0.2</v>
      </c>
      <c r="P1062" s="1">
        <f t="shared" ca="1" si="311"/>
        <v>0.36</v>
      </c>
      <c r="Q1062" s="1">
        <f t="shared" ca="1" si="311"/>
        <v>0.1</v>
      </c>
      <c r="R1062" s="1">
        <f t="shared" ca="1" si="311"/>
        <v>2</v>
      </c>
      <c r="S1062" s="1">
        <f t="shared" ca="1" si="312"/>
        <v>0.1</v>
      </c>
      <c r="T1062" s="1">
        <f t="shared" ca="1" si="312"/>
        <v>1.1700000000000002</v>
      </c>
      <c r="U1062" s="1">
        <f t="shared" ca="1" si="312"/>
        <v>135.333333333333</v>
      </c>
      <c r="V1062" s="1">
        <f t="shared" ca="1" si="312"/>
        <v>0</v>
      </c>
      <c r="W1062" s="1">
        <f t="shared" ca="1" si="312"/>
        <v>922.63888888888937</v>
      </c>
      <c r="X1062" s="1">
        <f t="shared" ca="1" si="312"/>
        <v>0</v>
      </c>
      <c r="Y1062" s="1">
        <f t="shared" ca="1" si="312"/>
        <v>0</v>
      </c>
      <c r="Z1062" s="1">
        <f t="shared" ca="1" si="312"/>
        <v>0</v>
      </c>
      <c r="AA1062" s="1">
        <f t="shared" ca="1" si="312"/>
        <v>0</v>
      </c>
      <c r="AB1062" s="1">
        <f t="shared" ca="1" si="312"/>
        <v>0</v>
      </c>
      <c r="AC1062" s="1">
        <f t="shared" ca="1" si="312"/>
        <v>99.167249999999996</v>
      </c>
      <c r="AD1062" s="1">
        <f t="shared" ca="1" si="312"/>
        <v>148.75087500000001</v>
      </c>
      <c r="AE1062" s="1">
        <f t="shared" ca="1" si="312"/>
        <v>99.167249999999996</v>
      </c>
      <c r="AF1062" s="1">
        <f t="shared" ca="1" si="312"/>
        <v>99.167249999999996</v>
      </c>
      <c r="AG1062" s="1">
        <f t="shared" ca="1" si="312"/>
        <v>99.167249999999996</v>
      </c>
      <c r="AH1062" s="1">
        <f t="shared" ca="1" si="312"/>
        <v>99.167249999999996</v>
      </c>
      <c r="AI1062" s="1">
        <f t="shared" ca="1" si="310"/>
        <v>99.167249999999996</v>
      </c>
    </row>
    <row r="1063" spans="2:35" x14ac:dyDescent="0.15">
      <c r="B1063" s="1" t="str">
        <f t="shared" si="302"/>
        <v>风系71</v>
      </c>
      <c r="C1063" s="1">
        <f t="shared" si="313"/>
        <v>71</v>
      </c>
      <c r="D1063" s="14" t="s">
        <v>100</v>
      </c>
      <c r="E1063" s="14">
        <f t="shared" ref="E1063:E1091" si="314">E964+1</f>
        <v>11</v>
      </c>
      <c r="F1063" s="1" t="str">
        <f t="shared" si="305"/>
        <v>地脉</v>
      </c>
      <c r="H1063" s="1">
        <f t="shared" ca="1" si="301"/>
        <v>2770.0799525695202</v>
      </c>
      <c r="I1063" s="1">
        <f t="shared" ref="I1063:R1072" ca="1" si="315">mVlookup($C1063,monsterBaseDate,I$2,FALSE)*(1+mVlookup($E1063,monsterType,I$2,FALSE))</f>
        <v>150</v>
      </c>
      <c r="J1063" s="1">
        <f t="shared" ca="1" si="315"/>
        <v>1169.40803571429</v>
      </c>
      <c r="K1063" s="1">
        <f t="shared" ca="1" si="315"/>
        <v>100.58392499999999</v>
      </c>
      <c r="L1063" s="1">
        <f t="shared" ca="1" si="315"/>
        <v>1169.40803571429</v>
      </c>
      <c r="M1063" s="1">
        <f t="shared" ca="1" si="315"/>
        <v>100.58392499999999</v>
      </c>
      <c r="N1063" s="1">
        <f t="shared" ca="1" si="315"/>
        <v>0.2</v>
      </c>
      <c r="O1063" s="1">
        <f t="shared" ca="1" si="315"/>
        <v>0.2</v>
      </c>
      <c r="P1063" s="1">
        <f t="shared" ca="1" si="315"/>
        <v>0.36</v>
      </c>
      <c r="Q1063" s="1">
        <f t="shared" ca="1" si="315"/>
        <v>0.1</v>
      </c>
      <c r="R1063" s="1">
        <f t="shared" ca="1" si="315"/>
        <v>2</v>
      </c>
      <c r="S1063" s="1">
        <f t="shared" ref="S1063:AH1078" ca="1" si="316">mVlookup($C1063,monsterBaseDate,S$2,FALSE)*(1+mVlookup($E1063,monsterType,S$2,FALSE))</f>
        <v>0.1</v>
      </c>
      <c r="T1063" s="1">
        <f t="shared" ca="1" si="316"/>
        <v>1.1700000000000002</v>
      </c>
      <c r="U1063" s="1">
        <f t="shared" ca="1" si="316"/>
        <v>137.26666666666699</v>
      </c>
      <c r="V1063" s="1">
        <f t="shared" ca="1" si="316"/>
        <v>0</v>
      </c>
      <c r="W1063" s="1">
        <f t="shared" ca="1" si="316"/>
        <v>965.44151785714348</v>
      </c>
      <c r="X1063" s="1">
        <f t="shared" ca="1" si="316"/>
        <v>0</v>
      </c>
      <c r="Y1063" s="1">
        <f t="shared" ca="1" si="316"/>
        <v>0</v>
      </c>
      <c r="Z1063" s="1">
        <f t="shared" ca="1" si="316"/>
        <v>0</v>
      </c>
      <c r="AA1063" s="1">
        <f t="shared" ca="1" si="316"/>
        <v>0</v>
      </c>
      <c r="AB1063" s="1">
        <f t="shared" ca="1" si="312"/>
        <v>0</v>
      </c>
      <c r="AC1063" s="1">
        <f t="shared" ca="1" si="316"/>
        <v>100.58392499999999</v>
      </c>
      <c r="AD1063" s="1">
        <f t="shared" ca="1" si="316"/>
        <v>150.87588749999998</v>
      </c>
      <c r="AE1063" s="1">
        <f t="shared" ca="1" si="316"/>
        <v>100.58392499999999</v>
      </c>
      <c r="AF1063" s="1">
        <f t="shared" ca="1" si="316"/>
        <v>100.58392499999999</v>
      </c>
      <c r="AG1063" s="1">
        <f t="shared" ca="1" si="316"/>
        <v>100.58392499999999</v>
      </c>
      <c r="AH1063" s="1">
        <f t="shared" ca="1" si="316"/>
        <v>100.58392499999999</v>
      </c>
      <c r="AI1063" s="1">
        <f t="shared" ca="1" si="310"/>
        <v>100.58392499999999</v>
      </c>
    </row>
    <row r="1064" spans="2:35" x14ac:dyDescent="0.15">
      <c r="B1064" s="1" t="str">
        <f t="shared" si="302"/>
        <v>风系72</v>
      </c>
      <c r="C1064" s="1">
        <f t="shared" si="313"/>
        <v>72</v>
      </c>
      <c r="D1064" s="14" t="s">
        <v>100</v>
      </c>
      <c r="E1064" s="14">
        <f t="shared" si="314"/>
        <v>11</v>
      </c>
      <c r="F1064" s="1" t="str">
        <f t="shared" si="305"/>
        <v>地脉</v>
      </c>
      <c r="H1064" s="1">
        <f t="shared" ca="1" si="301"/>
        <v>2821.8637775471302</v>
      </c>
      <c r="I1064" s="1">
        <f t="shared" ca="1" si="315"/>
        <v>150</v>
      </c>
      <c r="J1064" s="1">
        <f t="shared" ca="1" si="315"/>
        <v>1196.9967450271299</v>
      </c>
      <c r="K1064" s="1">
        <f t="shared" ca="1" si="315"/>
        <v>102.00060000000001</v>
      </c>
      <c r="L1064" s="1">
        <f t="shared" ca="1" si="315"/>
        <v>1196.9967450271299</v>
      </c>
      <c r="M1064" s="1">
        <f t="shared" ca="1" si="315"/>
        <v>102.00060000000001</v>
      </c>
      <c r="N1064" s="1">
        <f t="shared" ca="1" si="315"/>
        <v>0.2</v>
      </c>
      <c r="O1064" s="1">
        <f t="shared" ca="1" si="315"/>
        <v>0.2</v>
      </c>
      <c r="P1064" s="1">
        <f t="shared" ca="1" si="315"/>
        <v>0.36</v>
      </c>
      <c r="Q1064" s="1">
        <f t="shared" ca="1" si="315"/>
        <v>0.1</v>
      </c>
      <c r="R1064" s="1">
        <f t="shared" ca="1" si="315"/>
        <v>2</v>
      </c>
      <c r="S1064" s="1">
        <f t="shared" ca="1" si="316"/>
        <v>0.1</v>
      </c>
      <c r="T1064" s="1">
        <f t="shared" ca="1" si="316"/>
        <v>1.1700000000000002</v>
      </c>
      <c r="U1064" s="1">
        <f t="shared" ca="1" si="316"/>
        <v>139.19999999999999</v>
      </c>
      <c r="V1064" s="1">
        <f t="shared" ca="1" si="316"/>
        <v>0</v>
      </c>
      <c r="W1064" s="1">
        <f t="shared" ca="1" si="316"/>
        <v>1009.966003616637</v>
      </c>
      <c r="X1064" s="1">
        <f t="shared" ca="1" si="316"/>
        <v>0</v>
      </c>
      <c r="Y1064" s="1">
        <f t="shared" ca="1" si="316"/>
        <v>0</v>
      </c>
      <c r="Z1064" s="1">
        <f t="shared" ca="1" si="316"/>
        <v>0</v>
      </c>
      <c r="AA1064" s="1">
        <f t="shared" ca="1" si="316"/>
        <v>0</v>
      </c>
      <c r="AB1064" s="1">
        <f t="shared" ca="1" si="312"/>
        <v>0</v>
      </c>
      <c r="AC1064" s="1">
        <f t="shared" ca="1" si="316"/>
        <v>102.00060000000001</v>
      </c>
      <c r="AD1064" s="1">
        <f t="shared" ca="1" si="316"/>
        <v>153.0009</v>
      </c>
      <c r="AE1064" s="1">
        <f t="shared" ca="1" si="316"/>
        <v>102.00060000000001</v>
      </c>
      <c r="AF1064" s="1">
        <f t="shared" ca="1" si="316"/>
        <v>102.00060000000001</v>
      </c>
      <c r="AG1064" s="1">
        <f t="shared" ca="1" si="316"/>
        <v>102.00060000000001</v>
      </c>
      <c r="AH1064" s="1">
        <f t="shared" ca="1" si="316"/>
        <v>102.00060000000001</v>
      </c>
      <c r="AI1064" s="1">
        <f t="shared" ca="1" si="310"/>
        <v>102.00060000000001</v>
      </c>
    </row>
    <row r="1065" spans="2:35" x14ac:dyDescent="0.15">
      <c r="B1065" s="1" t="str">
        <f t="shared" si="302"/>
        <v>风系73</v>
      </c>
      <c r="C1065" s="1">
        <f t="shared" si="313"/>
        <v>73</v>
      </c>
      <c r="D1065" s="14" t="s">
        <v>100</v>
      </c>
      <c r="E1065" s="14">
        <f t="shared" si="314"/>
        <v>11</v>
      </c>
      <c r="F1065" s="1" t="str">
        <f t="shared" si="305"/>
        <v>地脉</v>
      </c>
      <c r="H1065" s="1">
        <f t="shared" ca="1" si="301"/>
        <v>2874.0022862574701</v>
      </c>
      <c r="I1065" s="1">
        <f t="shared" ca="1" si="315"/>
        <v>150</v>
      </c>
      <c r="J1065" s="1">
        <f t="shared" ca="1" si="315"/>
        <v>1225.0964285714299</v>
      </c>
      <c r="K1065" s="1">
        <f t="shared" ca="1" si="315"/>
        <v>103.417275</v>
      </c>
      <c r="L1065" s="1">
        <f t="shared" ca="1" si="315"/>
        <v>1225.0964285714299</v>
      </c>
      <c r="M1065" s="1">
        <f t="shared" ca="1" si="315"/>
        <v>103.417275</v>
      </c>
      <c r="N1065" s="1">
        <f t="shared" ca="1" si="315"/>
        <v>0.2</v>
      </c>
      <c r="O1065" s="1">
        <f t="shared" ca="1" si="315"/>
        <v>0.2</v>
      </c>
      <c r="P1065" s="1">
        <f t="shared" ca="1" si="315"/>
        <v>0.36</v>
      </c>
      <c r="Q1065" s="1">
        <f t="shared" ca="1" si="315"/>
        <v>0.1</v>
      </c>
      <c r="R1065" s="1">
        <f t="shared" ca="1" si="315"/>
        <v>2</v>
      </c>
      <c r="S1065" s="1">
        <f t="shared" ca="1" si="316"/>
        <v>0.1</v>
      </c>
      <c r="T1065" s="1">
        <f t="shared" ca="1" si="316"/>
        <v>1.1700000000000002</v>
      </c>
      <c r="U1065" s="1">
        <f t="shared" ca="1" si="316"/>
        <v>141.13333333333301</v>
      </c>
      <c r="V1065" s="1">
        <f t="shared" ca="1" si="316"/>
        <v>0</v>
      </c>
      <c r="W1065" s="1">
        <f t="shared" ca="1" si="316"/>
        <v>1056.283928571429</v>
      </c>
      <c r="X1065" s="1">
        <f t="shared" ca="1" si="316"/>
        <v>0</v>
      </c>
      <c r="Y1065" s="1">
        <f t="shared" ca="1" si="316"/>
        <v>0</v>
      </c>
      <c r="Z1065" s="1">
        <f t="shared" ca="1" si="316"/>
        <v>0</v>
      </c>
      <c r="AA1065" s="1">
        <f t="shared" ca="1" si="316"/>
        <v>0</v>
      </c>
      <c r="AB1065" s="1">
        <f t="shared" ca="1" si="312"/>
        <v>0</v>
      </c>
      <c r="AC1065" s="1">
        <f t="shared" ca="1" si="316"/>
        <v>103.417275</v>
      </c>
      <c r="AD1065" s="1">
        <f t="shared" ca="1" si="316"/>
        <v>155.1259125</v>
      </c>
      <c r="AE1065" s="1">
        <f t="shared" ca="1" si="316"/>
        <v>103.417275</v>
      </c>
      <c r="AF1065" s="1">
        <f t="shared" ca="1" si="316"/>
        <v>103.417275</v>
      </c>
      <c r="AG1065" s="1">
        <f t="shared" ca="1" si="316"/>
        <v>103.417275</v>
      </c>
      <c r="AH1065" s="1">
        <f t="shared" ca="1" si="316"/>
        <v>103.417275</v>
      </c>
      <c r="AI1065" s="1">
        <f t="shared" ca="1" si="310"/>
        <v>103.417275</v>
      </c>
    </row>
    <row r="1066" spans="2:35" x14ac:dyDescent="0.15">
      <c r="B1066" s="1" t="str">
        <f t="shared" si="302"/>
        <v>风系74</v>
      </c>
      <c r="C1066" s="1">
        <f t="shared" si="313"/>
        <v>74</v>
      </c>
      <c r="D1066" s="14" t="s">
        <v>100</v>
      </c>
      <c r="E1066" s="14">
        <f t="shared" si="314"/>
        <v>11</v>
      </c>
      <c r="F1066" s="1" t="str">
        <f t="shared" si="305"/>
        <v>地脉</v>
      </c>
      <c r="H1066" s="1">
        <f t="shared" ca="1" si="301"/>
        <v>2926.4954787005299</v>
      </c>
      <c r="I1066" s="1">
        <f t="shared" ca="1" si="315"/>
        <v>150</v>
      </c>
      <c r="J1066" s="1">
        <f t="shared" ca="1" si="315"/>
        <v>1253.7233766233801</v>
      </c>
      <c r="K1066" s="1">
        <f t="shared" ca="1" si="315"/>
        <v>104.83395</v>
      </c>
      <c r="L1066" s="1">
        <f t="shared" ca="1" si="315"/>
        <v>1253.7233766233801</v>
      </c>
      <c r="M1066" s="1">
        <f t="shared" ca="1" si="315"/>
        <v>104.83395</v>
      </c>
      <c r="N1066" s="1">
        <f t="shared" ca="1" si="315"/>
        <v>0.2</v>
      </c>
      <c r="O1066" s="1">
        <f t="shared" ca="1" si="315"/>
        <v>0.2</v>
      </c>
      <c r="P1066" s="1">
        <f t="shared" ca="1" si="315"/>
        <v>0.36</v>
      </c>
      <c r="Q1066" s="1">
        <f t="shared" ca="1" si="315"/>
        <v>0.1</v>
      </c>
      <c r="R1066" s="1">
        <f t="shared" ca="1" si="315"/>
        <v>2</v>
      </c>
      <c r="S1066" s="1">
        <f t="shared" ca="1" si="316"/>
        <v>0.1</v>
      </c>
      <c r="T1066" s="1">
        <f t="shared" ca="1" si="316"/>
        <v>1.1700000000000002</v>
      </c>
      <c r="U1066" s="1">
        <f t="shared" ca="1" si="316"/>
        <v>143.066666666667</v>
      </c>
      <c r="V1066" s="1">
        <f t="shared" ca="1" si="316"/>
        <v>0</v>
      </c>
      <c r="W1066" s="1">
        <f t="shared" ca="1" si="316"/>
        <v>1104.4705936920241</v>
      </c>
      <c r="X1066" s="1">
        <f t="shared" ca="1" si="316"/>
        <v>0</v>
      </c>
      <c r="Y1066" s="1">
        <f t="shared" ca="1" si="316"/>
        <v>0</v>
      </c>
      <c r="Z1066" s="1">
        <f t="shared" ca="1" si="316"/>
        <v>0</v>
      </c>
      <c r="AA1066" s="1">
        <f t="shared" ca="1" si="316"/>
        <v>0</v>
      </c>
      <c r="AB1066" s="1">
        <f t="shared" ca="1" si="312"/>
        <v>0</v>
      </c>
      <c r="AC1066" s="1">
        <f t="shared" ca="1" si="316"/>
        <v>104.83395</v>
      </c>
      <c r="AD1066" s="1">
        <f t="shared" ca="1" si="316"/>
        <v>157.250925</v>
      </c>
      <c r="AE1066" s="1">
        <f t="shared" ca="1" si="316"/>
        <v>104.83395</v>
      </c>
      <c r="AF1066" s="1">
        <f t="shared" ca="1" si="316"/>
        <v>104.83395</v>
      </c>
      <c r="AG1066" s="1">
        <f t="shared" ca="1" si="316"/>
        <v>104.83395</v>
      </c>
      <c r="AH1066" s="1">
        <f t="shared" ca="1" si="316"/>
        <v>104.83395</v>
      </c>
      <c r="AI1066" s="1">
        <f t="shared" ca="1" si="310"/>
        <v>104.83395</v>
      </c>
    </row>
    <row r="1067" spans="2:35" x14ac:dyDescent="0.15">
      <c r="B1067" s="1" t="str">
        <f t="shared" si="302"/>
        <v>风系75</v>
      </c>
      <c r="C1067" s="1">
        <f t="shared" si="313"/>
        <v>75</v>
      </c>
      <c r="D1067" s="14" t="s">
        <v>100</v>
      </c>
      <c r="E1067" s="14">
        <f t="shared" si="314"/>
        <v>11</v>
      </c>
      <c r="F1067" s="1" t="str">
        <f t="shared" si="305"/>
        <v>地脉</v>
      </c>
      <c r="H1067" s="1">
        <f t="shared" ca="1" si="301"/>
        <v>2979.3433548763101</v>
      </c>
      <c r="I1067" s="1">
        <f t="shared" ca="1" si="315"/>
        <v>150</v>
      </c>
      <c r="J1067" s="1">
        <f t="shared" ca="1" si="315"/>
        <v>1282.89473684211</v>
      </c>
      <c r="K1067" s="1">
        <f t="shared" ca="1" si="315"/>
        <v>106.250625</v>
      </c>
      <c r="L1067" s="1">
        <f t="shared" ca="1" si="315"/>
        <v>1282.89473684211</v>
      </c>
      <c r="M1067" s="1">
        <f t="shared" ca="1" si="315"/>
        <v>106.250625</v>
      </c>
      <c r="N1067" s="1">
        <f t="shared" ca="1" si="315"/>
        <v>0.2</v>
      </c>
      <c r="O1067" s="1">
        <f t="shared" ca="1" si="315"/>
        <v>0.2</v>
      </c>
      <c r="P1067" s="1">
        <f t="shared" ca="1" si="315"/>
        <v>0.36</v>
      </c>
      <c r="Q1067" s="1">
        <f t="shared" ca="1" si="315"/>
        <v>0.1</v>
      </c>
      <c r="R1067" s="1">
        <f t="shared" ca="1" si="315"/>
        <v>2</v>
      </c>
      <c r="S1067" s="1">
        <f t="shared" ca="1" si="316"/>
        <v>0.1</v>
      </c>
      <c r="T1067" s="1">
        <f t="shared" ca="1" si="316"/>
        <v>1.1700000000000002</v>
      </c>
      <c r="U1067" s="1">
        <f t="shared" ca="1" si="316"/>
        <v>145</v>
      </c>
      <c r="V1067" s="1">
        <f t="shared" ca="1" si="316"/>
        <v>0</v>
      </c>
      <c r="W1067" s="1">
        <f t="shared" ca="1" si="316"/>
        <v>1154.6052631578959</v>
      </c>
      <c r="X1067" s="1">
        <f t="shared" ca="1" si="316"/>
        <v>0</v>
      </c>
      <c r="Y1067" s="1">
        <f t="shared" ca="1" si="316"/>
        <v>0</v>
      </c>
      <c r="Z1067" s="1">
        <f t="shared" ca="1" si="316"/>
        <v>0</v>
      </c>
      <c r="AA1067" s="1">
        <f t="shared" ca="1" si="316"/>
        <v>0</v>
      </c>
      <c r="AB1067" s="1">
        <f t="shared" ca="1" si="312"/>
        <v>0</v>
      </c>
      <c r="AC1067" s="1">
        <f t="shared" ca="1" si="316"/>
        <v>106.250625</v>
      </c>
      <c r="AD1067" s="1">
        <f t="shared" ca="1" si="316"/>
        <v>159.37593749999999</v>
      </c>
      <c r="AE1067" s="1">
        <f t="shared" ca="1" si="316"/>
        <v>106.250625</v>
      </c>
      <c r="AF1067" s="1">
        <f t="shared" ca="1" si="316"/>
        <v>106.250625</v>
      </c>
      <c r="AG1067" s="1">
        <f t="shared" ca="1" si="316"/>
        <v>106.250625</v>
      </c>
      <c r="AH1067" s="1">
        <f t="shared" ca="1" si="316"/>
        <v>106.250625</v>
      </c>
      <c r="AI1067" s="1">
        <f t="shared" ca="1" si="310"/>
        <v>106.250625</v>
      </c>
    </row>
    <row r="1068" spans="2:35" x14ac:dyDescent="0.15">
      <c r="B1068" s="1" t="str">
        <f t="shared" si="302"/>
        <v>风系76</v>
      </c>
      <c r="C1068" s="1">
        <f t="shared" si="313"/>
        <v>76</v>
      </c>
      <c r="D1068" s="14" t="s">
        <v>100</v>
      </c>
      <c r="E1068" s="14">
        <f t="shared" si="314"/>
        <v>11</v>
      </c>
      <c r="F1068" s="1" t="str">
        <f t="shared" si="305"/>
        <v>地脉</v>
      </c>
      <c r="H1068" s="1">
        <f t="shared" ca="1" si="301"/>
        <v>3032.5459147848201</v>
      </c>
      <c r="I1068" s="1">
        <f t="shared" ca="1" si="315"/>
        <v>150</v>
      </c>
      <c r="J1068" s="1">
        <f t="shared" ca="1" si="315"/>
        <v>1312.62857142857</v>
      </c>
      <c r="K1068" s="1">
        <f t="shared" ca="1" si="315"/>
        <v>107.6673</v>
      </c>
      <c r="L1068" s="1">
        <f t="shared" ca="1" si="315"/>
        <v>1312.62857142857</v>
      </c>
      <c r="M1068" s="1">
        <f t="shared" ca="1" si="315"/>
        <v>107.6673</v>
      </c>
      <c r="N1068" s="1">
        <f t="shared" ca="1" si="315"/>
        <v>0.2</v>
      </c>
      <c r="O1068" s="1">
        <f t="shared" ca="1" si="315"/>
        <v>0.2</v>
      </c>
      <c r="P1068" s="1">
        <f t="shared" ca="1" si="315"/>
        <v>0.36</v>
      </c>
      <c r="Q1068" s="1">
        <f t="shared" ca="1" si="315"/>
        <v>0.1</v>
      </c>
      <c r="R1068" s="1">
        <f t="shared" ca="1" si="315"/>
        <v>2</v>
      </c>
      <c r="S1068" s="1">
        <f t="shared" ca="1" si="316"/>
        <v>0.1</v>
      </c>
      <c r="T1068" s="1">
        <f t="shared" ca="1" si="316"/>
        <v>1.1700000000000002</v>
      </c>
      <c r="U1068" s="1">
        <f t="shared" ca="1" si="316"/>
        <v>146.933333333333</v>
      </c>
      <c r="V1068" s="1">
        <f t="shared" ca="1" si="316"/>
        <v>0</v>
      </c>
      <c r="W1068" s="1">
        <f t="shared" ca="1" si="316"/>
        <v>1206.7714285714289</v>
      </c>
      <c r="X1068" s="1">
        <f t="shared" ca="1" si="316"/>
        <v>0</v>
      </c>
      <c r="Y1068" s="1">
        <f t="shared" ca="1" si="316"/>
        <v>0</v>
      </c>
      <c r="Z1068" s="1">
        <f t="shared" ca="1" si="316"/>
        <v>0</v>
      </c>
      <c r="AA1068" s="1">
        <f t="shared" ca="1" si="316"/>
        <v>0</v>
      </c>
      <c r="AB1068" s="1">
        <f t="shared" ca="1" si="312"/>
        <v>0</v>
      </c>
      <c r="AC1068" s="1">
        <f t="shared" ca="1" si="316"/>
        <v>107.6673</v>
      </c>
      <c r="AD1068" s="1">
        <f t="shared" ca="1" si="316"/>
        <v>161.50094999999999</v>
      </c>
      <c r="AE1068" s="1">
        <f t="shared" ca="1" si="316"/>
        <v>107.6673</v>
      </c>
      <c r="AF1068" s="1">
        <f t="shared" ca="1" si="316"/>
        <v>107.6673</v>
      </c>
      <c r="AG1068" s="1">
        <f t="shared" ca="1" si="316"/>
        <v>107.6673</v>
      </c>
      <c r="AH1068" s="1">
        <f t="shared" ca="1" si="316"/>
        <v>107.6673</v>
      </c>
      <c r="AI1068" s="1">
        <f t="shared" ca="1" si="310"/>
        <v>107.6673</v>
      </c>
    </row>
    <row r="1069" spans="2:35" x14ac:dyDescent="0.15">
      <c r="B1069" s="1" t="str">
        <f t="shared" si="302"/>
        <v>风系77</v>
      </c>
      <c r="C1069" s="1">
        <f t="shared" si="313"/>
        <v>77</v>
      </c>
      <c r="D1069" s="14" t="s">
        <v>100</v>
      </c>
      <c r="E1069" s="14">
        <f t="shared" si="314"/>
        <v>11</v>
      </c>
      <c r="F1069" s="1" t="str">
        <f t="shared" si="305"/>
        <v>地脉</v>
      </c>
      <c r="H1069" s="1">
        <f t="shared" ca="1" si="301"/>
        <v>3086.10315842605</v>
      </c>
      <c r="I1069" s="1">
        <f t="shared" ca="1" si="315"/>
        <v>150</v>
      </c>
      <c r="J1069" s="1">
        <f t="shared" ca="1" si="315"/>
        <v>1342.94391891892</v>
      </c>
      <c r="K1069" s="1">
        <f t="shared" ca="1" si="315"/>
        <v>109.083975</v>
      </c>
      <c r="L1069" s="1">
        <f t="shared" ca="1" si="315"/>
        <v>1342.94391891892</v>
      </c>
      <c r="M1069" s="1">
        <f t="shared" ca="1" si="315"/>
        <v>109.083975</v>
      </c>
      <c r="N1069" s="1">
        <f t="shared" ca="1" si="315"/>
        <v>0.2</v>
      </c>
      <c r="O1069" s="1">
        <f t="shared" ca="1" si="315"/>
        <v>0.2</v>
      </c>
      <c r="P1069" s="1">
        <f t="shared" ca="1" si="315"/>
        <v>0.36</v>
      </c>
      <c r="Q1069" s="1">
        <f t="shared" ca="1" si="315"/>
        <v>0.1</v>
      </c>
      <c r="R1069" s="1">
        <f t="shared" ca="1" si="315"/>
        <v>2</v>
      </c>
      <c r="S1069" s="1">
        <f t="shared" ca="1" si="316"/>
        <v>0.1</v>
      </c>
      <c r="T1069" s="1">
        <f t="shared" ca="1" si="316"/>
        <v>1.1700000000000002</v>
      </c>
      <c r="U1069" s="1">
        <f t="shared" ca="1" si="316"/>
        <v>148.86666666666699</v>
      </c>
      <c r="V1069" s="1">
        <f t="shared" ca="1" si="316"/>
        <v>0</v>
      </c>
      <c r="W1069" s="1">
        <f t="shared" ca="1" si="316"/>
        <v>1261.0570945945965</v>
      </c>
      <c r="X1069" s="1">
        <f t="shared" ca="1" si="316"/>
        <v>0</v>
      </c>
      <c r="Y1069" s="1">
        <f t="shared" ca="1" si="316"/>
        <v>0</v>
      </c>
      <c r="Z1069" s="1">
        <f t="shared" ca="1" si="316"/>
        <v>0</v>
      </c>
      <c r="AA1069" s="1">
        <f t="shared" ca="1" si="316"/>
        <v>0</v>
      </c>
      <c r="AB1069" s="1">
        <f t="shared" ca="1" si="316"/>
        <v>0</v>
      </c>
      <c r="AC1069" s="1">
        <f t="shared" ca="1" si="316"/>
        <v>109.083975</v>
      </c>
      <c r="AD1069" s="1">
        <f t="shared" ca="1" si="316"/>
        <v>163.62596249999999</v>
      </c>
      <c r="AE1069" s="1">
        <f t="shared" ca="1" si="316"/>
        <v>109.083975</v>
      </c>
      <c r="AF1069" s="1">
        <f t="shared" ca="1" si="316"/>
        <v>109.083975</v>
      </c>
      <c r="AG1069" s="1">
        <f t="shared" ca="1" si="316"/>
        <v>109.083975</v>
      </c>
      <c r="AH1069" s="1">
        <f t="shared" ca="1" si="316"/>
        <v>109.083975</v>
      </c>
      <c r="AI1069" s="1">
        <f t="shared" ca="1" si="310"/>
        <v>109.083975</v>
      </c>
    </row>
    <row r="1070" spans="2:35" x14ac:dyDescent="0.15">
      <c r="B1070" s="1" t="str">
        <f t="shared" si="302"/>
        <v>风系78</v>
      </c>
      <c r="C1070" s="1">
        <f t="shared" si="313"/>
        <v>78</v>
      </c>
      <c r="D1070" s="14" t="s">
        <v>100</v>
      </c>
      <c r="E1070" s="14">
        <f t="shared" si="314"/>
        <v>11</v>
      </c>
      <c r="F1070" s="1" t="str">
        <f t="shared" si="305"/>
        <v>地脉</v>
      </c>
      <c r="H1070" s="1">
        <f t="shared" ca="1" si="301"/>
        <v>3265.0137580279402</v>
      </c>
      <c r="I1070" s="1">
        <f t="shared" ca="1" si="315"/>
        <v>150</v>
      </c>
      <c r="J1070" s="1">
        <f t="shared" ca="1" si="315"/>
        <v>1373.8608610567501</v>
      </c>
      <c r="K1070" s="1">
        <f t="shared" ca="1" si="315"/>
        <v>110.50064999999999</v>
      </c>
      <c r="L1070" s="1">
        <f t="shared" ca="1" si="315"/>
        <v>1373.8608610567501</v>
      </c>
      <c r="M1070" s="1">
        <f t="shared" ca="1" si="315"/>
        <v>110.50064999999999</v>
      </c>
      <c r="N1070" s="1">
        <f t="shared" ca="1" si="315"/>
        <v>0.2</v>
      </c>
      <c r="O1070" s="1">
        <f t="shared" ca="1" si="315"/>
        <v>0.2</v>
      </c>
      <c r="P1070" s="1">
        <f t="shared" ca="1" si="315"/>
        <v>0.36</v>
      </c>
      <c r="Q1070" s="1">
        <f t="shared" ca="1" si="315"/>
        <v>0.1</v>
      </c>
      <c r="R1070" s="1">
        <f t="shared" ca="1" si="315"/>
        <v>2</v>
      </c>
      <c r="S1070" s="1">
        <f t="shared" ca="1" si="316"/>
        <v>0.1</v>
      </c>
      <c r="T1070" s="1">
        <f t="shared" ca="1" si="316"/>
        <v>1.1700000000000002</v>
      </c>
      <c r="U1070" s="1">
        <f t="shared" ca="1" si="316"/>
        <v>150.80000000000001</v>
      </c>
      <c r="V1070" s="1">
        <f t="shared" ca="1" si="316"/>
        <v>0</v>
      </c>
      <c r="W1070" s="1">
        <f t="shared" ca="1" si="316"/>
        <v>1317.555088062624</v>
      </c>
      <c r="X1070" s="1">
        <f t="shared" ca="1" si="316"/>
        <v>0</v>
      </c>
      <c r="Y1070" s="1">
        <f t="shared" ca="1" si="316"/>
        <v>0</v>
      </c>
      <c r="Z1070" s="1">
        <f t="shared" ca="1" si="316"/>
        <v>0</v>
      </c>
      <c r="AA1070" s="1">
        <f t="shared" ca="1" si="316"/>
        <v>0</v>
      </c>
      <c r="AB1070" s="1">
        <f t="shared" ca="1" si="316"/>
        <v>0</v>
      </c>
      <c r="AC1070" s="1">
        <f t="shared" ca="1" si="316"/>
        <v>110.50064999999999</v>
      </c>
      <c r="AD1070" s="1">
        <f t="shared" ca="1" si="316"/>
        <v>165.75097499999998</v>
      </c>
      <c r="AE1070" s="1">
        <f t="shared" ca="1" si="316"/>
        <v>110.50064999999999</v>
      </c>
      <c r="AF1070" s="1">
        <f t="shared" ca="1" si="316"/>
        <v>110.50064999999999</v>
      </c>
      <c r="AG1070" s="1">
        <f t="shared" ca="1" si="316"/>
        <v>110.50064999999999</v>
      </c>
      <c r="AH1070" s="1">
        <f t="shared" ca="1" si="316"/>
        <v>110.50064999999999</v>
      </c>
      <c r="AI1070" s="1">
        <f t="shared" ca="1" si="310"/>
        <v>110.50064999999999</v>
      </c>
    </row>
    <row r="1071" spans="2:35" x14ac:dyDescent="0.15">
      <c r="B1071" s="1" t="str">
        <f t="shared" si="302"/>
        <v>风系79</v>
      </c>
      <c r="C1071" s="1">
        <f t="shared" si="313"/>
        <v>79</v>
      </c>
      <c r="D1071" s="14" t="s">
        <v>100</v>
      </c>
      <c r="E1071" s="14">
        <f t="shared" si="314"/>
        <v>11</v>
      </c>
      <c r="F1071" s="1" t="str">
        <f t="shared" si="305"/>
        <v>地脉</v>
      </c>
      <c r="H1071" s="1">
        <f t="shared" ca="1" si="301"/>
        <v>3321.4406308369598</v>
      </c>
      <c r="I1071" s="1">
        <f t="shared" ca="1" si="315"/>
        <v>150</v>
      </c>
      <c r="J1071" s="1">
        <f t="shared" ca="1" si="315"/>
        <v>1405.4005952381001</v>
      </c>
      <c r="K1071" s="1">
        <f t="shared" ca="1" si="315"/>
        <v>111.91732500000001</v>
      </c>
      <c r="L1071" s="1">
        <f t="shared" ca="1" si="315"/>
        <v>1405.4005952381001</v>
      </c>
      <c r="M1071" s="1">
        <f t="shared" ca="1" si="315"/>
        <v>111.91732500000001</v>
      </c>
      <c r="N1071" s="1">
        <f t="shared" ca="1" si="315"/>
        <v>0.2</v>
      </c>
      <c r="O1071" s="1">
        <f t="shared" ca="1" si="315"/>
        <v>0.2</v>
      </c>
      <c r="P1071" s="1">
        <f t="shared" ca="1" si="315"/>
        <v>0.36</v>
      </c>
      <c r="Q1071" s="1">
        <f t="shared" ca="1" si="315"/>
        <v>0.1</v>
      </c>
      <c r="R1071" s="1">
        <f t="shared" ca="1" si="315"/>
        <v>2</v>
      </c>
      <c r="S1071" s="1">
        <f t="shared" ca="1" si="316"/>
        <v>0.1</v>
      </c>
      <c r="T1071" s="1">
        <f t="shared" ca="1" si="316"/>
        <v>1.1700000000000002</v>
      </c>
      <c r="U1071" s="1">
        <f t="shared" ca="1" si="316"/>
        <v>152.73333333333301</v>
      </c>
      <c r="V1071" s="1">
        <f t="shared" ca="1" si="316"/>
        <v>0</v>
      </c>
      <c r="W1071" s="1">
        <f t="shared" ca="1" si="316"/>
        <v>1376.3633928571439</v>
      </c>
      <c r="X1071" s="1">
        <f t="shared" ca="1" si="316"/>
        <v>0</v>
      </c>
      <c r="Y1071" s="1">
        <f t="shared" ca="1" si="316"/>
        <v>0</v>
      </c>
      <c r="Z1071" s="1">
        <f t="shared" ca="1" si="316"/>
        <v>0</v>
      </c>
      <c r="AA1071" s="1">
        <f t="shared" ca="1" si="316"/>
        <v>0</v>
      </c>
      <c r="AB1071" s="1">
        <f t="shared" ca="1" si="316"/>
        <v>0</v>
      </c>
      <c r="AC1071" s="1">
        <f t="shared" ca="1" si="316"/>
        <v>111.91732500000001</v>
      </c>
      <c r="AD1071" s="1">
        <f t="shared" ca="1" si="316"/>
        <v>167.87598750000001</v>
      </c>
      <c r="AE1071" s="1">
        <f t="shared" ca="1" si="316"/>
        <v>111.91732500000001</v>
      </c>
      <c r="AF1071" s="1">
        <f t="shared" ca="1" si="316"/>
        <v>111.91732500000001</v>
      </c>
      <c r="AG1071" s="1">
        <f t="shared" ca="1" si="316"/>
        <v>111.91732500000001</v>
      </c>
      <c r="AH1071" s="1">
        <f t="shared" ca="1" si="316"/>
        <v>111.91732500000001</v>
      </c>
      <c r="AI1071" s="1">
        <f t="shared" ca="1" si="310"/>
        <v>111.91732500000001</v>
      </c>
    </row>
    <row r="1072" spans="2:35" x14ac:dyDescent="0.15">
      <c r="B1072" s="1" t="str">
        <f t="shared" si="302"/>
        <v>风系80</v>
      </c>
      <c r="C1072" s="1">
        <f t="shared" si="313"/>
        <v>80</v>
      </c>
      <c r="D1072" s="14" t="s">
        <v>100</v>
      </c>
      <c r="E1072" s="14">
        <f t="shared" si="314"/>
        <v>11</v>
      </c>
      <c r="F1072" s="1" t="str">
        <f t="shared" si="305"/>
        <v>地脉</v>
      </c>
      <c r="H1072" s="1">
        <f t="shared" ca="1" si="301"/>
        <v>3378.2363067362398</v>
      </c>
      <c r="I1072" s="1">
        <f t="shared" ca="1" si="315"/>
        <v>150</v>
      </c>
      <c r="J1072" s="1">
        <f t="shared" ca="1" si="315"/>
        <v>1437.5855130784701</v>
      </c>
      <c r="K1072" s="1">
        <f t="shared" ca="1" si="315"/>
        <v>113.334</v>
      </c>
      <c r="L1072" s="1">
        <f t="shared" ca="1" si="315"/>
        <v>1437.5855130784701</v>
      </c>
      <c r="M1072" s="1">
        <f t="shared" ca="1" si="315"/>
        <v>113.334</v>
      </c>
      <c r="N1072" s="1">
        <f t="shared" ca="1" si="315"/>
        <v>0.2</v>
      </c>
      <c r="O1072" s="1">
        <f t="shared" ca="1" si="315"/>
        <v>0.2</v>
      </c>
      <c r="P1072" s="1">
        <f t="shared" ca="1" si="315"/>
        <v>0.36</v>
      </c>
      <c r="Q1072" s="1">
        <f t="shared" ca="1" si="315"/>
        <v>0.1</v>
      </c>
      <c r="R1072" s="1">
        <f t="shared" ca="1" si="315"/>
        <v>2</v>
      </c>
      <c r="S1072" s="1">
        <f t="shared" ca="1" si="316"/>
        <v>0.1</v>
      </c>
      <c r="T1072" s="1">
        <f t="shared" ca="1" si="316"/>
        <v>1.1700000000000002</v>
      </c>
      <c r="U1072" s="1">
        <f t="shared" ca="1" si="316"/>
        <v>154.666666666667</v>
      </c>
      <c r="V1072" s="1">
        <f t="shared" ca="1" si="316"/>
        <v>0</v>
      </c>
      <c r="W1072" s="1">
        <f t="shared" ca="1" si="316"/>
        <v>1437.5855130784726</v>
      </c>
      <c r="X1072" s="1">
        <f t="shared" ca="1" si="316"/>
        <v>0</v>
      </c>
      <c r="Y1072" s="1">
        <f t="shared" ca="1" si="316"/>
        <v>0</v>
      </c>
      <c r="Z1072" s="1">
        <f t="shared" ca="1" si="316"/>
        <v>0</v>
      </c>
      <c r="AA1072" s="1">
        <f t="shared" ca="1" si="316"/>
        <v>0</v>
      </c>
      <c r="AB1072" s="1">
        <f t="shared" ca="1" si="316"/>
        <v>0</v>
      </c>
      <c r="AC1072" s="1">
        <f t="shared" ca="1" si="316"/>
        <v>113.334</v>
      </c>
      <c r="AD1072" s="1">
        <f t="shared" ca="1" si="316"/>
        <v>170.001</v>
      </c>
      <c r="AE1072" s="1">
        <f t="shared" ca="1" si="316"/>
        <v>113.334</v>
      </c>
      <c r="AF1072" s="1">
        <f t="shared" ca="1" si="316"/>
        <v>113.334</v>
      </c>
      <c r="AG1072" s="1">
        <f t="shared" ca="1" si="316"/>
        <v>113.334</v>
      </c>
      <c r="AH1072" s="1">
        <f t="shared" ca="1" si="316"/>
        <v>113.334</v>
      </c>
      <c r="AI1072" s="1">
        <f t="shared" ca="1" si="310"/>
        <v>113.334</v>
      </c>
    </row>
    <row r="1073" spans="2:35" x14ac:dyDescent="0.15">
      <c r="B1073" s="1" t="str">
        <f t="shared" si="302"/>
        <v>风系81</v>
      </c>
      <c r="C1073" s="1">
        <f t="shared" si="313"/>
        <v>81</v>
      </c>
      <c r="D1073" s="14" t="s">
        <v>100</v>
      </c>
      <c r="E1073" s="14">
        <f t="shared" si="314"/>
        <v>11</v>
      </c>
      <c r="F1073" s="1" t="str">
        <f t="shared" si="305"/>
        <v>地脉</v>
      </c>
      <c r="H1073" s="1">
        <f t="shared" ca="1" si="301"/>
        <v>3435.4007857257702</v>
      </c>
      <c r="I1073" s="1">
        <f t="shared" ref="I1073:R1082" ca="1" si="317">mVlookup($C1073,monsterBaseDate,I$2,FALSE)*(1+mVlookup($E1073,monsterType,I$2,FALSE))</f>
        <v>150</v>
      </c>
      <c r="J1073" s="1">
        <f t="shared" ca="1" si="317"/>
        <v>1470.43928571429</v>
      </c>
      <c r="K1073" s="1">
        <f t="shared" ca="1" si="317"/>
        <v>114.750675</v>
      </c>
      <c r="L1073" s="1">
        <f t="shared" ca="1" si="317"/>
        <v>1470.43928571429</v>
      </c>
      <c r="M1073" s="1">
        <f t="shared" ca="1" si="317"/>
        <v>114.750675</v>
      </c>
      <c r="N1073" s="1">
        <f t="shared" ca="1" si="317"/>
        <v>0.2</v>
      </c>
      <c r="O1073" s="1">
        <f t="shared" ca="1" si="317"/>
        <v>0.2</v>
      </c>
      <c r="P1073" s="1">
        <f t="shared" ca="1" si="317"/>
        <v>0.36</v>
      </c>
      <c r="Q1073" s="1">
        <f t="shared" ca="1" si="317"/>
        <v>0.1</v>
      </c>
      <c r="R1073" s="1">
        <f t="shared" ca="1" si="317"/>
        <v>2</v>
      </c>
      <c r="S1073" s="1">
        <f t="shared" ref="S1073:AH1088" ca="1" si="318">mVlookup($C1073,monsterBaseDate,S$2,FALSE)*(1+mVlookup($E1073,monsterType,S$2,FALSE))</f>
        <v>0.1</v>
      </c>
      <c r="T1073" s="1">
        <f t="shared" ca="1" si="318"/>
        <v>1.1700000000000002</v>
      </c>
      <c r="U1073" s="1">
        <f t="shared" ca="1" si="318"/>
        <v>156.6</v>
      </c>
      <c r="V1073" s="1">
        <f t="shared" ca="1" si="318"/>
        <v>0</v>
      </c>
      <c r="W1073" s="1">
        <f t="shared" ca="1" si="318"/>
        <v>1501.3308673469401</v>
      </c>
      <c r="X1073" s="1">
        <f t="shared" ca="1" si="318"/>
        <v>0</v>
      </c>
      <c r="Y1073" s="1">
        <f t="shared" ca="1" si="318"/>
        <v>0</v>
      </c>
      <c r="Z1073" s="1">
        <f t="shared" ca="1" si="318"/>
        <v>0</v>
      </c>
      <c r="AA1073" s="1">
        <f t="shared" ca="1" si="318"/>
        <v>0</v>
      </c>
      <c r="AB1073" s="1">
        <f t="shared" ca="1" si="316"/>
        <v>0</v>
      </c>
      <c r="AC1073" s="1">
        <f t="shared" ca="1" si="318"/>
        <v>114.750675</v>
      </c>
      <c r="AD1073" s="1">
        <f t="shared" ca="1" si="318"/>
        <v>172.1260125</v>
      </c>
      <c r="AE1073" s="1">
        <f t="shared" ca="1" si="318"/>
        <v>114.750675</v>
      </c>
      <c r="AF1073" s="1">
        <f t="shared" ca="1" si="318"/>
        <v>114.750675</v>
      </c>
      <c r="AG1073" s="1">
        <f t="shared" ca="1" si="318"/>
        <v>114.750675</v>
      </c>
      <c r="AH1073" s="1">
        <f t="shared" ca="1" si="318"/>
        <v>114.750675</v>
      </c>
      <c r="AI1073" s="1">
        <f t="shared" ca="1" si="310"/>
        <v>114.750675</v>
      </c>
    </row>
    <row r="1074" spans="2:35" x14ac:dyDescent="0.15">
      <c r="B1074" s="1" t="str">
        <f t="shared" si="302"/>
        <v>风系82</v>
      </c>
      <c r="C1074" s="1">
        <f t="shared" si="313"/>
        <v>82</v>
      </c>
      <c r="D1074" s="14" t="s">
        <v>100</v>
      </c>
      <c r="E1074" s="14">
        <f t="shared" si="314"/>
        <v>11</v>
      </c>
      <c r="F1074" s="1" t="str">
        <f t="shared" si="305"/>
        <v>地脉</v>
      </c>
      <c r="H1074" s="1">
        <f t="shared" ca="1" si="301"/>
        <v>3492.9340678055601</v>
      </c>
      <c r="I1074" s="1">
        <f t="shared" ca="1" si="317"/>
        <v>150</v>
      </c>
      <c r="J1074" s="1">
        <f t="shared" ca="1" si="317"/>
        <v>1503.98695652174</v>
      </c>
      <c r="K1074" s="1">
        <f t="shared" ca="1" si="317"/>
        <v>116.16735</v>
      </c>
      <c r="L1074" s="1">
        <f t="shared" ca="1" si="317"/>
        <v>1503.98695652174</v>
      </c>
      <c r="M1074" s="1">
        <f t="shared" ca="1" si="317"/>
        <v>116.16735</v>
      </c>
      <c r="N1074" s="1">
        <f t="shared" ca="1" si="317"/>
        <v>0.2</v>
      </c>
      <c r="O1074" s="1">
        <f t="shared" ca="1" si="317"/>
        <v>0.2</v>
      </c>
      <c r="P1074" s="1">
        <f t="shared" ca="1" si="317"/>
        <v>0.36</v>
      </c>
      <c r="Q1074" s="1">
        <f t="shared" ca="1" si="317"/>
        <v>0.1</v>
      </c>
      <c r="R1074" s="1">
        <f t="shared" ca="1" si="317"/>
        <v>2</v>
      </c>
      <c r="S1074" s="1">
        <f t="shared" ca="1" si="318"/>
        <v>0.1</v>
      </c>
      <c r="T1074" s="1">
        <f t="shared" ca="1" si="318"/>
        <v>1.1700000000000002</v>
      </c>
      <c r="U1074" s="1">
        <f t="shared" ca="1" si="318"/>
        <v>158.53333333333299</v>
      </c>
      <c r="V1074" s="1">
        <f t="shared" ca="1" si="318"/>
        <v>0</v>
      </c>
      <c r="W1074" s="1">
        <f t="shared" ca="1" si="318"/>
        <v>1567.715217391305</v>
      </c>
      <c r="X1074" s="1">
        <f t="shared" ca="1" si="318"/>
        <v>0</v>
      </c>
      <c r="Y1074" s="1">
        <f t="shared" ca="1" si="318"/>
        <v>0</v>
      </c>
      <c r="Z1074" s="1">
        <f t="shared" ca="1" si="318"/>
        <v>0</v>
      </c>
      <c r="AA1074" s="1">
        <f t="shared" ca="1" si="318"/>
        <v>0</v>
      </c>
      <c r="AB1074" s="1">
        <f t="shared" ca="1" si="316"/>
        <v>0</v>
      </c>
      <c r="AC1074" s="1">
        <f t="shared" ca="1" si="318"/>
        <v>116.16735</v>
      </c>
      <c r="AD1074" s="1">
        <f t="shared" ca="1" si="318"/>
        <v>174.251025</v>
      </c>
      <c r="AE1074" s="1">
        <f t="shared" ca="1" si="318"/>
        <v>116.16735</v>
      </c>
      <c r="AF1074" s="1">
        <f t="shared" ca="1" si="318"/>
        <v>116.16735</v>
      </c>
      <c r="AG1074" s="1">
        <f t="shared" ca="1" si="318"/>
        <v>116.16735</v>
      </c>
      <c r="AH1074" s="1">
        <f t="shared" ca="1" si="318"/>
        <v>116.16735</v>
      </c>
      <c r="AI1074" s="1">
        <f t="shared" ca="1" si="310"/>
        <v>116.16735</v>
      </c>
    </row>
    <row r="1075" spans="2:35" x14ac:dyDescent="0.15">
      <c r="B1075" s="1" t="str">
        <f t="shared" si="302"/>
        <v>风系83</v>
      </c>
      <c r="C1075" s="1">
        <f t="shared" si="313"/>
        <v>83</v>
      </c>
      <c r="D1075" s="14" t="s">
        <v>100</v>
      </c>
      <c r="E1075" s="14">
        <f t="shared" si="314"/>
        <v>11</v>
      </c>
      <c r="F1075" s="1" t="str">
        <f t="shared" si="305"/>
        <v>地脉</v>
      </c>
      <c r="H1075" s="1">
        <f t="shared" ca="1" si="301"/>
        <v>3550.8361529755998</v>
      </c>
      <c r="I1075" s="1">
        <f t="shared" ca="1" si="317"/>
        <v>150</v>
      </c>
      <c r="J1075" s="1">
        <f t="shared" ca="1" si="317"/>
        <v>1538.25504201681</v>
      </c>
      <c r="K1075" s="1">
        <f t="shared" ca="1" si="317"/>
        <v>117.584025</v>
      </c>
      <c r="L1075" s="1">
        <f t="shared" ca="1" si="317"/>
        <v>1538.25504201681</v>
      </c>
      <c r="M1075" s="1">
        <f t="shared" ca="1" si="317"/>
        <v>117.584025</v>
      </c>
      <c r="N1075" s="1">
        <f t="shared" ca="1" si="317"/>
        <v>0.2</v>
      </c>
      <c r="O1075" s="1">
        <f t="shared" ca="1" si="317"/>
        <v>0.2</v>
      </c>
      <c r="P1075" s="1">
        <f t="shared" ca="1" si="317"/>
        <v>0.36</v>
      </c>
      <c r="Q1075" s="1">
        <f t="shared" ca="1" si="317"/>
        <v>0.1</v>
      </c>
      <c r="R1075" s="1">
        <f t="shared" ca="1" si="317"/>
        <v>2</v>
      </c>
      <c r="S1075" s="1">
        <f t="shared" ca="1" si="318"/>
        <v>0.1</v>
      </c>
      <c r="T1075" s="1">
        <f t="shared" ca="1" si="318"/>
        <v>1.1700000000000002</v>
      </c>
      <c r="U1075" s="1">
        <f t="shared" ca="1" si="318"/>
        <v>160.46666666666701</v>
      </c>
      <c r="V1075" s="1">
        <f t="shared" ca="1" si="318"/>
        <v>0</v>
      </c>
      <c r="W1075" s="1">
        <f t="shared" ca="1" si="318"/>
        <v>1636.8611344537799</v>
      </c>
      <c r="X1075" s="1">
        <f t="shared" ca="1" si="318"/>
        <v>0</v>
      </c>
      <c r="Y1075" s="1">
        <f t="shared" ca="1" si="318"/>
        <v>0</v>
      </c>
      <c r="Z1075" s="1">
        <f t="shared" ca="1" si="318"/>
        <v>0</v>
      </c>
      <c r="AA1075" s="1">
        <f t="shared" ca="1" si="318"/>
        <v>0</v>
      </c>
      <c r="AB1075" s="1">
        <f t="shared" ca="1" si="316"/>
        <v>0</v>
      </c>
      <c r="AC1075" s="1">
        <f t="shared" ca="1" si="318"/>
        <v>117.584025</v>
      </c>
      <c r="AD1075" s="1">
        <f t="shared" ca="1" si="318"/>
        <v>176.3760375</v>
      </c>
      <c r="AE1075" s="1">
        <f t="shared" ca="1" si="318"/>
        <v>117.584025</v>
      </c>
      <c r="AF1075" s="1">
        <f t="shared" ca="1" si="318"/>
        <v>117.584025</v>
      </c>
      <c r="AG1075" s="1">
        <f t="shared" ca="1" si="318"/>
        <v>117.584025</v>
      </c>
      <c r="AH1075" s="1">
        <f t="shared" ca="1" si="318"/>
        <v>117.584025</v>
      </c>
      <c r="AI1075" s="1">
        <f t="shared" ca="1" si="310"/>
        <v>117.584025</v>
      </c>
    </row>
    <row r="1076" spans="2:35" x14ac:dyDescent="0.15">
      <c r="B1076" s="1" t="str">
        <f t="shared" si="302"/>
        <v>风系84</v>
      </c>
      <c r="C1076" s="1">
        <f t="shared" si="313"/>
        <v>84</v>
      </c>
      <c r="D1076" s="14" t="s">
        <v>100</v>
      </c>
      <c r="E1076" s="14">
        <f t="shared" si="314"/>
        <v>11</v>
      </c>
      <c r="F1076" s="1" t="str">
        <f t="shared" si="305"/>
        <v>地脉</v>
      </c>
      <c r="H1076" s="1">
        <f t="shared" ca="1" si="301"/>
        <v>3609.1070412358999</v>
      </c>
      <c r="I1076" s="1">
        <f t="shared" ca="1" si="317"/>
        <v>150</v>
      </c>
      <c r="J1076" s="1">
        <f t="shared" ca="1" si="317"/>
        <v>1573.2716417910499</v>
      </c>
      <c r="K1076" s="1">
        <f t="shared" ca="1" si="317"/>
        <v>119.00069999999999</v>
      </c>
      <c r="L1076" s="1">
        <f t="shared" ca="1" si="317"/>
        <v>1573.2716417910499</v>
      </c>
      <c r="M1076" s="1">
        <f t="shared" ca="1" si="317"/>
        <v>119.00069999999999</v>
      </c>
      <c r="N1076" s="1">
        <f t="shared" ca="1" si="317"/>
        <v>0.2</v>
      </c>
      <c r="O1076" s="1">
        <f t="shared" ca="1" si="317"/>
        <v>0.2</v>
      </c>
      <c r="P1076" s="1">
        <f t="shared" ca="1" si="317"/>
        <v>0.36</v>
      </c>
      <c r="Q1076" s="1">
        <f t="shared" ca="1" si="317"/>
        <v>0.1</v>
      </c>
      <c r="R1076" s="1">
        <f t="shared" ca="1" si="317"/>
        <v>2</v>
      </c>
      <c r="S1076" s="1">
        <f t="shared" ca="1" si="318"/>
        <v>0.1</v>
      </c>
      <c r="T1076" s="1">
        <f t="shared" ca="1" si="318"/>
        <v>1.1700000000000002</v>
      </c>
      <c r="U1076" s="1">
        <f t="shared" ca="1" si="318"/>
        <v>162.4</v>
      </c>
      <c r="V1076" s="1">
        <f t="shared" ca="1" si="318"/>
        <v>0</v>
      </c>
      <c r="W1076" s="1">
        <f t="shared" ca="1" si="318"/>
        <v>1708.8985074626851</v>
      </c>
      <c r="X1076" s="1">
        <f t="shared" ca="1" si="318"/>
        <v>0</v>
      </c>
      <c r="Y1076" s="1">
        <f t="shared" ca="1" si="318"/>
        <v>0</v>
      </c>
      <c r="Z1076" s="1">
        <f t="shared" ca="1" si="318"/>
        <v>0</v>
      </c>
      <c r="AA1076" s="1">
        <f t="shared" ca="1" si="318"/>
        <v>0</v>
      </c>
      <c r="AB1076" s="1">
        <f t="shared" ca="1" si="316"/>
        <v>0</v>
      </c>
      <c r="AC1076" s="1">
        <f t="shared" ca="1" si="318"/>
        <v>119.00069999999999</v>
      </c>
      <c r="AD1076" s="1">
        <f t="shared" ca="1" si="318"/>
        <v>178.50104999999999</v>
      </c>
      <c r="AE1076" s="1">
        <f t="shared" ca="1" si="318"/>
        <v>119.00069999999999</v>
      </c>
      <c r="AF1076" s="1">
        <f t="shared" ca="1" si="318"/>
        <v>119.00069999999999</v>
      </c>
      <c r="AG1076" s="1">
        <f t="shared" ca="1" si="318"/>
        <v>119.00069999999999</v>
      </c>
      <c r="AH1076" s="1">
        <f t="shared" ca="1" si="318"/>
        <v>119.00069999999999</v>
      </c>
      <c r="AI1076" s="1">
        <f t="shared" ca="1" si="310"/>
        <v>119.00069999999999</v>
      </c>
    </row>
    <row r="1077" spans="2:35" x14ac:dyDescent="0.15">
      <c r="B1077" s="1" t="str">
        <f t="shared" si="302"/>
        <v>风系85</v>
      </c>
      <c r="C1077" s="1">
        <f t="shared" si="313"/>
        <v>85</v>
      </c>
      <c r="D1077" s="14" t="s">
        <v>100</v>
      </c>
      <c r="E1077" s="14">
        <f t="shared" si="314"/>
        <v>11</v>
      </c>
      <c r="F1077" s="1" t="str">
        <f t="shared" si="305"/>
        <v>地脉</v>
      </c>
      <c r="H1077" s="1">
        <f t="shared" ca="1" si="301"/>
        <v>3667.74673258645</v>
      </c>
      <c r="I1077" s="1">
        <f t="shared" ca="1" si="317"/>
        <v>150</v>
      </c>
      <c r="J1077" s="1">
        <f t="shared" ca="1" si="317"/>
        <v>1609.0665584415599</v>
      </c>
      <c r="K1077" s="1">
        <f t="shared" ca="1" si="317"/>
        <v>120.41737500000001</v>
      </c>
      <c r="L1077" s="1">
        <f t="shared" ca="1" si="317"/>
        <v>1609.0665584415599</v>
      </c>
      <c r="M1077" s="1">
        <f t="shared" ca="1" si="317"/>
        <v>120.41737500000001</v>
      </c>
      <c r="N1077" s="1">
        <f t="shared" ca="1" si="317"/>
        <v>0.2</v>
      </c>
      <c r="O1077" s="1">
        <f t="shared" ca="1" si="317"/>
        <v>0.2</v>
      </c>
      <c r="P1077" s="1">
        <f t="shared" ca="1" si="317"/>
        <v>0.36</v>
      </c>
      <c r="Q1077" s="1">
        <f t="shared" ca="1" si="317"/>
        <v>0.1</v>
      </c>
      <c r="R1077" s="1">
        <f t="shared" ca="1" si="317"/>
        <v>2</v>
      </c>
      <c r="S1077" s="1">
        <f t="shared" ca="1" si="318"/>
        <v>0.1</v>
      </c>
      <c r="T1077" s="1">
        <f t="shared" ca="1" si="318"/>
        <v>1.1700000000000002</v>
      </c>
      <c r="U1077" s="1">
        <f t="shared" ca="1" si="318"/>
        <v>164.333333333333</v>
      </c>
      <c r="V1077" s="1">
        <f t="shared" ca="1" si="318"/>
        <v>0</v>
      </c>
      <c r="W1077" s="1">
        <f t="shared" ca="1" si="318"/>
        <v>1783.9650974026049</v>
      </c>
      <c r="X1077" s="1">
        <f t="shared" ca="1" si="318"/>
        <v>0</v>
      </c>
      <c r="Y1077" s="1">
        <f t="shared" ca="1" si="318"/>
        <v>0</v>
      </c>
      <c r="Z1077" s="1">
        <f t="shared" ca="1" si="318"/>
        <v>0</v>
      </c>
      <c r="AA1077" s="1">
        <f t="shared" ca="1" si="318"/>
        <v>0</v>
      </c>
      <c r="AB1077" s="1">
        <f t="shared" ca="1" si="316"/>
        <v>0</v>
      </c>
      <c r="AC1077" s="1">
        <f t="shared" ca="1" si="318"/>
        <v>120.41737500000001</v>
      </c>
      <c r="AD1077" s="1">
        <f t="shared" ca="1" si="318"/>
        <v>180.62606250000002</v>
      </c>
      <c r="AE1077" s="1">
        <f t="shared" ca="1" si="318"/>
        <v>120.41737500000001</v>
      </c>
      <c r="AF1077" s="1">
        <f t="shared" ca="1" si="318"/>
        <v>120.41737500000001</v>
      </c>
      <c r="AG1077" s="1">
        <f t="shared" ca="1" si="318"/>
        <v>120.41737500000001</v>
      </c>
      <c r="AH1077" s="1">
        <f t="shared" ca="1" si="318"/>
        <v>120.41737500000001</v>
      </c>
      <c r="AI1077" s="1">
        <f t="shared" ca="1" si="310"/>
        <v>120.41737500000001</v>
      </c>
    </row>
    <row r="1078" spans="2:35" x14ac:dyDescent="0.15">
      <c r="B1078" s="1" t="str">
        <f t="shared" si="302"/>
        <v>风系86</v>
      </c>
      <c r="C1078" s="1">
        <f t="shared" si="313"/>
        <v>86</v>
      </c>
      <c r="D1078" s="14" t="s">
        <v>100</v>
      </c>
      <c r="E1078" s="14">
        <f t="shared" si="314"/>
        <v>11</v>
      </c>
      <c r="F1078" s="1" t="str">
        <f t="shared" si="305"/>
        <v>地脉</v>
      </c>
      <c r="H1078" s="1">
        <f t="shared" ca="1" si="301"/>
        <v>3726.7552270272599</v>
      </c>
      <c r="I1078" s="1">
        <f t="shared" ca="1" si="317"/>
        <v>150</v>
      </c>
      <c r="J1078" s="1">
        <f t="shared" ca="1" si="317"/>
        <v>1645.6714285714299</v>
      </c>
      <c r="K1078" s="1">
        <f t="shared" ca="1" si="317"/>
        <v>121.83405</v>
      </c>
      <c r="L1078" s="1">
        <f t="shared" ca="1" si="317"/>
        <v>1645.6714285714299</v>
      </c>
      <c r="M1078" s="1">
        <f t="shared" ca="1" si="317"/>
        <v>121.83405</v>
      </c>
      <c r="N1078" s="1">
        <f t="shared" ca="1" si="317"/>
        <v>0.2</v>
      </c>
      <c r="O1078" s="1">
        <f t="shared" ca="1" si="317"/>
        <v>0.2</v>
      </c>
      <c r="P1078" s="1">
        <f t="shared" ca="1" si="317"/>
        <v>0.36</v>
      </c>
      <c r="Q1078" s="1">
        <f t="shared" ca="1" si="317"/>
        <v>0.1</v>
      </c>
      <c r="R1078" s="1">
        <f t="shared" ca="1" si="317"/>
        <v>2</v>
      </c>
      <c r="S1078" s="1">
        <f t="shared" ca="1" si="318"/>
        <v>0.1</v>
      </c>
      <c r="T1078" s="1">
        <f t="shared" ca="1" si="318"/>
        <v>1.1700000000000002</v>
      </c>
      <c r="U1078" s="1">
        <f t="shared" ca="1" si="318"/>
        <v>166.26666666666699</v>
      </c>
      <c r="V1078" s="1">
        <f t="shared" ca="1" si="318"/>
        <v>0</v>
      </c>
      <c r="W1078" s="1">
        <f t="shared" ca="1" si="318"/>
        <v>1862.2071428571448</v>
      </c>
      <c r="X1078" s="1">
        <f t="shared" ca="1" si="318"/>
        <v>0</v>
      </c>
      <c r="Y1078" s="1">
        <f t="shared" ca="1" si="318"/>
        <v>0</v>
      </c>
      <c r="Z1078" s="1">
        <f t="shared" ca="1" si="318"/>
        <v>0</v>
      </c>
      <c r="AA1078" s="1">
        <f t="shared" ca="1" si="318"/>
        <v>0</v>
      </c>
      <c r="AB1078" s="1">
        <f t="shared" ca="1" si="316"/>
        <v>0</v>
      </c>
      <c r="AC1078" s="1">
        <f t="shared" ca="1" si="318"/>
        <v>121.83405</v>
      </c>
      <c r="AD1078" s="1">
        <f t="shared" ca="1" si="318"/>
        <v>182.75107500000001</v>
      </c>
      <c r="AE1078" s="1">
        <f t="shared" ca="1" si="318"/>
        <v>121.83405</v>
      </c>
      <c r="AF1078" s="1">
        <f t="shared" ca="1" si="318"/>
        <v>121.83405</v>
      </c>
      <c r="AG1078" s="1">
        <f t="shared" ca="1" si="318"/>
        <v>121.83405</v>
      </c>
      <c r="AH1078" s="1">
        <f t="shared" ca="1" si="318"/>
        <v>121.83405</v>
      </c>
      <c r="AI1078" s="1">
        <f t="shared" ca="1" si="310"/>
        <v>121.83405</v>
      </c>
    </row>
    <row r="1079" spans="2:35" x14ac:dyDescent="0.15">
      <c r="B1079" s="1" t="str">
        <f t="shared" si="302"/>
        <v>风系87</v>
      </c>
      <c r="C1079" s="1">
        <f t="shared" si="313"/>
        <v>87</v>
      </c>
      <c r="D1079" s="14" t="s">
        <v>100</v>
      </c>
      <c r="E1079" s="14">
        <f t="shared" si="314"/>
        <v>11</v>
      </c>
      <c r="F1079" s="1" t="str">
        <f t="shared" si="305"/>
        <v>地脉</v>
      </c>
      <c r="H1079" s="1">
        <f t="shared" ca="1" si="301"/>
        <v>3786.1325245583198</v>
      </c>
      <c r="I1079" s="1">
        <f t="shared" ca="1" si="317"/>
        <v>150</v>
      </c>
      <c r="J1079" s="1">
        <f t="shared" ca="1" si="317"/>
        <v>1683.1198660714299</v>
      </c>
      <c r="K1079" s="1">
        <f t="shared" ca="1" si="317"/>
        <v>123.250725</v>
      </c>
      <c r="L1079" s="1">
        <f t="shared" ca="1" si="317"/>
        <v>1683.1198660714299</v>
      </c>
      <c r="M1079" s="1">
        <f t="shared" ca="1" si="317"/>
        <v>123.250725</v>
      </c>
      <c r="N1079" s="1">
        <f t="shared" ca="1" si="317"/>
        <v>0.2</v>
      </c>
      <c r="O1079" s="1">
        <f t="shared" ca="1" si="317"/>
        <v>0.2</v>
      </c>
      <c r="P1079" s="1">
        <f t="shared" ca="1" si="317"/>
        <v>0.36</v>
      </c>
      <c r="Q1079" s="1">
        <f t="shared" ca="1" si="317"/>
        <v>0.1</v>
      </c>
      <c r="R1079" s="1">
        <f t="shared" ca="1" si="317"/>
        <v>2</v>
      </c>
      <c r="S1079" s="1">
        <f t="shared" ca="1" si="318"/>
        <v>0.1</v>
      </c>
      <c r="T1079" s="1">
        <f t="shared" ca="1" si="318"/>
        <v>1.1700000000000002</v>
      </c>
      <c r="U1079" s="1">
        <f t="shared" ca="1" si="318"/>
        <v>168.2</v>
      </c>
      <c r="V1079" s="1">
        <f t="shared" ca="1" si="318"/>
        <v>0</v>
      </c>
      <c r="W1079" s="1">
        <f t="shared" ca="1" si="318"/>
        <v>1943.7800223214349</v>
      </c>
      <c r="X1079" s="1">
        <f t="shared" ca="1" si="318"/>
        <v>0</v>
      </c>
      <c r="Y1079" s="1">
        <f t="shared" ca="1" si="318"/>
        <v>0</v>
      </c>
      <c r="Z1079" s="1">
        <f t="shared" ca="1" si="318"/>
        <v>0</v>
      </c>
      <c r="AA1079" s="1">
        <f t="shared" ca="1" si="318"/>
        <v>0</v>
      </c>
      <c r="AB1079" s="1">
        <f t="shared" ca="1" si="318"/>
        <v>0</v>
      </c>
      <c r="AC1079" s="1">
        <f t="shared" ca="1" si="318"/>
        <v>123.250725</v>
      </c>
      <c r="AD1079" s="1">
        <f t="shared" ca="1" si="318"/>
        <v>184.87608750000001</v>
      </c>
      <c r="AE1079" s="1">
        <f t="shared" ca="1" si="318"/>
        <v>123.250725</v>
      </c>
      <c r="AF1079" s="1">
        <f t="shared" ca="1" si="318"/>
        <v>123.250725</v>
      </c>
      <c r="AG1079" s="1">
        <f t="shared" ca="1" si="318"/>
        <v>123.250725</v>
      </c>
      <c r="AH1079" s="1">
        <f t="shared" ca="1" si="318"/>
        <v>123.250725</v>
      </c>
      <c r="AI1079" s="1">
        <f t="shared" ca="1" si="310"/>
        <v>123.250725</v>
      </c>
    </row>
    <row r="1080" spans="2:35" x14ac:dyDescent="0.15">
      <c r="B1080" s="1" t="str">
        <f t="shared" si="302"/>
        <v>风系88</v>
      </c>
      <c r="C1080" s="1">
        <f t="shared" si="313"/>
        <v>88</v>
      </c>
      <c r="D1080" s="14" t="s">
        <v>100</v>
      </c>
      <c r="E1080" s="14">
        <f t="shared" si="314"/>
        <v>11</v>
      </c>
      <c r="F1080" s="1" t="str">
        <f t="shared" si="305"/>
        <v>地脉</v>
      </c>
      <c r="H1080" s="1">
        <f t="shared" ca="1" si="301"/>
        <v>3845.87862517964</v>
      </c>
      <c r="I1080" s="1">
        <f t="shared" ca="1" si="317"/>
        <v>150</v>
      </c>
      <c r="J1080" s="1">
        <f t="shared" ca="1" si="317"/>
        <v>1721.44761904762</v>
      </c>
      <c r="K1080" s="1">
        <f t="shared" ca="1" si="317"/>
        <v>124.6674</v>
      </c>
      <c r="L1080" s="1">
        <f t="shared" ca="1" si="317"/>
        <v>1721.44761904762</v>
      </c>
      <c r="M1080" s="1">
        <f t="shared" ca="1" si="317"/>
        <v>124.6674</v>
      </c>
      <c r="N1080" s="1">
        <f t="shared" ca="1" si="317"/>
        <v>0.2</v>
      </c>
      <c r="O1080" s="1">
        <f t="shared" ca="1" si="317"/>
        <v>0.2</v>
      </c>
      <c r="P1080" s="1">
        <f t="shared" ca="1" si="317"/>
        <v>0.36</v>
      </c>
      <c r="Q1080" s="1">
        <f t="shared" ca="1" si="317"/>
        <v>0.1</v>
      </c>
      <c r="R1080" s="1">
        <f t="shared" ca="1" si="317"/>
        <v>2</v>
      </c>
      <c r="S1080" s="1">
        <f t="shared" ca="1" si="318"/>
        <v>0.1</v>
      </c>
      <c r="T1080" s="1">
        <f t="shared" ca="1" si="318"/>
        <v>1.1700000000000002</v>
      </c>
      <c r="U1080" s="1">
        <f t="shared" ca="1" si="318"/>
        <v>170.13333333333301</v>
      </c>
      <c r="V1080" s="1">
        <f t="shared" ca="1" si="318"/>
        <v>0</v>
      </c>
      <c r="W1080" s="1">
        <f t="shared" ca="1" si="318"/>
        <v>2028.8489795918399</v>
      </c>
      <c r="X1080" s="1">
        <f t="shared" ca="1" si="318"/>
        <v>0</v>
      </c>
      <c r="Y1080" s="1">
        <f t="shared" ca="1" si="318"/>
        <v>0</v>
      </c>
      <c r="Z1080" s="1">
        <f t="shared" ca="1" si="318"/>
        <v>0</v>
      </c>
      <c r="AA1080" s="1">
        <f t="shared" ca="1" si="318"/>
        <v>0</v>
      </c>
      <c r="AB1080" s="1">
        <f t="shared" ca="1" si="318"/>
        <v>0</v>
      </c>
      <c r="AC1080" s="1">
        <f t="shared" ca="1" si="318"/>
        <v>124.6674</v>
      </c>
      <c r="AD1080" s="1">
        <f t="shared" ca="1" si="318"/>
        <v>187.00110000000001</v>
      </c>
      <c r="AE1080" s="1">
        <f t="shared" ca="1" si="318"/>
        <v>124.6674</v>
      </c>
      <c r="AF1080" s="1">
        <f t="shared" ca="1" si="318"/>
        <v>124.6674</v>
      </c>
      <c r="AG1080" s="1">
        <f t="shared" ca="1" si="318"/>
        <v>124.6674</v>
      </c>
      <c r="AH1080" s="1">
        <f t="shared" ca="1" si="318"/>
        <v>124.6674</v>
      </c>
      <c r="AI1080" s="1">
        <f t="shared" ca="1" si="310"/>
        <v>124.6674</v>
      </c>
    </row>
    <row r="1081" spans="2:35" x14ac:dyDescent="0.15">
      <c r="B1081" s="1" t="str">
        <f t="shared" si="302"/>
        <v>风系89</v>
      </c>
      <c r="C1081" s="1">
        <f t="shared" si="313"/>
        <v>89</v>
      </c>
      <c r="D1081" s="14" t="s">
        <v>100</v>
      </c>
      <c r="E1081" s="14">
        <f t="shared" si="314"/>
        <v>11</v>
      </c>
      <c r="F1081" s="1" t="str">
        <f t="shared" si="305"/>
        <v>地脉</v>
      </c>
      <c r="H1081" s="1">
        <f t="shared" ca="1" si="301"/>
        <v>4062.5622155526498</v>
      </c>
      <c r="I1081" s="1">
        <f t="shared" ca="1" si="317"/>
        <v>150</v>
      </c>
      <c r="J1081" s="1">
        <f t="shared" ca="1" si="317"/>
        <v>1760.6927419354899</v>
      </c>
      <c r="K1081" s="1">
        <f t="shared" ca="1" si="317"/>
        <v>126.084075</v>
      </c>
      <c r="L1081" s="1">
        <f t="shared" ca="1" si="317"/>
        <v>1760.6927419354899</v>
      </c>
      <c r="M1081" s="1">
        <f t="shared" ca="1" si="317"/>
        <v>126.084075</v>
      </c>
      <c r="N1081" s="1">
        <f t="shared" ca="1" si="317"/>
        <v>0.2</v>
      </c>
      <c r="O1081" s="1">
        <f t="shared" ca="1" si="317"/>
        <v>0.2</v>
      </c>
      <c r="P1081" s="1">
        <f t="shared" ca="1" si="317"/>
        <v>0.36</v>
      </c>
      <c r="Q1081" s="1">
        <f t="shared" ca="1" si="317"/>
        <v>0.1</v>
      </c>
      <c r="R1081" s="1">
        <f t="shared" ca="1" si="317"/>
        <v>2</v>
      </c>
      <c r="S1081" s="1">
        <f t="shared" ca="1" si="318"/>
        <v>0.1</v>
      </c>
      <c r="T1081" s="1">
        <f t="shared" ca="1" si="318"/>
        <v>1.1700000000000002</v>
      </c>
      <c r="U1081" s="1">
        <f t="shared" ca="1" si="318"/>
        <v>172.066666666667</v>
      </c>
      <c r="V1081" s="1">
        <f t="shared" ca="1" si="318"/>
        <v>0</v>
      </c>
      <c r="W1081" s="1">
        <f t="shared" ca="1" si="318"/>
        <v>2117.5899193548448</v>
      </c>
      <c r="X1081" s="1">
        <f t="shared" ca="1" si="318"/>
        <v>0</v>
      </c>
      <c r="Y1081" s="1">
        <f t="shared" ca="1" si="318"/>
        <v>0</v>
      </c>
      <c r="Z1081" s="1">
        <f t="shared" ca="1" si="318"/>
        <v>0</v>
      </c>
      <c r="AA1081" s="1">
        <f t="shared" ca="1" si="318"/>
        <v>0</v>
      </c>
      <c r="AB1081" s="1">
        <f t="shared" ca="1" si="318"/>
        <v>0</v>
      </c>
      <c r="AC1081" s="1">
        <f t="shared" ca="1" si="318"/>
        <v>126.084075</v>
      </c>
      <c r="AD1081" s="1">
        <f t="shared" ca="1" si="318"/>
        <v>189.1261125</v>
      </c>
      <c r="AE1081" s="1">
        <f t="shared" ca="1" si="318"/>
        <v>126.084075</v>
      </c>
      <c r="AF1081" s="1">
        <f t="shared" ca="1" si="318"/>
        <v>126.084075</v>
      </c>
      <c r="AG1081" s="1">
        <f t="shared" ca="1" si="318"/>
        <v>126.084075</v>
      </c>
      <c r="AH1081" s="1">
        <f t="shared" ca="1" si="318"/>
        <v>126.084075</v>
      </c>
      <c r="AI1081" s="1">
        <f t="shared" ca="1" si="310"/>
        <v>126.084075</v>
      </c>
    </row>
    <row r="1082" spans="2:35" x14ac:dyDescent="0.15">
      <c r="B1082" s="1" t="str">
        <f t="shared" si="302"/>
        <v>风系90</v>
      </c>
      <c r="C1082" s="1">
        <f t="shared" si="313"/>
        <v>90</v>
      </c>
      <c r="D1082" s="14" t="s">
        <v>100</v>
      </c>
      <c r="E1082" s="14">
        <f t="shared" si="314"/>
        <v>11</v>
      </c>
      <c r="F1082" s="1" t="str">
        <f t="shared" si="305"/>
        <v>地脉</v>
      </c>
      <c r="H1082" s="1">
        <f t="shared" ca="1" si="301"/>
        <v>4125.4703642969298</v>
      </c>
      <c r="I1082" s="1">
        <f t="shared" ca="1" si="317"/>
        <v>150</v>
      </c>
      <c r="J1082" s="1">
        <f t="shared" ca="1" si="317"/>
        <v>1800.8957845433299</v>
      </c>
      <c r="K1082" s="1">
        <f t="shared" ca="1" si="317"/>
        <v>127.50075</v>
      </c>
      <c r="L1082" s="1">
        <f t="shared" ca="1" si="317"/>
        <v>1800.8957845433299</v>
      </c>
      <c r="M1082" s="1">
        <f t="shared" ca="1" si="317"/>
        <v>127.50075</v>
      </c>
      <c r="N1082" s="1">
        <f t="shared" ca="1" si="317"/>
        <v>0.2</v>
      </c>
      <c r="O1082" s="1">
        <f t="shared" ca="1" si="317"/>
        <v>0.2</v>
      </c>
      <c r="P1082" s="1">
        <f t="shared" ca="1" si="317"/>
        <v>0.36</v>
      </c>
      <c r="Q1082" s="1">
        <f t="shared" ca="1" si="317"/>
        <v>0.1</v>
      </c>
      <c r="R1082" s="1">
        <f t="shared" ca="1" si="317"/>
        <v>2</v>
      </c>
      <c r="S1082" s="1">
        <f t="shared" ca="1" si="318"/>
        <v>0.1</v>
      </c>
      <c r="T1082" s="1">
        <f t="shared" ca="1" si="318"/>
        <v>1.1700000000000002</v>
      </c>
      <c r="U1082" s="1">
        <f t="shared" ca="1" si="318"/>
        <v>174</v>
      </c>
      <c r="V1082" s="1">
        <f t="shared" ca="1" si="318"/>
        <v>0</v>
      </c>
      <c r="W1082" s="1">
        <f t="shared" ca="1" si="318"/>
        <v>2210.190281030445</v>
      </c>
      <c r="X1082" s="1">
        <f t="shared" ca="1" si="318"/>
        <v>0</v>
      </c>
      <c r="Y1082" s="1">
        <f t="shared" ca="1" si="318"/>
        <v>0</v>
      </c>
      <c r="Z1082" s="1">
        <f t="shared" ca="1" si="318"/>
        <v>0</v>
      </c>
      <c r="AA1082" s="1">
        <f t="shared" ca="1" si="318"/>
        <v>0</v>
      </c>
      <c r="AB1082" s="1">
        <f t="shared" ca="1" si="318"/>
        <v>0</v>
      </c>
      <c r="AC1082" s="1">
        <f t="shared" ca="1" si="318"/>
        <v>127.50075</v>
      </c>
      <c r="AD1082" s="1">
        <f t="shared" ca="1" si="318"/>
        <v>191.251125</v>
      </c>
      <c r="AE1082" s="1">
        <f t="shared" ca="1" si="318"/>
        <v>127.50075</v>
      </c>
      <c r="AF1082" s="1">
        <f t="shared" ca="1" si="318"/>
        <v>127.50075</v>
      </c>
      <c r="AG1082" s="1">
        <f t="shared" ca="1" si="318"/>
        <v>127.50075</v>
      </c>
      <c r="AH1082" s="1">
        <f t="shared" ca="1" si="318"/>
        <v>127.50075</v>
      </c>
      <c r="AI1082" s="1">
        <f t="shared" ca="1" si="310"/>
        <v>127.50075</v>
      </c>
    </row>
    <row r="1083" spans="2:35" x14ac:dyDescent="0.15">
      <c r="B1083" s="1" t="str">
        <f t="shared" si="302"/>
        <v>风系91</v>
      </c>
      <c r="C1083" s="1">
        <f t="shared" si="313"/>
        <v>91</v>
      </c>
      <c r="D1083" s="14" t="s">
        <v>100</v>
      </c>
      <c r="E1083" s="14">
        <f t="shared" si="314"/>
        <v>11</v>
      </c>
      <c r="F1083" s="1" t="str">
        <f t="shared" si="305"/>
        <v>地脉</v>
      </c>
      <c r="H1083" s="1">
        <f t="shared" ca="1" si="301"/>
        <v>4188.7620993140299</v>
      </c>
      <c r="I1083" s="1">
        <f t="shared" ref="I1083:R1091" ca="1" si="319">mVlookup($C1083,monsterBaseDate,I$2,FALSE)*(1+mVlookup($E1083,monsterType,I$2,FALSE))</f>
        <v>150</v>
      </c>
      <c r="J1083" s="1">
        <f t="shared" ca="1" si="319"/>
        <v>1842.1</v>
      </c>
      <c r="K1083" s="1">
        <f t="shared" ca="1" si="319"/>
        <v>128.91742500000001</v>
      </c>
      <c r="L1083" s="1">
        <f t="shared" ca="1" si="319"/>
        <v>1842.1</v>
      </c>
      <c r="M1083" s="1">
        <f t="shared" ca="1" si="319"/>
        <v>128.91742500000001</v>
      </c>
      <c r="N1083" s="1">
        <f t="shared" ca="1" si="319"/>
        <v>0.2</v>
      </c>
      <c r="O1083" s="1">
        <f t="shared" ca="1" si="319"/>
        <v>0.2</v>
      </c>
      <c r="P1083" s="1">
        <f t="shared" ca="1" si="319"/>
        <v>0.36</v>
      </c>
      <c r="Q1083" s="1">
        <f t="shared" ca="1" si="319"/>
        <v>0.1</v>
      </c>
      <c r="R1083" s="1">
        <f t="shared" ca="1" si="319"/>
        <v>2</v>
      </c>
      <c r="S1083" s="1">
        <f t="shared" ref="S1083:AH1091" ca="1" si="320">mVlookup($C1083,monsterBaseDate,S$2,FALSE)*(1+mVlookup($E1083,monsterType,S$2,FALSE))</f>
        <v>0.1</v>
      </c>
      <c r="T1083" s="1">
        <f t="shared" ca="1" si="320"/>
        <v>1.1700000000000002</v>
      </c>
      <c r="U1083" s="1">
        <f t="shared" ca="1" si="320"/>
        <v>175.933333333333</v>
      </c>
      <c r="V1083" s="1">
        <f t="shared" ca="1" si="320"/>
        <v>0</v>
      </c>
      <c r="W1083" s="1">
        <f t="shared" ca="1" si="320"/>
        <v>2306.8500000000004</v>
      </c>
      <c r="X1083" s="1">
        <f t="shared" ca="1" si="320"/>
        <v>0</v>
      </c>
      <c r="Y1083" s="1">
        <f t="shared" ca="1" si="320"/>
        <v>0</v>
      </c>
      <c r="Z1083" s="1">
        <f t="shared" ca="1" si="320"/>
        <v>0</v>
      </c>
      <c r="AA1083" s="1">
        <f t="shared" ca="1" si="320"/>
        <v>0</v>
      </c>
      <c r="AB1083" s="1">
        <f t="shared" ca="1" si="318"/>
        <v>0</v>
      </c>
      <c r="AC1083" s="1">
        <f t="shared" ca="1" si="320"/>
        <v>128.91742500000001</v>
      </c>
      <c r="AD1083" s="1">
        <f t="shared" ca="1" si="320"/>
        <v>193.37613750000003</v>
      </c>
      <c r="AE1083" s="1">
        <f t="shared" ca="1" si="320"/>
        <v>128.91742500000001</v>
      </c>
      <c r="AF1083" s="1">
        <f t="shared" ca="1" si="320"/>
        <v>128.91742500000001</v>
      </c>
      <c r="AG1083" s="1">
        <f t="shared" ca="1" si="320"/>
        <v>128.91742500000001</v>
      </c>
      <c r="AH1083" s="1">
        <f t="shared" ca="1" si="320"/>
        <v>128.91742500000001</v>
      </c>
      <c r="AI1083" s="1">
        <f t="shared" ca="1" si="310"/>
        <v>128.91742500000001</v>
      </c>
    </row>
    <row r="1084" spans="2:35" x14ac:dyDescent="0.15">
      <c r="B1084" s="1" t="str">
        <f t="shared" si="302"/>
        <v>风系92</v>
      </c>
      <c r="C1084" s="1">
        <f t="shared" si="313"/>
        <v>92</v>
      </c>
      <c r="D1084" s="14" t="s">
        <v>100</v>
      </c>
      <c r="E1084" s="14">
        <f t="shared" si="314"/>
        <v>11</v>
      </c>
      <c r="F1084" s="1" t="str">
        <f t="shared" si="305"/>
        <v>地脉</v>
      </c>
      <c r="H1084" s="1">
        <f t="shared" ca="1" si="301"/>
        <v>4252.4374206039702</v>
      </c>
      <c r="I1084" s="1">
        <f t="shared" ca="1" si="319"/>
        <v>150</v>
      </c>
      <c r="J1084" s="1">
        <f t="shared" ca="1" si="319"/>
        <v>1884.35157384988</v>
      </c>
      <c r="K1084" s="1">
        <f t="shared" ca="1" si="319"/>
        <v>130.33410000000001</v>
      </c>
      <c r="L1084" s="1">
        <f t="shared" ca="1" si="319"/>
        <v>1884.35157384988</v>
      </c>
      <c r="M1084" s="1">
        <f t="shared" ca="1" si="319"/>
        <v>130.33410000000001</v>
      </c>
      <c r="N1084" s="1">
        <f t="shared" ca="1" si="319"/>
        <v>0.2</v>
      </c>
      <c r="O1084" s="1">
        <f t="shared" ca="1" si="319"/>
        <v>0.2</v>
      </c>
      <c r="P1084" s="1">
        <f t="shared" ca="1" si="319"/>
        <v>0.36</v>
      </c>
      <c r="Q1084" s="1">
        <f t="shared" ca="1" si="319"/>
        <v>0.1</v>
      </c>
      <c r="R1084" s="1">
        <f t="shared" ca="1" si="319"/>
        <v>2</v>
      </c>
      <c r="S1084" s="1">
        <f t="shared" ca="1" si="320"/>
        <v>0.1</v>
      </c>
      <c r="T1084" s="1">
        <f t="shared" ca="1" si="320"/>
        <v>1.1700000000000002</v>
      </c>
      <c r="U1084" s="1">
        <f t="shared" ca="1" si="320"/>
        <v>177.86666666666699</v>
      </c>
      <c r="V1084" s="1">
        <f t="shared" ca="1" si="320"/>
        <v>0</v>
      </c>
      <c r="W1084" s="1">
        <f t="shared" ca="1" si="320"/>
        <v>2407.782566585955</v>
      </c>
      <c r="X1084" s="1">
        <f t="shared" ca="1" si="320"/>
        <v>0</v>
      </c>
      <c r="Y1084" s="1">
        <f t="shared" ca="1" si="320"/>
        <v>0</v>
      </c>
      <c r="Z1084" s="1">
        <f t="shared" ca="1" si="320"/>
        <v>0</v>
      </c>
      <c r="AA1084" s="1">
        <f t="shared" ca="1" si="320"/>
        <v>0</v>
      </c>
      <c r="AB1084" s="1">
        <f t="shared" ca="1" si="318"/>
        <v>0</v>
      </c>
      <c r="AC1084" s="1">
        <f t="shared" ca="1" si="320"/>
        <v>130.33410000000001</v>
      </c>
      <c r="AD1084" s="1">
        <f t="shared" ca="1" si="320"/>
        <v>195.50115</v>
      </c>
      <c r="AE1084" s="1">
        <f t="shared" ca="1" si="320"/>
        <v>130.33410000000001</v>
      </c>
      <c r="AF1084" s="1">
        <f t="shared" ca="1" si="320"/>
        <v>130.33410000000001</v>
      </c>
      <c r="AG1084" s="1">
        <f t="shared" ca="1" si="320"/>
        <v>130.33410000000001</v>
      </c>
      <c r="AH1084" s="1">
        <f t="shared" ca="1" si="320"/>
        <v>130.33410000000001</v>
      </c>
      <c r="AI1084" s="1">
        <f t="shared" ca="1" si="310"/>
        <v>130.33410000000001</v>
      </c>
    </row>
    <row r="1085" spans="2:35" x14ac:dyDescent="0.15">
      <c r="B1085" s="1" t="str">
        <f t="shared" si="302"/>
        <v>风系93</v>
      </c>
      <c r="C1085" s="1">
        <f t="shared" si="313"/>
        <v>93</v>
      </c>
      <c r="D1085" s="14" t="s">
        <v>100</v>
      </c>
      <c r="E1085" s="14">
        <f t="shared" si="314"/>
        <v>11</v>
      </c>
      <c r="F1085" s="1" t="str">
        <f t="shared" si="305"/>
        <v>地脉</v>
      </c>
      <c r="H1085" s="1">
        <f t="shared" ref="H1085:H1091" ca="1" si="321">mVlookup(C1085,monsterBaseDate,H$2,FALSE)*(1+mVlookup(E1085,monsterType,H$2,FALSE))*(1+mVlookup(C1085,monsterHpRevise,D1085,FALSE))</f>
        <v>4316.4963281667397</v>
      </c>
      <c r="I1085" s="1">
        <f t="shared" ca="1" si="319"/>
        <v>150</v>
      </c>
      <c r="J1085" s="1">
        <f t="shared" ca="1" si="319"/>
        <v>1927.6998768472899</v>
      </c>
      <c r="K1085" s="1">
        <f t="shared" ca="1" si="319"/>
        <v>131.750775</v>
      </c>
      <c r="L1085" s="1">
        <f t="shared" ca="1" si="319"/>
        <v>1927.6998768472899</v>
      </c>
      <c r="M1085" s="1">
        <f t="shared" ca="1" si="319"/>
        <v>131.750775</v>
      </c>
      <c r="N1085" s="1">
        <f t="shared" ca="1" si="319"/>
        <v>0.2</v>
      </c>
      <c r="O1085" s="1">
        <f t="shared" ca="1" si="319"/>
        <v>0.2</v>
      </c>
      <c r="P1085" s="1">
        <f t="shared" ca="1" si="319"/>
        <v>0.36</v>
      </c>
      <c r="Q1085" s="1">
        <f t="shared" ca="1" si="319"/>
        <v>0.1</v>
      </c>
      <c r="R1085" s="1">
        <f t="shared" ca="1" si="319"/>
        <v>2</v>
      </c>
      <c r="S1085" s="1">
        <f t="shared" ca="1" si="320"/>
        <v>0.1</v>
      </c>
      <c r="T1085" s="1">
        <f t="shared" ca="1" si="320"/>
        <v>1.1700000000000002</v>
      </c>
      <c r="U1085" s="1">
        <f t="shared" ca="1" si="320"/>
        <v>179.8</v>
      </c>
      <c r="V1085" s="1">
        <f t="shared" ca="1" si="320"/>
        <v>0</v>
      </c>
      <c r="W1085" s="1">
        <f t="shared" ca="1" si="320"/>
        <v>2513.216194581285</v>
      </c>
      <c r="X1085" s="1">
        <f t="shared" ca="1" si="320"/>
        <v>0</v>
      </c>
      <c r="Y1085" s="1">
        <f t="shared" ca="1" si="320"/>
        <v>0</v>
      </c>
      <c r="Z1085" s="1">
        <f t="shared" ca="1" si="320"/>
        <v>0</v>
      </c>
      <c r="AA1085" s="1">
        <f t="shared" ca="1" si="320"/>
        <v>0</v>
      </c>
      <c r="AB1085" s="1">
        <f t="shared" ca="1" si="318"/>
        <v>0</v>
      </c>
      <c r="AC1085" s="1">
        <f t="shared" ca="1" si="320"/>
        <v>131.750775</v>
      </c>
      <c r="AD1085" s="1">
        <f t="shared" ca="1" si="320"/>
        <v>197.62616250000002</v>
      </c>
      <c r="AE1085" s="1">
        <f t="shared" ca="1" si="320"/>
        <v>131.750775</v>
      </c>
      <c r="AF1085" s="1">
        <f t="shared" ca="1" si="320"/>
        <v>131.750775</v>
      </c>
      <c r="AG1085" s="1">
        <f t="shared" ca="1" si="320"/>
        <v>131.750775</v>
      </c>
      <c r="AH1085" s="1">
        <f t="shared" ca="1" si="320"/>
        <v>131.750775</v>
      </c>
      <c r="AI1085" s="1">
        <f t="shared" ca="1" si="310"/>
        <v>131.750775</v>
      </c>
    </row>
    <row r="1086" spans="2:35" x14ac:dyDescent="0.15">
      <c r="B1086" s="1" t="str">
        <f t="shared" ref="B1086:B1091" si="322">D1086&amp;C1086</f>
        <v>风系94</v>
      </c>
      <c r="C1086" s="1">
        <f t="shared" si="313"/>
        <v>94</v>
      </c>
      <c r="D1086" s="14" t="s">
        <v>100</v>
      </c>
      <c r="E1086" s="14">
        <f t="shared" si="314"/>
        <v>11</v>
      </c>
      <c r="F1086" s="1" t="str">
        <f t="shared" si="305"/>
        <v>地脉</v>
      </c>
      <c r="H1086" s="1">
        <f t="shared" ca="1" si="321"/>
        <v>4380.9388220023402</v>
      </c>
      <c r="I1086" s="1">
        <f t="shared" ca="1" si="319"/>
        <v>150</v>
      </c>
      <c r="J1086" s="1">
        <f t="shared" ca="1" si="319"/>
        <v>1972.1977443609101</v>
      </c>
      <c r="K1086" s="1">
        <f t="shared" ca="1" si="319"/>
        <v>133.16745</v>
      </c>
      <c r="L1086" s="1">
        <f t="shared" ca="1" si="319"/>
        <v>1972.1977443609101</v>
      </c>
      <c r="M1086" s="1">
        <f t="shared" ca="1" si="319"/>
        <v>133.16745</v>
      </c>
      <c r="N1086" s="1">
        <f t="shared" ca="1" si="319"/>
        <v>0.2</v>
      </c>
      <c r="O1086" s="1">
        <f t="shared" ca="1" si="319"/>
        <v>0.2</v>
      </c>
      <c r="P1086" s="1">
        <f t="shared" ca="1" si="319"/>
        <v>0.36</v>
      </c>
      <c r="Q1086" s="1">
        <f t="shared" ca="1" si="319"/>
        <v>0.1</v>
      </c>
      <c r="R1086" s="1">
        <f t="shared" ca="1" si="319"/>
        <v>2</v>
      </c>
      <c r="S1086" s="1">
        <f t="shared" ca="1" si="320"/>
        <v>0.1</v>
      </c>
      <c r="T1086" s="1">
        <f t="shared" ca="1" si="320"/>
        <v>1.1700000000000002</v>
      </c>
      <c r="U1086" s="1">
        <f t="shared" ca="1" si="320"/>
        <v>181.73333333333301</v>
      </c>
      <c r="V1086" s="1">
        <f t="shared" ca="1" si="320"/>
        <v>0</v>
      </c>
      <c r="W1086" s="1">
        <f t="shared" ca="1" si="320"/>
        <v>2623.395112781955</v>
      </c>
      <c r="X1086" s="1">
        <f t="shared" ca="1" si="320"/>
        <v>0</v>
      </c>
      <c r="Y1086" s="1">
        <f t="shared" ca="1" si="320"/>
        <v>0</v>
      </c>
      <c r="Z1086" s="1">
        <f t="shared" ca="1" si="320"/>
        <v>0</v>
      </c>
      <c r="AA1086" s="1">
        <f t="shared" ca="1" si="320"/>
        <v>0</v>
      </c>
      <c r="AB1086" s="1">
        <f t="shared" ca="1" si="318"/>
        <v>0</v>
      </c>
      <c r="AC1086" s="1">
        <f t="shared" ca="1" si="320"/>
        <v>133.16745</v>
      </c>
      <c r="AD1086" s="1">
        <f t="shared" ca="1" si="320"/>
        <v>199.75117499999999</v>
      </c>
      <c r="AE1086" s="1">
        <f t="shared" ca="1" si="320"/>
        <v>133.16745</v>
      </c>
      <c r="AF1086" s="1">
        <f t="shared" ca="1" si="320"/>
        <v>133.16745</v>
      </c>
      <c r="AG1086" s="1">
        <f t="shared" ca="1" si="320"/>
        <v>133.16745</v>
      </c>
      <c r="AH1086" s="1">
        <f t="shared" ca="1" si="320"/>
        <v>133.16745</v>
      </c>
      <c r="AI1086" s="1">
        <f t="shared" ca="1" si="310"/>
        <v>133.16745</v>
      </c>
    </row>
    <row r="1087" spans="2:35" x14ac:dyDescent="0.15">
      <c r="B1087" s="1" t="str">
        <f t="shared" si="322"/>
        <v>风系95</v>
      </c>
      <c r="C1087" s="1">
        <f t="shared" si="313"/>
        <v>95</v>
      </c>
      <c r="D1087" s="14" t="s">
        <v>100</v>
      </c>
      <c r="E1087" s="14">
        <f t="shared" si="314"/>
        <v>11</v>
      </c>
      <c r="F1087" s="1" t="str">
        <f t="shared" si="305"/>
        <v>地脉</v>
      </c>
      <c r="H1087" s="1">
        <f t="shared" ca="1" si="321"/>
        <v>4445.76490211077</v>
      </c>
      <c r="I1087" s="1">
        <f t="shared" ca="1" si="319"/>
        <v>150</v>
      </c>
      <c r="J1087" s="1">
        <f t="shared" ca="1" si="319"/>
        <v>2017.9017857142901</v>
      </c>
      <c r="K1087" s="1">
        <f t="shared" ca="1" si="319"/>
        <v>134.584125</v>
      </c>
      <c r="L1087" s="1">
        <f t="shared" ca="1" si="319"/>
        <v>2017.9017857142901</v>
      </c>
      <c r="M1087" s="1">
        <f t="shared" ca="1" si="319"/>
        <v>134.584125</v>
      </c>
      <c r="N1087" s="1">
        <f t="shared" ca="1" si="319"/>
        <v>0.2</v>
      </c>
      <c r="O1087" s="1">
        <f t="shared" ca="1" si="319"/>
        <v>0.2</v>
      </c>
      <c r="P1087" s="1">
        <f t="shared" ca="1" si="319"/>
        <v>0.36</v>
      </c>
      <c r="Q1087" s="1">
        <f t="shared" ca="1" si="319"/>
        <v>0.1</v>
      </c>
      <c r="R1087" s="1">
        <f t="shared" ca="1" si="319"/>
        <v>2</v>
      </c>
      <c r="S1087" s="1">
        <f t="shared" ca="1" si="320"/>
        <v>0.1</v>
      </c>
      <c r="T1087" s="1">
        <f t="shared" ca="1" si="320"/>
        <v>1.1700000000000002</v>
      </c>
      <c r="U1087" s="1">
        <f t="shared" ca="1" si="320"/>
        <v>183.666666666667</v>
      </c>
      <c r="V1087" s="1">
        <f t="shared" ca="1" si="320"/>
        <v>0</v>
      </c>
      <c r="W1087" s="1">
        <f t="shared" ca="1" si="320"/>
        <v>2738.580994897965</v>
      </c>
      <c r="X1087" s="1">
        <f t="shared" ca="1" si="320"/>
        <v>0</v>
      </c>
      <c r="Y1087" s="1">
        <f t="shared" ca="1" si="320"/>
        <v>0</v>
      </c>
      <c r="Z1087" s="1">
        <f t="shared" ca="1" si="320"/>
        <v>0</v>
      </c>
      <c r="AA1087" s="1">
        <f t="shared" ca="1" si="320"/>
        <v>0</v>
      </c>
      <c r="AB1087" s="1">
        <f t="shared" ca="1" si="318"/>
        <v>0</v>
      </c>
      <c r="AC1087" s="1">
        <f t="shared" ca="1" si="320"/>
        <v>134.584125</v>
      </c>
      <c r="AD1087" s="1">
        <f t="shared" ca="1" si="320"/>
        <v>201.87618750000001</v>
      </c>
      <c r="AE1087" s="1">
        <f t="shared" ca="1" si="320"/>
        <v>134.584125</v>
      </c>
      <c r="AF1087" s="1">
        <f t="shared" ca="1" si="320"/>
        <v>134.584125</v>
      </c>
      <c r="AG1087" s="1">
        <f t="shared" ca="1" si="320"/>
        <v>134.584125</v>
      </c>
      <c r="AH1087" s="1">
        <f t="shared" ca="1" si="320"/>
        <v>134.584125</v>
      </c>
      <c r="AI1087" s="1">
        <f t="shared" ca="1" si="310"/>
        <v>134.584125</v>
      </c>
    </row>
    <row r="1088" spans="2:35" x14ac:dyDescent="0.15">
      <c r="B1088" s="1" t="str">
        <f t="shared" si="322"/>
        <v>风系96</v>
      </c>
      <c r="C1088" s="1">
        <f t="shared" si="313"/>
        <v>96</v>
      </c>
      <c r="D1088" s="14" t="s">
        <v>100</v>
      </c>
      <c r="E1088" s="14">
        <f t="shared" si="314"/>
        <v>11</v>
      </c>
      <c r="F1088" s="1" t="str">
        <f t="shared" si="305"/>
        <v>地脉</v>
      </c>
      <c r="H1088" s="1">
        <f t="shared" ca="1" si="321"/>
        <v>4510.9745684920399</v>
      </c>
      <c r="I1088" s="1">
        <f t="shared" ca="1" si="319"/>
        <v>150</v>
      </c>
      <c r="J1088" s="1">
        <f t="shared" ca="1" si="319"/>
        <v>2064.8727272727301</v>
      </c>
      <c r="K1088" s="1">
        <f t="shared" ca="1" si="319"/>
        <v>136.0008</v>
      </c>
      <c r="L1088" s="1">
        <f t="shared" ca="1" si="319"/>
        <v>2064.8727272727301</v>
      </c>
      <c r="M1088" s="1">
        <f t="shared" ca="1" si="319"/>
        <v>136.0008</v>
      </c>
      <c r="N1088" s="1">
        <f t="shared" ca="1" si="319"/>
        <v>0.2</v>
      </c>
      <c r="O1088" s="1">
        <f t="shared" ca="1" si="319"/>
        <v>0.2</v>
      </c>
      <c r="P1088" s="1">
        <f t="shared" ca="1" si="319"/>
        <v>0.36</v>
      </c>
      <c r="Q1088" s="1">
        <f t="shared" ca="1" si="319"/>
        <v>0.1</v>
      </c>
      <c r="R1088" s="1">
        <f t="shared" ca="1" si="319"/>
        <v>2</v>
      </c>
      <c r="S1088" s="1">
        <f t="shared" ca="1" si="320"/>
        <v>0.1</v>
      </c>
      <c r="T1088" s="1">
        <f t="shared" ca="1" si="320"/>
        <v>1.1700000000000002</v>
      </c>
      <c r="U1088" s="1">
        <f t="shared" ca="1" si="320"/>
        <v>185.6</v>
      </c>
      <c r="V1088" s="1">
        <f t="shared" ca="1" si="320"/>
        <v>0</v>
      </c>
      <c r="W1088" s="1">
        <f t="shared" ca="1" si="320"/>
        <v>2859.054545454555</v>
      </c>
      <c r="X1088" s="1">
        <f t="shared" ca="1" si="320"/>
        <v>0</v>
      </c>
      <c r="Y1088" s="1">
        <f t="shared" ca="1" si="320"/>
        <v>0</v>
      </c>
      <c r="Z1088" s="1">
        <f t="shared" ca="1" si="320"/>
        <v>0</v>
      </c>
      <c r="AA1088" s="1">
        <f t="shared" ca="1" si="320"/>
        <v>0</v>
      </c>
      <c r="AB1088" s="1">
        <f t="shared" ca="1" si="318"/>
        <v>0</v>
      </c>
      <c r="AC1088" s="1">
        <f t="shared" ca="1" si="320"/>
        <v>136.0008</v>
      </c>
      <c r="AD1088" s="1">
        <f t="shared" ca="1" si="320"/>
        <v>204.00119999999998</v>
      </c>
      <c r="AE1088" s="1">
        <f t="shared" ca="1" si="320"/>
        <v>136.0008</v>
      </c>
      <c r="AF1088" s="1">
        <f t="shared" ca="1" si="320"/>
        <v>136.0008</v>
      </c>
      <c r="AG1088" s="1">
        <f t="shared" ca="1" si="320"/>
        <v>136.0008</v>
      </c>
      <c r="AH1088" s="1">
        <f t="shared" ca="1" si="320"/>
        <v>136.0008</v>
      </c>
      <c r="AI1088" s="1">
        <f t="shared" ca="1" si="310"/>
        <v>136.0008</v>
      </c>
    </row>
    <row r="1089" spans="2:35" x14ac:dyDescent="0.15">
      <c r="B1089" s="1" t="str">
        <f t="shared" si="322"/>
        <v>风系97</v>
      </c>
      <c r="C1089" s="1">
        <f t="shared" si="313"/>
        <v>97</v>
      </c>
      <c r="D1089" s="14" t="s">
        <v>100</v>
      </c>
      <c r="E1089" s="14">
        <f t="shared" si="314"/>
        <v>11</v>
      </c>
      <c r="F1089" s="1" t="str">
        <f t="shared" si="305"/>
        <v>地脉</v>
      </c>
      <c r="H1089" s="1">
        <f t="shared" ca="1" si="321"/>
        <v>4576.56782114613</v>
      </c>
      <c r="I1089" s="1">
        <f t="shared" ca="1" si="319"/>
        <v>150</v>
      </c>
      <c r="J1089" s="1">
        <f t="shared" ca="1" si="319"/>
        <v>2113.1757936508002</v>
      </c>
      <c r="K1089" s="1">
        <f t="shared" ca="1" si="319"/>
        <v>137.417475</v>
      </c>
      <c r="L1089" s="1">
        <f t="shared" ca="1" si="319"/>
        <v>2113.1757936508002</v>
      </c>
      <c r="M1089" s="1">
        <f t="shared" ca="1" si="319"/>
        <v>137.417475</v>
      </c>
      <c r="N1089" s="1">
        <f t="shared" ca="1" si="319"/>
        <v>0.2</v>
      </c>
      <c r="O1089" s="1">
        <f t="shared" ca="1" si="319"/>
        <v>0.2</v>
      </c>
      <c r="P1089" s="1">
        <f t="shared" ca="1" si="319"/>
        <v>0.36</v>
      </c>
      <c r="Q1089" s="1">
        <f t="shared" ca="1" si="319"/>
        <v>0.1</v>
      </c>
      <c r="R1089" s="1">
        <f t="shared" ca="1" si="319"/>
        <v>2</v>
      </c>
      <c r="S1089" s="1">
        <f t="shared" ca="1" si="320"/>
        <v>0.1</v>
      </c>
      <c r="T1089" s="1">
        <f t="shared" ca="1" si="320"/>
        <v>1.1700000000000002</v>
      </c>
      <c r="U1089" s="1">
        <f t="shared" ca="1" si="320"/>
        <v>187.53333333333299</v>
      </c>
      <c r="V1089" s="1">
        <f t="shared" ca="1" si="320"/>
        <v>0</v>
      </c>
      <c r="W1089" s="1">
        <f t="shared" ca="1" si="320"/>
        <v>2985.1172619047702</v>
      </c>
      <c r="X1089" s="1">
        <f t="shared" ca="1" si="320"/>
        <v>0</v>
      </c>
      <c r="Y1089" s="1">
        <f t="shared" ca="1" si="320"/>
        <v>0</v>
      </c>
      <c r="Z1089" s="1">
        <f t="shared" ca="1" si="320"/>
        <v>0</v>
      </c>
      <c r="AA1089" s="1">
        <f t="shared" ca="1" si="320"/>
        <v>0</v>
      </c>
      <c r="AB1089" s="1">
        <f t="shared" ca="1" si="320"/>
        <v>0</v>
      </c>
      <c r="AC1089" s="1">
        <f t="shared" ca="1" si="320"/>
        <v>137.417475</v>
      </c>
      <c r="AD1089" s="1">
        <f t="shared" ca="1" si="320"/>
        <v>206.12621250000001</v>
      </c>
      <c r="AE1089" s="1">
        <f t="shared" ca="1" si="320"/>
        <v>137.417475</v>
      </c>
      <c r="AF1089" s="1">
        <f t="shared" ca="1" si="320"/>
        <v>137.417475</v>
      </c>
      <c r="AG1089" s="1">
        <f t="shared" ca="1" si="320"/>
        <v>137.417475</v>
      </c>
      <c r="AH1089" s="1">
        <f t="shared" ca="1" si="320"/>
        <v>137.417475</v>
      </c>
      <c r="AI1089" s="1">
        <f t="shared" ca="1" si="310"/>
        <v>137.417475</v>
      </c>
    </row>
    <row r="1090" spans="2:35" x14ac:dyDescent="0.15">
      <c r="B1090" s="1" t="str">
        <f t="shared" si="322"/>
        <v>风系98</v>
      </c>
      <c r="C1090" s="1">
        <f t="shared" si="313"/>
        <v>98</v>
      </c>
      <c r="D1090" s="14" t="s">
        <v>100</v>
      </c>
      <c r="E1090" s="14">
        <f t="shared" si="314"/>
        <v>11</v>
      </c>
      <c r="F1090" s="1" t="str">
        <f t="shared" si="305"/>
        <v>地脉</v>
      </c>
      <c r="H1090" s="1">
        <f t="shared" ca="1" si="321"/>
        <v>4642.5446600730502</v>
      </c>
      <c r="I1090" s="1">
        <f t="shared" ca="1" si="319"/>
        <v>150</v>
      </c>
      <c r="J1090" s="1">
        <f t="shared" ca="1" si="319"/>
        <v>2162.8811320754799</v>
      </c>
      <c r="K1090" s="1">
        <f t="shared" ca="1" si="319"/>
        <v>138.83414999999999</v>
      </c>
      <c r="L1090" s="1">
        <f t="shared" ca="1" si="319"/>
        <v>2162.8811320754799</v>
      </c>
      <c r="M1090" s="1">
        <f t="shared" ca="1" si="319"/>
        <v>138.83414999999999</v>
      </c>
      <c r="N1090" s="1">
        <f t="shared" ca="1" si="319"/>
        <v>0.2</v>
      </c>
      <c r="O1090" s="1">
        <f t="shared" ca="1" si="319"/>
        <v>0.2</v>
      </c>
      <c r="P1090" s="1">
        <f t="shared" ca="1" si="319"/>
        <v>0.36</v>
      </c>
      <c r="Q1090" s="1">
        <f t="shared" ca="1" si="319"/>
        <v>0.1</v>
      </c>
      <c r="R1090" s="1">
        <f t="shared" ca="1" si="319"/>
        <v>2</v>
      </c>
      <c r="S1090" s="1">
        <f t="shared" ca="1" si="320"/>
        <v>0.1</v>
      </c>
      <c r="T1090" s="1">
        <f t="shared" ca="1" si="320"/>
        <v>1.1700000000000002</v>
      </c>
      <c r="U1090" s="1">
        <f t="shared" ca="1" si="320"/>
        <v>189.46666666666701</v>
      </c>
      <c r="V1090" s="1">
        <f t="shared" ca="1" si="320"/>
        <v>0</v>
      </c>
      <c r="W1090" s="1">
        <f t="shared" ca="1" si="320"/>
        <v>3117.0933962264248</v>
      </c>
      <c r="X1090" s="1">
        <f t="shared" ca="1" si="320"/>
        <v>0</v>
      </c>
      <c r="Y1090" s="1">
        <f t="shared" ca="1" si="320"/>
        <v>0</v>
      </c>
      <c r="Z1090" s="1">
        <f t="shared" ca="1" si="320"/>
        <v>0</v>
      </c>
      <c r="AA1090" s="1">
        <f t="shared" ca="1" si="320"/>
        <v>0</v>
      </c>
      <c r="AB1090" s="1">
        <f t="shared" ca="1" si="320"/>
        <v>0</v>
      </c>
      <c r="AC1090" s="1">
        <f t="shared" ca="1" si="320"/>
        <v>138.83414999999999</v>
      </c>
      <c r="AD1090" s="1">
        <f t="shared" ca="1" si="320"/>
        <v>208.25122499999998</v>
      </c>
      <c r="AE1090" s="1">
        <f t="shared" ca="1" si="320"/>
        <v>138.83414999999999</v>
      </c>
      <c r="AF1090" s="1">
        <f t="shared" ca="1" si="320"/>
        <v>138.83414999999999</v>
      </c>
      <c r="AG1090" s="1">
        <f t="shared" ca="1" si="320"/>
        <v>138.83414999999999</v>
      </c>
      <c r="AH1090" s="1">
        <f t="shared" ca="1" si="320"/>
        <v>138.83414999999999</v>
      </c>
      <c r="AI1090" s="1">
        <f t="shared" ca="1" si="310"/>
        <v>138.83414999999999</v>
      </c>
    </row>
    <row r="1091" spans="2:35" x14ac:dyDescent="0.15">
      <c r="B1091" s="1" t="str">
        <f t="shared" si="322"/>
        <v>风系99</v>
      </c>
      <c r="C1091" s="1">
        <f t="shared" si="313"/>
        <v>99</v>
      </c>
      <c r="D1091" s="14" t="s">
        <v>100</v>
      </c>
      <c r="E1091" s="14">
        <f t="shared" si="314"/>
        <v>11</v>
      </c>
      <c r="F1091" s="1" t="str">
        <f>VLOOKUP(E1091,monsterType,4,FALSE)</f>
        <v>地脉</v>
      </c>
      <c r="H1091" s="1">
        <f t="shared" ca="1" si="321"/>
        <v>4708.9050852728096</v>
      </c>
      <c r="I1091" s="1">
        <f t="shared" ca="1" si="319"/>
        <v>150</v>
      </c>
      <c r="J1091" s="1">
        <f t="shared" ca="1" si="319"/>
        <v>2214.0642857142898</v>
      </c>
      <c r="K1091" s="1">
        <f t="shared" ca="1" si="319"/>
        <v>140.25082499999999</v>
      </c>
      <c r="L1091" s="1">
        <f t="shared" ca="1" si="319"/>
        <v>2214.0642857142898</v>
      </c>
      <c r="M1091" s="1">
        <f t="shared" ca="1" si="319"/>
        <v>140.25082499999999</v>
      </c>
      <c r="N1091" s="1">
        <f t="shared" ca="1" si="319"/>
        <v>0.2</v>
      </c>
      <c r="O1091" s="1">
        <f t="shared" ca="1" si="319"/>
        <v>0.2</v>
      </c>
      <c r="P1091" s="1">
        <f t="shared" ca="1" si="319"/>
        <v>0.36</v>
      </c>
      <c r="Q1091" s="1">
        <f t="shared" ca="1" si="319"/>
        <v>0.1</v>
      </c>
      <c r="R1091" s="1">
        <f t="shared" ca="1" si="319"/>
        <v>2</v>
      </c>
      <c r="S1091" s="1">
        <f t="shared" ca="1" si="320"/>
        <v>0.1</v>
      </c>
      <c r="T1091" s="1">
        <f t="shared" ca="1" si="320"/>
        <v>1.1700000000000002</v>
      </c>
      <c r="U1091" s="1">
        <f t="shared" ca="1" si="320"/>
        <v>191.4</v>
      </c>
      <c r="V1091" s="1">
        <f t="shared" ca="1" si="320"/>
        <v>0</v>
      </c>
      <c r="W1091" s="1">
        <f t="shared" ca="1" si="320"/>
        <v>3255.3321428571448</v>
      </c>
      <c r="X1091" s="1">
        <f t="shared" ca="1" si="320"/>
        <v>0</v>
      </c>
      <c r="Y1091" s="1">
        <f t="shared" ca="1" si="320"/>
        <v>0</v>
      </c>
      <c r="Z1091" s="1">
        <f t="shared" ca="1" si="320"/>
        <v>0</v>
      </c>
      <c r="AA1091" s="1">
        <f t="shared" ca="1" si="320"/>
        <v>0</v>
      </c>
      <c r="AB1091" s="1">
        <f t="shared" ca="1" si="320"/>
        <v>0</v>
      </c>
      <c r="AC1091" s="1">
        <f t="shared" ca="1" si="320"/>
        <v>140.25082499999999</v>
      </c>
      <c r="AD1091" s="1">
        <f t="shared" ca="1" si="320"/>
        <v>210.3762375</v>
      </c>
      <c r="AE1091" s="1">
        <f t="shared" ca="1" si="320"/>
        <v>140.25082499999999</v>
      </c>
      <c r="AF1091" s="1">
        <f t="shared" ca="1" si="320"/>
        <v>140.25082499999999</v>
      </c>
      <c r="AG1091" s="1">
        <f t="shared" ca="1" si="320"/>
        <v>140.25082499999999</v>
      </c>
      <c r="AH1091" s="1">
        <f t="shared" ca="1" si="320"/>
        <v>140.25082499999999</v>
      </c>
      <c r="AI1091" s="1">
        <f t="shared" ca="1" si="310"/>
        <v>140.25082499999999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monsterBase</vt:lpstr>
      <vt:lpstr>monsterNature</vt:lpstr>
      <vt:lpstr>monsterDetail</vt:lpstr>
      <vt:lpstr>monsterBaseDate</vt:lpstr>
      <vt:lpstr>monsterHpRevise</vt:lpstr>
      <vt:lpstr>monsterLevelHpRevise</vt:lpstr>
      <vt:lpstr>monsterType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2014-07-08T06:46:17Z</dcterms:modified>
</cp:coreProperties>
</file>