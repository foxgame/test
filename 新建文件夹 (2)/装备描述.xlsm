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240" yWindow="105" windowWidth="14805" windowHeight="8010"/>
  </bookViews>
  <sheets>
    <sheet name="item" sheetId="1" r:id="rId1"/>
  </sheets>
  <externalReferences>
    <externalReference r:id="rId2"/>
    <externalReference r:id="rId3"/>
  </externalReferences>
  <calcPr calcId="152511" calcMode="manual"/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2" i="1"/>
  <c r="K3" i="1" l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04" i="1"/>
  <c r="L204" i="1" s="1"/>
  <c r="K205" i="1"/>
  <c r="L205" i="1" s="1"/>
  <c r="K206" i="1"/>
  <c r="L206" i="1" s="1"/>
  <c r="K207" i="1"/>
  <c r="L207" i="1" s="1"/>
  <c r="K208" i="1"/>
  <c r="L208" i="1" s="1"/>
  <c r="K209" i="1"/>
  <c r="L209" i="1" s="1"/>
  <c r="K210" i="1"/>
  <c r="L210" i="1" s="1"/>
  <c r="K211" i="1"/>
  <c r="L211" i="1" s="1"/>
  <c r="K212" i="1"/>
  <c r="L212" i="1" s="1"/>
  <c r="K213" i="1"/>
  <c r="L213" i="1" s="1"/>
  <c r="K214" i="1"/>
  <c r="L214" i="1" s="1"/>
  <c r="K215" i="1"/>
  <c r="L215" i="1" s="1"/>
  <c r="K216" i="1"/>
  <c r="L216" i="1" s="1"/>
  <c r="K217" i="1"/>
  <c r="L217" i="1" s="1"/>
  <c r="K218" i="1"/>
  <c r="L218" i="1" s="1"/>
  <c r="K219" i="1"/>
  <c r="L219" i="1" s="1"/>
  <c r="K220" i="1"/>
  <c r="L220" i="1" s="1"/>
  <c r="K221" i="1"/>
  <c r="L221" i="1" s="1"/>
  <c r="K222" i="1"/>
  <c r="L222" i="1" s="1"/>
  <c r="K223" i="1"/>
  <c r="L223" i="1" s="1"/>
  <c r="K224" i="1"/>
  <c r="L224" i="1" s="1"/>
  <c r="K225" i="1"/>
  <c r="L225" i="1" s="1"/>
  <c r="K226" i="1"/>
  <c r="L226" i="1" s="1"/>
  <c r="K227" i="1"/>
  <c r="L227" i="1" s="1"/>
  <c r="K228" i="1"/>
  <c r="L228" i="1" s="1"/>
  <c r="K229" i="1"/>
  <c r="L229" i="1" s="1"/>
  <c r="K230" i="1"/>
  <c r="L230" i="1" s="1"/>
  <c r="K231" i="1"/>
  <c r="L231" i="1" s="1"/>
  <c r="K232" i="1"/>
  <c r="L232" i="1" s="1"/>
  <c r="K233" i="1"/>
  <c r="L233" i="1" s="1"/>
  <c r="K234" i="1"/>
  <c r="L234" i="1" s="1"/>
  <c r="K235" i="1"/>
  <c r="L235" i="1" s="1"/>
  <c r="K236" i="1"/>
  <c r="L236" i="1" s="1"/>
  <c r="K237" i="1"/>
  <c r="L237" i="1" s="1"/>
  <c r="K238" i="1"/>
  <c r="L238" i="1" s="1"/>
  <c r="K239" i="1"/>
  <c r="L239" i="1" s="1"/>
  <c r="K240" i="1"/>
  <c r="L240" i="1" s="1"/>
  <c r="K241" i="1"/>
  <c r="L241" i="1" s="1"/>
  <c r="K242" i="1"/>
  <c r="L242" i="1" s="1"/>
  <c r="K243" i="1"/>
  <c r="L243" i="1" s="1"/>
  <c r="K244" i="1"/>
  <c r="L244" i="1" s="1"/>
  <c r="K245" i="1"/>
  <c r="L245" i="1" s="1"/>
  <c r="K246" i="1"/>
  <c r="L246" i="1" s="1"/>
  <c r="K247" i="1"/>
  <c r="L247" i="1" s="1"/>
  <c r="K248" i="1"/>
  <c r="L248" i="1" s="1"/>
  <c r="K249" i="1"/>
  <c r="L249" i="1" s="1"/>
  <c r="K250" i="1"/>
  <c r="L250" i="1" s="1"/>
  <c r="K251" i="1"/>
  <c r="L251" i="1" s="1"/>
  <c r="K252" i="1"/>
  <c r="L252" i="1" s="1"/>
  <c r="K253" i="1"/>
  <c r="L253" i="1" s="1"/>
  <c r="K254" i="1"/>
  <c r="L254" i="1" s="1"/>
  <c r="K255" i="1"/>
  <c r="L255" i="1" s="1"/>
  <c r="K256" i="1"/>
  <c r="L256" i="1" s="1"/>
  <c r="K257" i="1"/>
  <c r="L257" i="1" s="1"/>
  <c r="K258" i="1"/>
  <c r="L258" i="1" s="1"/>
  <c r="K259" i="1"/>
  <c r="L259" i="1" s="1"/>
  <c r="K260" i="1"/>
  <c r="L260" i="1" s="1"/>
  <c r="K261" i="1"/>
  <c r="L261" i="1" s="1"/>
  <c r="K262" i="1"/>
  <c r="L262" i="1" s="1"/>
  <c r="K263" i="1"/>
  <c r="L263" i="1" s="1"/>
  <c r="K264" i="1"/>
  <c r="L264" i="1" s="1"/>
  <c r="K265" i="1"/>
  <c r="L265" i="1" s="1"/>
  <c r="K266" i="1"/>
  <c r="L266" i="1" s="1"/>
  <c r="K267" i="1"/>
  <c r="L267" i="1" s="1"/>
  <c r="K268" i="1"/>
  <c r="L268" i="1" s="1"/>
  <c r="K269" i="1"/>
  <c r="L269" i="1" s="1"/>
  <c r="K270" i="1"/>
  <c r="L270" i="1" s="1"/>
  <c r="K271" i="1"/>
  <c r="L271" i="1" s="1"/>
  <c r="K272" i="1"/>
  <c r="L272" i="1" s="1"/>
  <c r="K273" i="1"/>
  <c r="L273" i="1" s="1"/>
  <c r="K274" i="1"/>
  <c r="L274" i="1" s="1"/>
  <c r="K275" i="1"/>
  <c r="L275" i="1" s="1"/>
  <c r="K276" i="1"/>
  <c r="L276" i="1" s="1"/>
  <c r="K277" i="1"/>
  <c r="L277" i="1" s="1"/>
  <c r="K278" i="1"/>
  <c r="L278" i="1" s="1"/>
  <c r="K279" i="1"/>
  <c r="L279" i="1" s="1"/>
  <c r="K280" i="1"/>
  <c r="L280" i="1" s="1"/>
  <c r="K281" i="1"/>
  <c r="L281" i="1" s="1"/>
  <c r="K282" i="1"/>
  <c r="L282" i="1" s="1"/>
  <c r="K283" i="1"/>
  <c r="L283" i="1" s="1"/>
  <c r="K284" i="1"/>
  <c r="L284" i="1" s="1"/>
  <c r="K285" i="1"/>
  <c r="L285" i="1" s="1"/>
  <c r="K286" i="1"/>
  <c r="L286" i="1" s="1"/>
  <c r="K287" i="1"/>
  <c r="L287" i="1" s="1"/>
  <c r="K288" i="1"/>
  <c r="L288" i="1" s="1"/>
  <c r="K289" i="1"/>
  <c r="L289" i="1" s="1"/>
  <c r="K290" i="1"/>
  <c r="L290" i="1" s="1"/>
  <c r="K291" i="1"/>
  <c r="L291" i="1" s="1"/>
  <c r="K292" i="1"/>
  <c r="L292" i="1" s="1"/>
  <c r="K293" i="1"/>
  <c r="L293" i="1" s="1"/>
  <c r="K294" i="1"/>
  <c r="L294" i="1" s="1"/>
  <c r="K295" i="1"/>
  <c r="L295" i="1" s="1"/>
  <c r="K296" i="1"/>
  <c r="L296" i="1" s="1"/>
  <c r="K297" i="1"/>
  <c r="L297" i="1" s="1"/>
  <c r="K298" i="1"/>
  <c r="L298" i="1" s="1"/>
  <c r="K299" i="1"/>
  <c r="L299" i="1" s="1"/>
  <c r="K300" i="1"/>
  <c r="L300" i="1" s="1"/>
  <c r="K301" i="1"/>
  <c r="L301" i="1" s="1"/>
  <c r="K302" i="1"/>
  <c r="L302" i="1" s="1"/>
  <c r="K303" i="1"/>
  <c r="L303" i="1" s="1"/>
  <c r="K304" i="1"/>
  <c r="L304" i="1" s="1"/>
  <c r="K305" i="1"/>
  <c r="L305" i="1" s="1"/>
  <c r="K306" i="1"/>
  <c r="L306" i="1" s="1"/>
  <c r="K307" i="1"/>
  <c r="L307" i="1" s="1"/>
  <c r="K308" i="1"/>
  <c r="L308" i="1" s="1"/>
  <c r="K309" i="1"/>
  <c r="L309" i="1" s="1"/>
  <c r="K310" i="1"/>
  <c r="L310" i="1" s="1"/>
  <c r="K311" i="1"/>
  <c r="L311" i="1" s="1"/>
  <c r="K312" i="1"/>
  <c r="L312" i="1" s="1"/>
  <c r="K313" i="1"/>
  <c r="L313" i="1" s="1"/>
  <c r="K314" i="1"/>
  <c r="L314" i="1" s="1"/>
  <c r="K315" i="1"/>
  <c r="L315" i="1" s="1"/>
  <c r="K316" i="1"/>
  <c r="L316" i="1" s="1"/>
  <c r="K317" i="1"/>
  <c r="L317" i="1" s="1"/>
  <c r="K318" i="1"/>
  <c r="L318" i="1" s="1"/>
  <c r="K319" i="1"/>
  <c r="L319" i="1" s="1"/>
  <c r="K320" i="1"/>
  <c r="L320" i="1" s="1"/>
  <c r="K321" i="1"/>
  <c r="L321" i="1" s="1"/>
  <c r="K322" i="1"/>
  <c r="L322" i="1" s="1"/>
  <c r="K323" i="1"/>
  <c r="L323" i="1" s="1"/>
  <c r="K324" i="1"/>
  <c r="L324" i="1" s="1"/>
  <c r="K325" i="1"/>
  <c r="L325" i="1" s="1"/>
  <c r="K326" i="1"/>
  <c r="L326" i="1" s="1"/>
  <c r="K327" i="1"/>
  <c r="L327" i="1" s="1"/>
  <c r="K328" i="1"/>
  <c r="L328" i="1" s="1"/>
  <c r="K329" i="1"/>
  <c r="L329" i="1" s="1"/>
  <c r="K330" i="1"/>
  <c r="L330" i="1" s="1"/>
  <c r="K331" i="1"/>
  <c r="L331" i="1" s="1"/>
  <c r="K332" i="1"/>
  <c r="L332" i="1" s="1"/>
  <c r="K333" i="1"/>
  <c r="L333" i="1" s="1"/>
  <c r="K334" i="1"/>
  <c r="L334" i="1" s="1"/>
  <c r="K335" i="1"/>
  <c r="L335" i="1" s="1"/>
  <c r="K336" i="1"/>
  <c r="L336" i="1" s="1"/>
  <c r="K337" i="1"/>
  <c r="L337" i="1" s="1"/>
  <c r="K338" i="1"/>
  <c r="L338" i="1" s="1"/>
  <c r="K339" i="1"/>
  <c r="L339" i="1" s="1"/>
  <c r="K340" i="1"/>
  <c r="L340" i="1" s="1"/>
  <c r="K341" i="1"/>
  <c r="L341" i="1" s="1"/>
  <c r="K342" i="1"/>
  <c r="L342" i="1" s="1"/>
  <c r="K343" i="1"/>
  <c r="L343" i="1" s="1"/>
  <c r="K344" i="1"/>
  <c r="L344" i="1" s="1"/>
  <c r="K345" i="1"/>
  <c r="L345" i="1" s="1"/>
  <c r="K346" i="1"/>
  <c r="L346" i="1" s="1"/>
  <c r="K347" i="1"/>
  <c r="L347" i="1" s="1"/>
  <c r="K348" i="1"/>
  <c r="L348" i="1" s="1"/>
  <c r="K349" i="1"/>
  <c r="L349" i="1" s="1"/>
  <c r="K350" i="1"/>
  <c r="L350" i="1" s="1"/>
  <c r="K351" i="1"/>
  <c r="L351" i="1" s="1"/>
  <c r="K352" i="1"/>
  <c r="L352" i="1" s="1"/>
  <c r="K353" i="1"/>
  <c r="L353" i="1" s="1"/>
  <c r="K354" i="1"/>
  <c r="L354" i="1" s="1"/>
  <c r="K355" i="1"/>
  <c r="L355" i="1" s="1"/>
  <c r="K356" i="1"/>
  <c r="L356" i="1" s="1"/>
  <c r="K357" i="1"/>
  <c r="L357" i="1" s="1"/>
  <c r="K358" i="1"/>
  <c r="L358" i="1" s="1"/>
  <c r="K359" i="1"/>
  <c r="L359" i="1" s="1"/>
  <c r="K360" i="1"/>
  <c r="L360" i="1" s="1"/>
  <c r="K361" i="1"/>
  <c r="L361" i="1" s="1"/>
  <c r="K362" i="1"/>
  <c r="L362" i="1" s="1"/>
  <c r="K363" i="1"/>
  <c r="L363" i="1" s="1"/>
  <c r="K364" i="1"/>
  <c r="L364" i="1" s="1"/>
  <c r="K365" i="1"/>
  <c r="L365" i="1" s="1"/>
  <c r="K366" i="1"/>
  <c r="L366" i="1" s="1"/>
  <c r="K367" i="1"/>
  <c r="L367" i="1" s="1"/>
  <c r="K368" i="1"/>
  <c r="L368" i="1" s="1"/>
  <c r="K369" i="1"/>
  <c r="L369" i="1" s="1"/>
  <c r="K370" i="1"/>
  <c r="L370" i="1" s="1"/>
  <c r="K371" i="1"/>
  <c r="L371" i="1" s="1"/>
  <c r="K372" i="1"/>
  <c r="L372" i="1" s="1"/>
  <c r="K373" i="1"/>
  <c r="L373" i="1" s="1"/>
  <c r="K374" i="1"/>
  <c r="L374" i="1" s="1"/>
  <c r="K375" i="1"/>
  <c r="L375" i="1" s="1"/>
  <c r="K376" i="1"/>
  <c r="L376" i="1" s="1"/>
  <c r="K377" i="1"/>
  <c r="L377" i="1" s="1"/>
  <c r="K378" i="1"/>
  <c r="L378" i="1" s="1"/>
  <c r="K379" i="1"/>
  <c r="L379" i="1" s="1"/>
  <c r="K380" i="1"/>
  <c r="L380" i="1" s="1"/>
  <c r="K381" i="1"/>
  <c r="L381" i="1" s="1"/>
  <c r="K382" i="1"/>
  <c r="L382" i="1" s="1"/>
  <c r="K383" i="1"/>
  <c r="L383" i="1" s="1"/>
  <c r="K384" i="1"/>
  <c r="L384" i="1" s="1"/>
  <c r="K385" i="1"/>
  <c r="L385" i="1" s="1"/>
  <c r="K386" i="1"/>
  <c r="L386" i="1" s="1"/>
  <c r="K387" i="1"/>
  <c r="L387" i="1" s="1"/>
  <c r="K388" i="1"/>
  <c r="L388" i="1" s="1"/>
  <c r="K389" i="1"/>
  <c r="L389" i="1" s="1"/>
  <c r="K390" i="1"/>
  <c r="L390" i="1" s="1"/>
  <c r="K391" i="1"/>
  <c r="L391" i="1" s="1"/>
  <c r="K392" i="1"/>
  <c r="L392" i="1" s="1"/>
  <c r="K393" i="1"/>
  <c r="L393" i="1" s="1"/>
  <c r="K394" i="1"/>
  <c r="L394" i="1" s="1"/>
  <c r="K395" i="1"/>
  <c r="L395" i="1" s="1"/>
  <c r="K396" i="1"/>
  <c r="L396" i="1" s="1"/>
  <c r="K397" i="1"/>
  <c r="L397" i="1" s="1"/>
  <c r="K398" i="1"/>
  <c r="L398" i="1" s="1"/>
  <c r="K399" i="1"/>
  <c r="L399" i="1" s="1"/>
  <c r="K400" i="1"/>
  <c r="L400" i="1" s="1"/>
  <c r="K401" i="1"/>
  <c r="L401" i="1" s="1"/>
  <c r="K402" i="1"/>
  <c r="L402" i="1" s="1"/>
  <c r="K403" i="1"/>
  <c r="L403" i="1" s="1"/>
  <c r="K404" i="1"/>
  <c r="L404" i="1" s="1"/>
  <c r="K405" i="1"/>
  <c r="L405" i="1" s="1"/>
  <c r="K406" i="1"/>
  <c r="L406" i="1" s="1"/>
  <c r="K407" i="1"/>
  <c r="L407" i="1" s="1"/>
  <c r="K408" i="1"/>
  <c r="L408" i="1" s="1"/>
  <c r="K409" i="1"/>
  <c r="L409" i="1" s="1"/>
  <c r="K410" i="1"/>
  <c r="L410" i="1" s="1"/>
  <c r="K411" i="1"/>
  <c r="L411" i="1" s="1"/>
  <c r="K412" i="1"/>
  <c r="L412" i="1" s="1"/>
  <c r="K413" i="1"/>
  <c r="L413" i="1" s="1"/>
  <c r="K414" i="1"/>
  <c r="L414" i="1" s="1"/>
  <c r="K415" i="1"/>
  <c r="L415" i="1" s="1"/>
  <c r="K416" i="1"/>
  <c r="L416" i="1" s="1"/>
  <c r="K417" i="1"/>
  <c r="L417" i="1" s="1"/>
  <c r="K418" i="1"/>
  <c r="L418" i="1" s="1"/>
  <c r="K419" i="1"/>
  <c r="L419" i="1" s="1"/>
  <c r="K420" i="1"/>
  <c r="L420" i="1" s="1"/>
  <c r="K421" i="1"/>
  <c r="L421" i="1" s="1"/>
  <c r="K422" i="1"/>
  <c r="L422" i="1" s="1"/>
  <c r="K423" i="1"/>
  <c r="L423" i="1" s="1"/>
  <c r="K424" i="1"/>
  <c r="L424" i="1" s="1"/>
  <c r="K425" i="1"/>
  <c r="L425" i="1" s="1"/>
  <c r="K426" i="1"/>
  <c r="L426" i="1" s="1"/>
  <c r="K427" i="1"/>
  <c r="L427" i="1" s="1"/>
  <c r="K428" i="1"/>
  <c r="L428" i="1" s="1"/>
  <c r="K429" i="1"/>
  <c r="L429" i="1" s="1"/>
  <c r="K430" i="1"/>
  <c r="L430" i="1" s="1"/>
  <c r="K431" i="1"/>
  <c r="L431" i="1" s="1"/>
  <c r="K432" i="1"/>
  <c r="L432" i="1" s="1"/>
  <c r="K433" i="1"/>
  <c r="L433" i="1" s="1"/>
  <c r="K434" i="1"/>
  <c r="L434" i="1" s="1"/>
  <c r="K435" i="1"/>
  <c r="L435" i="1" s="1"/>
  <c r="K436" i="1"/>
  <c r="L436" i="1" s="1"/>
  <c r="K437" i="1"/>
  <c r="L437" i="1" s="1"/>
  <c r="K438" i="1"/>
  <c r="L438" i="1" s="1"/>
  <c r="K439" i="1"/>
  <c r="L439" i="1" s="1"/>
  <c r="K440" i="1"/>
  <c r="L440" i="1" s="1"/>
  <c r="K441" i="1"/>
  <c r="L441" i="1" s="1"/>
  <c r="K442" i="1"/>
  <c r="L442" i="1" s="1"/>
  <c r="K443" i="1"/>
  <c r="L443" i="1" s="1"/>
  <c r="K444" i="1"/>
  <c r="L444" i="1" s="1"/>
  <c r="K445" i="1"/>
  <c r="L445" i="1" s="1"/>
  <c r="K2" i="1"/>
  <c r="L2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2" i="1"/>
  <c r="D198" i="1" l="1"/>
  <c r="D237" i="1"/>
  <c r="D441" i="1"/>
  <c r="D103" i="1"/>
  <c r="D289" i="1"/>
  <c r="D6" i="1"/>
  <c r="D17" i="1"/>
  <c r="D244" i="1"/>
  <c r="D235" i="1"/>
  <c r="D86" i="1"/>
  <c r="D317" i="1"/>
  <c r="D183" i="1"/>
  <c r="D95" i="1"/>
  <c r="D236" i="1"/>
  <c r="D306" i="1"/>
  <c r="D156" i="1"/>
  <c r="D94" i="1"/>
  <c r="D167" i="1"/>
  <c r="D281" i="1"/>
  <c r="D291" i="1"/>
  <c r="D274" i="1"/>
  <c r="D254" i="1"/>
  <c r="D252" i="1"/>
  <c r="D271" i="1"/>
  <c r="D320" i="1"/>
  <c r="D187" i="1"/>
  <c r="D8" i="1"/>
  <c r="D251" i="1"/>
  <c r="D188" i="1"/>
  <c r="D148" i="1"/>
  <c r="D192" i="1"/>
  <c r="D61" i="1"/>
  <c r="D429" i="1"/>
  <c r="D41" i="1"/>
  <c r="D10" i="1"/>
  <c r="D123" i="1"/>
  <c r="D205" i="1"/>
  <c r="D152" i="1"/>
  <c r="D155" i="1"/>
  <c r="D101" i="1"/>
  <c r="D113" i="1"/>
  <c r="D225" i="1"/>
  <c r="D411" i="1"/>
  <c r="D154" i="1"/>
  <c r="D191" i="1"/>
  <c r="D321" i="1"/>
  <c r="D127" i="1"/>
  <c r="D219" i="1"/>
  <c r="D159" i="1"/>
  <c r="D179" i="1"/>
  <c r="D84" i="1"/>
  <c r="D24" i="1"/>
  <c r="D46" i="1"/>
  <c r="D122" i="1"/>
  <c r="D242" i="1"/>
  <c r="D439" i="1"/>
  <c r="D424" i="1"/>
  <c r="D248" i="1"/>
  <c r="D112" i="1"/>
  <c r="D180" i="1"/>
  <c r="D16" i="1"/>
  <c r="D50" i="1"/>
  <c r="D418" i="1"/>
  <c r="D141" i="1"/>
  <c r="D255" i="1"/>
  <c r="D285" i="1"/>
  <c r="D151" i="1"/>
  <c r="D207" i="1"/>
  <c r="D241" i="1"/>
  <c r="D415" i="1"/>
  <c r="D58" i="1"/>
  <c r="D53" i="1"/>
  <c r="D47" i="1"/>
  <c r="D318" i="1"/>
  <c r="D202" i="1"/>
  <c r="D249" i="1"/>
  <c r="D147" i="1"/>
  <c r="D209" i="1"/>
  <c r="D428" i="1"/>
  <c r="D160" i="1"/>
  <c r="D139" i="1"/>
  <c r="D142" i="1"/>
  <c r="D100" i="1"/>
  <c r="D62" i="1"/>
  <c r="D87" i="1"/>
  <c r="D2" i="1"/>
  <c r="D282" i="1"/>
  <c r="D82" i="1"/>
  <c r="D216" i="1"/>
  <c r="D146" i="1"/>
  <c r="D124" i="1"/>
  <c r="D420" i="1"/>
  <c r="D260" i="1"/>
  <c r="D106" i="1"/>
  <c r="D22" i="1"/>
  <c r="D153" i="1"/>
  <c r="D117" i="1"/>
  <c r="D37" i="1"/>
  <c r="D72" i="1"/>
  <c r="D261" i="1"/>
  <c r="D85" i="1"/>
  <c r="D77" i="1"/>
  <c r="D111" i="1"/>
  <c r="D283" i="1"/>
  <c r="D247" i="1"/>
  <c r="D215" i="1"/>
  <c r="D253" i="1"/>
  <c r="D309" i="1"/>
  <c r="D78" i="1"/>
  <c r="D222" i="1"/>
  <c r="D107" i="1"/>
  <c r="D135" i="1"/>
  <c r="D67" i="1"/>
  <c r="D96" i="1"/>
  <c r="D263" i="1"/>
  <c r="D426" i="1"/>
  <c r="D425" i="1"/>
  <c r="D65" i="1"/>
  <c r="D119" i="1"/>
  <c r="D3" i="1"/>
  <c r="D433" i="1"/>
  <c r="D165" i="1"/>
  <c r="D36" i="1"/>
  <c r="D23" i="1"/>
  <c r="D264" i="1"/>
  <c r="D44" i="1"/>
  <c r="D144" i="1"/>
  <c r="D218" i="1"/>
  <c r="D432" i="1"/>
  <c r="D64" i="1"/>
  <c r="D409" i="1"/>
  <c r="D294" i="1"/>
  <c r="D51" i="1"/>
  <c r="D130" i="1"/>
  <c r="D435" i="1"/>
  <c r="D442" i="1"/>
  <c r="D290" i="1"/>
  <c r="D245" i="1"/>
  <c r="D31" i="1"/>
  <c r="D265" i="1"/>
  <c r="D145" i="1"/>
  <c r="D140" i="1"/>
  <c r="D174" i="1"/>
  <c r="D258" i="1"/>
  <c r="D243" i="1"/>
  <c r="D128" i="1"/>
  <c r="D172" i="1"/>
  <c r="D74" i="1"/>
  <c r="D240" i="1"/>
  <c r="D226" i="1"/>
  <c r="D304" i="1"/>
  <c r="D246" i="1"/>
  <c r="D214" i="1"/>
  <c r="D181" i="1"/>
  <c r="D178" i="1"/>
  <c r="D134" i="1"/>
  <c r="D126" i="1"/>
  <c r="D438" i="1"/>
  <c r="D143" i="1"/>
  <c r="D444" i="1"/>
  <c r="D266" i="1"/>
  <c r="D323" i="1"/>
  <c r="D28" i="1"/>
  <c r="D38" i="1"/>
  <c r="D4" i="1"/>
  <c r="D204" i="1"/>
  <c r="D299" i="1"/>
  <c r="D158" i="1"/>
  <c r="D413" i="1"/>
  <c r="D223" i="1"/>
  <c r="D104" i="1"/>
  <c r="D315" i="1"/>
  <c r="D115" i="1"/>
  <c r="D229" i="1"/>
  <c r="D60" i="1"/>
  <c r="D79" i="1"/>
  <c r="D116" i="1"/>
  <c r="D121" i="1"/>
  <c r="D193" i="1"/>
  <c r="D73" i="1"/>
  <c r="D308" i="1"/>
  <c r="D427" i="1"/>
  <c r="D280" i="1"/>
  <c r="D173" i="1"/>
  <c r="D430" i="1"/>
  <c r="D59" i="1"/>
  <c r="D310" i="1"/>
  <c r="D234" i="1"/>
  <c r="D421" i="1"/>
  <c r="D270" i="1"/>
  <c r="D109" i="1"/>
  <c r="D408" i="1"/>
  <c r="D267" i="1"/>
  <c r="D176" i="1"/>
  <c r="D302" i="1"/>
  <c r="D157" i="1"/>
  <c r="D170" i="1"/>
  <c r="D92" i="1"/>
  <c r="D440" i="1"/>
  <c r="D57" i="1"/>
  <c r="D54" i="1"/>
  <c r="D164" i="1"/>
  <c r="D131" i="1"/>
  <c r="D232" i="1"/>
  <c r="D40" i="1"/>
  <c r="D212" i="1"/>
  <c r="D437" i="1"/>
  <c r="D419" i="1"/>
  <c r="D52" i="1"/>
  <c r="D217" i="1"/>
  <c r="D14" i="1"/>
  <c r="D423" i="1"/>
  <c r="D269" i="1"/>
  <c r="D322" i="1"/>
  <c r="D279" i="1"/>
  <c r="D313" i="1"/>
  <c r="D314" i="1"/>
  <c r="D200" i="1"/>
  <c r="D25" i="1"/>
  <c r="D68" i="1"/>
  <c r="D278" i="1"/>
  <c r="D284" i="1"/>
  <c r="D69" i="1"/>
  <c r="D422" i="1"/>
  <c r="D29" i="1"/>
  <c r="D224" i="1"/>
  <c r="D120" i="1"/>
  <c r="D32" i="1"/>
  <c r="D297" i="1"/>
  <c r="D303" i="1"/>
  <c r="D75" i="1"/>
  <c r="D18" i="1"/>
  <c r="D325" i="1"/>
  <c r="D30" i="1"/>
  <c r="D105" i="1"/>
  <c r="D436" i="1"/>
  <c r="D301" i="1"/>
  <c r="D12" i="1"/>
  <c r="D184" i="1"/>
  <c r="D324" i="1"/>
  <c r="D43" i="1"/>
  <c r="D201" i="1"/>
  <c r="D210" i="1"/>
  <c r="D329" i="1"/>
  <c r="D272" i="1"/>
  <c r="D118" i="1"/>
  <c r="D42" i="1"/>
  <c r="D276" i="1"/>
  <c r="D417" i="1"/>
  <c r="D203" i="1"/>
  <c r="D197" i="1"/>
  <c r="D292" i="1"/>
  <c r="D300" i="1"/>
  <c r="D305" i="1"/>
  <c r="D110" i="1"/>
  <c r="D186" i="1"/>
  <c r="D91" i="1"/>
  <c r="D238" i="1"/>
  <c r="D49" i="1"/>
  <c r="D410" i="1"/>
  <c r="D231" i="1"/>
  <c r="D97" i="1"/>
  <c r="D138" i="1"/>
  <c r="D163" i="1"/>
  <c r="D182" i="1"/>
  <c r="D56" i="1"/>
  <c r="D228" i="1"/>
  <c r="D206" i="1"/>
  <c r="D35" i="1"/>
  <c r="D316" i="1"/>
  <c r="D275" i="1"/>
  <c r="D293" i="1"/>
  <c r="D66" i="1"/>
  <c r="D312" i="1"/>
  <c r="D150" i="1"/>
  <c r="D327" i="1"/>
  <c r="D102" i="1"/>
  <c r="D125" i="1"/>
  <c r="D256" i="1"/>
  <c r="D13" i="1"/>
  <c r="D190" i="1"/>
  <c r="D129" i="1"/>
  <c r="D296" i="1"/>
  <c r="D98" i="1"/>
  <c r="D288" i="1"/>
  <c r="D273" i="1"/>
  <c r="D26" i="1"/>
  <c r="D83" i="1"/>
  <c r="D114" i="1"/>
  <c r="D80" i="1"/>
  <c r="D63" i="1"/>
  <c r="D295" i="1"/>
  <c r="D233" i="1"/>
  <c r="D277" i="1"/>
  <c r="D45" i="1"/>
  <c r="D196" i="1"/>
  <c r="D132" i="1"/>
  <c r="D34" i="1"/>
  <c r="D262" i="1"/>
  <c r="D189" i="1"/>
  <c r="D90" i="1"/>
  <c r="D311" i="1"/>
  <c r="D257" i="1"/>
  <c r="D20" i="1"/>
  <c r="D194" i="1"/>
  <c r="D199" i="1"/>
  <c r="D99" i="1"/>
  <c r="D328" i="1"/>
  <c r="D55" i="1"/>
  <c r="D168" i="1"/>
  <c r="D33" i="1"/>
  <c r="D195" i="1"/>
  <c r="D5" i="1"/>
  <c r="D88" i="1"/>
  <c r="D133" i="1"/>
  <c r="D414" i="1"/>
  <c r="D149" i="1"/>
  <c r="D416" i="1"/>
  <c r="D93" i="1"/>
  <c r="D161" i="1"/>
  <c r="D307" i="1"/>
  <c r="D298" i="1"/>
  <c r="D166" i="1"/>
  <c r="D15" i="1"/>
  <c r="D230" i="1"/>
  <c r="D89" i="1"/>
  <c r="D76" i="1"/>
  <c r="D434" i="1"/>
  <c r="D259" i="1"/>
  <c r="D239" i="1"/>
  <c r="D286" i="1"/>
  <c r="D7" i="1"/>
  <c r="D221" i="1"/>
  <c r="D220" i="1"/>
  <c r="D268" i="1"/>
  <c r="D21" i="1"/>
  <c r="D177" i="1"/>
  <c r="D412" i="1"/>
  <c r="D48" i="1"/>
  <c r="D169" i="1"/>
  <c r="D19" i="1"/>
  <c r="D70" i="1"/>
  <c r="D250" i="1"/>
  <c r="D39" i="1"/>
  <c r="D108" i="1"/>
  <c r="D208" i="1"/>
  <c r="D213" i="1"/>
  <c r="D445" i="1"/>
  <c r="D137" i="1"/>
  <c r="D326" i="1"/>
  <c r="D443" i="1"/>
  <c r="D175" i="1"/>
  <c r="D136" i="1"/>
  <c r="D287" i="1"/>
  <c r="D27" i="1"/>
  <c r="D407" i="1"/>
  <c r="D185" i="1"/>
  <c r="D11" i="1"/>
  <c r="D162" i="1"/>
  <c r="D9" i="1"/>
  <c r="D211" i="1"/>
  <c r="D171" i="1"/>
  <c r="D431" i="1"/>
  <c r="D81" i="1"/>
  <c r="D319" i="1"/>
  <c r="D227" i="1"/>
  <c r="D71" i="1"/>
  <c r="E434" i="1" l="1"/>
  <c r="E425" i="1"/>
  <c r="E442" i="1"/>
  <c r="E408" i="1"/>
  <c r="E433" i="1"/>
  <c r="E424" i="1"/>
  <c r="E414" i="1"/>
  <c r="E421" i="1"/>
  <c r="E435" i="1"/>
  <c r="E436" i="1"/>
  <c r="E415" i="1"/>
  <c r="E418" i="1"/>
  <c r="E438" i="1"/>
  <c r="E411" i="1"/>
  <c r="E412" i="1"/>
  <c r="E413" i="1"/>
  <c r="E410" i="1"/>
  <c r="E426" i="1"/>
  <c r="E437" i="1"/>
  <c r="E444" i="1"/>
  <c r="E420" i="1"/>
  <c r="E407" i="1"/>
  <c r="E445" i="1"/>
  <c r="E443" i="1"/>
  <c r="E422" i="1"/>
  <c r="E439" i="1"/>
  <c r="E428" i="1"/>
  <c r="E429" i="1"/>
  <c r="E427" i="1"/>
  <c r="E440" i="1"/>
  <c r="E417" i="1"/>
  <c r="E416" i="1"/>
  <c r="E409" i="1"/>
  <c r="E423" i="1"/>
  <c r="E432" i="1"/>
  <c r="E441" i="1"/>
  <c r="E431" i="1"/>
  <c r="E430" i="1"/>
  <c r="E419" i="1"/>
  <c r="E140" i="1" l="1"/>
  <c r="E278" i="1"/>
  <c r="E146" i="1"/>
  <c r="D370" i="1"/>
  <c r="D402" i="1"/>
  <c r="D373" i="1"/>
  <c r="D348" i="1"/>
  <c r="D396" i="1"/>
  <c r="D399" i="1"/>
  <c r="E162" i="1"/>
  <c r="E153" i="1"/>
  <c r="E275" i="1"/>
  <c r="E291" i="1"/>
  <c r="E151" i="1"/>
  <c r="E158" i="1"/>
  <c r="E293" i="1"/>
  <c r="E282" i="1"/>
  <c r="E279" i="1"/>
  <c r="E274" i="1"/>
  <c r="E138" i="1"/>
  <c r="D342" i="1"/>
  <c r="D358" i="1"/>
  <c r="D374" i="1"/>
  <c r="D390" i="1"/>
  <c r="D406" i="1"/>
  <c r="D345" i="1"/>
  <c r="D361" i="1"/>
  <c r="D377" i="1"/>
  <c r="D393" i="1"/>
  <c r="D336" i="1"/>
  <c r="D352" i="1"/>
  <c r="D368" i="1"/>
  <c r="D384" i="1"/>
  <c r="D400" i="1"/>
  <c r="D339" i="1"/>
  <c r="D355" i="1"/>
  <c r="D371" i="1"/>
  <c r="D387" i="1"/>
  <c r="D403" i="1"/>
  <c r="E287" i="1"/>
  <c r="E272" i="1"/>
  <c r="E145" i="1"/>
  <c r="E148" i="1"/>
  <c r="E285" i="1"/>
  <c r="D354" i="1"/>
  <c r="D341" i="1"/>
  <c r="D389" i="1"/>
  <c r="D380" i="1"/>
  <c r="D351" i="1"/>
  <c r="D383" i="1"/>
  <c r="E288" i="1"/>
  <c r="E137" i="1"/>
  <c r="E284" i="1"/>
  <c r="E139" i="1"/>
  <c r="E141" i="1"/>
  <c r="E150" i="1"/>
  <c r="E281" i="1"/>
  <c r="E289" i="1"/>
  <c r="E156" i="1"/>
  <c r="E142" i="1"/>
  <c r="D330" i="1"/>
  <c r="D346" i="1"/>
  <c r="D362" i="1"/>
  <c r="D378" i="1"/>
  <c r="D394" i="1"/>
  <c r="D333" i="1"/>
  <c r="D349" i="1"/>
  <c r="D365" i="1"/>
  <c r="D381" i="1"/>
  <c r="D397" i="1"/>
  <c r="D340" i="1"/>
  <c r="D356" i="1"/>
  <c r="D372" i="1"/>
  <c r="D388" i="1"/>
  <c r="D404" i="1"/>
  <c r="D343" i="1"/>
  <c r="D359" i="1"/>
  <c r="D375" i="1"/>
  <c r="D391" i="1"/>
  <c r="D405" i="1"/>
  <c r="E143" i="1"/>
  <c r="E286" i="1"/>
  <c r="E276" i="1"/>
  <c r="E297" i="1"/>
  <c r="E277" i="1"/>
  <c r="E273" i="1"/>
  <c r="D338" i="1"/>
  <c r="D386" i="1"/>
  <c r="D357" i="1"/>
  <c r="D332" i="1"/>
  <c r="D364" i="1"/>
  <c r="D335" i="1"/>
  <c r="D367" i="1"/>
  <c r="E152" i="1"/>
  <c r="E149" i="1"/>
  <c r="E280" i="1"/>
  <c r="E283" i="1"/>
  <c r="E147" i="1"/>
  <c r="E154" i="1"/>
  <c r="E144" i="1"/>
  <c r="D334" i="1"/>
  <c r="D350" i="1"/>
  <c r="D366" i="1"/>
  <c r="D382" i="1"/>
  <c r="D398" i="1"/>
  <c r="D337" i="1"/>
  <c r="D353" i="1"/>
  <c r="D369" i="1"/>
  <c r="D385" i="1"/>
  <c r="D401" i="1"/>
  <c r="D344" i="1"/>
  <c r="D360" i="1"/>
  <c r="D376" i="1"/>
  <c r="D392" i="1"/>
  <c r="D331" i="1"/>
  <c r="D347" i="1"/>
  <c r="D363" i="1"/>
  <c r="D379" i="1"/>
  <c r="D395" i="1"/>
  <c r="E161" i="1" l="1"/>
  <c r="E157" i="1"/>
  <c r="E171" i="1"/>
  <c r="E160" i="1"/>
  <c r="E165" i="1"/>
  <c r="E166" i="1"/>
  <c r="E167" i="1"/>
  <c r="E155" i="1"/>
  <c r="E163" i="1"/>
  <c r="E159" i="1"/>
  <c r="E301" i="1" l="1"/>
  <c r="E306" i="1"/>
  <c r="E292" i="1"/>
  <c r="E174" i="1"/>
  <c r="E175" i="1"/>
  <c r="E164" i="1"/>
  <c r="E290" i="1"/>
  <c r="E180" i="1"/>
  <c r="E169" i="1"/>
  <c r="E300" i="1"/>
  <c r="E168" i="1"/>
  <c r="E296" i="1"/>
  <c r="E172" i="1"/>
  <c r="E298" i="1"/>
  <c r="E176" i="1"/>
  <c r="E170" i="1"/>
  <c r="E302" i="1"/>
  <c r="E295" i="1"/>
  <c r="E294" i="1"/>
  <c r="E299" i="1" l="1"/>
  <c r="E185" i="1"/>
  <c r="E181" i="1"/>
  <c r="E309" i="1"/>
  <c r="E315" i="1"/>
  <c r="E173" i="1"/>
  <c r="E189" i="1"/>
  <c r="E310" i="1"/>
  <c r="E184" i="1"/>
  <c r="E303" i="1"/>
  <c r="E305" i="1"/>
  <c r="E304" i="1"/>
  <c r="E179" i="1"/>
  <c r="E178" i="1"/>
  <c r="E183" i="1"/>
  <c r="E307" i="1"/>
  <c r="E177" i="1"/>
  <c r="E311" i="1"/>
  <c r="E190" i="1" l="1"/>
  <c r="E313" i="1"/>
  <c r="E182" i="1"/>
  <c r="E320" i="1"/>
  <c r="E324" i="1"/>
  <c r="E192" i="1"/>
  <c r="E316" i="1"/>
  <c r="E194" i="1"/>
  <c r="E187" i="1"/>
  <c r="E198" i="1"/>
  <c r="E193" i="1"/>
  <c r="E312" i="1"/>
  <c r="E308" i="1"/>
  <c r="E188" i="1"/>
  <c r="E314" i="1"/>
  <c r="E319" i="1"/>
  <c r="E318" i="1"/>
  <c r="E186" i="1"/>
  <c r="E203" i="1" l="1"/>
  <c r="E333" i="1"/>
  <c r="E201" i="1"/>
  <c r="E207" i="1"/>
  <c r="E195" i="1"/>
  <c r="E327" i="1"/>
  <c r="E323" i="1"/>
  <c r="E321" i="1"/>
  <c r="E329" i="1"/>
  <c r="E199" i="1"/>
  <c r="E202" i="1"/>
  <c r="E328" i="1"/>
  <c r="E317" i="1"/>
  <c r="E196" i="1"/>
  <c r="E325" i="1"/>
  <c r="E197" i="1"/>
  <c r="E322" i="1"/>
  <c r="E191" i="1"/>
  <c r="E336" i="1" l="1"/>
  <c r="E205" i="1"/>
  <c r="E331" i="1"/>
  <c r="E211" i="1"/>
  <c r="E212" i="1"/>
  <c r="E330" i="1"/>
  <c r="E334" i="1"/>
  <c r="E326" i="1"/>
  <c r="E206" i="1"/>
  <c r="E332" i="1"/>
  <c r="E216" i="1"/>
  <c r="E200" i="1"/>
  <c r="E208" i="1"/>
  <c r="E342" i="1"/>
  <c r="E337" i="1"/>
  <c r="E204" i="1"/>
  <c r="E210" i="1"/>
  <c r="E338" i="1"/>
  <c r="E343" i="1" l="1"/>
  <c r="E221" i="1"/>
  <c r="E351" i="1"/>
  <c r="E340" i="1"/>
  <c r="E347" i="1"/>
  <c r="E214" i="1"/>
  <c r="E215" i="1"/>
  <c r="E217" i="1"/>
  <c r="E341" i="1"/>
  <c r="E220" i="1"/>
  <c r="E225" i="1"/>
  <c r="E335" i="1"/>
  <c r="E346" i="1"/>
  <c r="E209" i="1"/>
  <c r="E219" i="1"/>
  <c r="E345" i="1"/>
  <c r="E339" i="1"/>
  <c r="E213" i="1"/>
  <c r="E224" i="1" l="1"/>
  <c r="E230" i="1"/>
  <c r="E355" i="1"/>
  <c r="E356" i="1"/>
  <c r="E349" i="1"/>
  <c r="E226" i="1"/>
  <c r="E228" i="1"/>
  <c r="E229" i="1"/>
  <c r="E344" i="1"/>
  <c r="E218" i="1"/>
  <c r="E360" i="1"/>
  <c r="E234" i="1"/>
  <c r="E222" i="1"/>
  <c r="E350" i="1"/>
  <c r="E348" i="1"/>
  <c r="E352" i="1"/>
  <c r="E354" i="1"/>
  <c r="E223" i="1"/>
  <c r="E364" i="1" l="1"/>
  <c r="E227" i="1"/>
  <c r="E358" i="1"/>
  <c r="E237" i="1"/>
  <c r="E232" i="1"/>
  <c r="E365" i="1"/>
  <c r="E353" i="1"/>
  <c r="E361" i="1"/>
  <c r="E357" i="1"/>
  <c r="E231" i="1"/>
  <c r="E359" i="1"/>
  <c r="E233" i="1"/>
  <c r="E239" i="1"/>
  <c r="E369" i="1"/>
  <c r="E238" i="1"/>
  <c r="E235" i="1"/>
  <c r="E363" i="1"/>
  <c r="E243" i="1"/>
  <c r="E246" i="1" l="1"/>
  <c r="E242" i="1"/>
  <c r="E241" i="1"/>
  <c r="E378" i="1"/>
  <c r="E374" i="1"/>
  <c r="E366" i="1"/>
  <c r="E240" i="1"/>
  <c r="E367" i="1"/>
  <c r="E370" i="1"/>
  <c r="E247" i="1"/>
  <c r="E372" i="1"/>
  <c r="E236" i="1"/>
  <c r="E248" i="1"/>
  <c r="E373" i="1"/>
  <c r="E252" i="1"/>
  <c r="E244" i="1"/>
  <c r="E368" i="1"/>
  <c r="E362" i="1"/>
  <c r="E261" i="1" l="1"/>
  <c r="E253" i="1"/>
  <c r="E383" i="1"/>
  <c r="E255" i="1"/>
  <c r="E251" i="1"/>
  <c r="E382" i="1"/>
  <c r="E249" i="1"/>
  <c r="E245" i="1"/>
  <c r="E257" i="1"/>
  <c r="E376" i="1"/>
  <c r="E256" i="1"/>
  <c r="E381" i="1"/>
  <c r="E371" i="1"/>
  <c r="E377" i="1"/>
  <c r="E379" i="1"/>
  <c r="E250" i="1"/>
  <c r="E375" i="1"/>
  <c r="E387" i="1"/>
  <c r="E380" i="1" l="1"/>
  <c r="E390" i="1"/>
  <c r="E265" i="1"/>
  <c r="E258" i="1"/>
  <c r="E254" i="1"/>
  <c r="E266" i="1"/>
  <c r="E391" i="1"/>
  <c r="E270" i="1"/>
  <c r="E386" i="1"/>
  <c r="E264" i="1"/>
  <c r="E385" i="1"/>
  <c r="E384" i="1"/>
  <c r="E260" i="1"/>
  <c r="E259" i="1"/>
  <c r="E392" i="1"/>
  <c r="E262" i="1"/>
  <c r="E396" i="1"/>
  <c r="E388" i="1"/>
  <c r="E399" i="1" l="1"/>
  <c r="E79" i="1"/>
  <c r="E91" i="1"/>
  <c r="E81" i="1"/>
  <c r="E65" i="1"/>
  <c r="E134" i="1"/>
  <c r="E61" i="1"/>
  <c r="E116" i="1"/>
  <c r="E21" i="1"/>
  <c r="E115" i="1"/>
  <c r="E393" i="1"/>
  <c r="E39" i="1"/>
  <c r="E405" i="1"/>
  <c r="E25" i="1"/>
  <c r="E70" i="1"/>
  <c r="E6" i="1"/>
  <c r="E129" i="1"/>
  <c r="E73" i="1"/>
  <c r="E47" i="1"/>
  <c r="E80" i="1"/>
  <c r="E45" i="1"/>
  <c r="E111" i="1"/>
  <c r="E94" i="1"/>
  <c r="E121" i="1"/>
  <c r="E72" i="1"/>
  <c r="E269" i="1"/>
  <c r="E41" i="1"/>
  <c r="E108" i="1"/>
  <c r="E117" i="1"/>
  <c r="E93" i="1"/>
  <c r="E19" i="1"/>
  <c r="E125" i="1"/>
  <c r="E106" i="1"/>
  <c r="E123" i="1"/>
  <c r="E119" i="1"/>
  <c r="E268" i="1"/>
  <c r="E29" i="1"/>
  <c r="E82" i="1"/>
  <c r="E46" i="1"/>
  <c r="E95" i="1"/>
  <c r="E57" i="1"/>
  <c r="E52" i="1"/>
  <c r="E54" i="1"/>
  <c r="E69" i="1"/>
  <c r="E28" i="1"/>
  <c r="E68" i="1"/>
  <c r="E64" i="1"/>
  <c r="E110" i="1"/>
  <c r="E3" i="1"/>
  <c r="E96" i="1"/>
  <c r="E133" i="1"/>
  <c r="E122" i="1"/>
  <c r="E78" i="1"/>
  <c r="E271" i="1"/>
  <c r="E77" i="1"/>
  <c r="E60" i="1"/>
  <c r="E10" i="1"/>
  <c r="E71" i="1"/>
  <c r="E34" i="1"/>
  <c r="E37" i="1"/>
  <c r="E132" i="1"/>
  <c r="E389" i="1"/>
  <c r="E33" i="1"/>
  <c r="E2" i="1"/>
  <c r="E66" i="1"/>
  <c r="E8" i="1"/>
  <c r="E98" i="1"/>
  <c r="E87" i="1"/>
  <c r="E400" i="1"/>
  <c r="E394" i="1"/>
  <c r="E97" i="1"/>
  <c r="E24" i="1"/>
  <c r="E397" i="1"/>
  <c r="E88" i="1"/>
  <c r="E53" i="1"/>
  <c r="E114" i="1"/>
  <c r="E113" i="1"/>
  <c r="E84" i="1"/>
  <c r="E100" i="1"/>
  <c r="E13" i="1"/>
  <c r="E32" i="1"/>
  <c r="E49" i="1"/>
  <c r="E56" i="1"/>
  <c r="E12" i="1"/>
  <c r="E43" i="1"/>
  <c r="E263" i="1"/>
  <c r="E67" i="1"/>
  <c r="E120" i="1"/>
  <c r="E27" i="1"/>
  <c r="E63" i="1"/>
  <c r="E74" i="1"/>
  <c r="E267" i="1"/>
  <c r="E11" i="1"/>
  <c r="E55" i="1"/>
  <c r="E18" i="1"/>
  <c r="E9" i="1"/>
  <c r="E15" i="1"/>
  <c r="E107" i="1"/>
  <c r="E16" i="1"/>
  <c r="E90" i="1"/>
  <c r="E118" i="1"/>
  <c r="E76" i="1"/>
  <c r="E31" i="1"/>
  <c r="E22" i="1"/>
  <c r="E401" i="1"/>
  <c r="E23" i="1"/>
  <c r="E101" i="1"/>
  <c r="E4" i="1"/>
  <c r="E7" i="1"/>
  <c r="E59" i="1"/>
  <c r="E86" i="1"/>
  <c r="E75" i="1"/>
  <c r="E40" i="1"/>
  <c r="E36" i="1"/>
  <c r="E131" i="1"/>
  <c r="E35" i="1"/>
  <c r="E128" i="1"/>
  <c r="E83" i="1"/>
  <c r="E26" i="1"/>
  <c r="E38" i="1"/>
  <c r="E48" i="1"/>
  <c r="E17" i="1"/>
  <c r="E20" i="1"/>
  <c r="E127" i="1"/>
  <c r="E51" i="1"/>
  <c r="E92" i="1"/>
  <c r="E109" i="1"/>
  <c r="E103" i="1"/>
  <c r="E5" i="1"/>
  <c r="E124" i="1"/>
  <c r="E62" i="1"/>
  <c r="E50" i="1"/>
  <c r="E102" i="1"/>
  <c r="E30" i="1"/>
  <c r="E135" i="1"/>
  <c r="E130" i="1"/>
  <c r="E126" i="1"/>
  <c r="E89" i="1"/>
  <c r="E58" i="1"/>
  <c r="E112" i="1"/>
  <c r="E105" i="1"/>
  <c r="E42" i="1"/>
  <c r="E395" i="1"/>
  <c r="E44" i="1"/>
  <c r="E85" i="1"/>
  <c r="E136" i="1"/>
  <c r="E104" i="1"/>
  <c r="E99" i="1"/>
  <c r="E14" i="1"/>
  <c r="E398" i="1" l="1"/>
  <c r="E406" i="1"/>
  <c r="E402" i="1"/>
  <c r="E403" i="1"/>
  <c r="E404" i="1"/>
</calcChain>
</file>

<file path=xl/sharedStrings.xml><?xml version="1.0" encoding="utf-8"?>
<sst xmlns="http://schemas.openxmlformats.org/spreadsheetml/2006/main" count="13" uniqueCount="13">
  <si>
    <t>map:1</t>
    <phoneticPr fontId="1" type="noConversion"/>
  </si>
  <si>
    <t>fatherid</t>
    <phoneticPr fontId="1" type="noConversion"/>
  </si>
  <si>
    <t>id</t>
    <phoneticPr fontId="1" type="noConversion"/>
  </si>
  <si>
    <t>img</t>
    <phoneticPr fontId="1" type="noConversion"/>
  </si>
  <si>
    <t>name</t>
    <phoneticPr fontId="1" type="noConversion"/>
  </si>
  <si>
    <t>des1</t>
    <phoneticPr fontId="1" type="noConversion"/>
  </si>
  <si>
    <t>suit</t>
    <phoneticPr fontId="1" type="noConversion"/>
  </si>
  <si>
    <t>type</t>
    <phoneticPr fontId="1" type="noConversion"/>
  </si>
  <si>
    <t>level</t>
    <phoneticPr fontId="1" type="noConversion"/>
  </si>
  <si>
    <t>wt</t>
    <phoneticPr fontId="1" type="noConversion"/>
  </si>
  <si>
    <t>quality</t>
    <phoneticPr fontId="1" type="noConversion"/>
  </si>
  <si>
    <t>color</t>
    <phoneticPr fontId="1" type="noConversion"/>
  </si>
  <si>
    <t>sell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</si>
</sst>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2)\&#23041;&#23572;&#26032;&#25968;&#20540;1.0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2)\&#21512;&#251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C3" t="str">
            <v>破旧的锤</v>
          </cell>
          <cell r="E3">
            <v>1</v>
          </cell>
          <cell r="F3">
            <v>1</v>
          </cell>
          <cell r="G3">
            <v>1</v>
          </cell>
          <cell r="J3">
            <v>0</v>
          </cell>
          <cell r="L3">
            <v>1</v>
          </cell>
          <cell r="M3" t="str">
            <v>IC1001</v>
          </cell>
        </row>
        <row r="4">
          <cell r="C4" t="str">
            <v>普通的锤</v>
          </cell>
          <cell r="E4">
            <v>1</v>
          </cell>
          <cell r="F4">
            <v>1</v>
          </cell>
          <cell r="G4">
            <v>1</v>
          </cell>
          <cell r="J4">
            <v>0</v>
          </cell>
          <cell r="L4">
            <v>2</v>
          </cell>
          <cell r="M4" t="str">
            <v>IC1002</v>
          </cell>
        </row>
        <row r="5">
          <cell r="C5" t="str">
            <v>初级的锤</v>
          </cell>
          <cell r="E5">
            <v>1</v>
          </cell>
          <cell r="F5">
            <v>1</v>
          </cell>
          <cell r="G5">
            <v>1</v>
          </cell>
          <cell r="J5">
            <v>0</v>
          </cell>
          <cell r="L5">
            <v>3</v>
          </cell>
          <cell r="M5" t="str">
            <v>IC1080</v>
          </cell>
        </row>
        <row r="6">
          <cell r="C6" t="str">
            <v>水晶锤</v>
          </cell>
          <cell r="E6">
            <v>1</v>
          </cell>
          <cell r="F6">
            <v>1</v>
          </cell>
          <cell r="G6">
            <v>1</v>
          </cell>
          <cell r="J6">
            <v>0</v>
          </cell>
          <cell r="L6">
            <v>4</v>
          </cell>
          <cell r="M6" t="str">
            <v>IC1006</v>
          </cell>
        </row>
        <row r="7">
          <cell r="C7" t="str">
            <v>青铜锤</v>
          </cell>
          <cell r="E7">
            <v>1</v>
          </cell>
          <cell r="F7">
            <v>1</v>
          </cell>
          <cell r="G7">
            <v>1</v>
          </cell>
          <cell r="J7">
            <v>0</v>
          </cell>
          <cell r="L7">
            <v>5</v>
          </cell>
          <cell r="M7" t="str">
            <v>IC1001</v>
          </cell>
        </row>
        <row r="8">
          <cell r="C8" t="str">
            <v>玄铁锤</v>
          </cell>
          <cell r="E8">
            <v>1</v>
          </cell>
          <cell r="F8">
            <v>1</v>
          </cell>
          <cell r="G8">
            <v>1</v>
          </cell>
          <cell r="J8">
            <v>0</v>
          </cell>
          <cell r="L8">
            <v>6</v>
          </cell>
          <cell r="M8" t="str">
            <v>IC1002</v>
          </cell>
        </row>
        <row r="9">
          <cell r="C9" t="str">
            <v>白银锤</v>
          </cell>
          <cell r="E9">
            <v>1</v>
          </cell>
          <cell r="F9">
            <v>1</v>
          </cell>
          <cell r="G9">
            <v>1</v>
          </cell>
          <cell r="J9">
            <v>0</v>
          </cell>
          <cell r="L9">
            <v>7</v>
          </cell>
          <cell r="M9" t="str">
            <v>IC1080</v>
          </cell>
        </row>
        <row r="10">
          <cell r="C10" t="str">
            <v>异灵锤</v>
          </cell>
          <cell r="E10">
            <v>1</v>
          </cell>
          <cell r="F10">
            <v>1</v>
          </cell>
          <cell r="G10">
            <v>1</v>
          </cell>
          <cell r="J10">
            <v>0</v>
          </cell>
          <cell r="L10">
            <v>8</v>
          </cell>
          <cell r="M10" t="str">
            <v>IC1006</v>
          </cell>
        </row>
        <row r="11">
          <cell r="C11" t="str">
            <v>流星锤</v>
          </cell>
          <cell r="E11">
            <v>1</v>
          </cell>
          <cell r="F11">
            <v>1</v>
          </cell>
          <cell r="G11">
            <v>1</v>
          </cell>
          <cell r="J11">
            <v>0</v>
          </cell>
          <cell r="L11">
            <v>9</v>
          </cell>
          <cell r="M11" t="str">
            <v>IC1001</v>
          </cell>
        </row>
        <row r="12">
          <cell r="C12" t="str">
            <v>破旧的刀</v>
          </cell>
          <cell r="E12">
            <v>1</v>
          </cell>
          <cell r="F12">
            <v>1</v>
          </cell>
          <cell r="G12">
            <v>2</v>
          </cell>
          <cell r="J12">
            <v>0</v>
          </cell>
          <cell r="L12">
            <v>1</v>
          </cell>
          <cell r="M12" t="str">
            <v>IC1240</v>
          </cell>
        </row>
        <row r="13">
          <cell r="C13" t="str">
            <v>普通的刀</v>
          </cell>
          <cell r="E13">
            <v>1</v>
          </cell>
          <cell r="F13">
            <v>1</v>
          </cell>
          <cell r="G13">
            <v>2</v>
          </cell>
          <cell r="J13">
            <v>0</v>
          </cell>
          <cell r="L13">
            <v>2</v>
          </cell>
          <cell r="M13" t="str">
            <v>IC1201</v>
          </cell>
        </row>
        <row r="14">
          <cell r="C14" t="str">
            <v>初级的刀</v>
          </cell>
          <cell r="E14">
            <v>1</v>
          </cell>
          <cell r="F14">
            <v>1</v>
          </cell>
          <cell r="G14">
            <v>2</v>
          </cell>
          <cell r="J14">
            <v>0</v>
          </cell>
          <cell r="L14">
            <v>3</v>
          </cell>
          <cell r="M14" t="str">
            <v>IC1239</v>
          </cell>
        </row>
        <row r="15">
          <cell r="C15" t="str">
            <v>水晶刀</v>
          </cell>
          <cell r="E15">
            <v>1</v>
          </cell>
          <cell r="F15">
            <v>1</v>
          </cell>
          <cell r="G15">
            <v>2</v>
          </cell>
          <cell r="J15">
            <v>0</v>
          </cell>
          <cell r="L15">
            <v>4</v>
          </cell>
          <cell r="M15" t="str">
            <v>IC1204</v>
          </cell>
        </row>
        <row r="16">
          <cell r="C16" t="str">
            <v>青铜刀</v>
          </cell>
          <cell r="E16">
            <v>1</v>
          </cell>
          <cell r="F16">
            <v>1</v>
          </cell>
          <cell r="G16">
            <v>2</v>
          </cell>
          <cell r="J16">
            <v>0</v>
          </cell>
          <cell r="L16">
            <v>5</v>
          </cell>
          <cell r="M16" t="str">
            <v>IC1209</v>
          </cell>
        </row>
        <row r="17">
          <cell r="C17" t="str">
            <v>玄铁刀</v>
          </cell>
          <cell r="E17">
            <v>1</v>
          </cell>
          <cell r="F17">
            <v>1</v>
          </cell>
          <cell r="G17">
            <v>2</v>
          </cell>
          <cell r="J17">
            <v>0</v>
          </cell>
          <cell r="L17">
            <v>6</v>
          </cell>
          <cell r="M17" t="str">
            <v>IC1225</v>
          </cell>
        </row>
        <row r="18">
          <cell r="C18" t="str">
            <v>白银刀</v>
          </cell>
          <cell r="E18">
            <v>1</v>
          </cell>
          <cell r="F18">
            <v>1</v>
          </cell>
          <cell r="G18">
            <v>2</v>
          </cell>
          <cell r="J18">
            <v>0</v>
          </cell>
          <cell r="L18">
            <v>7</v>
          </cell>
          <cell r="M18" t="str">
            <v>IC1239</v>
          </cell>
        </row>
        <row r="19">
          <cell r="C19" t="str">
            <v>异灵刀</v>
          </cell>
          <cell r="E19">
            <v>1</v>
          </cell>
          <cell r="F19">
            <v>1</v>
          </cell>
          <cell r="G19">
            <v>2</v>
          </cell>
          <cell r="J19">
            <v>0</v>
          </cell>
          <cell r="L19">
            <v>8</v>
          </cell>
          <cell r="M19" t="str">
            <v>IC1204</v>
          </cell>
        </row>
        <row r="20">
          <cell r="C20" t="str">
            <v>流星刀</v>
          </cell>
          <cell r="E20">
            <v>1</v>
          </cell>
          <cell r="F20">
            <v>1</v>
          </cell>
          <cell r="G20">
            <v>2</v>
          </cell>
          <cell r="J20">
            <v>0</v>
          </cell>
          <cell r="L20">
            <v>9</v>
          </cell>
          <cell r="M20" t="str">
            <v>IC1209</v>
          </cell>
        </row>
        <row r="21">
          <cell r="C21" t="str">
            <v>破旧的拳套</v>
          </cell>
          <cell r="E21">
            <v>1</v>
          </cell>
          <cell r="F21">
            <v>1</v>
          </cell>
          <cell r="G21">
            <v>3</v>
          </cell>
          <cell r="J21">
            <v>0</v>
          </cell>
          <cell r="L21">
            <v>1</v>
          </cell>
          <cell r="M21" t="str">
            <v>IC1501</v>
          </cell>
        </row>
        <row r="22">
          <cell r="C22" t="str">
            <v>普通的拳套</v>
          </cell>
          <cell r="E22">
            <v>1</v>
          </cell>
          <cell r="F22">
            <v>1</v>
          </cell>
          <cell r="G22">
            <v>3</v>
          </cell>
          <cell r="J22">
            <v>0</v>
          </cell>
          <cell r="L22">
            <v>2</v>
          </cell>
          <cell r="M22" t="str">
            <v>IC1504</v>
          </cell>
        </row>
        <row r="23">
          <cell r="C23" t="str">
            <v>初级的拳套</v>
          </cell>
          <cell r="E23">
            <v>1</v>
          </cell>
          <cell r="F23">
            <v>1</v>
          </cell>
          <cell r="G23">
            <v>3</v>
          </cell>
          <cell r="J23">
            <v>0</v>
          </cell>
          <cell r="L23">
            <v>3</v>
          </cell>
          <cell r="M23" t="str">
            <v>IC1506</v>
          </cell>
        </row>
        <row r="24">
          <cell r="C24" t="str">
            <v>水晶拳套</v>
          </cell>
          <cell r="E24">
            <v>1</v>
          </cell>
          <cell r="F24">
            <v>1</v>
          </cell>
          <cell r="G24">
            <v>3</v>
          </cell>
          <cell r="J24">
            <v>0</v>
          </cell>
          <cell r="L24">
            <v>4</v>
          </cell>
          <cell r="M24" t="str">
            <v>IC1507</v>
          </cell>
        </row>
        <row r="25">
          <cell r="C25" t="str">
            <v>青铜拳套</v>
          </cell>
          <cell r="E25">
            <v>1</v>
          </cell>
          <cell r="F25">
            <v>1</v>
          </cell>
          <cell r="G25">
            <v>3</v>
          </cell>
          <cell r="J25">
            <v>0</v>
          </cell>
          <cell r="L25">
            <v>5</v>
          </cell>
          <cell r="M25" t="str">
            <v>IC1501</v>
          </cell>
        </row>
        <row r="26">
          <cell r="C26" t="str">
            <v>玄铁拳套</v>
          </cell>
          <cell r="E26">
            <v>1</v>
          </cell>
          <cell r="F26">
            <v>1</v>
          </cell>
          <cell r="G26">
            <v>3</v>
          </cell>
          <cell r="J26">
            <v>0</v>
          </cell>
          <cell r="L26">
            <v>6</v>
          </cell>
          <cell r="M26" t="str">
            <v>IC1504</v>
          </cell>
        </row>
        <row r="27">
          <cell r="C27" t="str">
            <v>白银拳套</v>
          </cell>
          <cell r="E27">
            <v>1</v>
          </cell>
          <cell r="F27">
            <v>1</v>
          </cell>
          <cell r="G27">
            <v>3</v>
          </cell>
          <cell r="J27">
            <v>0</v>
          </cell>
          <cell r="L27">
            <v>7</v>
          </cell>
          <cell r="M27" t="str">
            <v>IC1506</v>
          </cell>
        </row>
        <row r="28">
          <cell r="C28" t="str">
            <v>异灵拳套</v>
          </cell>
          <cell r="E28">
            <v>1</v>
          </cell>
          <cell r="F28">
            <v>1</v>
          </cell>
          <cell r="G28">
            <v>3</v>
          </cell>
          <cell r="J28">
            <v>0</v>
          </cell>
          <cell r="L28">
            <v>8</v>
          </cell>
          <cell r="M28" t="str">
            <v>IC1507</v>
          </cell>
        </row>
        <row r="29">
          <cell r="C29" t="str">
            <v>流星拳套</v>
          </cell>
          <cell r="E29">
            <v>1</v>
          </cell>
          <cell r="F29">
            <v>1</v>
          </cell>
          <cell r="G29">
            <v>3</v>
          </cell>
          <cell r="J29">
            <v>0</v>
          </cell>
          <cell r="L29">
            <v>9</v>
          </cell>
          <cell r="M29" t="str">
            <v>IC1501</v>
          </cell>
        </row>
        <row r="30">
          <cell r="C30" t="str">
            <v>破旧的枪</v>
          </cell>
          <cell r="E30">
            <v>1</v>
          </cell>
          <cell r="F30">
            <v>1</v>
          </cell>
          <cell r="G30">
            <v>4</v>
          </cell>
          <cell r="J30">
            <v>0</v>
          </cell>
          <cell r="L30">
            <v>1</v>
          </cell>
          <cell r="M30" t="str">
            <v>IC1650</v>
          </cell>
        </row>
        <row r="31">
          <cell r="C31" t="str">
            <v>普通的枪</v>
          </cell>
          <cell r="E31">
            <v>1</v>
          </cell>
          <cell r="F31">
            <v>1</v>
          </cell>
          <cell r="G31">
            <v>4</v>
          </cell>
          <cell r="J31">
            <v>0</v>
          </cell>
          <cell r="L31">
            <v>2</v>
          </cell>
          <cell r="M31" t="str">
            <v>IC1651</v>
          </cell>
        </row>
        <row r="32">
          <cell r="C32" t="str">
            <v>初级的枪</v>
          </cell>
          <cell r="E32">
            <v>1</v>
          </cell>
          <cell r="F32">
            <v>1</v>
          </cell>
          <cell r="G32">
            <v>4</v>
          </cell>
          <cell r="J32">
            <v>0</v>
          </cell>
          <cell r="L32">
            <v>3</v>
          </cell>
          <cell r="M32" t="str">
            <v>IC1655</v>
          </cell>
        </row>
        <row r="33">
          <cell r="C33" t="str">
            <v>水晶枪</v>
          </cell>
          <cell r="E33">
            <v>1</v>
          </cell>
          <cell r="F33">
            <v>1</v>
          </cell>
          <cell r="G33">
            <v>4</v>
          </cell>
          <cell r="J33">
            <v>0</v>
          </cell>
          <cell r="L33">
            <v>4</v>
          </cell>
          <cell r="M33" t="str">
            <v>IC1665</v>
          </cell>
        </row>
        <row r="34">
          <cell r="C34" t="str">
            <v>青铜枪</v>
          </cell>
          <cell r="E34">
            <v>1</v>
          </cell>
          <cell r="F34">
            <v>1</v>
          </cell>
          <cell r="G34">
            <v>4</v>
          </cell>
          <cell r="J34">
            <v>0</v>
          </cell>
          <cell r="L34">
            <v>5</v>
          </cell>
          <cell r="M34" t="str">
            <v>IC1670</v>
          </cell>
        </row>
        <row r="35">
          <cell r="C35" t="str">
            <v>玄铁枪</v>
          </cell>
          <cell r="E35">
            <v>1</v>
          </cell>
          <cell r="F35">
            <v>1</v>
          </cell>
          <cell r="G35">
            <v>4</v>
          </cell>
          <cell r="J35">
            <v>0</v>
          </cell>
          <cell r="L35">
            <v>6</v>
          </cell>
          <cell r="M35" t="str">
            <v>IC1650</v>
          </cell>
        </row>
        <row r="36">
          <cell r="C36" t="str">
            <v>白银枪</v>
          </cell>
          <cell r="E36">
            <v>1</v>
          </cell>
          <cell r="F36">
            <v>1</v>
          </cell>
          <cell r="G36">
            <v>4</v>
          </cell>
          <cell r="J36">
            <v>0</v>
          </cell>
          <cell r="L36">
            <v>7</v>
          </cell>
          <cell r="M36" t="str">
            <v>IC1651</v>
          </cell>
        </row>
        <row r="37">
          <cell r="C37" t="str">
            <v>异灵枪</v>
          </cell>
          <cell r="E37">
            <v>1</v>
          </cell>
          <cell r="F37">
            <v>1</v>
          </cell>
          <cell r="G37">
            <v>4</v>
          </cell>
          <cell r="J37">
            <v>0</v>
          </cell>
          <cell r="L37">
            <v>8</v>
          </cell>
          <cell r="M37" t="str">
            <v>IC1655</v>
          </cell>
        </row>
        <row r="38">
          <cell r="C38" t="str">
            <v>流星枪</v>
          </cell>
          <cell r="E38">
            <v>1</v>
          </cell>
          <cell r="F38">
            <v>1</v>
          </cell>
          <cell r="G38">
            <v>4</v>
          </cell>
          <cell r="J38">
            <v>0</v>
          </cell>
          <cell r="L38">
            <v>9</v>
          </cell>
          <cell r="M38" t="str">
            <v>IC1665</v>
          </cell>
        </row>
        <row r="39">
          <cell r="C39" t="str">
            <v>破旧的镰刀</v>
          </cell>
          <cell r="E39">
            <v>1</v>
          </cell>
          <cell r="F39">
            <v>1</v>
          </cell>
          <cell r="G39">
            <v>5</v>
          </cell>
          <cell r="J39">
            <v>0</v>
          </cell>
          <cell r="L39">
            <v>1</v>
          </cell>
          <cell r="M39" t="str">
            <v>IC1710</v>
          </cell>
        </row>
        <row r="40">
          <cell r="C40" t="str">
            <v>普通的镰刀</v>
          </cell>
          <cell r="E40">
            <v>1</v>
          </cell>
          <cell r="F40">
            <v>1</v>
          </cell>
          <cell r="G40">
            <v>5</v>
          </cell>
          <cell r="J40">
            <v>0</v>
          </cell>
          <cell r="L40">
            <v>2</v>
          </cell>
          <cell r="M40" t="str">
            <v>IC1702</v>
          </cell>
        </row>
        <row r="41">
          <cell r="C41" t="str">
            <v>初级的镰刀</v>
          </cell>
          <cell r="E41">
            <v>1</v>
          </cell>
          <cell r="F41">
            <v>1</v>
          </cell>
          <cell r="G41">
            <v>5</v>
          </cell>
          <cell r="J41">
            <v>0</v>
          </cell>
          <cell r="L41">
            <v>3</v>
          </cell>
          <cell r="M41" t="str">
            <v>IC1708</v>
          </cell>
        </row>
        <row r="42">
          <cell r="C42" t="str">
            <v>水晶镰刀</v>
          </cell>
          <cell r="E42">
            <v>1</v>
          </cell>
          <cell r="F42">
            <v>1</v>
          </cell>
          <cell r="G42">
            <v>5</v>
          </cell>
          <cell r="J42">
            <v>0</v>
          </cell>
          <cell r="L42">
            <v>4</v>
          </cell>
          <cell r="M42" t="str">
            <v>IC1703</v>
          </cell>
        </row>
        <row r="43">
          <cell r="C43" t="str">
            <v>青铜镰刀</v>
          </cell>
          <cell r="E43">
            <v>1</v>
          </cell>
          <cell r="F43">
            <v>1</v>
          </cell>
          <cell r="G43">
            <v>5</v>
          </cell>
          <cell r="J43">
            <v>0</v>
          </cell>
          <cell r="L43">
            <v>5</v>
          </cell>
          <cell r="M43" t="str">
            <v>IC1714</v>
          </cell>
        </row>
        <row r="44">
          <cell r="C44" t="str">
            <v>玄铁镰刀</v>
          </cell>
          <cell r="E44">
            <v>1</v>
          </cell>
          <cell r="F44">
            <v>1</v>
          </cell>
          <cell r="G44">
            <v>5</v>
          </cell>
          <cell r="J44">
            <v>0</v>
          </cell>
          <cell r="L44">
            <v>6</v>
          </cell>
          <cell r="M44" t="str">
            <v>IC1710</v>
          </cell>
        </row>
        <row r="45">
          <cell r="C45" t="str">
            <v>白银镰刀</v>
          </cell>
          <cell r="E45">
            <v>1</v>
          </cell>
          <cell r="F45">
            <v>1</v>
          </cell>
          <cell r="G45">
            <v>5</v>
          </cell>
          <cell r="J45">
            <v>0</v>
          </cell>
          <cell r="L45">
            <v>7</v>
          </cell>
          <cell r="M45" t="str">
            <v>IC1702</v>
          </cell>
        </row>
        <row r="46">
          <cell r="C46" t="str">
            <v>异灵镰刀</v>
          </cell>
          <cell r="E46">
            <v>1</v>
          </cell>
          <cell r="F46">
            <v>1</v>
          </cell>
          <cell r="G46">
            <v>5</v>
          </cell>
          <cell r="J46">
            <v>0</v>
          </cell>
          <cell r="L46">
            <v>8</v>
          </cell>
          <cell r="M46" t="str">
            <v>IC1708</v>
          </cell>
        </row>
        <row r="47">
          <cell r="C47" t="str">
            <v>流星镰刀</v>
          </cell>
          <cell r="E47">
            <v>1</v>
          </cell>
          <cell r="F47">
            <v>1</v>
          </cell>
          <cell r="G47">
            <v>5</v>
          </cell>
          <cell r="J47">
            <v>0</v>
          </cell>
          <cell r="L47">
            <v>9</v>
          </cell>
          <cell r="M47" t="str">
            <v>IC1703</v>
          </cell>
        </row>
        <row r="48">
          <cell r="C48" t="str">
            <v>破旧的法杖</v>
          </cell>
          <cell r="E48">
            <v>1</v>
          </cell>
          <cell r="F48">
            <v>1</v>
          </cell>
          <cell r="G48">
            <v>6</v>
          </cell>
          <cell r="J48">
            <v>0</v>
          </cell>
          <cell r="L48">
            <v>1</v>
          </cell>
          <cell r="M48" t="str">
            <v>IC1156</v>
          </cell>
        </row>
        <row r="49">
          <cell r="C49" t="str">
            <v>普通的法杖</v>
          </cell>
          <cell r="E49">
            <v>1</v>
          </cell>
          <cell r="F49">
            <v>1</v>
          </cell>
          <cell r="G49">
            <v>6</v>
          </cell>
          <cell r="J49">
            <v>0</v>
          </cell>
          <cell r="L49">
            <v>2</v>
          </cell>
          <cell r="M49" t="str">
            <v>IC1199</v>
          </cell>
        </row>
        <row r="50">
          <cell r="C50" t="str">
            <v>初级的法杖</v>
          </cell>
          <cell r="E50">
            <v>1</v>
          </cell>
          <cell r="F50">
            <v>1</v>
          </cell>
          <cell r="G50">
            <v>6</v>
          </cell>
          <cell r="J50">
            <v>0</v>
          </cell>
          <cell r="L50">
            <v>3</v>
          </cell>
          <cell r="M50" t="str">
            <v>IC1138</v>
          </cell>
        </row>
        <row r="51">
          <cell r="C51" t="str">
            <v>水晶法杖</v>
          </cell>
          <cell r="E51">
            <v>1</v>
          </cell>
          <cell r="F51">
            <v>1</v>
          </cell>
          <cell r="G51">
            <v>6</v>
          </cell>
          <cell r="J51">
            <v>0</v>
          </cell>
          <cell r="L51">
            <v>4</v>
          </cell>
          <cell r="M51" t="str">
            <v>IC1121</v>
          </cell>
        </row>
        <row r="52">
          <cell r="C52" t="str">
            <v>青铜法杖</v>
          </cell>
          <cell r="E52">
            <v>1</v>
          </cell>
          <cell r="F52">
            <v>1</v>
          </cell>
          <cell r="G52">
            <v>6</v>
          </cell>
          <cell r="J52">
            <v>0</v>
          </cell>
          <cell r="L52">
            <v>5</v>
          </cell>
          <cell r="M52" t="str">
            <v>IC1110</v>
          </cell>
        </row>
        <row r="53">
          <cell r="C53" t="str">
            <v>玄铁法杖</v>
          </cell>
          <cell r="E53">
            <v>1</v>
          </cell>
          <cell r="F53">
            <v>1</v>
          </cell>
          <cell r="G53">
            <v>6</v>
          </cell>
          <cell r="J53">
            <v>0</v>
          </cell>
          <cell r="L53">
            <v>6</v>
          </cell>
          <cell r="M53" t="str">
            <v>IC1199</v>
          </cell>
        </row>
        <row r="54">
          <cell r="C54" t="str">
            <v>白银法杖</v>
          </cell>
          <cell r="E54">
            <v>1</v>
          </cell>
          <cell r="F54">
            <v>1</v>
          </cell>
          <cell r="G54">
            <v>6</v>
          </cell>
          <cell r="J54">
            <v>0</v>
          </cell>
          <cell r="L54">
            <v>7</v>
          </cell>
          <cell r="M54" t="str">
            <v>IC1138</v>
          </cell>
        </row>
        <row r="55">
          <cell r="C55" t="str">
            <v>异灵法杖</v>
          </cell>
          <cell r="E55">
            <v>1</v>
          </cell>
          <cell r="F55">
            <v>1</v>
          </cell>
          <cell r="G55">
            <v>6</v>
          </cell>
          <cell r="J55">
            <v>0</v>
          </cell>
          <cell r="L55">
            <v>8</v>
          </cell>
          <cell r="M55" t="str">
            <v>IC1121</v>
          </cell>
        </row>
        <row r="56">
          <cell r="C56" t="str">
            <v>流星法杖</v>
          </cell>
          <cell r="E56">
            <v>1</v>
          </cell>
          <cell r="F56">
            <v>1</v>
          </cell>
          <cell r="G56">
            <v>6</v>
          </cell>
          <cell r="J56">
            <v>0</v>
          </cell>
          <cell r="L56">
            <v>9</v>
          </cell>
          <cell r="M56" t="str">
            <v>IC1156</v>
          </cell>
        </row>
        <row r="57">
          <cell r="C57" t="str">
            <v>破旧的弓</v>
          </cell>
          <cell r="E57">
            <v>1</v>
          </cell>
          <cell r="F57">
            <v>1</v>
          </cell>
          <cell r="G57">
            <v>7</v>
          </cell>
          <cell r="J57">
            <v>0</v>
          </cell>
          <cell r="L57">
            <v>1</v>
          </cell>
          <cell r="M57" t="str">
            <v>IC1399</v>
          </cell>
        </row>
        <row r="58">
          <cell r="C58" t="str">
            <v>普通的弓</v>
          </cell>
          <cell r="E58">
            <v>1</v>
          </cell>
          <cell r="F58">
            <v>1</v>
          </cell>
          <cell r="G58">
            <v>7</v>
          </cell>
          <cell r="J58">
            <v>0</v>
          </cell>
          <cell r="L58">
            <v>2</v>
          </cell>
          <cell r="M58" t="str">
            <v>IC1356</v>
          </cell>
        </row>
        <row r="59">
          <cell r="C59" t="str">
            <v>初级的弓</v>
          </cell>
          <cell r="E59">
            <v>1</v>
          </cell>
          <cell r="F59">
            <v>1</v>
          </cell>
          <cell r="G59">
            <v>7</v>
          </cell>
          <cell r="J59">
            <v>0</v>
          </cell>
          <cell r="L59">
            <v>3</v>
          </cell>
          <cell r="M59" t="str">
            <v>IC1347</v>
          </cell>
        </row>
        <row r="60">
          <cell r="C60" t="str">
            <v>水晶弓</v>
          </cell>
          <cell r="E60">
            <v>1</v>
          </cell>
          <cell r="F60">
            <v>1</v>
          </cell>
          <cell r="G60">
            <v>7</v>
          </cell>
          <cell r="J60">
            <v>0</v>
          </cell>
          <cell r="L60">
            <v>4</v>
          </cell>
          <cell r="M60" t="str">
            <v>IC1340</v>
          </cell>
        </row>
        <row r="61">
          <cell r="C61" t="str">
            <v>青铜弓</v>
          </cell>
          <cell r="E61">
            <v>1</v>
          </cell>
          <cell r="F61">
            <v>1</v>
          </cell>
          <cell r="G61">
            <v>7</v>
          </cell>
          <cell r="J61">
            <v>0</v>
          </cell>
          <cell r="L61">
            <v>5</v>
          </cell>
          <cell r="M61" t="str">
            <v>IC1342</v>
          </cell>
        </row>
        <row r="62">
          <cell r="C62" t="str">
            <v>玄铁弓</v>
          </cell>
          <cell r="E62">
            <v>1</v>
          </cell>
          <cell r="F62">
            <v>1</v>
          </cell>
          <cell r="G62">
            <v>7</v>
          </cell>
          <cell r="J62">
            <v>0</v>
          </cell>
          <cell r="L62">
            <v>6</v>
          </cell>
          <cell r="M62" t="str">
            <v>IC1399</v>
          </cell>
        </row>
        <row r="63">
          <cell r="C63" t="str">
            <v>白银弓</v>
          </cell>
          <cell r="E63">
            <v>1</v>
          </cell>
          <cell r="F63">
            <v>1</v>
          </cell>
          <cell r="G63">
            <v>7</v>
          </cell>
          <cell r="J63">
            <v>0</v>
          </cell>
          <cell r="L63">
            <v>7</v>
          </cell>
          <cell r="M63" t="str">
            <v>IC1356</v>
          </cell>
        </row>
        <row r="64">
          <cell r="C64" t="str">
            <v>异灵弓</v>
          </cell>
          <cell r="E64">
            <v>1</v>
          </cell>
          <cell r="F64">
            <v>1</v>
          </cell>
          <cell r="G64">
            <v>7</v>
          </cell>
          <cell r="J64">
            <v>0</v>
          </cell>
          <cell r="L64">
            <v>8</v>
          </cell>
          <cell r="M64" t="str">
            <v>IC1347</v>
          </cell>
        </row>
        <row r="65">
          <cell r="C65" t="str">
            <v>流星弓</v>
          </cell>
          <cell r="E65">
            <v>1</v>
          </cell>
          <cell r="F65">
            <v>1</v>
          </cell>
          <cell r="G65">
            <v>7</v>
          </cell>
          <cell r="J65">
            <v>0</v>
          </cell>
          <cell r="L65">
            <v>9</v>
          </cell>
          <cell r="M65" t="str">
            <v>IC1340</v>
          </cell>
        </row>
        <row r="66">
          <cell r="C66" t="str">
            <v>破旧的烟斗</v>
          </cell>
          <cell r="E66">
            <v>1</v>
          </cell>
          <cell r="F66">
            <v>1</v>
          </cell>
          <cell r="G66">
            <v>8</v>
          </cell>
          <cell r="J66">
            <v>0</v>
          </cell>
          <cell r="L66">
            <v>1</v>
          </cell>
          <cell r="M66" t="str">
            <v>IC1103</v>
          </cell>
        </row>
        <row r="67">
          <cell r="C67" t="str">
            <v>普通的烟斗</v>
          </cell>
          <cell r="E67">
            <v>1</v>
          </cell>
          <cell r="F67">
            <v>1</v>
          </cell>
          <cell r="G67">
            <v>8</v>
          </cell>
          <cell r="J67">
            <v>0</v>
          </cell>
          <cell r="L67">
            <v>2</v>
          </cell>
          <cell r="M67" t="str">
            <v>IC1101</v>
          </cell>
        </row>
        <row r="68">
          <cell r="C68" t="str">
            <v>初级的烟斗</v>
          </cell>
          <cell r="E68">
            <v>1</v>
          </cell>
          <cell r="F68">
            <v>1</v>
          </cell>
          <cell r="G68">
            <v>8</v>
          </cell>
          <cell r="J68">
            <v>0</v>
          </cell>
          <cell r="L68">
            <v>3</v>
          </cell>
          <cell r="M68" t="str">
            <v>IC1104</v>
          </cell>
        </row>
        <row r="69">
          <cell r="C69" t="str">
            <v>水晶烟斗</v>
          </cell>
          <cell r="E69">
            <v>1</v>
          </cell>
          <cell r="F69">
            <v>1</v>
          </cell>
          <cell r="G69">
            <v>8</v>
          </cell>
          <cell r="J69">
            <v>0</v>
          </cell>
          <cell r="L69">
            <v>4</v>
          </cell>
          <cell r="M69" t="str">
            <v>IC1106</v>
          </cell>
        </row>
        <row r="70">
          <cell r="C70" t="str">
            <v>青铜烟斗</v>
          </cell>
          <cell r="E70">
            <v>1</v>
          </cell>
          <cell r="F70">
            <v>1</v>
          </cell>
          <cell r="G70">
            <v>8</v>
          </cell>
          <cell r="J70">
            <v>0</v>
          </cell>
          <cell r="L70">
            <v>5</v>
          </cell>
          <cell r="M70" t="str">
            <v>IC1113</v>
          </cell>
        </row>
        <row r="71">
          <cell r="C71" t="str">
            <v>玄铁烟斗</v>
          </cell>
          <cell r="E71">
            <v>1</v>
          </cell>
          <cell r="F71">
            <v>1</v>
          </cell>
          <cell r="G71">
            <v>8</v>
          </cell>
          <cell r="J71">
            <v>0</v>
          </cell>
          <cell r="L71">
            <v>6</v>
          </cell>
          <cell r="M71" t="str">
            <v>IC1118</v>
          </cell>
        </row>
        <row r="72">
          <cell r="C72" t="str">
            <v>白银烟斗</v>
          </cell>
          <cell r="E72">
            <v>1</v>
          </cell>
          <cell r="F72">
            <v>1</v>
          </cell>
          <cell r="G72">
            <v>8</v>
          </cell>
          <cell r="J72">
            <v>0</v>
          </cell>
          <cell r="L72">
            <v>7</v>
          </cell>
          <cell r="M72" t="str">
            <v>IC1155</v>
          </cell>
        </row>
        <row r="73">
          <cell r="C73" t="str">
            <v>异灵烟斗</v>
          </cell>
          <cell r="E73">
            <v>1</v>
          </cell>
          <cell r="F73">
            <v>1</v>
          </cell>
          <cell r="G73">
            <v>8</v>
          </cell>
          <cell r="J73">
            <v>0</v>
          </cell>
          <cell r="L73">
            <v>8</v>
          </cell>
          <cell r="M73" t="str">
            <v>IC1143</v>
          </cell>
        </row>
        <row r="74">
          <cell r="C74" t="str">
            <v>流星烟斗</v>
          </cell>
          <cell r="E74">
            <v>1</v>
          </cell>
          <cell r="F74">
            <v>1</v>
          </cell>
          <cell r="G74">
            <v>8</v>
          </cell>
          <cell r="J74">
            <v>0</v>
          </cell>
          <cell r="L74">
            <v>9</v>
          </cell>
          <cell r="M74" t="str">
            <v>IC1143</v>
          </cell>
        </row>
        <row r="75">
          <cell r="C75" t="str">
            <v>破旧的扇子</v>
          </cell>
          <cell r="E75">
            <v>1</v>
          </cell>
          <cell r="F75">
            <v>1</v>
          </cell>
          <cell r="G75">
            <v>9</v>
          </cell>
          <cell r="J75">
            <v>0</v>
          </cell>
          <cell r="L75">
            <v>1</v>
          </cell>
          <cell r="M75" t="str">
            <v>IC1835</v>
          </cell>
        </row>
        <row r="76">
          <cell r="C76" t="str">
            <v>普通的扇子</v>
          </cell>
          <cell r="E76">
            <v>1</v>
          </cell>
          <cell r="F76">
            <v>1</v>
          </cell>
          <cell r="G76">
            <v>9</v>
          </cell>
          <cell r="J76">
            <v>0</v>
          </cell>
          <cell r="L76">
            <v>2</v>
          </cell>
          <cell r="M76" t="str">
            <v>IC1836</v>
          </cell>
        </row>
        <row r="77">
          <cell r="C77" t="str">
            <v>初级的扇子</v>
          </cell>
          <cell r="E77">
            <v>1</v>
          </cell>
          <cell r="F77">
            <v>1</v>
          </cell>
          <cell r="G77">
            <v>9</v>
          </cell>
          <cell r="J77">
            <v>0</v>
          </cell>
          <cell r="L77">
            <v>3</v>
          </cell>
          <cell r="M77" t="str">
            <v>IC1837</v>
          </cell>
        </row>
        <row r="78">
          <cell r="C78" t="str">
            <v>水晶扇子</v>
          </cell>
          <cell r="E78">
            <v>1</v>
          </cell>
          <cell r="F78">
            <v>1</v>
          </cell>
          <cell r="G78">
            <v>9</v>
          </cell>
          <cell r="J78">
            <v>0</v>
          </cell>
          <cell r="L78">
            <v>4</v>
          </cell>
          <cell r="M78" t="str">
            <v>IC1838</v>
          </cell>
        </row>
        <row r="79">
          <cell r="C79" t="str">
            <v>青铜扇子</v>
          </cell>
          <cell r="E79">
            <v>1</v>
          </cell>
          <cell r="F79">
            <v>1</v>
          </cell>
          <cell r="G79">
            <v>9</v>
          </cell>
          <cell r="J79">
            <v>0</v>
          </cell>
          <cell r="L79">
            <v>5</v>
          </cell>
          <cell r="M79" t="str">
            <v>IC1839</v>
          </cell>
        </row>
        <row r="80">
          <cell r="C80" t="str">
            <v>玄铁扇子</v>
          </cell>
          <cell r="E80">
            <v>1</v>
          </cell>
          <cell r="F80">
            <v>1</v>
          </cell>
          <cell r="G80">
            <v>9</v>
          </cell>
          <cell r="J80">
            <v>0</v>
          </cell>
          <cell r="L80">
            <v>6</v>
          </cell>
          <cell r="M80" t="str">
            <v>IC1840</v>
          </cell>
        </row>
        <row r="81">
          <cell r="C81" t="str">
            <v>白银扇子</v>
          </cell>
          <cell r="E81">
            <v>1</v>
          </cell>
          <cell r="F81">
            <v>1</v>
          </cell>
          <cell r="G81">
            <v>9</v>
          </cell>
          <cell r="J81">
            <v>0</v>
          </cell>
          <cell r="L81">
            <v>7</v>
          </cell>
          <cell r="M81" t="str">
            <v>IC1838</v>
          </cell>
        </row>
        <row r="82">
          <cell r="C82" t="str">
            <v>异灵扇子</v>
          </cell>
          <cell r="E82">
            <v>1</v>
          </cell>
          <cell r="F82">
            <v>1</v>
          </cell>
          <cell r="G82">
            <v>9</v>
          </cell>
          <cell r="J82">
            <v>0</v>
          </cell>
          <cell r="L82">
            <v>8</v>
          </cell>
          <cell r="M82" t="str">
            <v>IC1839</v>
          </cell>
        </row>
        <row r="83">
          <cell r="C83" t="str">
            <v>流星扇子</v>
          </cell>
          <cell r="E83">
            <v>1</v>
          </cell>
          <cell r="F83">
            <v>1</v>
          </cell>
          <cell r="G83">
            <v>9</v>
          </cell>
          <cell r="J83">
            <v>0</v>
          </cell>
          <cell r="L83">
            <v>9</v>
          </cell>
          <cell r="M83" t="str">
            <v>IC1838</v>
          </cell>
        </row>
        <row r="84">
          <cell r="C84" t="str">
            <v>破旧的牙齿</v>
          </cell>
          <cell r="E84">
            <v>1</v>
          </cell>
          <cell r="F84">
            <v>1</v>
          </cell>
          <cell r="G84">
            <v>10</v>
          </cell>
          <cell r="J84">
            <v>0</v>
          </cell>
          <cell r="L84">
            <v>1</v>
          </cell>
          <cell r="M84" t="str">
            <v>IC1553</v>
          </cell>
        </row>
        <row r="85">
          <cell r="C85" t="str">
            <v>普通的牙齿</v>
          </cell>
          <cell r="E85">
            <v>1</v>
          </cell>
          <cell r="F85">
            <v>1</v>
          </cell>
          <cell r="G85">
            <v>10</v>
          </cell>
          <cell r="J85">
            <v>0</v>
          </cell>
          <cell r="L85">
            <v>2</v>
          </cell>
          <cell r="M85" t="str">
            <v>IC1556</v>
          </cell>
        </row>
        <row r="86">
          <cell r="C86" t="str">
            <v>初级的牙齿</v>
          </cell>
          <cell r="E86">
            <v>1</v>
          </cell>
          <cell r="F86">
            <v>1</v>
          </cell>
          <cell r="G86">
            <v>10</v>
          </cell>
          <cell r="J86">
            <v>0</v>
          </cell>
          <cell r="L86">
            <v>3</v>
          </cell>
          <cell r="M86" t="str">
            <v>IC1554</v>
          </cell>
        </row>
        <row r="87">
          <cell r="C87" t="str">
            <v>水晶牙齿</v>
          </cell>
          <cell r="E87">
            <v>1</v>
          </cell>
          <cell r="F87">
            <v>1</v>
          </cell>
          <cell r="G87">
            <v>10</v>
          </cell>
          <cell r="J87">
            <v>0</v>
          </cell>
          <cell r="L87">
            <v>4</v>
          </cell>
          <cell r="M87" t="str">
            <v>IC1565</v>
          </cell>
        </row>
        <row r="88">
          <cell r="C88" t="str">
            <v>青铜牙齿</v>
          </cell>
          <cell r="E88">
            <v>1</v>
          </cell>
          <cell r="F88">
            <v>1</v>
          </cell>
          <cell r="G88">
            <v>10</v>
          </cell>
          <cell r="J88">
            <v>0</v>
          </cell>
          <cell r="L88">
            <v>5</v>
          </cell>
          <cell r="M88" t="str">
            <v>IC1553</v>
          </cell>
        </row>
        <row r="89">
          <cell r="C89" t="str">
            <v>玄铁牙齿</v>
          </cell>
          <cell r="E89">
            <v>1</v>
          </cell>
          <cell r="F89">
            <v>1</v>
          </cell>
          <cell r="G89">
            <v>10</v>
          </cell>
          <cell r="J89">
            <v>0</v>
          </cell>
          <cell r="L89">
            <v>6</v>
          </cell>
          <cell r="M89" t="str">
            <v>IC1556</v>
          </cell>
        </row>
        <row r="90">
          <cell r="C90" t="str">
            <v>白银牙齿</v>
          </cell>
          <cell r="E90">
            <v>1</v>
          </cell>
          <cell r="F90">
            <v>1</v>
          </cell>
          <cell r="G90">
            <v>10</v>
          </cell>
          <cell r="J90">
            <v>0</v>
          </cell>
          <cell r="L90">
            <v>7</v>
          </cell>
          <cell r="M90" t="str">
            <v>IC1554</v>
          </cell>
        </row>
        <row r="91">
          <cell r="C91" t="str">
            <v>异灵牙齿</v>
          </cell>
          <cell r="E91">
            <v>1</v>
          </cell>
          <cell r="F91">
            <v>1</v>
          </cell>
          <cell r="G91">
            <v>10</v>
          </cell>
          <cell r="J91">
            <v>0</v>
          </cell>
          <cell r="L91">
            <v>8</v>
          </cell>
          <cell r="M91" t="str">
            <v>IC1565</v>
          </cell>
        </row>
        <row r="92">
          <cell r="C92" t="str">
            <v>流星牙齿</v>
          </cell>
          <cell r="E92">
            <v>1</v>
          </cell>
          <cell r="F92">
            <v>1</v>
          </cell>
          <cell r="G92">
            <v>10</v>
          </cell>
          <cell r="J92">
            <v>0</v>
          </cell>
          <cell r="L92">
            <v>9</v>
          </cell>
          <cell r="M92" t="str">
            <v>IC1554</v>
          </cell>
        </row>
        <row r="93">
          <cell r="C93" t="str">
            <v>破旧的球</v>
          </cell>
          <cell r="E93">
            <v>1</v>
          </cell>
          <cell r="F93">
            <v>1</v>
          </cell>
          <cell r="G93">
            <v>11</v>
          </cell>
          <cell r="J93">
            <v>0</v>
          </cell>
          <cell r="L93">
            <v>1</v>
          </cell>
          <cell r="M93" t="str">
            <v>IC1400</v>
          </cell>
        </row>
        <row r="94">
          <cell r="C94" t="str">
            <v>普通的球</v>
          </cell>
          <cell r="E94">
            <v>1</v>
          </cell>
          <cell r="F94">
            <v>1</v>
          </cell>
          <cell r="G94">
            <v>11</v>
          </cell>
          <cell r="J94">
            <v>0</v>
          </cell>
          <cell r="L94">
            <v>2</v>
          </cell>
          <cell r="M94" t="str">
            <v>IC1408</v>
          </cell>
        </row>
        <row r="95">
          <cell r="C95" t="str">
            <v>初级的球</v>
          </cell>
          <cell r="E95">
            <v>1</v>
          </cell>
          <cell r="F95">
            <v>1</v>
          </cell>
          <cell r="G95">
            <v>11</v>
          </cell>
          <cell r="J95">
            <v>0</v>
          </cell>
          <cell r="L95">
            <v>3</v>
          </cell>
          <cell r="M95" t="str">
            <v>IC1414</v>
          </cell>
        </row>
        <row r="96">
          <cell r="C96" t="str">
            <v>水晶球</v>
          </cell>
          <cell r="E96">
            <v>1</v>
          </cell>
          <cell r="F96">
            <v>1</v>
          </cell>
          <cell r="G96">
            <v>11</v>
          </cell>
          <cell r="J96">
            <v>0</v>
          </cell>
          <cell r="L96">
            <v>4</v>
          </cell>
          <cell r="M96" t="str">
            <v>IC1415</v>
          </cell>
        </row>
        <row r="97">
          <cell r="C97" t="str">
            <v>青铜球</v>
          </cell>
          <cell r="E97">
            <v>1</v>
          </cell>
          <cell r="F97">
            <v>1</v>
          </cell>
          <cell r="G97">
            <v>11</v>
          </cell>
          <cell r="J97">
            <v>0</v>
          </cell>
          <cell r="L97">
            <v>5</v>
          </cell>
          <cell r="M97" t="str">
            <v>IC1418</v>
          </cell>
        </row>
        <row r="98">
          <cell r="C98" t="str">
            <v>玄铁球</v>
          </cell>
          <cell r="E98">
            <v>1</v>
          </cell>
          <cell r="F98">
            <v>1</v>
          </cell>
          <cell r="G98">
            <v>11</v>
          </cell>
          <cell r="J98">
            <v>0</v>
          </cell>
          <cell r="L98">
            <v>6</v>
          </cell>
          <cell r="M98" t="str">
            <v>IC1400</v>
          </cell>
        </row>
        <row r="99">
          <cell r="C99" t="str">
            <v>白银球</v>
          </cell>
          <cell r="E99">
            <v>1</v>
          </cell>
          <cell r="F99">
            <v>1</v>
          </cell>
          <cell r="G99">
            <v>11</v>
          </cell>
          <cell r="J99">
            <v>0</v>
          </cell>
          <cell r="L99">
            <v>7</v>
          </cell>
          <cell r="M99" t="str">
            <v>IC1408</v>
          </cell>
        </row>
        <row r="100">
          <cell r="C100" t="str">
            <v>异灵球</v>
          </cell>
          <cell r="E100">
            <v>1</v>
          </cell>
          <cell r="F100">
            <v>1</v>
          </cell>
          <cell r="G100">
            <v>11</v>
          </cell>
          <cell r="J100">
            <v>0</v>
          </cell>
          <cell r="L100">
            <v>8</v>
          </cell>
          <cell r="M100" t="str">
            <v>IC1414</v>
          </cell>
        </row>
        <row r="101">
          <cell r="C101" t="str">
            <v>流星球</v>
          </cell>
          <cell r="E101">
            <v>1</v>
          </cell>
          <cell r="F101">
            <v>1</v>
          </cell>
          <cell r="G101">
            <v>11</v>
          </cell>
          <cell r="J101">
            <v>0</v>
          </cell>
          <cell r="L101">
            <v>9</v>
          </cell>
          <cell r="M101" t="str">
            <v>IC1415</v>
          </cell>
        </row>
        <row r="102">
          <cell r="C102" t="str">
            <v>破旧的爪</v>
          </cell>
          <cell r="E102">
            <v>1</v>
          </cell>
          <cell r="F102">
            <v>1</v>
          </cell>
          <cell r="G102">
            <v>12</v>
          </cell>
          <cell r="J102">
            <v>0</v>
          </cell>
          <cell r="L102">
            <v>1</v>
          </cell>
          <cell r="M102" t="str">
            <v>IC1754</v>
          </cell>
        </row>
        <row r="103">
          <cell r="C103" t="str">
            <v>普通的爪</v>
          </cell>
          <cell r="E103">
            <v>1</v>
          </cell>
          <cell r="F103">
            <v>1</v>
          </cell>
          <cell r="G103">
            <v>12</v>
          </cell>
          <cell r="J103">
            <v>0</v>
          </cell>
          <cell r="L103">
            <v>2</v>
          </cell>
          <cell r="M103" t="str">
            <v>IC1758</v>
          </cell>
        </row>
        <row r="104">
          <cell r="C104" t="str">
            <v>初级的爪</v>
          </cell>
          <cell r="E104">
            <v>1</v>
          </cell>
          <cell r="F104">
            <v>1</v>
          </cell>
          <cell r="G104">
            <v>12</v>
          </cell>
          <cell r="J104">
            <v>0</v>
          </cell>
          <cell r="L104">
            <v>3</v>
          </cell>
          <cell r="M104" t="str">
            <v>IC1777</v>
          </cell>
        </row>
        <row r="105">
          <cell r="C105" t="str">
            <v>水晶爪</v>
          </cell>
          <cell r="E105">
            <v>1</v>
          </cell>
          <cell r="F105">
            <v>1</v>
          </cell>
          <cell r="G105">
            <v>12</v>
          </cell>
          <cell r="J105">
            <v>0</v>
          </cell>
          <cell r="L105">
            <v>4</v>
          </cell>
          <cell r="M105" t="str">
            <v>IC1776</v>
          </cell>
        </row>
        <row r="106">
          <cell r="C106" t="str">
            <v>青铜爪</v>
          </cell>
          <cell r="E106">
            <v>1</v>
          </cell>
          <cell r="F106">
            <v>1</v>
          </cell>
          <cell r="G106">
            <v>12</v>
          </cell>
          <cell r="J106">
            <v>0</v>
          </cell>
          <cell r="L106">
            <v>5</v>
          </cell>
          <cell r="M106" t="str">
            <v>IC1774</v>
          </cell>
        </row>
        <row r="107">
          <cell r="C107" t="str">
            <v>玄铁爪</v>
          </cell>
          <cell r="E107">
            <v>1</v>
          </cell>
          <cell r="F107">
            <v>1</v>
          </cell>
          <cell r="G107">
            <v>12</v>
          </cell>
          <cell r="J107">
            <v>0</v>
          </cell>
          <cell r="L107">
            <v>6</v>
          </cell>
          <cell r="M107" t="str">
            <v>IC1775</v>
          </cell>
        </row>
        <row r="108">
          <cell r="C108" t="str">
            <v>白银爪</v>
          </cell>
          <cell r="E108">
            <v>1</v>
          </cell>
          <cell r="F108">
            <v>1</v>
          </cell>
          <cell r="G108">
            <v>12</v>
          </cell>
          <cell r="J108">
            <v>0</v>
          </cell>
          <cell r="L108">
            <v>7</v>
          </cell>
          <cell r="M108" t="str">
            <v>IC1754</v>
          </cell>
        </row>
        <row r="109">
          <cell r="C109" t="str">
            <v>异灵爪</v>
          </cell>
          <cell r="E109">
            <v>1</v>
          </cell>
          <cell r="F109">
            <v>1</v>
          </cell>
          <cell r="G109">
            <v>12</v>
          </cell>
          <cell r="J109">
            <v>0</v>
          </cell>
          <cell r="L109">
            <v>8</v>
          </cell>
          <cell r="M109" t="str">
            <v>IC1758</v>
          </cell>
        </row>
        <row r="110">
          <cell r="C110" t="str">
            <v>流星爪</v>
          </cell>
          <cell r="E110">
            <v>1</v>
          </cell>
          <cell r="F110">
            <v>1</v>
          </cell>
          <cell r="G110">
            <v>12</v>
          </cell>
          <cell r="J110">
            <v>0</v>
          </cell>
          <cell r="L110">
            <v>9</v>
          </cell>
          <cell r="M110" t="str">
            <v>IC1777</v>
          </cell>
        </row>
        <row r="111">
          <cell r="C111" t="str">
            <v>破旧的剑</v>
          </cell>
          <cell r="E111">
            <v>1</v>
          </cell>
          <cell r="F111">
            <v>1</v>
          </cell>
          <cell r="G111">
            <v>13</v>
          </cell>
          <cell r="J111">
            <v>0</v>
          </cell>
          <cell r="L111">
            <v>1</v>
          </cell>
          <cell r="M111" t="str">
            <v>IC1207</v>
          </cell>
        </row>
        <row r="112">
          <cell r="C112" t="str">
            <v>普通的剑</v>
          </cell>
          <cell r="E112">
            <v>1</v>
          </cell>
          <cell r="F112">
            <v>1</v>
          </cell>
          <cell r="G112">
            <v>13</v>
          </cell>
          <cell r="J112">
            <v>0</v>
          </cell>
          <cell r="L112">
            <v>2</v>
          </cell>
          <cell r="M112" t="str">
            <v>IC1299</v>
          </cell>
        </row>
        <row r="113">
          <cell r="C113" t="str">
            <v>初级的剑</v>
          </cell>
          <cell r="E113">
            <v>1</v>
          </cell>
          <cell r="F113">
            <v>1</v>
          </cell>
          <cell r="G113">
            <v>13</v>
          </cell>
          <cell r="J113">
            <v>0</v>
          </cell>
          <cell r="L113">
            <v>3</v>
          </cell>
          <cell r="M113" t="str">
            <v>IC1201</v>
          </cell>
        </row>
        <row r="114">
          <cell r="C114" t="str">
            <v>水晶剑</v>
          </cell>
          <cell r="E114">
            <v>1</v>
          </cell>
          <cell r="F114">
            <v>1</v>
          </cell>
          <cell r="G114">
            <v>13</v>
          </cell>
          <cell r="J114">
            <v>0</v>
          </cell>
          <cell r="L114">
            <v>4</v>
          </cell>
          <cell r="M114" t="str">
            <v>IC1209</v>
          </cell>
        </row>
        <row r="115">
          <cell r="C115" t="str">
            <v>青铜剑</v>
          </cell>
          <cell r="E115">
            <v>1</v>
          </cell>
          <cell r="F115">
            <v>1</v>
          </cell>
          <cell r="G115">
            <v>13</v>
          </cell>
          <cell r="J115">
            <v>0</v>
          </cell>
          <cell r="L115">
            <v>5</v>
          </cell>
          <cell r="M115" t="str">
            <v>IC1225</v>
          </cell>
        </row>
        <row r="116">
          <cell r="C116" t="str">
            <v>玄铁剑</v>
          </cell>
          <cell r="E116">
            <v>1</v>
          </cell>
          <cell r="F116">
            <v>1</v>
          </cell>
          <cell r="G116">
            <v>13</v>
          </cell>
          <cell r="J116">
            <v>0</v>
          </cell>
          <cell r="L116">
            <v>6</v>
          </cell>
          <cell r="M116" t="str">
            <v>IC1226</v>
          </cell>
        </row>
        <row r="117">
          <cell r="C117" t="str">
            <v>白银剑</v>
          </cell>
          <cell r="E117">
            <v>1</v>
          </cell>
          <cell r="F117">
            <v>1</v>
          </cell>
          <cell r="G117">
            <v>13</v>
          </cell>
          <cell r="J117">
            <v>0</v>
          </cell>
          <cell r="L117">
            <v>7</v>
          </cell>
          <cell r="M117" t="str">
            <v>IC1207</v>
          </cell>
        </row>
        <row r="118">
          <cell r="C118" t="str">
            <v>异灵剑</v>
          </cell>
          <cell r="E118">
            <v>1</v>
          </cell>
          <cell r="F118">
            <v>1</v>
          </cell>
          <cell r="G118">
            <v>13</v>
          </cell>
          <cell r="J118">
            <v>0</v>
          </cell>
          <cell r="L118">
            <v>8</v>
          </cell>
          <cell r="M118" t="str">
            <v>IC1299</v>
          </cell>
        </row>
        <row r="119">
          <cell r="C119" t="str">
            <v>流星剑</v>
          </cell>
          <cell r="E119">
            <v>1</v>
          </cell>
          <cell r="F119">
            <v>1</v>
          </cell>
          <cell r="G119">
            <v>13</v>
          </cell>
          <cell r="J119">
            <v>0</v>
          </cell>
          <cell r="L119">
            <v>9</v>
          </cell>
          <cell r="M119" t="str">
            <v>IC1201</v>
          </cell>
        </row>
        <row r="120">
          <cell r="C120" t="str">
            <v>破旧的戒指</v>
          </cell>
          <cell r="E120">
            <v>1</v>
          </cell>
          <cell r="F120">
            <v>2</v>
          </cell>
          <cell r="G120">
            <v>14</v>
          </cell>
          <cell r="J120">
            <v>0</v>
          </cell>
          <cell r="L120">
            <v>1</v>
          </cell>
          <cell r="M120" t="str">
            <v>IC1851</v>
          </cell>
        </row>
        <row r="121">
          <cell r="C121" t="str">
            <v>普通的戒指</v>
          </cell>
          <cell r="E121">
            <v>1</v>
          </cell>
          <cell r="F121">
            <v>2</v>
          </cell>
          <cell r="G121">
            <v>14</v>
          </cell>
          <cell r="J121">
            <v>0</v>
          </cell>
          <cell r="L121">
            <v>2</v>
          </cell>
          <cell r="M121" t="str">
            <v>IC1853</v>
          </cell>
        </row>
        <row r="122">
          <cell r="C122" t="str">
            <v>初级的戒指</v>
          </cell>
          <cell r="E122">
            <v>1</v>
          </cell>
          <cell r="F122">
            <v>2</v>
          </cell>
          <cell r="G122">
            <v>14</v>
          </cell>
          <cell r="J122">
            <v>0</v>
          </cell>
          <cell r="L122">
            <v>3</v>
          </cell>
          <cell r="M122" t="str">
            <v>IC1857</v>
          </cell>
        </row>
        <row r="123">
          <cell r="C123" t="str">
            <v>水晶戒指</v>
          </cell>
          <cell r="E123">
            <v>1</v>
          </cell>
          <cell r="F123">
            <v>2</v>
          </cell>
          <cell r="G123">
            <v>14</v>
          </cell>
          <cell r="J123">
            <v>0</v>
          </cell>
          <cell r="L123">
            <v>4</v>
          </cell>
          <cell r="M123" t="str">
            <v>IC1903</v>
          </cell>
        </row>
        <row r="124">
          <cell r="C124" t="str">
            <v>青铜戒指</v>
          </cell>
          <cell r="E124">
            <v>1</v>
          </cell>
          <cell r="F124">
            <v>2</v>
          </cell>
          <cell r="G124">
            <v>14</v>
          </cell>
          <cell r="J124">
            <v>0</v>
          </cell>
          <cell r="L124">
            <v>5</v>
          </cell>
          <cell r="M124" t="str">
            <v>IC1929</v>
          </cell>
        </row>
        <row r="125">
          <cell r="C125" t="str">
            <v>玄铁戒指</v>
          </cell>
          <cell r="E125">
            <v>1</v>
          </cell>
          <cell r="F125">
            <v>2</v>
          </cell>
          <cell r="G125">
            <v>14</v>
          </cell>
          <cell r="J125">
            <v>0</v>
          </cell>
          <cell r="L125">
            <v>6</v>
          </cell>
          <cell r="M125" t="str">
            <v>IC1851</v>
          </cell>
        </row>
        <row r="126">
          <cell r="C126" t="str">
            <v>白银戒指</v>
          </cell>
          <cell r="E126">
            <v>1</v>
          </cell>
          <cell r="F126">
            <v>2</v>
          </cell>
          <cell r="G126">
            <v>14</v>
          </cell>
          <cell r="J126">
            <v>0</v>
          </cell>
          <cell r="L126">
            <v>7</v>
          </cell>
          <cell r="M126" t="str">
            <v>IC1853</v>
          </cell>
        </row>
        <row r="127">
          <cell r="C127" t="str">
            <v>异灵戒指</v>
          </cell>
          <cell r="E127">
            <v>1</v>
          </cell>
          <cell r="F127">
            <v>2</v>
          </cell>
          <cell r="G127">
            <v>14</v>
          </cell>
          <cell r="J127">
            <v>0</v>
          </cell>
          <cell r="L127">
            <v>8</v>
          </cell>
          <cell r="M127" t="str">
            <v>IC1857</v>
          </cell>
        </row>
        <row r="128">
          <cell r="C128" t="str">
            <v>流星戒指</v>
          </cell>
          <cell r="E128">
            <v>1</v>
          </cell>
          <cell r="F128">
            <v>2</v>
          </cell>
          <cell r="G128">
            <v>14</v>
          </cell>
          <cell r="J128">
            <v>0</v>
          </cell>
          <cell r="L128">
            <v>9</v>
          </cell>
          <cell r="M128" t="str">
            <v>IC1903</v>
          </cell>
        </row>
        <row r="129">
          <cell r="C129" t="str">
            <v>破旧的项链</v>
          </cell>
          <cell r="E129">
            <v>1</v>
          </cell>
          <cell r="F129">
            <v>3</v>
          </cell>
          <cell r="G129">
            <v>15</v>
          </cell>
          <cell r="J129">
            <v>0</v>
          </cell>
          <cell r="L129">
            <v>1</v>
          </cell>
          <cell r="M129" t="str">
            <v>IC1880</v>
          </cell>
        </row>
        <row r="130">
          <cell r="C130" t="str">
            <v>普通的项链</v>
          </cell>
          <cell r="E130">
            <v>1</v>
          </cell>
          <cell r="F130">
            <v>3</v>
          </cell>
          <cell r="G130">
            <v>15</v>
          </cell>
          <cell r="J130">
            <v>0</v>
          </cell>
          <cell r="L130">
            <v>2</v>
          </cell>
          <cell r="M130" t="str">
            <v>IC1882</v>
          </cell>
        </row>
        <row r="131">
          <cell r="C131" t="str">
            <v>初级的项链</v>
          </cell>
          <cell r="E131">
            <v>1</v>
          </cell>
          <cell r="F131">
            <v>3</v>
          </cell>
          <cell r="G131">
            <v>15</v>
          </cell>
          <cell r="J131">
            <v>0</v>
          </cell>
          <cell r="L131">
            <v>3</v>
          </cell>
          <cell r="M131" t="str">
            <v>ICe930</v>
          </cell>
        </row>
        <row r="132">
          <cell r="C132" t="str">
            <v>水晶项链</v>
          </cell>
          <cell r="E132">
            <v>1</v>
          </cell>
          <cell r="F132">
            <v>3</v>
          </cell>
          <cell r="G132">
            <v>15</v>
          </cell>
          <cell r="J132">
            <v>0</v>
          </cell>
          <cell r="L132">
            <v>4</v>
          </cell>
          <cell r="M132" t="str">
            <v>IC1925</v>
          </cell>
        </row>
        <row r="133">
          <cell r="C133" t="str">
            <v>青铜项链</v>
          </cell>
          <cell r="E133">
            <v>1</v>
          </cell>
          <cell r="F133">
            <v>3</v>
          </cell>
          <cell r="G133">
            <v>15</v>
          </cell>
          <cell r="J133">
            <v>0</v>
          </cell>
          <cell r="L133">
            <v>5</v>
          </cell>
          <cell r="M133" t="str">
            <v>IC1889</v>
          </cell>
        </row>
        <row r="134">
          <cell r="C134" t="str">
            <v>玄铁项链</v>
          </cell>
          <cell r="E134">
            <v>1</v>
          </cell>
          <cell r="F134">
            <v>3</v>
          </cell>
          <cell r="G134">
            <v>15</v>
          </cell>
          <cell r="J134">
            <v>0</v>
          </cell>
          <cell r="L134">
            <v>6</v>
          </cell>
          <cell r="M134" t="str">
            <v>IC1883</v>
          </cell>
        </row>
        <row r="135">
          <cell r="C135" t="str">
            <v>白银项链</v>
          </cell>
          <cell r="E135">
            <v>1</v>
          </cell>
          <cell r="F135">
            <v>3</v>
          </cell>
          <cell r="G135">
            <v>15</v>
          </cell>
          <cell r="J135">
            <v>0</v>
          </cell>
          <cell r="L135">
            <v>7</v>
          </cell>
          <cell r="M135" t="str">
            <v>IC1889</v>
          </cell>
        </row>
        <row r="136">
          <cell r="C136" t="str">
            <v>异灵项链</v>
          </cell>
          <cell r="E136">
            <v>1</v>
          </cell>
          <cell r="F136">
            <v>3</v>
          </cell>
          <cell r="G136">
            <v>15</v>
          </cell>
          <cell r="J136">
            <v>0</v>
          </cell>
          <cell r="L136">
            <v>8</v>
          </cell>
          <cell r="M136" t="str">
            <v>IC1880</v>
          </cell>
        </row>
        <row r="137">
          <cell r="C137" t="str">
            <v>流星项链</v>
          </cell>
          <cell r="E137">
            <v>1</v>
          </cell>
          <cell r="F137">
            <v>3</v>
          </cell>
          <cell r="G137">
            <v>15</v>
          </cell>
          <cell r="J137">
            <v>0</v>
          </cell>
          <cell r="L137">
            <v>9</v>
          </cell>
          <cell r="M137" t="str">
            <v>IC1882</v>
          </cell>
        </row>
        <row r="138">
          <cell r="C138" t="str">
            <v>学徒颓废锤</v>
          </cell>
          <cell r="E138">
            <v>2</v>
          </cell>
          <cell r="F138">
            <v>1</v>
          </cell>
          <cell r="G138">
            <v>1</v>
          </cell>
          <cell r="J138">
            <v>0</v>
          </cell>
          <cell r="L138">
            <v>1</v>
          </cell>
          <cell r="M138" t="str">
            <v>IC1002</v>
          </cell>
        </row>
        <row r="139">
          <cell r="C139" t="str">
            <v>专家玄铁锤</v>
          </cell>
          <cell r="E139">
            <v>2</v>
          </cell>
          <cell r="F139">
            <v>1</v>
          </cell>
          <cell r="G139">
            <v>1</v>
          </cell>
          <cell r="J139">
            <v>0</v>
          </cell>
          <cell r="L139">
            <v>2</v>
          </cell>
          <cell r="M139" t="str">
            <v>IC1080</v>
          </cell>
        </row>
        <row r="140">
          <cell r="C140" t="str">
            <v>大师水晶锤</v>
          </cell>
          <cell r="E140">
            <v>2</v>
          </cell>
          <cell r="F140">
            <v>1</v>
          </cell>
          <cell r="G140">
            <v>1</v>
          </cell>
          <cell r="J140">
            <v>0</v>
          </cell>
          <cell r="L140">
            <v>3</v>
          </cell>
          <cell r="M140" t="str">
            <v>IC1001</v>
          </cell>
        </row>
        <row r="141">
          <cell r="C141" t="str">
            <v>宗师精钢锤</v>
          </cell>
          <cell r="E141">
            <v>2</v>
          </cell>
          <cell r="F141">
            <v>1</v>
          </cell>
          <cell r="G141">
            <v>1</v>
          </cell>
          <cell r="J141">
            <v>0</v>
          </cell>
          <cell r="L141">
            <v>4</v>
          </cell>
          <cell r="M141" t="str">
            <v>IC1006</v>
          </cell>
        </row>
        <row r="142">
          <cell r="C142" t="str">
            <v>显赫白银锤</v>
          </cell>
          <cell r="E142">
            <v>2</v>
          </cell>
          <cell r="F142">
            <v>1</v>
          </cell>
          <cell r="G142">
            <v>1</v>
          </cell>
          <cell r="J142">
            <v>0</v>
          </cell>
          <cell r="L142">
            <v>5</v>
          </cell>
          <cell r="M142" t="str">
            <v>IC1002</v>
          </cell>
        </row>
        <row r="143">
          <cell r="C143" t="str">
            <v>尊荣虚幻锤</v>
          </cell>
          <cell r="E143">
            <v>2</v>
          </cell>
          <cell r="F143">
            <v>1</v>
          </cell>
          <cell r="G143">
            <v>1</v>
          </cell>
          <cell r="J143">
            <v>0</v>
          </cell>
          <cell r="L143">
            <v>6</v>
          </cell>
          <cell r="M143" t="str">
            <v>IC1080</v>
          </cell>
        </row>
        <row r="144">
          <cell r="C144" t="str">
            <v>至尊歌德锤</v>
          </cell>
          <cell r="E144">
            <v>2</v>
          </cell>
          <cell r="F144">
            <v>1</v>
          </cell>
          <cell r="G144">
            <v>1</v>
          </cell>
          <cell r="J144">
            <v>0</v>
          </cell>
          <cell r="L144">
            <v>7</v>
          </cell>
          <cell r="M144" t="str">
            <v>IC1001</v>
          </cell>
        </row>
        <row r="145">
          <cell r="C145" t="str">
            <v>绝旨空灵锤</v>
          </cell>
          <cell r="E145">
            <v>2</v>
          </cell>
          <cell r="F145">
            <v>1</v>
          </cell>
          <cell r="G145">
            <v>1</v>
          </cell>
          <cell r="J145">
            <v>0</v>
          </cell>
          <cell r="L145">
            <v>8</v>
          </cell>
          <cell r="M145" t="str">
            <v>IC1006</v>
          </cell>
        </row>
        <row r="146">
          <cell r="C146" t="str">
            <v>天工混乱锤</v>
          </cell>
          <cell r="E146">
            <v>2</v>
          </cell>
          <cell r="F146">
            <v>1</v>
          </cell>
          <cell r="G146">
            <v>1</v>
          </cell>
          <cell r="J146">
            <v>0</v>
          </cell>
          <cell r="L146">
            <v>9</v>
          </cell>
          <cell r="M146" t="str">
            <v>IC1002</v>
          </cell>
        </row>
        <row r="147">
          <cell r="C147" t="str">
            <v>学徒颓废刀</v>
          </cell>
          <cell r="E147">
            <v>2</v>
          </cell>
          <cell r="F147">
            <v>1</v>
          </cell>
          <cell r="G147">
            <v>2</v>
          </cell>
          <cell r="J147">
            <v>0</v>
          </cell>
          <cell r="L147">
            <v>1</v>
          </cell>
          <cell r="M147" t="str">
            <v>IC1230</v>
          </cell>
        </row>
        <row r="148">
          <cell r="C148" t="str">
            <v>专家玄铁刀</v>
          </cell>
          <cell r="E148">
            <v>2</v>
          </cell>
          <cell r="F148">
            <v>1</v>
          </cell>
          <cell r="G148">
            <v>2</v>
          </cell>
          <cell r="J148">
            <v>0</v>
          </cell>
          <cell r="L148">
            <v>2</v>
          </cell>
          <cell r="M148" t="str">
            <v>IC1280</v>
          </cell>
        </row>
        <row r="149">
          <cell r="C149" t="str">
            <v>大师水晶刀</v>
          </cell>
          <cell r="E149">
            <v>2</v>
          </cell>
          <cell r="F149">
            <v>1</v>
          </cell>
          <cell r="G149">
            <v>2</v>
          </cell>
          <cell r="J149">
            <v>0</v>
          </cell>
          <cell r="L149">
            <v>3</v>
          </cell>
          <cell r="M149" t="str">
            <v>IC1243</v>
          </cell>
        </row>
        <row r="150">
          <cell r="C150" t="str">
            <v>宗师精钢刀</v>
          </cell>
          <cell r="E150">
            <v>2</v>
          </cell>
          <cell r="F150">
            <v>1</v>
          </cell>
          <cell r="G150">
            <v>2</v>
          </cell>
          <cell r="J150">
            <v>0</v>
          </cell>
          <cell r="L150">
            <v>4</v>
          </cell>
          <cell r="M150" t="str">
            <v>IC1201</v>
          </cell>
        </row>
        <row r="151">
          <cell r="C151" t="str">
            <v>显赫白银刀</v>
          </cell>
          <cell r="E151">
            <v>2</v>
          </cell>
          <cell r="F151">
            <v>1</v>
          </cell>
          <cell r="G151">
            <v>2</v>
          </cell>
          <cell r="J151">
            <v>0</v>
          </cell>
          <cell r="L151">
            <v>5</v>
          </cell>
          <cell r="M151" t="str">
            <v>IC1213</v>
          </cell>
        </row>
        <row r="152">
          <cell r="C152" t="str">
            <v>尊荣虚幻刀</v>
          </cell>
          <cell r="E152">
            <v>2</v>
          </cell>
          <cell r="F152">
            <v>1</v>
          </cell>
          <cell r="G152">
            <v>2</v>
          </cell>
          <cell r="J152">
            <v>0</v>
          </cell>
          <cell r="L152">
            <v>6</v>
          </cell>
          <cell r="M152" t="str">
            <v>IC1280</v>
          </cell>
        </row>
        <row r="153">
          <cell r="C153" t="str">
            <v>至尊歌德刀</v>
          </cell>
          <cell r="E153">
            <v>2</v>
          </cell>
          <cell r="F153">
            <v>1</v>
          </cell>
          <cell r="G153">
            <v>2</v>
          </cell>
          <cell r="J153">
            <v>0</v>
          </cell>
          <cell r="L153">
            <v>7</v>
          </cell>
          <cell r="M153" t="str">
            <v>IC1243</v>
          </cell>
        </row>
        <row r="154">
          <cell r="C154" t="str">
            <v>绝旨空灵刀</v>
          </cell>
          <cell r="E154">
            <v>2</v>
          </cell>
          <cell r="F154">
            <v>1</v>
          </cell>
          <cell r="G154">
            <v>2</v>
          </cell>
          <cell r="J154">
            <v>0</v>
          </cell>
          <cell r="L154">
            <v>8</v>
          </cell>
          <cell r="M154" t="str">
            <v>IC1201</v>
          </cell>
        </row>
        <row r="155">
          <cell r="C155" t="str">
            <v>天工混乱刀</v>
          </cell>
          <cell r="E155">
            <v>2</v>
          </cell>
          <cell r="F155">
            <v>1</v>
          </cell>
          <cell r="G155">
            <v>2</v>
          </cell>
          <cell r="J155">
            <v>0</v>
          </cell>
          <cell r="L155">
            <v>9</v>
          </cell>
          <cell r="M155" t="str">
            <v>IC1213</v>
          </cell>
        </row>
        <row r="156">
          <cell r="C156" t="str">
            <v>学徒颓废拳套</v>
          </cell>
          <cell r="E156">
            <v>2</v>
          </cell>
          <cell r="F156">
            <v>1</v>
          </cell>
          <cell r="G156">
            <v>3</v>
          </cell>
          <cell r="J156">
            <v>0</v>
          </cell>
          <cell r="L156">
            <v>1</v>
          </cell>
          <cell r="M156" t="str">
            <v>IC1510</v>
          </cell>
        </row>
        <row r="157">
          <cell r="C157" t="str">
            <v>专家玄铁拳套</v>
          </cell>
          <cell r="E157">
            <v>2</v>
          </cell>
          <cell r="F157">
            <v>1</v>
          </cell>
          <cell r="G157">
            <v>3</v>
          </cell>
          <cell r="J157">
            <v>0</v>
          </cell>
          <cell r="L157">
            <v>2</v>
          </cell>
          <cell r="M157" t="str">
            <v>IC1513</v>
          </cell>
        </row>
        <row r="158">
          <cell r="C158" t="str">
            <v>大师水晶拳套</v>
          </cell>
          <cell r="E158">
            <v>2</v>
          </cell>
          <cell r="F158">
            <v>1</v>
          </cell>
          <cell r="G158">
            <v>3</v>
          </cell>
          <cell r="J158">
            <v>0</v>
          </cell>
          <cell r="L158">
            <v>3</v>
          </cell>
          <cell r="M158" t="str">
            <v>IC1517</v>
          </cell>
        </row>
        <row r="159">
          <cell r="C159" t="str">
            <v>宗师精钢拳套</v>
          </cell>
          <cell r="E159">
            <v>2</v>
          </cell>
          <cell r="F159">
            <v>1</v>
          </cell>
          <cell r="G159">
            <v>3</v>
          </cell>
          <cell r="J159">
            <v>0</v>
          </cell>
          <cell r="L159">
            <v>4</v>
          </cell>
          <cell r="M159" t="str">
            <v>IC1522</v>
          </cell>
        </row>
        <row r="160">
          <cell r="C160" t="str">
            <v>显赫白银拳套</v>
          </cell>
          <cell r="E160">
            <v>2</v>
          </cell>
          <cell r="F160">
            <v>1</v>
          </cell>
          <cell r="G160">
            <v>3</v>
          </cell>
          <cell r="J160">
            <v>0</v>
          </cell>
          <cell r="L160">
            <v>5</v>
          </cell>
          <cell r="M160" t="str">
            <v>IC1526</v>
          </cell>
        </row>
        <row r="161">
          <cell r="C161" t="str">
            <v>尊荣虚幻拳套</v>
          </cell>
          <cell r="E161">
            <v>2</v>
          </cell>
          <cell r="F161">
            <v>1</v>
          </cell>
          <cell r="G161">
            <v>3</v>
          </cell>
          <cell r="J161">
            <v>0</v>
          </cell>
          <cell r="L161">
            <v>6</v>
          </cell>
          <cell r="M161" t="str">
            <v>IC1537</v>
          </cell>
        </row>
        <row r="162">
          <cell r="C162" t="str">
            <v>至尊歌德拳套</v>
          </cell>
          <cell r="E162">
            <v>2</v>
          </cell>
          <cell r="F162">
            <v>1</v>
          </cell>
          <cell r="G162">
            <v>3</v>
          </cell>
          <cell r="J162">
            <v>0</v>
          </cell>
          <cell r="L162">
            <v>7</v>
          </cell>
          <cell r="M162" t="str">
            <v>IC1517</v>
          </cell>
        </row>
        <row r="163">
          <cell r="C163" t="str">
            <v>绝旨空灵拳套</v>
          </cell>
          <cell r="E163">
            <v>2</v>
          </cell>
          <cell r="F163">
            <v>1</v>
          </cell>
          <cell r="G163">
            <v>3</v>
          </cell>
          <cell r="J163">
            <v>0</v>
          </cell>
          <cell r="L163">
            <v>8</v>
          </cell>
          <cell r="M163" t="str">
            <v>IC1522</v>
          </cell>
        </row>
        <row r="164">
          <cell r="C164" t="str">
            <v>天工混乱拳套</v>
          </cell>
          <cell r="E164">
            <v>2</v>
          </cell>
          <cell r="F164">
            <v>1</v>
          </cell>
          <cell r="G164">
            <v>3</v>
          </cell>
          <cell r="J164">
            <v>0</v>
          </cell>
          <cell r="L164">
            <v>9</v>
          </cell>
          <cell r="M164" t="str">
            <v>IC1526</v>
          </cell>
        </row>
        <row r="165">
          <cell r="C165" t="str">
            <v>学徒颓废枪</v>
          </cell>
          <cell r="E165">
            <v>2</v>
          </cell>
          <cell r="F165">
            <v>1</v>
          </cell>
          <cell r="G165">
            <v>4</v>
          </cell>
          <cell r="J165">
            <v>0</v>
          </cell>
          <cell r="L165">
            <v>1</v>
          </cell>
          <cell r="M165" t="str">
            <v>IC1651</v>
          </cell>
        </row>
        <row r="166">
          <cell r="C166" t="str">
            <v>专家玄铁枪</v>
          </cell>
          <cell r="E166">
            <v>2</v>
          </cell>
          <cell r="F166">
            <v>1</v>
          </cell>
          <cell r="G166">
            <v>4</v>
          </cell>
          <cell r="J166">
            <v>0</v>
          </cell>
          <cell r="L166">
            <v>2</v>
          </cell>
          <cell r="M166" t="str">
            <v>IC1650</v>
          </cell>
        </row>
        <row r="167">
          <cell r="C167" t="str">
            <v>大师水晶枪</v>
          </cell>
          <cell r="E167">
            <v>2</v>
          </cell>
          <cell r="F167">
            <v>1</v>
          </cell>
          <cell r="G167">
            <v>4</v>
          </cell>
          <cell r="J167">
            <v>0</v>
          </cell>
          <cell r="L167">
            <v>3</v>
          </cell>
          <cell r="M167" t="str">
            <v>IC1655</v>
          </cell>
        </row>
        <row r="168">
          <cell r="C168" t="str">
            <v>宗师精钢枪</v>
          </cell>
          <cell r="E168">
            <v>2</v>
          </cell>
          <cell r="F168">
            <v>1</v>
          </cell>
          <cell r="G168">
            <v>4</v>
          </cell>
          <cell r="J168">
            <v>0</v>
          </cell>
          <cell r="L168">
            <v>4</v>
          </cell>
          <cell r="M168" t="str">
            <v>IC1665</v>
          </cell>
        </row>
        <row r="169">
          <cell r="C169" t="str">
            <v>显赫白银枪</v>
          </cell>
          <cell r="E169">
            <v>2</v>
          </cell>
          <cell r="F169">
            <v>1</v>
          </cell>
          <cell r="G169">
            <v>4</v>
          </cell>
          <cell r="J169">
            <v>0</v>
          </cell>
          <cell r="L169">
            <v>5</v>
          </cell>
          <cell r="M169" t="str">
            <v>IC1670</v>
          </cell>
        </row>
        <row r="170">
          <cell r="C170" t="str">
            <v>尊荣虚幻枪</v>
          </cell>
          <cell r="E170">
            <v>2</v>
          </cell>
          <cell r="F170">
            <v>1</v>
          </cell>
          <cell r="G170">
            <v>4</v>
          </cell>
          <cell r="J170">
            <v>0</v>
          </cell>
          <cell r="L170">
            <v>6</v>
          </cell>
          <cell r="M170" t="str">
            <v>IC1651</v>
          </cell>
        </row>
        <row r="171">
          <cell r="C171" t="str">
            <v>至尊歌德枪</v>
          </cell>
          <cell r="E171">
            <v>2</v>
          </cell>
          <cell r="F171">
            <v>1</v>
          </cell>
          <cell r="G171">
            <v>4</v>
          </cell>
          <cell r="J171">
            <v>0</v>
          </cell>
          <cell r="L171">
            <v>7</v>
          </cell>
          <cell r="M171" t="str">
            <v>IC1650</v>
          </cell>
        </row>
        <row r="172">
          <cell r="C172" t="str">
            <v>绝旨空灵枪</v>
          </cell>
          <cell r="E172">
            <v>2</v>
          </cell>
          <cell r="F172">
            <v>1</v>
          </cell>
          <cell r="G172">
            <v>4</v>
          </cell>
          <cell r="J172">
            <v>0</v>
          </cell>
          <cell r="L172">
            <v>8</v>
          </cell>
          <cell r="M172" t="str">
            <v>IC1655</v>
          </cell>
        </row>
        <row r="173">
          <cell r="C173" t="str">
            <v>天工混乱枪</v>
          </cell>
          <cell r="E173">
            <v>2</v>
          </cell>
          <cell r="F173">
            <v>1</v>
          </cell>
          <cell r="G173">
            <v>4</v>
          </cell>
          <cell r="J173">
            <v>0</v>
          </cell>
          <cell r="L173">
            <v>9</v>
          </cell>
          <cell r="M173" t="str">
            <v>IC1665</v>
          </cell>
        </row>
        <row r="174">
          <cell r="C174" t="str">
            <v>学徒颓废镰刀</v>
          </cell>
          <cell r="E174">
            <v>2</v>
          </cell>
          <cell r="F174">
            <v>1</v>
          </cell>
          <cell r="G174">
            <v>5</v>
          </cell>
          <cell r="J174">
            <v>0</v>
          </cell>
          <cell r="L174">
            <v>1</v>
          </cell>
          <cell r="M174" t="str">
            <v>IC1708</v>
          </cell>
        </row>
        <row r="175">
          <cell r="C175" t="str">
            <v>专家玄铁镰刀</v>
          </cell>
          <cell r="E175">
            <v>2</v>
          </cell>
          <cell r="F175">
            <v>1</v>
          </cell>
          <cell r="G175">
            <v>5</v>
          </cell>
          <cell r="J175">
            <v>0</v>
          </cell>
          <cell r="L175">
            <v>2</v>
          </cell>
          <cell r="M175" t="str">
            <v>IC1703</v>
          </cell>
        </row>
        <row r="176">
          <cell r="C176" t="str">
            <v>大师水晶镰刀</v>
          </cell>
          <cell r="E176">
            <v>2</v>
          </cell>
          <cell r="F176">
            <v>1</v>
          </cell>
          <cell r="G176">
            <v>5</v>
          </cell>
          <cell r="J176">
            <v>0</v>
          </cell>
          <cell r="L176">
            <v>3</v>
          </cell>
          <cell r="M176" t="str">
            <v>IC1714</v>
          </cell>
        </row>
        <row r="177">
          <cell r="C177" t="str">
            <v>宗师精钢镰刀</v>
          </cell>
          <cell r="E177">
            <v>2</v>
          </cell>
          <cell r="F177">
            <v>1</v>
          </cell>
          <cell r="G177">
            <v>5</v>
          </cell>
          <cell r="J177">
            <v>0</v>
          </cell>
          <cell r="L177">
            <v>4</v>
          </cell>
          <cell r="M177" t="str">
            <v>IC1710</v>
          </cell>
        </row>
        <row r="178">
          <cell r="C178" t="str">
            <v>显赫白银镰刀</v>
          </cell>
          <cell r="E178">
            <v>2</v>
          </cell>
          <cell r="F178">
            <v>1</v>
          </cell>
          <cell r="G178">
            <v>5</v>
          </cell>
          <cell r="J178">
            <v>0</v>
          </cell>
          <cell r="L178">
            <v>5</v>
          </cell>
          <cell r="M178" t="str">
            <v>IC1702</v>
          </cell>
        </row>
        <row r="179">
          <cell r="C179" t="str">
            <v>尊荣虚幻镰刀</v>
          </cell>
          <cell r="E179">
            <v>2</v>
          </cell>
          <cell r="F179">
            <v>1</v>
          </cell>
          <cell r="G179">
            <v>5</v>
          </cell>
          <cell r="J179">
            <v>0</v>
          </cell>
          <cell r="L179">
            <v>6</v>
          </cell>
          <cell r="M179" t="str">
            <v>IC1708</v>
          </cell>
        </row>
        <row r="180">
          <cell r="C180" t="str">
            <v>至尊歌德镰刀</v>
          </cell>
          <cell r="E180">
            <v>2</v>
          </cell>
          <cell r="F180">
            <v>1</v>
          </cell>
          <cell r="G180">
            <v>5</v>
          </cell>
          <cell r="J180">
            <v>0</v>
          </cell>
          <cell r="L180">
            <v>7</v>
          </cell>
          <cell r="M180" t="str">
            <v>IC1703</v>
          </cell>
        </row>
        <row r="181">
          <cell r="C181" t="str">
            <v>绝旨空灵镰刀</v>
          </cell>
          <cell r="E181">
            <v>2</v>
          </cell>
          <cell r="F181">
            <v>1</v>
          </cell>
          <cell r="G181">
            <v>5</v>
          </cell>
          <cell r="J181">
            <v>0</v>
          </cell>
          <cell r="L181">
            <v>8</v>
          </cell>
          <cell r="M181" t="str">
            <v>IC1702</v>
          </cell>
        </row>
        <row r="182">
          <cell r="C182" t="str">
            <v>天工混乱镰刀</v>
          </cell>
          <cell r="E182">
            <v>2</v>
          </cell>
          <cell r="F182">
            <v>1</v>
          </cell>
          <cell r="G182">
            <v>5</v>
          </cell>
          <cell r="J182">
            <v>0</v>
          </cell>
          <cell r="L182">
            <v>9</v>
          </cell>
          <cell r="M182" t="str">
            <v>IC1708</v>
          </cell>
        </row>
        <row r="183">
          <cell r="C183" t="str">
            <v>学徒颓废法杖</v>
          </cell>
          <cell r="E183">
            <v>2</v>
          </cell>
          <cell r="F183">
            <v>1</v>
          </cell>
          <cell r="G183">
            <v>6</v>
          </cell>
          <cell r="J183">
            <v>0</v>
          </cell>
          <cell r="L183">
            <v>1</v>
          </cell>
          <cell r="M183" t="str">
            <v>IC1107</v>
          </cell>
        </row>
        <row r="184">
          <cell r="C184" t="str">
            <v>专家玄铁法杖</v>
          </cell>
          <cell r="E184">
            <v>2</v>
          </cell>
          <cell r="F184">
            <v>1</v>
          </cell>
          <cell r="G184">
            <v>6</v>
          </cell>
          <cell r="J184">
            <v>0</v>
          </cell>
          <cell r="L184">
            <v>2</v>
          </cell>
          <cell r="M184" t="str">
            <v>IC1109</v>
          </cell>
        </row>
        <row r="185">
          <cell r="C185" t="str">
            <v>大师水晶法杖</v>
          </cell>
          <cell r="E185">
            <v>2</v>
          </cell>
          <cell r="F185">
            <v>1</v>
          </cell>
          <cell r="G185">
            <v>6</v>
          </cell>
          <cell r="J185">
            <v>0</v>
          </cell>
          <cell r="L185">
            <v>3</v>
          </cell>
          <cell r="M185" t="str">
            <v>IC1121</v>
          </cell>
        </row>
        <row r="186">
          <cell r="C186" t="str">
            <v>宗师精钢法杖</v>
          </cell>
          <cell r="E186">
            <v>2</v>
          </cell>
          <cell r="F186">
            <v>1</v>
          </cell>
          <cell r="G186">
            <v>6</v>
          </cell>
          <cell r="J186">
            <v>0</v>
          </cell>
          <cell r="L186">
            <v>4</v>
          </cell>
          <cell r="M186" t="str">
            <v>IC1123</v>
          </cell>
        </row>
        <row r="187">
          <cell r="C187" t="str">
            <v>显赫白银法杖</v>
          </cell>
          <cell r="E187">
            <v>2</v>
          </cell>
          <cell r="F187">
            <v>1</v>
          </cell>
          <cell r="G187">
            <v>6</v>
          </cell>
          <cell r="J187">
            <v>0</v>
          </cell>
          <cell r="L187">
            <v>5</v>
          </cell>
          <cell r="M187" t="str">
            <v>IC1124</v>
          </cell>
        </row>
        <row r="188">
          <cell r="C188" t="str">
            <v>尊荣虚幻法杖</v>
          </cell>
          <cell r="E188">
            <v>2</v>
          </cell>
          <cell r="F188">
            <v>1</v>
          </cell>
          <cell r="G188">
            <v>6</v>
          </cell>
          <cell r="J188">
            <v>0</v>
          </cell>
          <cell r="L188">
            <v>6</v>
          </cell>
          <cell r="M188" t="str">
            <v>IC1128</v>
          </cell>
        </row>
        <row r="189">
          <cell r="C189" t="str">
            <v>至尊歌德法杖</v>
          </cell>
          <cell r="E189">
            <v>2</v>
          </cell>
          <cell r="F189">
            <v>1</v>
          </cell>
          <cell r="G189">
            <v>6</v>
          </cell>
          <cell r="J189">
            <v>0</v>
          </cell>
          <cell r="L189">
            <v>7</v>
          </cell>
          <cell r="M189" t="str">
            <v>IC1109</v>
          </cell>
        </row>
        <row r="190">
          <cell r="C190" t="str">
            <v>绝旨空灵法杖</v>
          </cell>
          <cell r="E190">
            <v>2</v>
          </cell>
          <cell r="F190">
            <v>1</v>
          </cell>
          <cell r="G190">
            <v>6</v>
          </cell>
          <cell r="J190">
            <v>0</v>
          </cell>
          <cell r="L190">
            <v>8</v>
          </cell>
          <cell r="M190" t="str">
            <v>IC1121</v>
          </cell>
        </row>
        <row r="191">
          <cell r="C191" t="str">
            <v>天工混乱法杖</v>
          </cell>
          <cell r="E191">
            <v>2</v>
          </cell>
          <cell r="F191">
            <v>1</v>
          </cell>
          <cell r="G191">
            <v>6</v>
          </cell>
          <cell r="J191">
            <v>0</v>
          </cell>
          <cell r="L191">
            <v>9</v>
          </cell>
          <cell r="M191" t="str">
            <v>IC1123</v>
          </cell>
        </row>
        <row r="192">
          <cell r="C192" t="str">
            <v>学徒颓废弓</v>
          </cell>
          <cell r="E192">
            <v>2</v>
          </cell>
          <cell r="F192">
            <v>1</v>
          </cell>
          <cell r="G192">
            <v>7</v>
          </cell>
          <cell r="J192">
            <v>0</v>
          </cell>
          <cell r="L192">
            <v>1</v>
          </cell>
          <cell r="M192" t="str">
            <v>IC1318</v>
          </cell>
        </row>
        <row r="193">
          <cell r="C193" t="str">
            <v>专家玄铁弓</v>
          </cell>
          <cell r="E193">
            <v>2</v>
          </cell>
          <cell r="F193">
            <v>1</v>
          </cell>
          <cell r="G193">
            <v>7</v>
          </cell>
          <cell r="J193">
            <v>0</v>
          </cell>
          <cell r="L193">
            <v>2</v>
          </cell>
          <cell r="M193" t="str">
            <v>IC1359</v>
          </cell>
        </row>
        <row r="194">
          <cell r="C194" t="str">
            <v>大师水晶弓</v>
          </cell>
          <cell r="E194">
            <v>2</v>
          </cell>
          <cell r="F194">
            <v>1</v>
          </cell>
          <cell r="G194">
            <v>7</v>
          </cell>
          <cell r="J194">
            <v>0</v>
          </cell>
          <cell r="L194">
            <v>3</v>
          </cell>
          <cell r="M194" t="str">
            <v>IC1340</v>
          </cell>
        </row>
        <row r="195">
          <cell r="C195" t="str">
            <v>宗师精钢弓</v>
          </cell>
          <cell r="E195">
            <v>2</v>
          </cell>
          <cell r="F195">
            <v>1</v>
          </cell>
          <cell r="G195">
            <v>7</v>
          </cell>
          <cell r="J195">
            <v>0</v>
          </cell>
          <cell r="L195">
            <v>4</v>
          </cell>
          <cell r="M195" t="str">
            <v>IC1341</v>
          </cell>
        </row>
        <row r="196">
          <cell r="C196" t="str">
            <v>显赫白银弓</v>
          </cell>
          <cell r="E196">
            <v>2</v>
          </cell>
          <cell r="F196">
            <v>1</v>
          </cell>
          <cell r="G196">
            <v>7</v>
          </cell>
          <cell r="J196">
            <v>0</v>
          </cell>
          <cell r="L196">
            <v>5</v>
          </cell>
          <cell r="M196" t="str">
            <v>IC1342</v>
          </cell>
        </row>
        <row r="197">
          <cell r="C197" t="str">
            <v>尊荣虚幻弓</v>
          </cell>
          <cell r="E197">
            <v>2</v>
          </cell>
          <cell r="F197">
            <v>1</v>
          </cell>
          <cell r="G197">
            <v>7</v>
          </cell>
          <cell r="J197">
            <v>0</v>
          </cell>
          <cell r="L197">
            <v>6</v>
          </cell>
          <cell r="M197" t="str">
            <v>IC1359</v>
          </cell>
        </row>
        <row r="198">
          <cell r="C198" t="str">
            <v>至尊歌德弓</v>
          </cell>
          <cell r="E198">
            <v>2</v>
          </cell>
          <cell r="F198">
            <v>1</v>
          </cell>
          <cell r="G198">
            <v>7</v>
          </cell>
          <cell r="J198">
            <v>0</v>
          </cell>
          <cell r="L198">
            <v>7</v>
          </cell>
          <cell r="M198" t="str">
            <v>IC1340</v>
          </cell>
        </row>
        <row r="199">
          <cell r="C199" t="str">
            <v>绝旨空灵弓</v>
          </cell>
          <cell r="E199">
            <v>2</v>
          </cell>
          <cell r="F199">
            <v>1</v>
          </cell>
          <cell r="G199">
            <v>7</v>
          </cell>
          <cell r="J199">
            <v>0</v>
          </cell>
          <cell r="L199">
            <v>8</v>
          </cell>
          <cell r="M199" t="str">
            <v>IC1341</v>
          </cell>
        </row>
        <row r="200">
          <cell r="C200" t="str">
            <v>天工混乱弓</v>
          </cell>
          <cell r="E200">
            <v>2</v>
          </cell>
          <cell r="F200">
            <v>1</v>
          </cell>
          <cell r="G200">
            <v>7</v>
          </cell>
          <cell r="J200">
            <v>0</v>
          </cell>
          <cell r="L200">
            <v>9</v>
          </cell>
          <cell r="M200" t="str">
            <v>IC1342</v>
          </cell>
        </row>
        <row r="201">
          <cell r="C201" t="str">
            <v>学徒颓废烟斗</v>
          </cell>
          <cell r="E201">
            <v>2</v>
          </cell>
          <cell r="F201">
            <v>1</v>
          </cell>
          <cell r="G201">
            <v>8</v>
          </cell>
          <cell r="J201">
            <v>0</v>
          </cell>
          <cell r="L201">
            <v>1</v>
          </cell>
          <cell r="M201" t="str">
            <v>IC1106</v>
          </cell>
        </row>
        <row r="202">
          <cell r="C202" t="str">
            <v>专家玄铁烟斗</v>
          </cell>
          <cell r="E202">
            <v>2</v>
          </cell>
          <cell r="F202">
            <v>1</v>
          </cell>
          <cell r="G202">
            <v>8</v>
          </cell>
          <cell r="J202">
            <v>0</v>
          </cell>
          <cell r="L202">
            <v>2</v>
          </cell>
          <cell r="M202" t="str">
            <v>IC1113</v>
          </cell>
        </row>
        <row r="203">
          <cell r="C203" t="str">
            <v>大师水晶烟斗</v>
          </cell>
          <cell r="E203">
            <v>2</v>
          </cell>
          <cell r="F203">
            <v>1</v>
          </cell>
          <cell r="G203">
            <v>8</v>
          </cell>
          <cell r="J203">
            <v>0</v>
          </cell>
          <cell r="L203">
            <v>3</v>
          </cell>
          <cell r="M203" t="str">
            <v>IC1118</v>
          </cell>
        </row>
        <row r="204">
          <cell r="C204" t="str">
            <v>宗师精钢烟斗</v>
          </cell>
          <cell r="E204">
            <v>2</v>
          </cell>
          <cell r="F204">
            <v>1</v>
          </cell>
          <cell r="G204">
            <v>8</v>
          </cell>
          <cell r="J204">
            <v>0</v>
          </cell>
          <cell r="L204">
            <v>4</v>
          </cell>
          <cell r="M204" t="str">
            <v>IC1155</v>
          </cell>
        </row>
        <row r="205">
          <cell r="C205" t="str">
            <v>显赫白银烟斗</v>
          </cell>
          <cell r="E205">
            <v>2</v>
          </cell>
          <cell r="F205">
            <v>1</v>
          </cell>
          <cell r="G205">
            <v>8</v>
          </cell>
          <cell r="J205">
            <v>0</v>
          </cell>
          <cell r="L205">
            <v>5</v>
          </cell>
          <cell r="M205" t="str">
            <v>IC1118</v>
          </cell>
        </row>
        <row r="206">
          <cell r="C206" t="str">
            <v>尊荣虚幻烟斗</v>
          </cell>
          <cell r="E206">
            <v>2</v>
          </cell>
          <cell r="F206">
            <v>1</v>
          </cell>
          <cell r="G206">
            <v>8</v>
          </cell>
          <cell r="J206">
            <v>0</v>
          </cell>
          <cell r="L206">
            <v>6</v>
          </cell>
          <cell r="M206" t="str">
            <v>IC1155</v>
          </cell>
        </row>
        <row r="207">
          <cell r="C207" t="str">
            <v>至尊歌德烟斗</v>
          </cell>
          <cell r="E207">
            <v>2</v>
          </cell>
          <cell r="F207">
            <v>1</v>
          </cell>
          <cell r="G207">
            <v>8</v>
          </cell>
          <cell r="J207">
            <v>0</v>
          </cell>
          <cell r="L207">
            <v>7</v>
          </cell>
          <cell r="M207" t="str">
            <v>IC1143</v>
          </cell>
        </row>
        <row r="208">
          <cell r="C208" t="str">
            <v>绝旨空灵烟斗</v>
          </cell>
          <cell r="E208">
            <v>2</v>
          </cell>
          <cell r="F208">
            <v>1</v>
          </cell>
          <cell r="G208">
            <v>8</v>
          </cell>
          <cell r="J208">
            <v>0</v>
          </cell>
          <cell r="L208">
            <v>8</v>
          </cell>
          <cell r="M208" t="str">
            <v>IC1101</v>
          </cell>
        </row>
        <row r="209">
          <cell r="C209" t="str">
            <v>天工混乱烟斗</v>
          </cell>
          <cell r="E209">
            <v>2</v>
          </cell>
          <cell r="F209">
            <v>1</v>
          </cell>
          <cell r="G209">
            <v>8</v>
          </cell>
          <cell r="J209">
            <v>0</v>
          </cell>
          <cell r="L209">
            <v>9</v>
          </cell>
          <cell r="M209" t="str">
            <v>IC1104</v>
          </cell>
        </row>
        <row r="210">
          <cell r="C210" t="str">
            <v>学徒颓废扇子</v>
          </cell>
          <cell r="E210">
            <v>2</v>
          </cell>
          <cell r="F210">
            <v>1</v>
          </cell>
          <cell r="G210">
            <v>9</v>
          </cell>
          <cell r="J210">
            <v>0</v>
          </cell>
          <cell r="L210">
            <v>1</v>
          </cell>
          <cell r="M210" t="str">
            <v>IC1837</v>
          </cell>
        </row>
        <row r="211">
          <cell r="C211" t="str">
            <v>专家玄铁扇子</v>
          </cell>
          <cell r="E211">
            <v>2</v>
          </cell>
          <cell r="F211">
            <v>1</v>
          </cell>
          <cell r="G211">
            <v>9</v>
          </cell>
          <cell r="J211">
            <v>0</v>
          </cell>
          <cell r="L211">
            <v>2</v>
          </cell>
          <cell r="M211" t="str">
            <v>IC1838</v>
          </cell>
        </row>
        <row r="212">
          <cell r="C212" t="str">
            <v>大师水晶扇子</v>
          </cell>
          <cell r="E212">
            <v>2</v>
          </cell>
          <cell r="F212">
            <v>1</v>
          </cell>
          <cell r="G212">
            <v>9</v>
          </cell>
          <cell r="J212">
            <v>0</v>
          </cell>
          <cell r="L212">
            <v>3</v>
          </cell>
          <cell r="M212" t="str">
            <v>IC1839</v>
          </cell>
        </row>
        <row r="213">
          <cell r="C213" t="str">
            <v>宗师精钢扇子</v>
          </cell>
          <cell r="E213">
            <v>2</v>
          </cell>
          <cell r="F213">
            <v>1</v>
          </cell>
          <cell r="G213">
            <v>9</v>
          </cell>
          <cell r="J213">
            <v>0</v>
          </cell>
          <cell r="L213">
            <v>4</v>
          </cell>
          <cell r="M213" t="str">
            <v>IC1840</v>
          </cell>
        </row>
        <row r="214">
          <cell r="C214" t="str">
            <v>显赫白银扇子</v>
          </cell>
          <cell r="E214">
            <v>2</v>
          </cell>
          <cell r="F214">
            <v>1</v>
          </cell>
          <cell r="G214">
            <v>9</v>
          </cell>
          <cell r="J214">
            <v>0</v>
          </cell>
          <cell r="L214">
            <v>5</v>
          </cell>
          <cell r="M214" t="str">
            <v>IC1838</v>
          </cell>
        </row>
        <row r="215">
          <cell r="C215" t="str">
            <v>尊荣虚幻扇子</v>
          </cell>
          <cell r="E215">
            <v>2</v>
          </cell>
          <cell r="F215">
            <v>1</v>
          </cell>
          <cell r="G215">
            <v>9</v>
          </cell>
          <cell r="J215">
            <v>0</v>
          </cell>
          <cell r="L215">
            <v>6</v>
          </cell>
          <cell r="M215" t="str">
            <v>IC1839</v>
          </cell>
        </row>
        <row r="216">
          <cell r="C216" t="str">
            <v>至尊歌德扇子</v>
          </cell>
          <cell r="E216">
            <v>2</v>
          </cell>
          <cell r="F216">
            <v>1</v>
          </cell>
          <cell r="G216">
            <v>9</v>
          </cell>
          <cell r="J216">
            <v>0</v>
          </cell>
          <cell r="L216">
            <v>7</v>
          </cell>
          <cell r="M216" t="str">
            <v>IC1838</v>
          </cell>
        </row>
        <row r="217">
          <cell r="C217" t="str">
            <v>绝旨空灵扇子</v>
          </cell>
          <cell r="E217">
            <v>2</v>
          </cell>
          <cell r="F217">
            <v>1</v>
          </cell>
          <cell r="G217">
            <v>9</v>
          </cell>
          <cell r="J217">
            <v>0</v>
          </cell>
          <cell r="L217">
            <v>8</v>
          </cell>
          <cell r="M217" t="str">
            <v>IC1836</v>
          </cell>
        </row>
        <row r="218">
          <cell r="C218" t="str">
            <v>天工混乱扇子</v>
          </cell>
          <cell r="E218">
            <v>2</v>
          </cell>
          <cell r="F218">
            <v>1</v>
          </cell>
          <cell r="G218">
            <v>9</v>
          </cell>
          <cell r="J218">
            <v>0</v>
          </cell>
          <cell r="L218">
            <v>9</v>
          </cell>
          <cell r="M218" t="str">
            <v>IC1837</v>
          </cell>
        </row>
        <row r="219">
          <cell r="C219" t="str">
            <v>学徒颓废牙齿</v>
          </cell>
          <cell r="E219">
            <v>2</v>
          </cell>
          <cell r="F219">
            <v>1</v>
          </cell>
          <cell r="G219">
            <v>10</v>
          </cell>
          <cell r="J219">
            <v>0</v>
          </cell>
          <cell r="L219">
            <v>1</v>
          </cell>
          <cell r="M219" t="str">
            <v>IC1554</v>
          </cell>
        </row>
        <row r="220">
          <cell r="C220" t="str">
            <v>专家玄铁牙齿</v>
          </cell>
          <cell r="E220">
            <v>2</v>
          </cell>
          <cell r="F220">
            <v>1</v>
          </cell>
          <cell r="G220">
            <v>10</v>
          </cell>
          <cell r="J220">
            <v>0</v>
          </cell>
          <cell r="L220">
            <v>2</v>
          </cell>
          <cell r="M220" t="str">
            <v>IC1565</v>
          </cell>
        </row>
        <row r="221">
          <cell r="C221" t="str">
            <v>大师水晶牙齿</v>
          </cell>
          <cell r="E221">
            <v>2</v>
          </cell>
          <cell r="F221">
            <v>1</v>
          </cell>
          <cell r="G221">
            <v>10</v>
          </cell>
          <cell r="J221">
            <v>0</v>
          </cell>
          <cell r="L221">
            <v>3</v>
          </cell>
          <cell r="M221" t="str">
            <v>IC1553</v>
          </cell>
        </row>
        <row r="222">
          <cell r="C222" t="str">
            <v>宗师精钢牙齿</v>
          </cell>
          <cell r="E222">
            <v>2</v>
          </cell>
          <cell r="F222">
            <v>1</v>
          </cell>
          <cell r="G222">
            <v>10</v>
          </cell>
          <cell r="J222">
            <v>0</v>
          </cell>
          <cell r="L222">
            <v>4</v>
          </cell>
          <cell r="M222" t="str">
            <v>IC1556</v>
          </cell>
        </row>
        <row r="223">
          <cell r="C223" t="str">
            <v>显赫白银牙齿</v>
          </cell>
          <cell r="E223">
            <v>2</v>
          </cell>
          <cell r="F223">
            <v>1</v>
          </cell>
          <cell r="G223">
            <v>10</v>
          </cell>
          <cell r="J223">
            <v>0</v>
          </cell>
          <cell r="L223">
            <v>5</v>
          </cell>
          <cell r="M223" t="str">
            <v>IC1554</v>
          </cell>
        </row>
        <row r="224">
          <cell r="C224" t="str">
            <v>尊荣虚幻牙齿</v>
          </cell>
          <cell r="E224">
            <v>2</v>
          </cell>
          <cell r="F224">
            <v>1</v>
          </cell>
          <cell r="G224">
            <v>10</v>
          </cell>
          <cell r="J224">
            <v>0</v>
          </cell>
          <cell r="L224">
            <v>6</v>
          </cell>
          <cell r="M224" t="str">
            <v>IC1565</v>
          </cell>
        </row>
        <row r="225">
          <cell r="C225" t="str">
            <v>至尊歌德牙齿</v>
          </cell>
          <cell r="E225">
            <v>2</v>
          </cell>
          <cell r="F225">
            <v>1</v>
          </cell>
          <cell r="G225">
            <v>10</v>
          </cell>
          <cell r="J225">
            <v>0</v>
          </cell>
          <cell r="L225">
            <v>7</v>
          </cell>
          <cell r="M225" t="str">
            <v>IC1554</v>
          </cell>
        </row>
        <row r="226">
          <cell r="C226" t="str">
            <v>绝旨空灵牙齿</v>
          </cell>
          <cell r="E226">
            <v>2</v>
          </cell>
          <cell r="F226">
            <v>1</v>
          </cell>
          <cell r="G226">
            <v>10</v>
          </cell>
          <cell r="J226">
            <v>0</v>
          </cell>
          <cell r="L226">
            <v>8</v>
          </cell>
          <cell r="M226" t="str">
            <v>IC1553</v>
          </cell>
        </row>
        <row r="227">
          <cell r="C227" t="str">
            <v>天工混乱牙齿</v>
          </cell>
          <cell r="E227">
            <v>2</v>
          </cell>
          <cell r="F227">
            <v>1</v>
          </cell>
          <cell r="G227">
            <v>10</v>
          </cell>
          <cell r="J227">
            <v>0</v>
          </cell>
          <cell r="L227">
            <v>9</v>
          </cell>
          <cell r="M227" t="str">
            <v>IC1556</v>
          </cell>
        </row>
        <row r="228">
          <cell r="C228" t="str">
            <v>学徒颓废球</v>
          </cell>
          <cell r="E228">
            <v>2</v>
          </cell>
          <cell r="F228">
            <v>1</v>
          </cell>
          <cell r="G228">
            <v>11</v>
          </cell>
          <cell r="J228">
            <v>0</v>
          </cell>
          <cell r="L228">
            <v>1</v>
          </cell>
          <cell r="M228" t="str">
            <v>IC1414</v>
          </cell>
        </row>
        <row r="229">
          <cell r="C229" t="str">
            <v>专家玄铁球</v>
          </cell>
          <cell r="E229">
            <v>2</v>
          </cell>
          <cell r="F229">
            <v>1</v>
          </cell>
          <cell r="G229">
            <v>11</v>
          </cell>
          <cell r="J229">
            <v>0</v>
          </cell>
          <cell r="L229">
            <v>2</v>
          </cell>
          <cell r="M229" t="str">
            <v>IC1415</v>
          </cell>
        </row>
        <row r="230">
          <cell r="C230" t="str">
            <v>大师水晶球</v>
          </cell>
          <cell r="E230">
            <v>2</v>
          </cell>
          <cell r="F230">
            <v>1</v>
          </cell>
          <cell r="G230">
            <v>11</v>
          </cell>
          <cell r="J230">
            <v>0</v>
          </cell>
          <cell r="L230">
            <v>3</v>
          </cell>
          <cell r="M230" t="str">
            <v>IC1418</v>
          </cell>
        </row>
        <row r="231">
          <cell r="C231" t="str">
            <v>宗师精钢球</v>
          </cell>
          <cell r="E231">
            <v>2</v>
          </cell>
          <cell r="F231">
            <v>1</v>
          </cell>
          <cell r="G231">
            <v>11</v>
          </cell>
          <cell r="J231">
            <v>0</v>
          </cell>
          <cell r="L231">
            <v>4</v>
          </cell>
          <cell r="M231" t="str">
            <v>IC1400</v>
          </cell>
        </row>
        <row r="232">
          <cell r="C232" t="str">
            <v>显赫白银球</v>
          </cell>
          <cell r="E232">
            <v>2</v>
          </cell>
          <cell r="F232">
            <v>1</v>
          </cell>
          <cell r="G232">
            <v>11</v>
          </cell>
          <cell r="J232">
            <v>0</v>
          </cell>
          <cell r="L232">
            <v>5</v>
          </cell>
          <cell r="M232" t="str">
            <v>IC1408</v>
          </cell>
        </row>
        <row r="233">
          <cell r="C233" t="str">
            <v>尊荣虚幻球</v>
          </cell>
          <cell r="E233">
            <v>2</v>
          </cell>
          <cell r="F233">
            <v>1</v>
          </cell>
          <cell r="G233">
            <v>11</v>
          </cell>
          <cell r="J233">
            <v>0</v>
          </cell>
          <cell r="L233">
            <v>6</v>
          </cell>
          <cell r="M233" t="str">
            <v>IC1400</v>
          </cell>
        </row>
        <row r="234">
          <cell r="C234" t="str">
            <v>至尊歌德球</v>
          </cell>
          <cell r="E234">
            <v>2</v>
          </cell>
          <cell r="F234">
            <v>1</v>
          </cell>
          <cell r="G234">
            <v>11</v>
          </cell>
          <cell r="J234">
            <v>0</v>
          </cell>
          <cell r="L234">
            <v>7</v>
          </cell>
          <cell r="M234" t="str">
            <v>IC1408</v>
          </cell>
        </row>
        <row r="235">
          <cell r="C235" t="str">
            <v>绝旨空灵球</v>
          </cell>
          <cell r="E235">
            <v>2</v>
          </cell>
          <cell r="F235">
            <v>1</v>
          </cell>
          <cell r="G235">
            <v>11</v>
          </cell>
          <cell r="J235">
            <v>0</v>
          </cell>
          <cell r="L235">
            <v>8</v>
          </cell>
          <cell r="M235" t="str">
            <v>IC1414</v>
          </cell>
        </row>
        <row r="236">
          <cell r="C236" t="str">
            <v>天工混乱球</v>
          </cell>
          <cell r="E236">
            <v>2</v>
          </cell>
          <cell r="F236">
            <v>1</v>
          </cell>
          <cell r="G236">
            <v>11</v>
          </cell>
          <cell r="J236">
            <v>0</v>
          </cell>
          <cell r="L236">
            <v>9</v>
          </cell>
          <cell r="M236" t="str">
            <v>IC1415</v>
          </cell>
        </row>
        <row r="237">
          <cell r="C237" t="str">
            <v>学徒颓废爪</v>
          </cell>
          <cell r="E237">
            <v>2</v>
          </cell>
          <cell r="F237">
            <v>1</v>
          </cell>
          <cell r="G237">
            <v>12</v>
          </cell>
          <cell r="J237">
            <v>0</v>
          </cell>
          <cell r="L237">
            <v>1</v>
          </cell>
          <cell r="M237" t="str">
            <v>IC1777</v>
          </cell>
        </row>
        <row r="238">
          <cell r="C238" t="str">
            <v>专家玄铁爪</v>
          </cell>
          <cell r="E238">
            <v>2</v>
          </cell>
          <cell r="F238">
            <v>1</v>
          </cell>
          <cell r="G238">
            <v>12</v>
          </cell>
          <cell r="J238">
            <v>0</v>
          </cell>
          <cell r="L238">
            <v>2</v>
          </cell>
          <cell r="M238" t="str">
            <v>IC1776</v>
          </cell>
        </row>
        <row r="239">
          <cell r="C239" t="str">
            <v>大师水晶爪</v>
          </cell>
          <cell r="E239">
            <v>2</v>
          </cell>
          <cell r="F239">
            <v>1</v>
          </cell>
          <cell r="G239">
            <v>12</v>
          </cell>
          <cell r="J239">
            <v>0</v>
          </cell>
          <cell r="L239">
            <v>3</v>
          </cell>
          <cell r="M239" t="str">
            <v>IC1774</v>
          </cell>
        </row>
        <row r="240">
          <cell r="C240" t="str">
            <v>宗师精钢爪</v>
          </cell>
          <cell r="E240">
            <v>2</v>
          </cell>
          <cell r="F240">
            <v>1</v>
          </cell>
          <cell r="G240">
            <v>12</v>
          </cell>
          <cell r="J240">
            <v>0</v>
          </cell>
          <cell r="L240">
            <v>4</v>
          </cell>
          <cell r="M240" t="str">
            <v>IC1775</v>
          </cell>
        </row>
        <row r="241">
          <cell r="C241" t="str">
            <v>显赫白银爪</v>
          </cell>
          <cell r="E241">
            <v>2</v>
          </cell>
          <cell r="F241">
            <v>1</v>
          </cell>
          <cell r="G241">
            <v>12</v>
          </cell>
          <cell r="J241">
            <v>0</v>
          </cell>
          <cell r="L241">
            <v>5</v>
          </cell>
          <cell r="M241" t="str">
            <v>IC1754</v>
          </cell>
        </row>
        <row r="242">
          <cell r="C242" t="str">
            <v>尊荣虚幻爪</v>
          </cell>
          <cell r="E242">
            <v>2</v>
          </cell>
          <cell r="F242">
            <v>1</v>
          </cell>
          <cell r="G242">
            <v>12</v>
          </cell>
          <cell r="J242">
            <v>0</v>
          </cell>
          <cell r="L242">
            <v>6</v>
          </cell>
          <cell r="M242" t="str">
            <v>IC1758</v>
          </cell>
        </row>
        <row r="243">
          <cell r="C243" t="str">
            <v>至尊歌德爪</v>
          </cell>
          <cell r="E243">
            <v>2</v>
          </cell>
          <cell r="F243">
            <v>1</v>
          </cell>
          <cell r="G243">
            <v>12</v>
          </cell>
          <cell r="J243">
            <v>0</v>
          </cell>
          <cell r="L243">
            <v>7</v>
          </cell>
          <cell r="M243" t="str">
            <v>IC1777</v>
          </cell>
        </row>
        <row r="244">
          <cell r="C244" t="str">
            <v>绝旨空灵爪</v>
          </cell>
          <cell r="E244">
            <v>2</v>
          </cell>
          <cell r="F244">
            <v>1</v>
          </cell>
          <cell r="G244">
            <v>12</v>
          </cell>
          <cell r="J244">
            <v>0</v>
          </cell>
          <cell r="L244">
            <v>8</v>
          </cell>
          <cell r="M244" t="str">
            <v>IC1754</v>
          </cell>
        </row>
        <row r="245">
          <cell r="C245" t="str">
            <v>天工混乱爪</v>
          </cell>
          <cell r="E245">
            <v>2</v>
          </cell>
          <cell r="F245">
            <v>1</v>
          </cell>
          <cell r="G245">
            <v>12</v>
          </cell>
          <cell r="J245">
            <v>0</v>
          </cell>
          <cell r="L245">
            <v>9</v>
          </cell>
          <cell r="M245" t="str">
            <v>IC1758</v>
          </cell>
        </row>
        <row r="246">
          <cell r="C246" t="str">
            <v>学徒颓废剑</v>
          </cell>
          <cell r="E246">
            <v>2</v>
          </cell>
          <cell r="F246">
            <v>1</v>
          </cell>
          <cell r="G246">
            <v>13</v>
          </cell>
          <cell r="J246">
            <v>0</v>
          </cell>
          <cell r="L246">
            <v>1</v>
          </cell>
          <cell r="M246" t="str">
            <v>IC1204</v>
          </cell>
        </row>
        <row r="247">
          <cell r="C247" t="str">
            <v>专家玄铁剑</v>
          </cell>
          <cell r="E247">
            <v>2</v>
          </cell>
          <cell r="F247">
            <v>1</v>
          </cell>
          <cell r="G247">
            <v>13</v>
          </cell>
          <cell r="J247">
            <v>0</v>
          </cell>
          <cell r="L247">
            <v>2</v>
          </cell>
          <cell r="M247" t="str">
            <v>IC1209</v>
          </cell>
        </row>
        <row r="248">
          <cell r="C248" t="str">
            <v>大师水晶剑</v>
          </cell>
          <cell r="E248">
            <v>2</v>
          </cell>
          <cell r="F248">
            <v>1</v>
          </cell>
          <cell r="G248">
            <v>13</v>
          </cell>
          <cell r="J248">
            <v>0</v>
          </cell>
          <cell r="L248">
            <v>3</v>
          </cell>
          <cell r="M248" t="str">
            <v>IC1225</v>
          </cell>
        </row>
        <row r="249">
          <cell r="C249" t="str">
            <v>宗师精钢剑</v>
          </cell>
          <cell r="E249">
            <v>2</v>
          </cell>
          <cell r="F249">
            <v>1</v>
          </cell>
          <cell r="G249">
            <v>13</v>
          </cell>
          <cell r="J249">
            <v>0</v>
          </cell>
          <cell r="L249">
            <v>4</v>
          </cell>
          <cell r="M249" t="str">
            <v>IC1226</v>
          </cell>
        </row>
        <row r="250">
          <cell r="C250" t="str">
            <v>显赫白银剑</v>
          </cell>
          <cell r="E250">
            <v>2</v>
          </cell>
          <cell r="F250">
            <v>1</v>
          </cell>
          <cell r="G250">
            <v>13</v>
          </cell>
          <cell r="J250">
            <v>0</v>
          </cell>
          <cell r="L250">
            <v>5</v>
          </cell>
          <cell r="M250" t="str">
            <v>IC1230</v>
          </cell>
        </row>
        <row r="251">
          <cell r="C251" t="str">
            <v>尊荣虚幻剑</v>
          </cell>
          <cell r="E251">
            <v>2</v>
          </cell>
          <cell r="F251">
            <v>1</v>
          </cell>
          <cell r="G251">
            <v>13</v>
          </cell>
          <cell r="J251">
            <v>0</v>
          </cell>
          <cell r="L251">
            <v>6</v>
          </cell>
          <cell r="M251" t="str">
            <v>IC1236</v>
          </cell>
        </row>
        <row r="252">
          <cell r="C252" t="str">
            <v>至尊歌德剑</v>
          </cell>
          <cell r="E252">
            <v>2</v>
          </cell>
          <cell r="F252">
            <v>1</v>
          </cell>
          <cell r="G252">
            <v>13</v>
          </cell>
          <cell r="J252">
            <v>0</v>
          </cell>
          <cell r="L252">
            <v>7</v>
          </cell>
          <cell r="M252" t="str">
            <v>IC1279</v>
          </cell>
        </row>
        <row r="253">
          <cell r="C253" t="str">
            <v>绝旨空灵剑</v>
          </cell>
          <cell r="E253">
            <v>2</v>
          </cell>
          <cell r="F253">
            <v>1</v>
          </cell>
          <cell r="G253">
            <v>13</v>
          </cell>
          <cell r="J253">
            <v>0</v>
          </cell>
          <cell r="L253">
            <v>8</v>
          </cell>
          <cell r="M253" t="str">
            <v>IC1280</v>
          </cell>
        </row>
        <row r="254">
          <cell r="C254" t="str">
            <v>天工混乱剑</v>
          </cell>
          <cell r="E254">
            <v>2</v>
          </cell>
          <cell r="F254">
            <v>1</v>
          </cell>
          <cell r="G254">
            <v>13</v>
          </cell>
          <cell r="J254">
            <v>0</v>
          </cell>
          <cell r="L254">
            <v>9</v>
          </cell>
          <cell r="M254" t="str">
            <v>IC1201</v>
          </cell>
        </row>
        <row r="255">
          <cell r="C255" t="str">
            <v>学徒颓废戒指</v>
          </cell>
          <cell r="E255">
            <v>2</v>
          </cell>
          <cell r="F255">
            <v>2</v>
          </cell>
          <cell r="G255">
            <v>14</v>
          </cell>
          <cell r="J255">
            <v>0</v>
          </cell>
          <cell r="L255">
            <v>1</v>
          </cell>
          <cell r="M255" t="str">
            <v>IC1852</v>
          </cell>
        </row>
        <row r="256">
          <cell r="C256" t="str">
            <v>专家玄铁戒指</v>
          </cell>
          <cell r="E256">
            <v>2</v>
          </cell>
          <cell r="F256">
            <v>2</v>
          </cell>
          <cell r="G256">
            <v>14</v>
          </cell>
          <cell r="J256">
            <v>0</v>
          </cell>
          <cell r="L256">
            <v>2</v>
          </cell>
          <cell r="M256" t="str">
            <v>IC1854</v>
          </cell>
        </row>
        <row r="257">
          <cell r="C257" t="str">
            <v>大师水晶戒指</v>
          </cell>
          <cell r="E257">
            <v>2</v>
          </cell>
          <cell r="F257">
            <v>2</v>
          </cell>
          <cell r="G257">
            <v>14</v>
          </cell>
          <cell r="J257">
            <v>0</v>
          </cell>
          <cell r="L257">
            <v>3</v>
          </cell>
          <cell r="M257" t="str">
            <v>IC1855</v>
          </cell>
        </row>
        <row r="258">
          <cell r="C258" t="str">
            <v>宗师精钢戒指</v>
          </cell>
          <cell r="E258">
            <v>2</v>
          </cell>
          <cell r="F258">
            <v>2</v>
          </cell>
          <cell r="G258">
            <v>14</v>
          </cell>
          <cell r="J258">
            <v>0</v>
          </cell>
          <cell r="L258">
            <v>4</v>
          </cell>
          <cell r="M258" t="str">
            <v>IC1858</v>
          </cell>
        </row>
        <row r="259">
          <cell r="C259" t="str">
            <v>显赫白银戒指</v>
          </cell>
          <cell r="E259">
            <v>2</v>
          </cell>
          <cell r="F259">
            <v>2</v>
          </cell>
          <cell r="G259">
            <v>14</v>
          </cell>
          <cell r="J259">
            <v>0</v>
          </cell>
          <cell r="L259">
            <v>5</v>
          </cell>
          <cell r="M259" t="str">
            <v>IC1903</v>
          </cell>
        </row>
        <row r="260">
          <cell r="C260" t="str">
            <v>尊荣虚幻戒指</v>
          </cell>
          <cell r="E260">
            <v>2</v>
          </cell>
          <cell r="F260">
            <v>2</v>
          </cell>
          <cell r="G260">
            <v>14</v>
          </cell>
          <cell r="J260">
            <v>0</v>
          </cell>
          <cell r="L260">
            <v>6</v>
          </cell>
          <cell r="M260" t="str">
            <v>IC1901</v>
          </cell>
        </row>
        <row r="261">
          <cell r="C261" t="str">
            <v>至尊歌德戒指</v>
          </cell>
          <cell r="E261">
            <v>2</v>
          </cell>
          <cell r="F261">
            <v>2</v>
          </cell>
          <cell r="G261">
            <v>14</v>
          </cell>
          <cell r="J261">
            <v>0</v>
          </cell>
          <cell r="L261">
            <v>7</v>
          </cell>
          <cell r="M261" t="str">
            <v>IC1902</v>
          </cell>
        </row>
        <row r="262">
          <cell r="C262" t="str">
            <v>绝旨空灵戒指</v>
          </cell>
          <cell r="E262">
            <v>2</v>
          </cell>
          <cell r="F262">
            <v>2</v>
          </cell>
          <cell r="G262">
            <v>14</v>
          </cell>
          <cell r="J262">
            <v>0</v>
          </cell>
          <cell r="L262">
            <v>8</v>
          </cell>
          <cell r="M262" t="str">
            <v>IC1943</v>
          </cell>
        </row>
        <row r="263">
          <cell r="C263" t="str">
            <v>天工混乱戒指</v>
          </cell>
          <cell r="E263">
            <v>2</v>
          </cell>
          <cell r="F263">
            <v>2</v>
          </cell>
          <cell r="G263">
            <v>14</v>
          </cell>
          <cell r="J263">
            <v>0</v>
          </cell>
          <cell r="L263">
            <v>9</v>
          </cell>
          <cell r="M263" t="str">
            <v>IC1929</v>
          </cell>
        </row>
        <row r="264">
          <cell r="C264" t="str">
            <v>学徒颓废项链</v>
          </cell>
          <cell r="E264">
            <v>2</v>
          </cell>
          <cell r="F264">
            <v>3</v>
          </cell>
          <cell r="G264">
            <v>15</v>
          </cell>
          <cell r="J264">
            <v>0</v>
          </cell>
          <cell r="L264">
            <v>1</v>
          </cell>
          <cell r="M264" t="str">
            <v>IC1880</v>
          </cell>
        </row>
        <row r="265">
          <cell r="C265" t="str">
            <v>专家玄铁项链</v>
          </cell>
          <cell r="E265">
            <v>2</v>
          </cell>
          <cell r="F265">
            <v>3</v>
          </cell>
          <cell r="G265">
            <v>15</v>
          </cell>
          <cell r="J265">
            <v>0</v>
          </cell>
          <cell r="L265">
            <v>2</v>
          </cell>
          <cell r="M265" t="str">
            <v>IC1882</v>
          </cell>
        </row>
        <row r="266">
          <cell r="C266" t="str">
            <v>大师水晶项链</v>
          </cell>
          <cell r="E266">
            <v>2</v>
          </cell>
          <cell r="F266">
            <v>3</v>
          </cell>
          <cell r="G266">
            <v>15</v>
          </cell>
          <cell r="J266">
            <v>0</v>
          </cell>
          <cell r="L266">
            <v>3</v>
          </cell>
          <cell r="M266" t="str">
            <v>IC1883</v>
          </cell>
        </row>
        <row r="267">
          <cell r="C267" t="str">
            <v>宗师精钢项链</v>
          </cell>
          <cell r="E267">
            <v>2</v>
          </cell>
          <cell r="F267">
            <v>3</v>
          </cell>
          <cell r="G267">
            <v>15</v>
          </cell>
          <cell r="J267">
            <v>0</v>
          </cell>
          <cell r="L267">
            <v>4</v>
          </cell>
          <cell r="M267" t="str">
            <v>IC1886</v>
          </cell>
        </row>
        <row r="268">
          <cell r="C268" t="str">
            <v>显赫白银项链</v>
          </cell>
          <cell r="E268">
            <v>2</v>
          </cell>
          <cell r="F268">
            <v>3</v>
          </cell>
          <cell r="G268">
            <v>15</v>
          </cell>
          <cell r="J268">
            <v>0</v>
          </cell>
          <cell r="L268">
            <v>5</v>
          </cell>
          <cell r="M268" t="str">
            <v>IC1889</v>
          </cell>
        </row>
        <row r="269">
          <cell r="C269" t="str">
            <v>尊荣虚幻项链</v>
          </cell>
          <cell r="E269">
            <v>2</v>
          </cell>
          <cell r="F269">
            <v>3</v>
          </cell>
          <cell r="G269">
            <v>15</v>
          </cell>
          <cell r="J269">
            <v>0</v>
          </cell>
          <cell r="L269">
            <v>6</v>
          </cell>
          <cell r="M269" t="str">
            <v>IC1886</v>
          </cell>
        </row>
        <row r="270">
          <cell r="C270" t="str">
            <v>至尊歌德项链</v>
          </cell>
          <cell r="E270">
            <v>2</v>
          </cell>
          <cell r="F270">
            <v>3</v>
          </cell>
          <cell r="G270">
            <v>15</v>
          </cell>
          <cell r="J270">
            <v>0</v>
          </cell>
          <cell r="L270">
            <v>7</v>
          </cell>
          <cell r="M270" t="str">
            <v>IC1889</v>
          </cell>
        </row>
        <row r="271">
          <cell r="C271" t="str">
            <v>绝旨空灵项链</v>
          </cell>
          <cell r="E271">
            <v>2</v>
          </cell>
          <cell r="F271">
            <v>3</v>
          </cell>
          <cell r="G271">
            <v>15</v>
          </cell>
          <cell r="J271">
            <v>0</v>
          </cell>
          <cell r="L271">
            <v>8</v>
          </cell>
          <cell r="M271" t="str">
            <v>IC1883</v>
          </cell>
        </row>
        <row r="272">
          <cell r="C272" t="str">
            <v>天工混乱项链</v>
          </cell>
          <cell r="E272">
            <v>2</v>
          </cell>
          <cell r="F272">
            <v>3</v>
          </cell>
          <cell r="G272">
            <v>15</v>
          </cell>
          <cell r="J272">
            <v>0</v>
          </cell>
          <cell r="L272">
            <v>9</v>
          </cell>
          <cell r="M272" t="str">
            <v>IC1880</v>
          </cell>
        </row>
        <row r="273">
          <cell r="C273" t="str">
            <v>奥丁之锤</v>
          </cell>
          <cell r="E273">
            <v>3</v>
          </cell>
          <cell r="F273">
            <v>1</v>
          </cell>
          <cell r="G273">
            <v>1</v>
          </cell>
          <cell r="J273">
            <v>0</v>
          </cell>
          <cell r="L273">
            <v>1</v>
          </cell>
          <cell r="M273" t="str">
            <v>IC1016</v>
          </cell>
        </row>
        <row r="274">
          <cell r="C274" t="str">
            <v>卢卡之锤</v>
          </cell>
          <cell r="E274">
            <v>3</v>
          </cell>
          <cell r="F274">
            <v>1</v>
          </cell>
          <cell r="G274">
            <v>1</v>
          </cell>
          <cell r="J274">
            <v>0</v>
          </cell>
          <cell r="L274">
            <v>2</v>
          </cell>
          <cell r="M274" t="str">
            <v>IC1022</v>
          </cell>
        </row>
        <row r="275">
          <cell r="C275" t="str">
            <v>坎珀之锤</v>
          </cell>
          <cell r="E275">
            <v>3</v>
          </cell>
          <cell r="F275">
            <v>1</v>
          </cell>
          <cell r="G275">
            <v>1</v>
          </cell>
          <cell r="J275">
            <v>0</v>
          </cell>
          <cell r="L275">
            <v>3</v>
          </cell>
          <cell r="M275" t="str">
            <v>IC1028</v>
          </cell>
        </row>
        <row r="276">
          <cell r="C276" t="str">
            <v>费恩魔锤</v>
          </cell>
          <cell r="E276">
            <v>3</v>
          </cell>
          <cell r="F276">
            <v>1</v>
          </cell>
          <cell r="G276">
            <v>1</v>
          </cell>
          <cell r="J276">
            <v>0</v>
          </cell>
          <cell r="L276">
            <v>4</v>
          </cell>
          <cell r="M276" t="str">
            <v>IC1032</v>
          </cell>
        </row>
        <row r="277">
          <cell r="C277" t="str">
            <v>迪马斯之锤</v>
          </cell>
          <cell r="E277">
            <v>3</v>
          </cell>
          <cell r="F277">
            <v>1</v>
          </cell>
          <cell r="G277">
            <v>1</v>
          </cell>
          <cell r="J277">
            <v>0</v>
          </cell>
          <cell r="L277">
            <v>5</v>
          </cell>
          <cell r="M277" t="str">
            <v>IC1033</v>
          </cell>
        </row>
        <row r="278">
          <cell r="C278" t="str">
            <v>酒神之锤</v>
          </cell>
          <cell r="E278">
            <v>3</v>
          </cell>
          <cell r="F278">
            <v>1</v>
          </cell>
          <cell r="G278">
            <v>1</v>
          </cell>
          <cell r="J278">
            <v>0</v>
          </cell>
          <cell r="L278">
            <v>6</v>
          </cell>
          <cell r="M278" t="str">
            <v>IC1034</v>
          </cell>
        </row>
        <row r="279">
          <cell r="C279" t="str">
            <v>缪斯之锤</v>
          </cell>
          <cell r="E279">
            <v>3</v>
          </cell>
          <cell r="F279">
            <v>1</v>
          </cell>
          <cell r="G279">
            <v>1</v>
          </cell>
          <cell r="J279">
            <v>0</v>
          </cell>
          <cell r="L279">
            <v>7</v>
          </cell>
          <cell r="M279" t="str">
            <v>IC1028</v>
          </cell>
        </row>
        <row r="280">
          <cell r="C280" t="str">
            <v>潘多拉之锤</v>
          </cell>
          <cell r="E280">
            <v>3</v>
          </cell>
          <cell r="F280">
            <v>1</v>
          </cell>
          <cell r="G280">
            <v>1</v>
          </cell>
          <cell r="J280">
            <v>0</v>
          </cell>
          <cell r="L280">
            <v>8</v>
          </cell>
          <cell r="M280" t="str">
            <v>IC1036</v>
          </cell>
        </row>
        <row r="281">
          <cell r="C281" t="str">
            <v>盖亚之锤</v>
          </cell>
          <cell r="E281">
            <v>3</v>
          </cell>
          <cell r="F281">
            <v>1</v>
          </cell>
          <cell r="G281">
            <v>1</v>
          </cell>
          <cell r="J281">
            <v>0</v>
          </cell>
          <cell r="L281">
            <v>9</v>
          </cell>
          <cell r="M281" t="str">
            <v>IC1081</v>
          </cell>
        </row>
        <row r="282">
          <cell r="C282" t="str">
            <v>奥丁之刀</v>
          </cell>
          <cell r="E282">
            <v>3</v>
          </cell>
          <cell r="F282">
            <v>1</v>
          </cell>
          <cell r="G282">
            <v>2</v>
          </cell>
          <cell r="J282">
            <v>0</v>
          </cell>
          <cell r="L282">
            <v>1</v>
          </cell>
          <cell r="M282" t="str">
            <v>IC1216</v>
          </cell>
        </row>
        <row r="283">
          <cell r="C283" t="str">
            <v>卢卡之锤</v>
          </cell>
          <cell r="E283">
            <v>3</v>
          </cell>
          <cell r="F283">
            <v>1</v>
          </cell>
          <cell r="G283">
            <v>2</v>
          </cell>
          <cell r="J283">
            <v>0</v>
          </cell>
          <cell r="L283">
            <v>2</v>
          </cell>
          <cell r="M283" t="str">
            <v>IC1220</v>
          </cell>
        </row>
        <row r="284">
          <cell r="C284" t="str">
            <v>坎珀之刃</v>
          </cell>
          <cell r="E284">
            <v>3</v>
          </cell>
          <cell r="F284">
            <v>1</v>
          </cell>
          <cell r="G284">
            <v>2</v>
          </cell>
          <cell r="J284">
            <v>0</v>
          </cell>
          <cell r="L284">
            <v>3</v>
          </cell>
          <cell r="M284" t="str">
            <v>IC1222</v>
          </cell>
        </row>
        <row r="285">
          <cell r="C285" t="str">
            <v>费恩利刃</v>
          </cell>
          <cell r="E285">
            <v>3</v>
          </cell>
          <cell r="F285">
            <v>1</v>
          </cell>
          <cell r="G285">
            <v>2</v>
          </cell>
          <cell r="J285">
            <v>0</v>
          </cell>
          <cell r="L285">
            <v>4</v>
          </cell>
          <cell r="M285" t="str">
            <v>IC1228</v>
          </cell>
        </row>
        <row r="286">
          <cell r="C286" t="str">
            <v>迪马斯之刀</v>
          </cell>
          <cell r="E286">
            <v>3</v>
          </cell>
          <cell r="F286">
            <v>1</v>
          </cell>
          <cell r="G286">
            <v>2</v>
          </cell>
          <cell r="J286">
            <v>0</v>
          </cell>
          <cell r="L286">
            <v>5</v>
          </cell>
          <cell r="M286" t="str">
            <v>IC1235</v>
          </cell>
        </row>
        <row r="287">
          <cell r="C287" t="str">
            <v>酒神之刀</v>
          </cell>
          <cell r="E287">
            <v>3</v>
          </cell>
          <cell r="F287">
            <v>1</v>
          </cell>
          <cell r="G287">
            <v>2</v>
          </cell>
          <cell r="J287">
            <v>0</v>
          </cell>
          <cell r="L287">
            <v>6</v>
          </cell>
          <cell r="M287" t="str">
            <v>IC1278</v>
          </cell>
        </row>
        <row r="288">
          <cell r="C288" t="str">
            <v>缪斯之刀</v>
          </cell>
          <cell r="E288">
            <v>3</v>
          </cell>
          <cell r="F288">
            <v>1</v>
          </cell>
          <cell r="G288">
            <v>2</v>
          </cell>
          <cell r="J288">
            <v>0</v>
          </cell>
          <cell r="L288">
            <v>7</v>
          </cell>
          <cell r="M288" t="str">
            <v>IC1222</v>
          </cell>
        </row>
        <row r="289">
          <cell r="C289" t="str">
            <v>潘多拉之刀</v>
          </cell>
          <cell r="E289">
            <v>3</v>
          </cell>
          <cell r="F289">
            <v>1</v>
          </cell>
          <cell r="G289">
            <v>2</v>
          </cell>
          <cell r="J289">
            <v>0</v>
          </cell>
          <cell r="L289">
            <v>8</v>
          </cell>
          <cell r="M289" t="str">
            <v>IC1228</v>
          </cell>
        </row>
        <row r="290">
          <cell r="C290" t="str">
            <v>宙斯之刃</v>
          </cell>
          <cell r="E290">
            <v>3</v>
          </cell>
          <cell r="F290">
            <v>1</v>
          </cell>
          <cell r="G290">
            <v>2</v>
          </cell>
          <cell r="J290">
            <v>0</v>
          </cell>
          <cell r="L290">
            <v>9</v>
          </cell>
          <cell r="M290" t="str">
            <v>IC1235</v>
          </cell>
        </row>
        <row r="291">
          <cell r="C291" t="str">
            <v>奥丁拳套</v>
          </cell>
          <cell r="E291">
            <v>3</v>
          </cell>
          <cell r="F291">
            <v>1</v>
          </cell>
          <cell r="G291">
            <v>3</v>
          </cell>
          <cell r="J291">
            <v>0</v>
          </cell>
          <cell r="L291">
            <v>1</v>
          </cell>
          <cell r="M291" t="str">
            <v>IC1513</v>
          </cell>
        </row>
        <row r="292">
          <cell r="C292" t="str">
            <v>卢卡拳套</v>
          </cell>
          <cell r="E292">
            <v>3</v>
          </cell>
          <cell r="F292">
            <v>1</v>
          </cell>
          <cell r="G292">
            <v>3</v>
          </cell>
          <cell r="J292">
            <v>0</v>
          </cell>
          <cell r="L292">
            <v>2</v>
          </cell>
          <cell r="M292" t="str">
            <v>IC1516</v>
          </cell>
        </row>
        <row r="293">
          <cell r="C293" t="str">
            <v>坎珀拳套</v>
          </cell>
          <cell r="E293">
            <v>3</v>
          </cell>
          <cell r="F293">
            <v>1</v>
          </cell>
          <cell r="G293">
            <v>3</v>
          </cell>
          <cell r="J293">
            <v>0</v>
          </cell>
          <cell r="L293">
            <v>3</v>
          </cell>
          <cell r="M293" t="str">
            <v>IC1518</v>
          </cell>
        </row>
        <row r="294">
          <cell r="C294" t="str">
            <v>费恩拳套</v>
          </cell>
          <cell r="E294">
            <v>3</v>
          </cell>
          <cell r="F294">
            <v>1</v>
          </cell>
          <cell r="G294">
            <v>3</v>
          </cell>
          <cell r="J294">
            <v>0</v>
          </cell>
          <cell r="L294">
            <v>4</v>
          </cell>
          <cell r="M294" t="str">
            <v>IC1520</v>
          </cell>
        </row>
        <row r="295">
          <cell r="C295" t="str">
            <v>迪马斯拳套</v>
          </cell>
          <cell r="E295">
            <v>3</v>
          </cell>
          <cell r="F295">
            <v>1</v>
          </cell>
          <cell r="G295">
            <v>3</v>
          </cell>
          <cell r="J295">
            <v>0</v>
          </cell>
          <cell r="L295">
            <v>5</v>
          </cell>
          <cell r="M295" t="str">
            <v>IC1521</v>
          </cell>
        </row>
        <row r="296">
          <cell r="C296" t="str">
            <v>酒神拳套</v>
          </cell>
          <cell r="E296">
            <v>3</v>
          </cell>
          <cell r="F296">
            <v>1</v>
          </cell>
          <cell r="G296">
            <v>3</v>
          </cell>
          <cell r="J296">
            <v>0</v>
          </cell>
          <cell r="L296">
            <v>6</v>
          </cell>
          <cell r="M296" t="str">
            <v>IC1523</v>
          </cell>
        </row>
        <row r="297">
          <cell r="C297" t="str">
            <v>缪斯之拳</v>
          </cell>
          <cell r="E297">
            <v>3</v>
          </cell>
          <cell r="F297">
            <v>1</v>
          </cell>
          <cell r="G297">
            <v>3</v>
          </cell>
          <cell r="J297">
            <v>0</v>
          </cell>
          <cell r="L297">
            <v>7</v>
          </cell>
          <cell r="M297" t="str">
            <v>IC1524</v>
          </cell>
        </row>
        <row r="298">
          <cell r="C298" t="str">
            <v>潘多拉拳套</v>
          </cell>
          <cell r="E298">
            <v>3</v>
          </cell>
          <cell r="F298">
            <v>1</v>
          </cell>
          <cell r="G298">
            <v>3</v>
          </cell>
          <cell r="J298">
            <v>0</v>
          </cell>
          <cell r="L298">
            <v>8</v>
          </cell>
          <cell r="M298" t="str">
            <v>IC1525</v>
          </cell>
        </row>
        <row r="299">
          <cell r="C299" t="str">
            <v>卡德摩斯拳套</v>
          </cell>
          <cell r="E299">
            <v>3</v>
          </cell>
          <cell r="F299">
            <v>1</v>
          </cell>
          <cell r="G299">
            <v>3</v>
          </cell>
          <cell r="J299">
            <v>0</v>
          </cell>
          <cell r="L299">
            <v>9</v>
          </cell>
          <cell r="M299" t="str">
            <v>IC1527</v>
          </cell>
        </row>
        <row r="300">
          <cell r="C300" t="str">
            <v>奥丁之枪</v>
          </cell>
          <cell r="E300">
            <v>3</v>
          </cell>
          <cell r="F300">
            <v>1</v>
          </cell>
          <cell r="G300">
            <v>4</v>
          </cell>
          <cell r="J300">
            <v>0</v>
          </cell>
          <cell r="L300">
            <v>1</v>
          </cell>
          <cell r="M300" t="str">
            <v>IC1654</v>
          </cell>
        </row>
        <row r="301">
          <cell r="C301" t="str">
            <v>卢卡之枪</v>
          </cell>
          <cell r="E301">
            <v>3</v>
          </cell>
          <cell r="F301">
            <v>1</v>
          </cell>
          <cell r="G301">
            <v>4</v>
          </cell>
          <cell r="J301">
            <v>0</v>
          </cell>
          <cell r="L301">
            <v>2</v>
          </cell>
          <cell r="M301" t="str">
            <v>IC1657</v>
          </cell>
        </row>
        <row r="302">
          <cell r="C302" t="str">
            <v>坎珀尖枪</v>
          </cell>
          <cell r="E302">
            <v>3</v>
          </cell>
          <cell r="F302">
            <v>1</v>
          </cell>
          <cell r="G302">
            <v>4</v>
          </cell>
          <cell r="J302">
            <v>0</v>
          </cell>
          <cell r="L302">
            <v>3</v>
          </cell>
          <cell r="M302" t="str">
            <v>IC1660</v>
          </cell>
        </row>
        <row r="303">
          <cell r="C303" t="str">
            <v>费恩尖枪</v>
          </cell>
          <cell r="E303">
            <v>3</v>
          </cell>
          <cell r="F303">
            <v>1</v>
          </cell>
          <cell r="G303">
            <v>4</v>
          </cell>
          <cell r="J303">
            <v>0</v>
          </cell>
          <cell r="L303">
            <v>4</v>
          </cell>
          <cell r="M303" t="str">
            <v>IC1666</v>
          </cell>
        </row>
        <row r="304">
          <cell r="C304" t="str">
            <v>迪马斯尖枪</v>
          </cell>
          <cell r="E304">
            <v>3</v>
          </cell>
          <cell r="F304">
            <v>1</v>
          </cell>
          <cell r="G304">
            <v>4</v>
          </cell>
          <cell r="J304">
            <v>0</v>
          </cell>
          <cell r="L304">
            <v>5</v>
          </cell>
          <cell r="M304" t="str">
            <v>IC1671</v>
          </cell>
        </row>
        <row r="305">
          <cell r="C305" t="str">
            <v>酒神之枪</v>
          </cell>
          <cell r="E305">
            <v>3</v>
          </cell>
          <cell r="F305">
            <v>1</v>
          </cell>
          <cell r="G305">
            <v>4</v>
          </cell>
          <cell r="J305">
            <v>0</v>
          </cell>
          <cell r="L305">
            <v>6</v>
          </cell>
          <cell r="M305" t="str">
            <v>IC1672</v>
          </cell>
        </row>
        <row r="306">
          <cell r="C306" t="str">
            <v>缪斯之枪</v>
          </cell>
          <cell r="E306">
            <v>3</v>
          </cell>
          <cell r="F306">
            <v>1</v>
          </cell>
          <cell r="G306">
            <v>4</v>
          </cell>
          <cell r="J306">
            <v>0</v>
          </cell>
          <cell r="L306">
            <v>7</v>
          </cell>
          <cell r="M306" t="str">
            <v>IC1673</v>
          </cell>
        </row>
        <row r="307">
          <cell r="C307" t="str">
            <v>潘多拉之枪</v>
          </cell>
          <cell r="E307">
            <v>3</v>
          </cell>
          <cell r="F307">
            <v>1</v>
          </cell>
          <cell r="G307">
            <v>4</v>
          </cell>
          <cell r="J307">
            <v>0</v>
          </cell>
          <cell r="L307">
            <v>8</v>
          </cell>
          <cell r="M307" t="str">
            <v>IC1654</v>
          </cell>
        </row>
        <row r="308">
          <cell r="C308" t="str">
            <v>衣卒尔之枪</v>
          </cell>
          <cell r="E308">
            <v>3</v>
          </cell>
          <cell r="F308">
            <v>1</v>
          </cell>
          <cell r="G308">
            <v>4</v>
          </cell>
          <cell r="J308">
            <v>0</v>
          </cell>
          <cell r="L308">
            <v>9</v>
          </cell>
          <cell r="M308" t="str">
            <v>IC1657</v>
          </cell>
        </row>
        <row r="309">
          <cell r="C309" t="str">
            <v>奥丁镰刀</v>
          </cell>
          <cell r="E309">
            <v>3</v>
          </cell>
          <cell r="F309">
            <v>1</v>
          </cell>
          <cell r="G309">
            <v>5</v>
          </cell>
          <cell r="J309">
            <v>0</v>
          </cell>
          <cell r="L309">
            <v>1</v>
          </cell>
          <cell r="M309" t="str">
            <v>IC1701</v>
          </cell>
        </row>
        <row r="310">
          <cell r="C310" t="str">
            <v>卢卡镰刀</v>
          </cell>
          <cell r="E310">
            <v>3</v>
          </cell>
          <cell r="F310">
            <v>1</v>
          </cell>
          <cell r="G310">
            <v>5</v>
          </cell>
          <cell r="J310">
            <v>0</v>
          </cell>
          <cell r="L310">
            <v>2</v>
          </cell>
          <cell r="M310" t="str">
            <v>IC1715</v>
          </cell>
        </row>
        <row r="311">
          <cell r="C311" t="str">
            <v>坎珀镰刀</v>
          </cell>
          <cell r="E311">
            <v>3</v>
          </cell>
          <cell r="F311">
            <v>1</v>
          </cell>
          <cell r="G311">
            <v>5</v>
          </cell>
          <cell r="J311">
            <v>0</v>
          </cell>
          <cell r="L311">
            <v>3</v>
          </cell>
          <cell r="M311" t="str">
            <v>IC1716</v>
          </cell>
        </row>
        <row r="312">
          <cell r="C312" t="str">
            <v>费恩镰刀</v>
          </cell>
          <cell r="E312">
            <v>3</v>
          </cell>
          <cell r="F312">
            <v>1</v>
          </cell>
          <cell r="G312">
            <v>5</v>
          </cell>
          <cell r="J312">
            <v>0</v>
          </cell>
          <cell r="L312">
            <v>4</v>
          </cell>
          <cell r="M312" t="str">
            <v>IC1717</v>
          </cell>
        </row>
        <row r="313">
          <cell r="C313" t="str">
            <v>迪马斯镰刀</v>
          </cell>
          <cell r="E313">
            <v>3</v>
          </cell>
          <cell r="F313">
            <v>1</v>
          </cell>
          <cell r="G313">
            <v>5</v>
          </cell>
          <cell r="J313">
            <v>0</v>
          </cell>
          <cell r="L313">
            <v>5</v>
          </cell>
          <cell r="M313" t="str">
            <v>IC1718</v>
          </cell>
        </row>
        <row r="314">
          <cell r="C314" t="str">
            <v>酒神镰刀</v>
          </cell>
          <cell r="E314">
            <v>3</v>
          </cell>
          <cell r="F314">
            <v>1</v>
          </cell>
          <cell r="G314">
            <v>5</v>
          </cell>
          <cell r="J314">
            <v>0</v>
          </cell>
          <cell r="L314">
            <v>6</v>
          </cell>
          <cell r="M314" t="str">
            <v>IC1701</v>
          </cell>
        </row>
        <row r="315">
          <cell r="C315" t="str">
            <v>缪斯镰刀</v>
          </cell>
          <cell r="E315">
            <v>3</v>
          </cell>
          <cell r="F315">
            <v>1</v>
          </cell>
          <cell r="G315">
            <v>5</v>
          </cell>
          <cell r="J315">
            <v>0</v>
          </cell>
          <cell r="L315">
            <v>7</v>
          </cell>
          <cell r="M315" t="str">
            <v>IC1715</v>
          </cell>
        </row>
        <row r="316">
          <cell r="C316" t="str">
            <v>潘多拉镰刀</v>
          </cell>
          <cell r="E316">
            <v>3</v>
          </cell>
          <cell r="F316">
            <v>1</v>
          </cell>
          <cell r="G316">
            <v>5</v>
          </cell>
          <cell r="J316">
            <v>0</v>
          </cell>
          <cell r="L316">
            <v>8</v>
          </cell>
          <cell r="M316" t="str">
            <v>IC1716</v>
          </cell>
        </row>
        <row r="317">
          <cell r="C317" t="str">
            <v>塔罗斯镰刀</v>
          </cell>
          <cell r="E317">
            <v>3</v>
          </cell>
          <cell r="F317">
            <v>1</v>
          </cell>
          <cell r="G317">
            <v>5</v>
          </cell>
          <cell r="J317">
            <v>0</v>
          </cell>
          <cell r="L317">
            <v>9</v>
          </cell>
          <cell r="M317" t="str">
            <v>IC1717</v>
          </cell>
        </row>
        <row r="318">
          <cell r="C318" t="str">
            <v>奥丁法杖</v>
          </cell>
          <cell r="E318">
            <v>3</v>
          </cell>
          <cell r="F318">
            <v>1</v>
          </cell>
          <cell r="G318">
            <v>6</v>
          </cell>
          <cell r="J318">
            <v>0</v>
          </cell>
          <cell r="L318">
            <v>1</v>
          </cell>
          <cell r="M318" t="str">
            <v>IC1101</v>
          </cell>
        </row>
        <row r="319">
          <cell r="C319" t="str">
            <v>卢卡法杖</v>
          </cell>
          <cell r="E319">
            <v>3</v>
          </cell>
          <cell r="F319">
            <v>1</v>
          </cell>
          <cell r="G319">
            <v>6</v>
          </cell>
          <cell r="J319">
            <v>0</v>
          </cell>
          <cell r="L319">
            <v>2</v>
          </cell>
          <cell r="M319" t="str">
            <v>IC1103</v>
          </cell>
        </row>
        <row r="320">
          <cell r="C320" t="str">
            <v>坎珀法杖</v>
          </cell>
          <cell r="E320">
            <v>3</v>
          </cell>
          <cell r="F320">
            <v>1</v>
          </cell>
          <cell r="G320">
            <v>6</v>
          </cell>
          <cell r="J320">
            <v>0</v>
          </cell>
          <cell r="L320">
            <v>3</v>
          </cell>
          <cell r="M320" t="str">
            <v>IC1104</v>
          </cell>
        </row>
        <row r="321">
          <cell r="C321" t="str">
            <v>费恩权杖</v>
          </cell>
          <cell r="E321">
            <v>3</v>
          </cell>
          <cell r="F321">
            <v>1</v>
          </cell>
          <cell r="G321">
            <v>6</v>
          </cell>
          <cell r="J321">
            <v>0</v>
          </cell>
          <cell r="L321">
            <v>4</v>
          </cell>
          <cell r="M321" t="str">
            <v>IC1106</v>
          </cell>
        </row>
        <row r="322">
          <cell r="C322" t="str">
            <v>迪马斯法杖</v>
          </cell>
          <cell r="E322">
            <v>3</v>
          </cell>
          <cell r="F322">
            <v>1</v>
          </cell>
          <cell r="G322">
            <v>6</v>
          </cell>
          <cell r="J322">
            <v>0</v>
          </cell>
          <cell r="L322">
            <v>5</v>
          </cell>
          <cell r="M322" t="str">
            <v>IC1113</v>
          </cell>
        </row>
        <row r="323">
          <cell r="C323" t="str">
            <v>酒神法杖</v>
          </cell>
          <cell r="E323">
            <v>3</v>
          </cell>
          <cell r="F323">
            <v>1</v>
          </cell>
          <cell r="G323">
            <v>6</v>
          </cell>
          <cell r="J323">
            <v>0</v>
          </cell>
          <cell r="L323">
            <v>6</v>
          </cell>
          <cell r="M323" t="str">
            <v>IC1118</v>
          </cell>
        </row>
        <row r="324">
          <cell r="C324" t="str">
            <v>缪斯法杖</v>
          </cell>
          <cell r="E324">
            <v>3</v>
          </cell>
          <cell r="F324">
            <v>1</v>
          </cell>
          <cell r="G324">
            <v>6</v>
          </cell>
          <cell r="J324">
            <v>0</v>
          </cell>
          <cell r="L324">
            <v>7</v>
          </cell>
          <cell r="M324" t="str">
            <v>IC1129</v>
          </cell>
        </row>
        <row r="325">
          <cell r="C325" t="str">
            <v>潘多拉法杖</v>
          </cell>
          <cell r="E325">
            <v>3</v>
          </cell>
          <cell r="F325">
            <v>1</v>
          </cell>
          <cell r="G325">
            <v>6</v>
          </cell>
          <cell r="J325">
            <v>0</v>
          </cell>
          <cell r="L325">
            <v>8</v>
          </cell>
          <cell r="M325" t="str">
            <v>IC1134</v>
          </cell>
        </row>
        <row r="326">
          <cell r="C326" t="str">
            <v>女神法杖</v>
          </cell>
          <cell r="E326">
            <v>3</v>
          </cell>
          <cell r="F326">
            <v>1</v>
          </cell>
          <cell r="G326">
            <v>6</v>
          </cell>
          <cell r="J326">
            <v>0</v>
          </cell>
          <cell r="L326">
            <v>9</v>
          </cell>
          <cell r="M326" t="str">
            <v>IC1144</v>
          </cell>
        </row>
        <row r="327">
          <cell r="C327" t="str">
            <v>奥丁之弓</v>
          </cell>
          <cell r="E327">
            <v>3</v>
          </cell>
          <cell r="F327">
            <v>1</v>
          </cell>
          <cell r="G327">
            <v>7</v>
          </cell>
          <cell r="J327">
            <v>0</v>
          </cell>
          <cell r="L327">
            <v>1</v>
          </cell>
          <cell r="M327" t="str">
            <v>IC1301</v>
          </cell>
        </row>
        <row r="328">
          <cell r="C328" t="str">
            <v>卢卡之弓</v>
          </cell>
          <cell r="E328">
            <v>3</v>
          </cell>
          <cell r="F328">
            <v>1</v>
          </cell>
          <cell r="G328">
            <v>7</v>
          </cell>
          <cell r="J328">
            <v>0</v>
          </cell>
          <cell r="L328">
            <v>2</v>
          </cell>
          <cell r="M328" t="str">
            <v>IC1313</v>
          </cell>
        </row>
        <row r="329">
          <cell r="C329" t="str">
            <v>坎珀骨弓</v>
          </cell>
          <cell r="E329">
            <v>3</v>
          </cell>
          <cell r="F329">
            <v>1</v>
          </cell>
          <cell r="G329">
            <v>7</v>
          </cell>
          <cell r="J329">
            <v>0</v>
          </cell>
          <cell r="L329">
            <v>3</v>
          </cell>
          <cell r="M329" t="str">
            <v>IC1315</v>
          </cell>
        </row>
        <row r="330">
          <cell r="C330" t="str">
            <v>费恩骨弓</v>
          </cell>
          <cell r="E330">
            <v>3</v>
          </cell>
          <cell r="F330">
            <v>1</v>
          </cell>
          <cell r="G330">
            <v>7</v>
          </cell>
          <cell r="J330">
            <v>0</v>
          </cell>
          <cell r="L330">
            <v>4</v>
          </cell>
          <cell r="M330" t="str">
            <v>IC1322</v>
          </cell>
        </row>
        <row r="331">
          <cell r="C331" t="str">
            <v>迪马斯硬弓</v>
          </cell>
          <cell r="E331">
            <v>3</v>
          </cell>
          <cell r="F331">
            <v>1</v>
          </cell>
          <cell r="G331">
            <v>7</v>
          </cell>
          <cell r="J331">
            <v>0</v>
          </cell>
          <cell r="L331">
            <v>5</v>
          </cell>
          <cell r="M331" t="str">
            <v>IC1325</v>
          </cell>
        </row>
        <row r="332">
          <cell r="C332" t="str">
            <v>酒神之弓</v>
          </cell>
          <cell r="E332">
            <v>3</v>
          </cell>
          <cell r="F332">
            <v>1</v>
          </cell>
          <cell r="G332">
            <v>7</v>
          </cell>
          <cell r="J332">
            <v>0</v>
          </cell>
          <cell r="L332">
            <v>6</v>
          </cell>
          <cell r="M332" t="str">
            <v>IC1328</v>
          </cell>
        </row>
        <row r="333">
          <cell r="C333" t="str">
            <v>缪斯弓</v>
          </cell>
          <cell r="E333">
            <v>3</v>
          </cell>
          <cell r="F333">
            <v>1</v>
          </cell>
          <cell r="G333">
            <v>7</v>
          </cell>
          <cell r="J333">
            <v>0</v>
          </cell>
          <cell r="L333">
            <v>7</v>
          </cell>
          <cell r="M333" t="str">
            <v>IC1344</v>
          </cell>
        </row>
        <row r="334">
          <cell r="C334" t="str">
            <v>潘多拉玉弓</v>
          </cell>
          <cell r="E334">
            <v>3</v>
          </cell>
          <cell r="F334">
            <v>1</v>
          </cell>
          <cell r="G334">
            <v>7</v>
          </cell>
          <cell r="J334">
            <v>0</v>
          </cell>
          <cell r="L334">
            <v>8</v>
          </cell>
          <cell r="M334" t="str">
            <v>IC1355</v>
          </cell>
        </row>
        <row r="335">
          <cell r="C335" t="str">
            <v>泰丽儿神弓</v>
          </cell>
          <cell r="E335">
            <v>3</v>
          </cell>
          <cell r="F335">
            <v>1</v>
          </cell>
          <cell r="G335">
            <v>7</v>
          </cell>
          <cell r="J335">
            <v>0</v>
          </cell>
          <cell r="L335">
            <v>9</v>
          </cell>
          <cell r="M335" t="str">
            <v>IC1315</v>
          </cell>
        </row>
        <row r="336">
          <cell r="C336" t="str">
            <v>奥丁烟斗</v>
          </cell>
          <cell r="E336">
            <v>3</v>
          </cell>
          <cell r="F336">
            <v>1</v>
          </cell>
          <cell r="G336">
            <v>8</v>
          </cell>
          <cell r="J336">
            <v>0</v>
          </cell>
          <cell r="L336">
            <v>1</v>
          </cell>
          <cell r="M336" t="str">
            <v>IC1113</v>
          </cell>
        </row>
        <row r="337">
          <cell r="C337" t="str">
            <v>卢卡烟斗</v>
          </cell>
          <cell r="E337">
            <v>3</v>
          </cell>
          <cell r="F337">
            <v>1</v>
          </cell>
          <cell r="G337">
            <v>8</v>
          </cell>
          <cell r="J337">
            <v>0</v>
          </cell>
          <cell r="L337">
            <v>2</v>
          </cell>
          <cell r="M337" t="str">
            <v>IC1118</v>
          </cell>
        </row>
        <row r="338">
          <cell r="C338" t="str">
            <v>坎珀烟斗</v>
          </cell>
          <cell r="E338">
            <v>3</v>
          </cell>
          <cell r="F338">
            <v>1</v>
          </cell>
          <cell r="G338">
            <v>8</v>
          </cell>
          <cell r="J338">
            <v>0</v>
          </cell>
          <cell r="L338">
            <v>3</v>
          </cell>
          <cell r="M338" t="str">
            <v>IC1155</v>
          </cell>
        </row>
        <row r="339">
          <cell r="C339" t="str">
            <v>费恩烟斗</v>
          </cell>
          <cell r="E339">
            <v>3</v>
          </cell>
          <cell r="F339">
            <v>1</v>
          </cell>
          <cell r="G339">
            <v>8</v>
          </cell>
          <cell r="J339">
            <v>0</v>
          </cell>
          <cell r="L339">
            <v>4</v>
          </cell>
          <cell r="M339" t="str">
            <v>IC1118</v>
          </cell>
        </row>
        <row r="340">
          <cell r="C340" t="str">
            <v>迪马斯烟斗</v>
          </cell>
          <cell r="E340">
            <v>3</v>
          </cell>
          <cell r="F340">
            <v>1</v>
          </cell>
          <cell r="G340">
            <v>8</v>
          </cell>
          <cell r="J340">
            <v>0</v>
          </cell>
          <cell r="L340">
            <v>5</v>
          </cell>
          <cell r="M340" t="str">
            <v>IC1155</v>
          </cell>
        </row>
        <row r="341">
          <cell r="C341" t="str">
            <v>酒神烟斗</v>
          </cell>
          <cell r="E341">
            <v>3</v>
          </cell>
          <cell r="F341">
            <v>1</v>
          </cell>
          <cell r="G341">
            <v>8</v>
          </cell>
          <cell r="J341">
            <v>0</v>
          </cell>
          <cell r="L341">
            <v>6</v>
          </cell>
          <cell r="M341" t="str">
            <v>IC1143</v>
          </cell>
        </row>
        <row r="342">
          <cell r="C342" t="str">
            <v>缪斯烟斗</v>
          </cell>
          <cell r="E342">
            <v>3</v>
          </cell>
          <cell r="F342">
            <v>1</v>
          </cell>
          <cell r="G342">
            <v>8</v>
          </cell>
          <cell r="J342">
            <v>0</v>
          </cell>
          <cell r="L342">
            <v>7</v>
          </cell>
          <cell r="M342" t="str">
            <v>IC1101</v>
          </cell>
        </row>
        <row r="343">
          <cell r="C343" t="str">
            <v>潘多拉烟斗</v>
          </cell>
          <cell r="E343">
            <v>3</v>
          </cell>
          <cell r="F343">
            <v>1</v>
          </cell>
          <cell r="G343">
            <v>8</v>
          </cell>
          <cell r="J343">
            <v>0</v>
          </cell>
          <cell r="L343">
            <v>8</v>
          </cell>
          <cell r="M343" t="str">
            <v>IC1106</v>
          </cell>
        </row>
        <row r="344">
          <cell r="C344" t="str">
            <v>梅西烟斗</v>
          </cell>
          <cell r="E344">
            <v>3</v>
          </cell>
          <cell r="F344">
            <v>1</v>
          </cell>
          <cell r="G344">
            <v>8</v>
          </cell>
          <cell r="J344">
            <v>0</v>
          </cell>
          <cell r="L344">
            <v>9</v>
          </cell>
          <cell r="M344" t="str">
            <v>IC1104</v>
          </cell>
        </row>
        <row r="345">
          <cell r="C345" t="str">
            <v>奥丁扇子</v>
          </cell>
          <cell r="E345">
            <v>3</v>
          </cell>
          <cell r="F345">
            <v>1</v>
          </cell>
          <cell r="G345">
            <v>9</v>
          </cell>
          <cell r="J345">
            <v>0</v>
          </cell>
          <cell r="L345">
            <v>1</v>
          </cell>
          <cell r="M345" t="str">
            <v>IC1838</v>
          </cell>
        </row>
        <row r="346">
          <cell r="C346" t="str">
            <v>卢卡扇子</v>
          </cell>
          <cell r="E346">
            <v>3</v>
          </cell>
          <cell r="F346">
            <v>1</v>
          </cell>
          <cell r="G346">
            <v>9</v>
          </cell>
          <cell r="J346">
            <v>0</v>
          </cell>
          <cell r="L346">
            <v>2</v>
          </cell>
          <cell r="M346" t="str">
            <v>IC1839</v>
          </cell>
        </row>
        <row r="347">
          <cell r="C347" t="str">
            <v>坎珀扇子</v>
          </cell>
          <cell r="E347">
            <v>3</v>
          </cell>
          <cell r="F347">
            <v>1</v>
          </cell>
          <cell r="G347">
            <v>9</v>
          </cell>
          <cell r="J347">
            <v>0</v>
          </cell>
          <cell r="L347">
            <v>3</v>
          </cell>
          <cell r="M347" t="str">
            <v>IC1840</v>
          </cell>
        </row>
        <row r="348">
          <cell r="C348" t="str">
            <v>费恩扇子</v>
          </cell>
          <cell r="E348">
            <v>3</v>
          </cell>
          <cell r="F348">
            <v>1</v>
          </cell>
          <cell r="G348">
            <v>9</v>
          </cell>
          <cell r="J348">
            <v>0</v>
          </cell>
          <cell r="L348">
            <v>4</v>
          </cell>
          <cell r="M348" t="str">
            <v>IC1838</v>
          </cell>
        </row>
        <row r="349">
          <cell r="C349" t="str">
            <v>迪马斯扇子</v>
          </cell>
          <cell r="E349">
            <v>3</v>
          </cell>
          <cell r="F349">
            <v>1</v>
          </cell>
          <cell r="G349">
            <v>9</v>
          </cell>
          <cell r="J349">
            <v>0</v>
          </cell>
          <cell r="L349">
            <v>5</v>
          </cell>
          <cell r="M349" t="str">
            <v>IC1839</v>
          </cell>
        </row>
        <row r="350">
          <cell r="C350" t="str">
            <v>酒神扇子</v>
          </cell>
          <cell r="E350">
            <v>3</v>
          </cell>
          <cell r="F350">
            <v>1</v>
          </cell>
          <cell r="G350">
            <v>9</v>
          </cell>
          <cell r="J350">
            <v>0</v>
          </cell>
          <cell r="L350">
            <v>6</v>
          </cell>
          <cell r="M350" t="str">
            <v>IC1838</v>
          </cell>
        </row>
        <row r="351">
          <cell r="C351" t="str">
            <v>缪斯扇子</v>
          </cell>
          <cell r="E351">
            <v>3</v>
          </cell>
          <cell r="F351">
            <v>1</v>
          </cell>
          <cell r="G351">
            <v>9</v>
          </cell>
          <cell r="J351">
            <v>0</v>
          </cell>
          <cell r="L351">
            <v>7</v>
          </cell>
          <cell r="M351" t="str">
            <v>IC1836</v>
          </cell>
        </row>
        <row r="352">
          <cell r="C352" t="str">
            <v>潘多拉扇子</v>
          </cell>
          <cell r="E352">
            <v>3</v>
          </cell>
          <cell r="F352">
            <v>1</v>
          </cell>
          <cell r="G352">
            <v>9</v>
          </cell>
          <cell r="J352">
            <v>0</v>
          </cell>
          <cell r="L352">
            <v>8</v>
          </cell>
          <cell r="M352" t="str">
            <v>IC1838</v>
          </cell>
        </row>
        <row r="353">
          <cell r="C353" t="str">
            <v>赫拉之扇</v>
          </cell>
          <cell r="E353">
            <v>3</v>
          </cell>
          <cell r="F353">
            <v>1</v>
          </cell>
          <cell r="G353">
            <v>9</v>
          </cell>
          <cell r="J353">
            <v>0</v>
          </cell>
          <cell r="L353">
            <v>9</v>
          </cell>
          <cell r="M353" t="str">
            <v>IC1839</v>
          </cell>
        </row>
        <row r="354">
          <cell r="C354" t="str">
            <v>奥丁牙齿</v>
          </cell>
          <cell r="E354">
            <v>3</v>
          </cell>
          <cell r="F354">
            <v>1</v>
          </cell>
          <cell r="G354">
            <v>10</v>
          </cell>
          <cell r="J354">
            <v>0</v>
          </cell>
          <cell r="L354">
            <v>1</v>
          </cell>
          <cell r="M354" t="str">
            <v>IC1551</v>
          </cell>
        </row>
        <row r="355">
          <cell r="C355" t="str">
            <v>卢卡牙齿</v>
          </cell>
          <cell r="E355">
            <v>3</v>
          </cell>
          <cell r="F355">
            <v>1</v>
          </cell>
          <cell r="G355">
            <v>10</v>
          </cell>
          <cell r="J355">
            <v>0</v>
          </cell>
          <cell r="L355">
            <v>2</v>
          </cell>
          <cell r="M355" t="str">
            <v>IC1552</v>
          </cell>
        </row>
        <row r="356">
          <cell r="C356" t="str">
            <v>坎珀牙齿</v>
          </cell>
          <cell r="E356">
            <v>3</v>
          </cell>
          <cell r="F356">
            <v>1</v>
          </cell>
          <cell r="G356">
            <v>10</v>
          </cell>
          <cell r="J356">
            <v>0</v>
          </cell>
          <cell r="L356">
            <v>3</v>
          </cell>
          <cell r="M356" t="str">
            <v>IC1558</v>
          </cell>
        </row>
        <row r="357">
          <cell r="C357" t="str">
            <v>费恩牙齿</v>
          </cell>
          <cell r="E357">
            <v>3</v>
          </cell>
          <cell r="F357">
            <v>1</v>
          </cell>
          <cell r="G357">
            <v>10</v>
          </cell>
          <cell r="J357">
            <v>0</v>
          </cell>
          <cell r="L357">
            <v>4</v>
          </cell>
          <cell r="M357" t="str">
            <v>IC1559</v>
          </cell>
        </row>
        <row r="358">
          <cell r="C358" t="str">
            <v>迪马斯牙齿</v>
          </cell>
          <cell r="E358">
            <v>3</v>
          </cell>
          <cell r="F358">
            <v>1</v>
          </cell>
          <cell r="G358">
            <v>10</v>
          </cell>
          <cell r="J358">
            <v>0</v>
          </cell>
          <cell r="L358">
            <v>5</v>
          </cell>
          <cell r="M358" t="str">
            <v>IC1560</v>
          </cell>
        </row>
        <row r="359">
          <cell r="C359" t="str">
            <v>酒神牙齿</v>
          </cell>
          <cell r="E359">
            <v>3</v>
          </cell>
          <cell r="F359">
            <v>1</v>
          </cell>
          <cell r="G359">
            <v>10</v>
          </cell>
          <cell r="J359">
            <v>0</v>
          </cell>
          <cell r="L359">
            <v>6</v>
          </cell>
          <cell r="M359" t="str">
            <v>IC1562</v>
          </cell>
        </row>
        <row r="360">
          <cell r="C360" t="str">
            <v>缪斯牙齿</v>
          </cell>
          <cell r="E360">
            <v>3</v>
          </cell>
          <cell r="F360">
            <v>1</v>
          </cell>
          <cell r="G360">
            <v>10</v>
          </cell>
          <cell r="J360">
            <v>0</v>
          </cell>
          <cell r="L360">
            <v>7</v>
          </cell>
          <cell r="M360" t="str">
            <v>IC1563</v>
          </cell>
        </row>
        <row r="361">
          <cell r="C361" t="str">
            <v>潘多拉牙齿</v>
          </cell>
          <cell r="E361">
            <v>3</v>
          </cell>
          <cell r="F361">
            <v>1</v>
          </cell>
          <cell r="G361">
            <v>10</v>
          </cell>
          <cell r="J361">
            <v>0</v>
          </cell>
          <cell r="L361">
            <v>8</v>
          </cell>
          <cell r="M361" t="str">
            <v>IC1564</v>
          </cell>
        </row>
        <row r="362">
          <cell r="C362" t="str">
            <v>涅琉斯牙齿</v>
          </cell>
          <cell r="E362">
            <v>3</v>
          </cell>
          <cell r="F362">
            <v>1</v>
          </cell>
          <cell r="G362">
            <v>10</v>
          </cell>
          <cell r="J362">
            <v>0</v>
          </cell>
          <cell r="L362">
            <v>9</v>
          </cell>
          <cell r="M362" t="str">
            <v>IC1565</v>
          </cell>
        </row>
        <row r="363">
          <cell r="C363" t="str">
            <v>奥丁之球</v>
          </cell>
          <cell r="E363">
            <v>3</v>
          </cell>
          <cell r="F363">
            <v>1</v>
          </cell>
          <cell r="G363">
            <v>11</v>
          </cell>
          <cell r="J363">
            <v>0</v>
          </cell>
          <cell r="L363">
            <v>1</v>
          </cell>
          <cell r="M363" t="str">
            <v>IC1401</v>
          </cell>
        </row>
        <row r="364">
          <cell r="C364" t="str">
            <v>卢卡之球</v>
          </cell>
          <cell r="E364">
            <v>3</v>
          </cell>
          <cell r="F364">
            <v>1</v>
          </cell>
          <cell r="G364">
            <v>11</v>
          </cell>
          <cell r="J364">
            <v>0</v>
          </cell>
          <cell r="L364">
            <v>2</v>
          </cell>
          <cell r="M364" t="str">
            <v>IC1407</v>
          </cell>
        </row>
        <row r="365">
          <cell r="C365" t="str">
            <v>坎珀之球</v>
          </cell>
          <cell r="E365">
            <v>3</v>
          </cell>
          <cell r="F365">
            <v>1</v>
          </cell>
          <cell r="G365">
            <v>11</v>
          </cell>
          <cell r="J365">
            <v>0</v>
          </cell>
          <cell r="L365">
            <v>3</v>
          </cell>
          <cell r="M365" t="str">
            <v>IC1412</v>
          </cell>
        </row>
        <row r="366">
          <cell r="C366" t="str">
            <v>费恩之球</v>
          </cell>
          <cell r="E366">
            <v>3</v>
          </cell>
          <cell r="F366">
            <v>1</v>
          </cell>
          <cell r="G366">
            <v>11</v>
          </cell>
          <cell r="J366">
            <v>0</v>
          </cell>
          <cell r="L366">
            <v>4</v>
          </cell>
          <cell r="M366" t="str">
            <v>IC1413</v>
          </cell>
        </row>
        <row r="367">
          <cell r="C367" t="str">
            <v>迪马斯之球</v>
          </cell>
          <cell r="E367">
            <v>3</v>
          </cell>
          <cell r="F367">
            <v>1</v>
          </cell>
          <cell r="G367">
            <v>11</v>
          </cell>
          <cell r="J367">
            <v>0</v>
          </cell>
          <cell r="L367">
            <v>5</v>
          </cell>
          <cell r="M367" t="str">
            <v>IC1416</v>
          </cell>
        </row>
        <row r="368">
          <cell r="C368" t="str">
            <v>酒神之球</v>
          </cell>
          <cell r="E368">
            <v>3</v>
          </cell>
          <cell r="F368">
            <v>1</v>
          </cell>
          <cell r="G368">
            <v>11</v>
          </cell>
          <cell r="J368">
            <v>0</v>
          </cell>
          <cell r="L368">
            <v>6</v>
          </cell>
          <cell r="M368" t="str">
            <v>IC1417</v>
          </cell>
        </row>
        <row r="369">
          <cell r="C369" t="str">
            <v>缪斯之球</v>
          </cell>
          <cell r="E369">
            <v>3</v>
          </cell>
          <cell r="F369">
            <v>1</v>
          </cell>
          <cell r="G369">
            <v>11</v>
          </cell>
          <cell r="J369">
            <v>0</v>
          </cell>
          <cell r="L369">
            <v>7</v>
          </cell>
          <cell r="M369" t="str">
            <v>IC1419</v>
          </cell>
        </row>
        <row r="370">
          <cell r="C370" t="str">
            <v>潘多拉之球</v>
          </cell>
          <cell r="E370">
            <v>3</v>
          </cell>
          <cell r="F370">
            <v>1</v>
          </cell>
          <cell r="G370">
            <v>11</v>
          </cell>
          <cell r="J370">
            <v>0</v>
          </cell>
          <cell r="L370">
            <v>8</v>
          </cell>
          <cell r="M370" t="str">
            <v>IC1416</v>
          </cell>
        </row>
        <row r="371">
          <cell r="C371" t="str">
            <v>欧罗巴之球</v>
          </cell>
          <cell r="E371">
            <v>3</v>
          </cell>
          <cell r="F371">
            <v>1</v>
          </cell>
          <cell r="G371">
            <v>11</v>
          </cell>
          <cell r="J371">
            <v>0</v>
          </cell>
          <cell r="L371">
            <v>9</v>
          </cell>
          <cell r="M371" t="str">
            <v>IC1412</v>
          </cell>
        </row>
        <row r="372">
          <cell r="C372" t="str">
            <v>奥丁之爪</v>
          </cell>
          <cell r="E372">
            <v>3</v>
          </cell>
          <cell r="F372">
            <v>1</v>
          </cell>
          <cell r="G372">
            <v>12</v>
          </cell>
          <cell r="J372">
            <v>0</v>
          </cell>
          <cell r="L372">
            <v>1</v>
          </cell>
          <cell r="M372" t="str">
            <v>IC1751</v>
          </cell>
        </row>
        <row r="373">
          <cell r="C373" t="str">
            <v>卢卡之爪</v>
          </cell>
          <cell r="E373">
            <v>3</v>
          </cell>
          <cell r="F373">
            <v>1</v>
          </cell>
          <cell r="G373">
            <v>12</v>
          </cell>
          <cell r="J373">
            <v>0</v>
          </cell>
          <cell r="L373">
            <v>2</v>
          </cell>
          <cell r="M373" t="str">
            <v>IC1758</v>
          </cell>
        </row>
        <row r="374">
          <cell r="C374" t="str">
            <v>坎珀之爪</v>
          </cell>
          <cell r="E374">
            <v>3</v>
          </cell>
          <cell r="F374">
            <v>1</v>
          </cell>
          <cell r="G374">
            <v>12</v>
          </cell>
          <cell r="J374">
            <v>0</v>
          </cell>
          <cell r="L374">
            <v>3</v>
          </cell>
          <cell r="M374" t="str">
            <v>IC1763</v>
          </cell>
        </row>
        <row r="375">
          <cell r="C375" t="str">
            <v>费恩之爪</v>
          </cell>
          <cell r="E375">
            <v>3</v>
          </cell>
          <cell r="F375">
            <v>1</v>
          </cell>
          <cell r="G375">
            <v>12</v>
          </cell>
          <cell r="J375">
            <v>0</v>
          </cell>
          <cell r="L375">
            <v>4</v>
          </cell>
          <cell r="M375" t="str">
            <v>IC1765</v>
          </cell>
        </row>
        <row r="376">
          <cell r="C376" t="str">
            <v>迪马斯之爪</v>
          </cell>
          <cell r="E376">
            <v>3</v>
          </cell>
          <cell r="F376">
            <v>1</v>
          </cell>
          <cell r="G376">
            <v>12</v>
          </cell>
          <cell r="J376">
            <v>0</v>
          </cell>
          <cell r="L376">
            <v>5</v>
          </cell>
          <cell r="M376" t="str">
            <v>IC1767</v>
          </cell>
        </row>
        <row r="377">
          <cell r="C377" t="str">
            <v>酒神之爪</v>
          </cell>
          <cell r="E377">
            <v>3</v>
          </cell>
          <cell r="F377">
            <v>1</v>
          </cell>
          <cell r="G377">
            <v>12</v>
          </cell>
          <cell r="J377">
            <v>0</v>
          </cell>
          <cell r="L377">
            <v>6</v>
          </cell>
          <cell r="M377" t="str">
            <v>IC1768</v>
          </cell>
        </row>
        <row r="378">
          <cell r="C378" t="str">
            <v>缪斯之爪</v>
          </cell>
          <cell r="E378">
            <v>3</v>
          </cell>
          <cell r="F378">
            <v>1</v>
          </cell>
          <cell r="G378">
            <v>12</v>
          </cell>
          <cell r="J378">
            <v>0</v>
          </cell>
          <cell r="L378">
            <v>7</v>
          </cell>
          <cell r="M378" t="str">
            <v>IC1770</v>
          </cell>
        </row>
        <row r="379">
          <cell r="C379" t="str">
            <v>潘多拉之爪</v>
          </cell>
          <cell r="E379">
            <v>3</v>
          </cell>
          <cell r="F379">
            <v>1</v>
          </cell>
          <cell r="G379">
            <v>12</v>
          </cell>
          <cell r="J379">
            <v>0</v>
          </cell>
          <cell r="L379">
            <v>8</v>
          </cell>
          <cell r="M379" t="str">
            <v>IC1771</v>
          </cell>
        </row>
        <row r="380">
          <cell r="C380" t="str">
            <v>卡帕纽斯之爪</v>
          </cell>
          <cell r="E380">
            <v>3</v>
          </cell>
          <cell r="F380">
            <v>1</v>
          </cell>
          <cell r="G380">
            <v>12</v>
          </cell>
          <cell r="J380">
            <v>0</v>
          </cell>
          <cell r="L380">
            <v>9</v>
          </cell>
          <cell r="M380" t="str">
            <v>IC1772</v>
          </cell>
        </row>
        <row r="381">
          <cell r="C381" t="str">
            <v>奥丁之剑</v>
          </cell>
          <cell r="E381">
            <v>3</v>
          </cell>
          <cell r="F381">
            <v>1</v>
          </cell>
          <cell r="G381">
            <v>13</v>
          </cell>
          <cell r="J381">
            <v>0</v>
          </cell>
          <cell r="L381">
            <v>1</v>
          </cell>
          <cell r="M381" t="str">
            <v>IC1213</v>
          </cell>
        </row>
        <row r="382">
          <cell r="C382" t="str">
            <v>卢卡之剑</v>
          </cell>
          <cell r="E382">
            <v>3</v>
          </cell>
          <cell r="F382">
            <v>1</v>
          </cell>
          <cell r="G382">
            <v>13</v>
          </cell>
          <cell r="J382">
            <v>0</v>
          </cell>
          <cell r="L382">
            <v>2</v>
          </cell>
          <cell r="M382" t="str">
            <v>IC1216</v>
          </cell>
        </row>
        <row r="383">
          <cell r="C383" t="str">
            <v>坎珀之剑</v>
          </cell>
          <cell r="E383">
            <v>3</v>
          </cell>
          <cell r="F383">
            <v>1</v>
          </cell>
          <cell r="G383">
            <v>13</v>
          </cell>
          <cell r="J383">
            <v>0</v>
          </cell>
          <cell r="L383">
            <v>3</v>
          </cell>
          <cell r="M383" t="str">
            <v>IC1220</v>
          </cell>
        </row>
        <row r="384">
          <cell r="C384" t="str">
            <v>费恩之剑</v>
          </cell>
          <cell r="E384">
            <v>3</v>
          </cell>
          <cell r="F384">
            <v>1</v>
          </cell>
          <cell r="G384">
            <v>13</v>
          </cell>
          <cell r="J384">
            <v>0</v>
          </cell>
          <cell r="L384">
            <v>4</v>
          </cell>
          <cell r="M384" t="str">
            <v>IC1222</v>
          </cell>
        </row>
        <row r="385">
          <cell r="C385" t="str">
            <v>迪马斯之剑</v>
          </cell>
          <cell r="E385">
            <v>3</v>
          </cell>
          <cell r="F385">
            <v>1</v>
          </cell>
          <cell r="G385">
            <v>13</v>
          </cell>
          <cell r="J385">
            <v>0</v>
          </cell>
          <cell r="L385">
            <v>5</v>
          </cell>
          <cell r="M385" t="str">
            <v>IC1228</v>
          </cell>
        </row>
        <row r="386">
          <cell r="C386" t="str">
            <v>酒神之剑</v>
          </cell>
          <cell r="E386">
            <v>3</v>
          </cell>
          <cell r="F386">
            <v>1</v>
          </cell>
          <cell r="G386">
            <v>13</v>
          </cell>
          <cell r="J386">
            <v>0</v>
          </cell>
          <cell r="L386">
            <v>6</v>
          </cell>
          <cell r="M386" t="str">
            <v>IC1235</v>
          </cell>
        </row>
        <row r="387">
          <cell r="C387" t="str">
            <v>缪斯之剑</v>
          </cell>
          <cell r="E387">
            <v>3</v>
          </cell>
          <cell r="F387">
            <v>1</v>
          </cell>
          <cell r="G387">
            <v>13</v>
          </cell>
          <cell r="J387">
            <v>0</v>
          </cell>
          <cell r="L387">
            <v>7</v>
          </cell>
          <cell r="M387" t="str">
            <v>IC1236</v>
          </cell>
        </row>
        <row r="388">
          <cell r="C388" t="str">
            <v>潘多拉之剑</v>
          </cell>
          <cell r="E388">
            <v>3</v>
          </cell>
          <cell r="F388">
            <v>1</v>
          </cell>
          <cell r="G388">
            <v>13</v>
          </cell>
          <cell r="J388">
            <v>0</v>
          </cell>
          <cell r="L388">
            <v>8</v>
          </cell>
          <cell r="M388" t="str">
            <v>IC1237</v>
          </cell>
        </row>
        <row r="389">
          <cell r="C389" t="str">
            <v>海格力斯</v>
          </cell>
          <cell r="E389">
            <v>3</v>
          </cell>
          <cell r="F389">
            <v>1</v>
          </cell>
          <cell r="G389">
            <v>13</v>
          </cell>
          <cell r="J389">
            <v>0</v>
          </cell>
          <cell r="L389">
            <v>9</v>
          </cell>
          <cell r="M389" t="str">
            <v>IC1238</v>
          </cell>
        </row>
        <row r="390">
          <cell r="C390" t="str">
            <v>希尔戒指</v>
          </cell>
          <cell r="E390">
            <v>3</v>
          </cell>
          <cell r="F390">
            <v>2</v>
          </cell>
          <cell r="G390">
            <v>14</v>
          </cell>
          <cell r="J390">
            <v>0</v>
          </cell>
          <cell r="L390">
            <v>1</v>
          </cell>
          <cell r="M390" t="str">
            <v>IC1743</v>
          </cell>
        </row>
        <row r="391">
          <cell r="C391" t="str">
            <v>阿蒙之星</v>
          </cell>
          <cell r="E391">
            <v>3</v>
          </cell>
          <cell r="F391">
            <v>2</v>
          </cell>
          <cell r="G391">
            <v>14</v>
          </cell>
          <cell r="J391">
            <v>0</v>
          </cell>
          <cell r="L391">
            <v>2</v>
          </cell>
          <cell r="M391" t="str">
            <v>IC1744</v>
          </cell>
        </row>
        <row r="392">
          <cell r="C392" t="str">
            <v>阿尔泰亚</v>
          </cell>
          <cell r="E392">
            <v>3</v>
          </cell>
          <cell r="F392">
            <v>2</v>
          </cell>
          <cell r="G392">
            <v>14</v>
          </cell>
          <cell r="J392">
            <v>0</v>
          </cell>
          <cell r="L392">
            <v>3</v>
          </cell>
          <cell r="M392" t="str">
            <v>IC1745</v>
          </cell>
        </row>
        <row r="393">
          <cell r="C393" t="str">
            <v>卡尔卡斯</v>
          </cell>
          <cell r="E393">
            <v>3</v>
          </cell>
          <cell r="F393">
            <v>2</v>
          </cell>
          <cell r="G393">
            <v>14</v>
          </cell>
          <cell r="J393">
            <v>0</v>
          </cell>
          <cell r="L393">
            <v>4</v>
          </cell>
          <cell r="M393" t="str">
            <v>IC1778</v>
          </cell>
        </row>
        <row r="394">
          <cell r="C394" t="str">
            <v>拉米亚之戒</v>
          </cell>
          <cell r="E394">
            <v>3</v>
          </cell>
          <cell r="F394">
            <v>2</v>
          </cell>
          <cell r="G394">
            <v>14</v>
          </cell>
          <cell r="J394">
            <v>0</v>
          </cell>
          <cell r="L394">
            <v>5</v>
          </cell>
          <cell r="M394" t="str">
            <v>IC1779</v>
          </cell>
        </row>
        <row r="395">
          <cell r="C395" t="str">
            <v>西农</v>
          </cell>
          <cell r="E395">
            <v>3</v>
          </cell>
          <cell r="F395">
            <v>2</v>
          </cell>
          <cell r="G395">
            <v>14</v>
          </cell>
          <cell r="J395">
            <v>0</v>
          </cell>
          <cell r="L395">
            <v>6</v>
          </cell>
          <cell r="M395" t="str">
            <v>IC1795</v>
          </cell>
        </row>
        <row r="396">
          <cell r="C396" t="str">
            <v>血魔之戒</v>
          </cell>
          <cell r="E396">
            <v>3</v>
          </cell>
          <cell r="F396">
            <v>2</v>
          </cell>
          <cell r="G396">
            <v>14</v>
          </cell>
          <cell r="J396">
            <v>0</v>
          </cell>
          <cell r="L396">
            <v>7</v>
          </cell>
          <cell r="M396" t="str">
            <v>IC1743</v>
          </cell>
        </row>
        <row r="397">
          <cell r="C397" t="str">
            <v>多隆之眼</v>
          </cell>
          <cell r="E397">
            <v>3</v>
          </cell>
          <cell r="F397">
            <v>2</v>
          </cell>
          <cell r="G397">
            <v>14</v>
          </cell>
          <cell r="J397">
            <v>0</v>
          </cell>
          <cell r="L397">
            <v>8</v>
          </cell>
          <cell r="M397" t="str">
            <v>IC1744</v>
          </cell>
        </row>
        <row r="398">
          <cell r="C398" t="str">
            <v>迅战戒指</v>
          </cell>
          <cell r="E398">
            <v>3</v>
          </cell>
          <cell r="F398">
            <v>2</v>
          </cell>
          <cell r="G398">
            <v>14</v>
          </cell>
          <cell r="J398">
            <v>0</v>
          </cell>
          <cell r="L398">
            <v>9</v>
          </cell>
          <cell r="M398" t="str">
            <v>IC1745</v>
          </cell>
        </row>
        <row r="399">
          <cell r="C399" t="str">
            <v>卡尔斯项链</v>
          </cell>
          <cell r="E399">
            <v>3</v>
          </cell>
          <cell r="F399">
            <v>3</v>
          </cell>
          <cell r="G399">
            <v>15</v>
          </cell>
          <cell r="J399">
            <v>0</v>
          </cell>
          <cell r="L399">
            <v>1</v>
          </cell>
          <cell r="M399" t="str">
            <v>IC1742</v>
          </cell>
        </row>
        <row r="400">
          <cell r="C400" t="str">
            <v>亚马逊人</v>
          </cell>
          <cell r="E400">
            <v>3</v>
          </cell>
          <cell r="F400">
            <v>3</v>
          </cell>
          <cell r="G400">
            <v>15</v>
          </cell>
          <cell r="J400">
            <v>0</v>
          </cell>
          <cell r="L400">
            <v>2</v>
          </cell>
          <cell r="M400" t="str">
            <v>IC1895</v>
          </cell>
        </row>
        <row r="401">
          <cell r="C401" t="str">
            <v>比奥斯</v>
          </cell>
          <cell r="E401">
            <v>3</v>
          </cell>
          <cell r="F401">
            <v>3</v>
          </cell>
          <cell r="G401">
            <v>15</v>
          </cell>
          <cell r="J401">
            <v>0</v>
          </cell>
          <cell r="L401">
            <v>3</v>
          </cell>
          <cell r="M401" t="str">
            <v>IC1898</v>
          </cell>
        </row>
        <row r="402">
          <cell r="C402" t="str">
            <v>卢比项链</v>
          </cell>
          <cell r="E402">
            <v>3</v>
          </cell>
          <cell r="F402">
            <v>3</v>
          </cell>
          <cell r="G402">
            <v>15</v>
          </cell>
          <cell r="J402">
            <v>0</v>
          </cell>
          <cell r="L402">
            <v>4</v>
          </cell>
          <cell r="M402" t="str">
            <v>IC1900</v>
          </cell>
        </row>
        <row r="403">
          <cell r="C403" t="str">
            <v>萨耳珀冬</v>
          </cell>
          <cell r="E403">
            <v>3</v>
          </cell>
          <cell r="F403">
            <v>3</v>
          </cell>
          <cell r="G403">
            <v>15</v>
          </cell>
          <cell r="J403">
            <v>0</v>
          </cell>
          <cell r="L403">
            <v>5</v>
          </cell>
          <cell r="M403" t="str">
            <v>IC1924</v>
          </cell>
        </row>
        <row r="404">
          <cell r="C404" t="str">
            <v>乌拉尼亚</v>
          </cell>
          <cell r="E404">
            <v>3</v>
          </cell>
          <cell r="F404">
            <v>3</v>
          </cell>
          <cell r="G404">
            <v>15</v>
          </cell>
          <cell r="J404">
            <v>0</v>
          </cell>
          <cell r="L404">
            <v>6</v>
          </cell>
          <cell r="M404" t="str">
            <v>IC1742</v>
          </cell>
        </row>
        <row r="405">
          <cell r="C405" t="str">
            <v>斯库卡吊坠</v>
          </cell>
          <cell r="E405">
            <v>3</v>
          </cell>
          <cell r="F405">
            <v>3</v>
          </cell>
          <cell r="G405">
            <v>15</v>
          </cell>
          <cell r="J405">
            <v>0</v>
          </cell>
          <cell r="L405">
            <v>7</v>
          </cell>
          <cell r="M405" t="str">
            <v>IC1895</v>
          </cell>
        </row>
        <row r="406">
          <cell r="C406" t="str">
            <v>欧罗巴项链</v>
          </cell>
          <cell r="E406">
            <v>3</v>
          </cell>
          <cell r="F406">
            <v>3</v>
          </cell>
          <cell r="G406">
            <v>15</v>
          </cell>
          <cell r="J406">
            <v>0</v>
          </cell>
          <cell r="L406">
            <v>8</v>
          </cell>
          <cell r="M406" t="str">
            <v>IC1898</v>
          </cell>
        </row>
        <row r="407">
          <cell r="C407" t="str">
            <v>海伦之心</v>
          </cell>
          <cell r="E407">
            <v>3</v>
          </cell>
          <cell r="F407">
            <v>3</v>
          </cell>
          <cell r="G407">
            <v>15</v>
          </cell>
          <cell r="J407">
            <v>0</v>
          </cell>
          <cell r="L407">
            <v>9</v>
          </cell>
          <cell r="M407" t="str">
            <v>IC1900</v>
          </cell>
        </row>
        <row r="408">
          <cell r="C408" t="str">
            <v>泰坦的力量</v>
          </cell>
          <cell r="E408">
            <v>4</v>
          </cell>
          <cell r="F408">
            <v>1</v>
          </cell>
          <cell r="G408">
            <v>1</v>
          </cell>
          <cell r="J408">
            <v>1</v>
          </cell>
          <cell r="L408">
            <v>9</v>
          </cell>
          <cell r="M408" t="str">
            <v>IC1038</v>
          </cell>
        </row>
        <row r="409">
          <cell r="C409" t="str">
            <v>泰坦的荣耀</v>
          </cell>
          <cell r="E409">
            <v>4</v>
          </cell>
          <cell r="F409">
            <v>2</v>
          </cell>
          <cell r="G409">
            <v>14</v>
          </cell>
          <cell r="J409">
            <v>1</v>
          </cell>
          <cell r="L409">
            <v>9</v>
          </cell>
          <cell r="M409" t="str">
            <v>IC1936</v>
          </cell>
        </row>
        <row r="410">
          <cell r="C410" t="str">
            <v>泰坦的光辉</v>
          </cell>
          <cell r="E410">
            <v>4</v>
          </cell>
          <cell r="F410">
            <v>3</v>
          </cell>
          <cell r="G410">
            <v>15</v>
          </cell>
          <cell r="J410">
            <v>1</v>
          </cell>
          <cell r="L410">
            <v>9</v>
          </cell>
          <cell r="M410" t="str">
            <v>IC1877</v>
          </cell>
        </row>
        <row r="411">
          <cell r="C411" t="str">
            <v>阿波罗的利刃</v>
          </cell>
          <cell r="E411">
            <v>4</v>
          </cell>
          <cell r="F411">
            <v>1</v>
          </cell>
          <cell r="G411">
            <v>2</v>
          </cell>
          <cell r="J411">
            <v>2</v>
          </cell>
          <cell r="L411">
            <v>9</v>
          </cell>
          <cell r="M411" t="str">
            <v>IC1220</v>
          </cell>
        </row>
        <row r="412">
          <cell r="C412" t="str">
            <v>阿波罗的眼眸</v>
          </cell>
          <cell r="E412">
            <v>4</v>
          </cell>
          <cell r="F412">
            <v>2</v>
          </cell>
          <cell r="G412">
            <v>14</v>
          </cell>
          <cell r="J412">
            <v>2</v>
          </cell>
          <cell r="L412">
            <v>9</v>
          </cell>
          <cell r="M412" t="str">
            <v>IC1936</v>
          </cell>
        </row>
        <row r="413">
          <cell r="C413" t="str">
            <v>阿波罗的惩戒</v>
          </cell>
          <cell r="E413">
            <v>4</v>
          </cell>
          <cell r="F413">
            <v>3</v>
          </cell>
          <cell r="G413">
            <v>15</v>
          </cell>
          <cell r="J413">
            <v>2</v>
          </cell>
          <cell r="L413">
            <v>9</v>
          </cell>
          <cell r="M413" t="str">
            <v>IC1877</v>
          </cell>
        </row>
        <row r="414">
          <cell r="C414" t="str">
            <v>阿瑞斯之拳</v>
          </cell>
          <cell r="E414">
            <v>4</v>
          </cell>
          <cell r="F414">
            <v>1</v>
          </cell>
          <cell r="G414">
            <v>3</v>
          </cell>
          <cell r="J414">
            <v>3</v>
          </cell>
          <cell r="L414">
            <v>9</v>
          </cell>
          <cell r="M414" t="str">
            <v>IC1525</v>
          </cell>
        </row>
        <row r="415">
          <cell r="C415" t="str">
            <v>阿瑞斯之戒</v>
          </cell>
          <cell r="E415">
            <v>4</v>
          </cell>
          <cell r="F415">
            <v>2</v>
          </cell>
          <cell r="G415">
            <v>14</v>
          </cell>
          <cell r="J415">
            <v>3</v>
          </cell>
          <cell r="L415">
            <v>9</v>
          </cell>
          <cell r="M415" t="str">
            <v>IC1936</v>
          </cell>
        </row>
        <row r="416">
          <cell r="C416" t="str">
            <v>阿瑞斯之魂</v>
          </cell>
          <cell r="E416">
            <v>4</v>
          </cell>
          <cell r="F416">
            <v>3</v>
          </cell>
          <cell r="G416">
            <v>15</v>
          </cell>
          <cell r="J416">
            <v>3</v>
          </cell>
          <cell r="L416">
            <v>9</v>
          </cell>
          <cell r="M416" t="str">
            <v>IC1877</v>
          </cell>
        </row>
        <row r="417">
          <cell r="C417" t="str">
            <v>阿努比斯的矛</v>
          </cell>
          <cell r="E417">
            <v>4</v>
          </cell>
          <cell r="F417">
            <v>1</v>
          </cell>
          <cell r="G417">
            <v>4</v>
          </cell>
          <cell r="J417">
            <v>4</v>
          </cell>
          <cell r="L417">
            <v>9</v>
          </cell>
          <cell r="M417" t="str">
            <v>IC1669</v>
          </cell>
        </row>
        <row r="418">
          <cell r="C418" t="str">
            <v>阿努比斯的灵魂</v>
          </cell>
          <cell r="E418">
            <v>4</v>
          </cell>
          <cell r="F418">
            <v>2</v>
          </cell>
          <cell r="G418">
            <v>14</v>
          </cell>
          <cell r="J418">
            <v>4</v>
          </cell>
          <cell r="L418">
            <v>9</v>
          </cell>
          <cell r="M418" t="str">
            <v>IC1936</v>
          </cell>
        </row>
        <row r="419">
          <cell r="C419" t="str">
            <v>阿努比斯的守护</v>
          </cell>
          <cell r="E419">
            <v>4</v>
          </cell>
          <cell r="F419">
            <v>3</v>
          </cell>
          <cell r="G419">
            <v>15</v>
          </cell>
          <cell r="J419">
            <v>4</v>
          </cell>
          <cell r="L419">
            <v>9</v>
          </cell>
          <cell r="M419" t="str">
            <v>IC1877</v>
          </cell>
        </row>
        <row r="420">
          <cell r="C420" t="str">
            <v>赫卡忒的黑暗</v>
          </cell>
          <cell r="E420">
            <v>4</v>
          </cell>
          <cell r="F420">
            <v>1</v>
          </cell>
          <cell r="G420">
            <v>5</v>
          </cell>
          <cell r="J420">
            <v>5</v>
          </cell>
          <cell r="L420">
            <v>9</v>
          </cell>
          <cell r="M420" t="str">
            <v>IC1715</v>
          </cell>
        </row>
        <row r="421">
          <cell r="C421" t="str">
            <v>赫卡忒的魔能</v>
          </cell>
          <cell r="E421">
            <v>4</v>
          </cell>
          <cell r="F421">
            <v>2</v>
          </cell>
          <cell r="G421">
            <v>14</v>
          </cell>
          <cell r="J421">
            <v>5</v>
          </cell>
          <cell r="L421">
            <v>9</v>
          </cell>
          <cell r="M421" t="str">
            <v>IC1936</v>
          </cell>
        </row>
        <row r="422">
          <cell r="C422" t="str">
            <v>赫卡忒的项链</v>
          </cell>
          <cell r="E422">
            <v>4</v>
          </cell>
          <cell r="F422">
            <v>3</v>
          </cell>
          <cell r="G422">
            <v>15</v>
          </cell>
          <cell r="J422">
            <v>5</v>
          </cell>
          <cell r="L422">
            <v>9</v>
          </cell>
          <cell r="M422" t="str">
            <v>IC1877</v>
          </cell>
        </row>
        <row r="423">
          <cell r="C423" t="str">
            <v>雅典娜的惊叹</v>
          </cell>
          <cell r="E423">
            <v>4</v>
          </cell>
          <cell r="F423">
            <v>1</v>
          </cell>
          <cell r="G423">
            <v>6</v>
          </cell>
          <cell r="J423">
            <v>6</v>
          </cell>
          <cell r="L423">
            <v>9</v>
          </cell>
          <cell r="M423" t="str">
            <v>IC1114</v>
          </cell>
        </row>
        <row r="424">
          <cell r="C424" t="str">
            <v>雅典娜的智慧</v>
          </cell>
          <cell r="E424">
            <v>4</v>
          </cell>
          <cell r="F424">
            <v>2</v>
          </cell>
          <cell r="G424">
            <v>14</v>
          </cell>
          <cell r="J424">
            <v>6</v>
          </cell>
          <cell r="L424">
            <v>9</v>
          </cell>
          <cell r="M424" t="str">
            <v>IC1936</v>
          </cell>
        </row>
        <row r="425">
          <cell r="C425" t="str">
            <v>雅典娜的项链</v>
          </cell>
          <cell r="E425">
            <v>4</v>
          </cell>
          <cell r="F425">
            <v>3</v>
          </cell>
          <cell r="G425">
            <v>15</v>
          </cell>
          <cell r="J425">
            <v>6</v>
          </cell>
          <cell r="L425">
            <v>9</v>
          </cell>
          <cell r="M425" t="str">
            <v>IC1877</v>
          </cell>
        </row>
        <row r="426">
          <cell r="C426" t="str">
            <v>丘比特之弓</v>
          </cell>
          <cell r="E426">
            <v>4</v>
          </cell>
          <cell r="F426">
            <v>1</v>
          </cell>
          <cell r="G426">
            <v>7</v>
          </cell>
          <cell r="J426">
            <v>7</v>
          </cell>
          <cell r="L426">
            <v>9</v>
          </cell>
          <cell r="M426" t="str">
            <v>IC1343</v>
          </cell>
        </row>
        <row r="427">
          <cell r="C427" t="str">
            <v>丘比特的爱</v>
          </cell>
          <cell r="E427">
            <v>4</v>
          </cell>
          <cell r="F427">
            <v>2</v>
          </cell>
          <cell r="G427">
            <v>14</v>
          </cell>
          <cell r="J427">
            <v>7</v>
          </cell>
          <cell r="L427">
            <v>9</v>
          </cell>
          <cell r="M427" t="str">
            <v>IC1936</v>
          </cell>
        </row>
        <row r="428">
          <cell r="C428" t="str">
            <v>丘比特的永恒</v>
          </cell>
          <cell r="E428">
            <v>4</v>
          </cell>
          <cell r="F428">
            <v>3</v>
          </cell>
          <cell r="G428">
            <v>15</v>
          </cell>
          <cell r="J428">
            <v>7</v>
          </cell>
          <cell r="L428">
            <v>9</v>
          </cell>
          <cell r="M428" t="str">
            <v>IC1877</v>
          </cell>
        </row>
        <row r="429">
          <cell r="C429" t="str">
            <v>波塞冬的烟斗</v>
          </cell>
          <cell r="E429">
            <v>4</v>
          </cell>
          <cell r="F429">
            <v>1</v>
          </cell>
          <cell r="G429">
            <v>8</v>
          </cell>
          <cell r="J429">
            <v>8</v>
          </cell>
          <cell r="L429">
            <v>9</v>
          </cell>
          <cell r="M429" t="str">
            <v>IC1113</v>
          </cell>
        </row>
        <row r="430">
          <cell r="C430" t="str">
            <v>波塞冬的风暴</v>
          </cell>
          <cell r="E430">
            <v>4</v>
          </cell>
          <cell r="F430">
            <v>2</v>
          </cell>
          <cell r="G430">
            <v>14</v>
          </cell>
          <cell r="J430">
            <v>8</v>
          </cell>
          <cell r="L430">
            <v>9</v>
          </cell>
          <cell r="M430" t="str">
            <v>IC1936</v>
          </cell>
        </row>
        <row r="431">
          <cell r="C431" t="str">
            <v>波塞冬的洪荒</v>
          </cell>
          <cell r="E431">
            <v>4</v>
          </cell>
          <cell r="F431">
            <v>3</v>
          </cell>
          <cell r="G431">
            <v>15</v>
          </cell>
          <cell r="J431">
            <v>8</v>
          </cell>
          <cell r="L431">
            <v>9</v>
          </cell>
          <cell r="M431" t="str">
            <v>IC1877</v>
          </cell>
        </row>
        <row r="432">
          <cell r="C432" t="str">
            <v>赫柏的扇子</v>
          </cell>
          <cell r="E432">
            <v>4</v>
          </cell>
          <cell r="F432">
            <v>1</v>
          </cell>
          <cell r="G432">
            <v>9</v>
          </cell>
          <cell r="J432">
            <v>9</v>
          </cell>
          <cell r="L432">
            <v>9</v>
          </cell>
          <cell r="M432" t="str">
            <v>IC1837</v>
          </cell>
        </row>
        <row r="433">
          <cell r="C433" t="str">
            <v>赫柏的青春</v>
          </cell>
          <cell r="E433">
            <v>4</v>
          </cell>
          <cell r="F433">
            <v>2</v>
          </cell>
          <cell r="G433">
            <v>14</v>
          </cell>
          <cell r="J433">
            <v>9</v>
          </cell>
          <cell r="L433">
            <v>9</v>
          </cell>
          <cell r="M433" t="str">
            <v>IC1936</v>
          </cell>
        </row>
        <row r="434">
          <cell r="C434" t="str">
            <v>赫柏的吊坠</v>
          </cell>
          <cell r="E434">
            <v>4</v>
          </cell>
          <cell r="F434">
            <v>3</v>
          </cell>
          <cell r="G434">
            <v>15</v>
          </cell>
          <cell r="J434">
            <v>9</v>
          </cell>
          <cell r="L434">
            <v>9</v>
          </cell>
          <cell r="M434" t="str">
            <v>IC1877</v>
          </cell>
        </row>
        <row r="435">
          <cell r="C435" t="str">
            <v>彼列的谎言</v>
          </cell>
          <cell r="E435">
            <v>4</v>
          </cell>
          <cell r="F435">
            <v>1</v>
          </cell>
          <cell r="G435">
            <v>10</v>
          </cell>
          <cell r="J435">
            <v>10</v>
          </cell>
          <cell r="L435">
            <v>9</v>
          </cell>
          <cell r="M435" t="str">
            <v>IC1566</v>
          </cell>
        </row>
        <row r="436">
          <cell r="C436" t="str">
            <v>彼列的幻象</v>
          </cell>
          <cell r="E436">
            <v>4</v>
          </cell>
          <cell r="F436">
            <v>2</v>
          </cell>
          <cell r="G436">
            <v>14</v>
          </cell>
          <cell r="J436">
            <v>10</v>
          </cell>
          <cell r="L436">
            <v>9</v>
          </cell>
          <cell r="M436" t="str">
            <v>IC1936</v>
          </cell>
        </row>
        <row r="437">
          <cell r="C437" t="str">
            <v>彼列的面目</v>
          </cell>
          <cell r="E437">
            <v>4</v>
          </cell>
          <cell r="F437">
            <v>3</v>
          </cell>
          <cell r="G437">
            <v>15</v>
          </cell>
          <cell r="J437">
            <v>10</v>
          </cell>
          <cell r="L437">
            <v>9</v>
          </cell>
          <cell r="M437" t="str">
            <v>IC1877</v>
          </cell>
        </row>
        <row r="438">
          <cell r="C438" t="str">
            <v>勒托之球</v>
          </cell>
          <cell r="E438">
            <v>4</v>
          </cell>
          <cell r="F438">
            <v>1</v>
          </cell>
          <cell r="G438">
            <v>11</v>
          </cell>
          <cell r="J438">
            <v>11</v>
          </cell>
          <cell r="L438">
            <v>9</v>
          </cell>
          <cell r="M438" t="str">
            <v>IC1431</v>
          </cell>
        </row>
        <row r="439">
          <cell r="C439" t="str">
            <v>勒托之戒</v>
          </cell>
          <cell r="E439">
            <v>4</v>
          </cell>
          <cell r="F439">
            <v>2</v>
          </cell>
          <cell r="G439">
            <v>14</v>
          </cell>
          <cell r="J439">
            <v>11</v>
          </cell>
          <cell r="L439">
            <v>9</v>
          </cell>
          <cell r="M439" t="str">
            <v>IC1936</v>
          </cell>
        </row>
        <row r="440">
          <cell r="C440" t="str">
            <v>勒托之眼</v>
          </cell>
          <cell r="E440">
            <v>4</v>
          </cell>
          <cell r="F440">
            <v>3</v>
          </cell>
          <cell r="G440">
            <v>15</v>
          </cell>
          <cell r="J440">
            <v>11</v>
          </cell>
          <cell r="L440">
            <v>9</v>
          </cell>
          <cell r="M440" t="str">
            <v>IC1877</v>
          </cell>
        </row>
        <row r="441">
          <cell r="C441" t="str">
            <v>九尾狐的爪子</v>
          </cell>
          <cell r="E441">
            <v>4</v>
          </cell>
          <cell r="F441">
            <v>1</v>
          </cell>
          <cell r="G441">
            <v>12</v>
          </cell>
          <cell r="J441">
            <v>12</v>
          </cell>
          <cell r="L441">
            <v>9</v>
          </cell>
          <cell r="M441" t="str">
            <v>IC1766</v>
          </cell>
        </row>
        <row r="442">
          <cell r="C442" t="str">
            <v>九尾狐的指环</v>
          </cell>
          <cell r="E442">
            <v>4</v>
          </cell>
          <cell r="F442">
            <v>2</v>
          </cell>
          <cell r="G442">
            <v>14</v>
          </cell>
          <cell r="J442">
            <v>12</v>
          </cell>
          <cell r="L442">
            <v>9</v>
          </cell>
          <cell r="M442" t="str">
            <v>IC1936</v>
          </cell>
        </row>
        <row r="443">
          <cell r="C443" t="str">
            <v>九尾狐的颈圈</v>
          </cell>
          <cell r="E443">
            <v>4</v>
          </cell>
          <cell r="F443">
            <v>3</v>
          </cell>
          <cell r="G443">
            <v>15</v>
          </cell>
          <cell r="J443">
            <v>12</v>
          </cell>
          <cell r="L443">
            <v>9</v>
          </cell>
          <cell r="M443" t="str">
            <v>IC1877</v>
          </cell>
        </row>
        <row r="444">
          <cell r="C444" t="str">
            <v>泰瑞尔之剑</v>
          </cell>
          <cell r="E444">
            <v>4</v>
          </cell>
          <cell r="F444">
            <v>1</v>
          </cell>
          <cell r="G444">
            <v>13</v>
          </cell>
          <cell r="J444">
            <v>13</v>
          </cell>
          <cell r="L444">
            <v>9</v>
          </cell>
          <cell r="M444" t="str">
            <v>IC1203</v>
          </cell>
        </row>
        <row r="445">
          <cell r="C445" t="str">
            <v>泰瑞尔之力</v>
          </cell>
          <cell r="E445">
            <v>4</v>
          </cell>
          <cell r="F445">
            <v>2</v>
          </cell>
          <cell r="G445">
            <v>14</v>
          </cell>
          <cell r="J445">
            <v>13</v>
          </cell>
          <cell r="L445">
            <v>9</v>
          </cell>
          <cell r="M445" t="str">
            <v>IC1936</v>
          </cell>
        </row>
        <row r="446">
          <cell r="C446" t="str">
            <v>泰瑞尔之威严</v>
          </cell>
          <cell r="E446">
            <v>4</v>
          </cell>
          <cell r="F446">
            <v>3</v>
          </cell>
          <cell r="G446">
            <v>15</v>
          </cell>
          <cell r="J446">
            <v>13</v>
          </cell>
          <cell r="L446">
            <v>9</v>
          </cell>
          <cell r="M446" t="str">
            <v>IC1877</v>
          </cell>
        </row>
      </sheetData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3">
          <cell r="R3">
            <v>9</v>
          </cell>
        </row>
        <row r="4">
          <cell r="R4">
            <v>9</v>
          </cell>
        </row>
        <row r="5">
          <cell r="R5">
            <v>9</v>
          </cell>
        </row>
        <row r="6">
          <cell r="R6">
            <v>9</v>
          </cell>
        </row>
        <row r="7">
          <cell r="R7">
            <v>9</v>
          </cell>
        </row>
        <row r="8">
          <cell r="R8">
            <v>9</v>
          </cell>
        </row>
        <row r="9">
          <cell r="R9">
            <v>9</v>
          </cell>
        </row>
        <row r="10">
          <cell r="R10">
            <v>9</v>
          </cell>
        </row>
        <row r="11">
          <cell r="R11">
            <v>9</v>
          </cell>
        </row>
        <row r="12">
          <cell r="R12">
            <v>9</v>
          </cell>
        </row>
        <row r="13">
          <cell r="R13">
            <v>9</v>
          </cell>
        </row>
        <row r="14">
          <cell r="R14">
            <v>9</v>
          </cell>
        </row>
        <row r="15">
          <cell r="R15">
            <v>9</v>
          </cell>
        </row>
        <row r="16">
          <cell r="R16">
            <v>9</v>
          </cell>
        </row>
        <row r="17">
          <cell r="R17">
            <v>9</v>
          </cell>
        </row>
        <row r="18">
          <cell r="R18">
            <v>9</v>
          </cell>
        </row>
        <row r="19">
          <cell r="R19">
            <v>9</v>
          </cell>
        </row>
        <row r="20">
          <cell r="R20">
            <v>9</v>
          </cell>
        </row>
        <row r="21">
          <cell r="R21">
            <v>9</v>
          </cell>
        </row>
        <row r="22">
          <cell r="R22">
            <v>9</v>
          </cell>
        </row>
        <row r="23">
          <cell r="R23">
            <v>9</v>
          </cell>
        </row>
        <row r="24">
          <cell r="R24">
            <v>9</v>
          </cell>
        </row>
        <row r="25">
          <cell r="R25">
            <v>9</v>
          </cell>
        </row>
        <row r="26">
          <cell r="R26">
            <v>9</v>
          </cell>
        </row>
        <row r="27">
          <cell r="R27">
            <v>9</v>
          </cell>
        </row>
        <row r="28">
          <cell r="R28">
            <v>9</v>
          </cell>
        </row>
        <row r="29">
          <cell r="R29">
            <v>9</v>
          </cell>
        </row>
        <row r="30">
          <cell r="R30">
            <v>9</v>
          </cell>
        </row>
        <row r="31">
          <cell r="R31">
            <v>9</v>
          </cell>
        </row>
        <row r="32">
          <cell r="R32">
            <v>9</v>
          </cell>
        </row>
        <row r="33">
          <cell r="R33">
            <v>9</v>
          </cell>
        </row>
        <row r="34">
          <cell r="R34">
            <v>9</v>
          </cell>
        </row>
        <row r="35">
          <cell r="R35">
            <v>9</v>
          </cell>
        </row>
        <row r="36">
          <cell r="R36">
            <v>9</v>
          </cell>
        </row>
        <row r="37">
          <cell r="R37">
            <v>9</v>
          </cell>
        </row>
        <row r="38">
          <cell r="R38">
            <v>9</v>
          </cell>
        </row>
        <row r="39">
          <cell r="R39">
            <v>9</v>
          </cell>
        </row>
        <row r="40">
          <cell r="R40">
            <v>9</v>
          </cell>
        </row>
        <row r="41">
          <cell r="R41">
            <v>9</v>
          </cell>
        </row>
        <row r="42">
          <cell r="R42">
            <v>9</v>
          </cell>
        </row>
        <row r="43">
          <cell r="R43">
            <v>9</v>
          </cell>
        </row>
        <row r="44">
          <cell r="R44">
            <v>9</v>
          </cell>
        </row>
        <row r="45">
          <cell r="R45">
            <v>9</v>
          </cell>
        </row>
        <row r="46">
          <cell r="R46">
            <v>9</v>
          </cell>
        </row>
        <row r="47">
          <cell r="R47">
            <v>9</v>
          </cell>
        </row>
        <row r="48">
          <cell r="R48">
            <v>9</v>
          </cell>
        </row>
        <row r="49">
          <cell r="R49">
            <v>9</v>
          </cell>
        </row>
        <row r="50">
          <cell r="R50">
            <v>9</v>
          </cell>
        </row>
        <row r="51">
          <cell r="R51">
            <v>9</v>
          </cell>
        </row>
        <row r="52">
          <cell r="R52">
            <v>9</v>
          </cell>
        </row>
        <row r="53">
          <cell r="R53">
            <v>9</v>
          </cell>
        </row>
        <row r="54">
          <cell r="R54">
            <v>9</v>
          </cell>
        </row>
        <row r="55">
          <cell r="R55">
            <v>9</v>
          </cell>
        </row>
        <row r="56">
          <cell r="R56">
            <v>9</v>
          </cell>
        </row>
        <row r="57">
          <cell r="R57">
            <v>9</v>
          </cell>
        </row>
        <row r="58">
          <cell r="R58">
            <v>9</v>
          </cell>
        </row>
        <row r="59">
          <cell r="R59">
            <v>9</v>
          </cell>
        </row>
        <row r="60">
          <cell r="R60">
            <v>9</v>
          </cell>
        </row>
        <row r="61">
          <cell r="R61">
            <v>9</v>
          </cell>
        </row>
        <row r="62">
          <cell r="R62">
            <v>9</v>
          </cell>
        </row>
        <row r="63">
          <cell r="R63">
            <v>9</v>
          </cell>
        </row>
        <row r="64">
          <cell r="R64">
            <v>9</v>
          </cell>
        </row>
        <row r="65">
          <cell r="R65">
            <v>9</v>
          </cell>
        </row>
        <row r="66">
          <cell r="R66">
            <v>9</v>
          </cell>
        </row>
        <row r="67">
          <cell r="R67">
            <v>9</v>
          </cell>
        </row>
        <row r="68">
          <cell r="R68">
            <v>9</v>
          </cell>
        </row>
        <row r="69">
          <cell r="R69">
            <v>9</v>
          </cell>
        </row>
        <row r="70">
          <cell r="R70">
            <v>9</v>
          </cell>
        </row>
        <row r="71">
          <cell r="R71">
            <v>9</v>
          </cell>
        </row>
        <row r="72">
          <cell r="R72">
            <v>9</v>
          </cell>
        </row>
        <row r="73">
          <cell r="R73">
            <v>9</v>
          </cell>
        </row>
        <row r="74">
          <cell r="R74">
            <v>9</v>
          </cell>
        </row>
        <row r="75">
          <cell r="R75">
            <v>9</v>
          </cell>
        </row>
        <row r="76">
          <cell r="R76">
            <v>9</v>
          </cell>
        </row>
        <row r="77">
          <cell r="R77">
            <v>9</v>
          </cell>
        </row>
        <row r="78">
          <cell r="R78">
            <v>9</v>
          </cell>
        </row>
        <row r="79">
          <cell r="R79">
            <v>9</v>
          </cell>
        </row>
        <row r="80">
          <cell r="R80">
            <v>9</v>
          </cell>
        </row>
        <row r="81">
          <cell r="R81">
            <v>9</v>
          </cell>
        </row>
        <row r="82">
          <cell r="R82">
            <v>9</v>
          </cell>
        </row>
        <row r="83">
          <cell r="R83">
            <v>9</v>
          </cell>
        </row>
        <row r="84">
          <cell r="R84">
            <v>9</v>
          </cell>
        </row>
        <row r="85">
          <cell r="R85">
            <v>9</v>
          </cell>
        </row>
        <row r="86">
          <cell r="R86">
            <v>9</v>
          </cell>
        </row>
        <row r="87">
          <cell r="R87">
            <v>9</v>
          </cell>
        </row>
        <row r="88">
          <cell r="R88">
            <v>9</v>
          </cell>
        </row>
        <row r="89">
          <cell r="R89">
            <v>9</v>
          </cell>
        </row>
        <row r="90">
          <cell r="R90">
            <v>9</v>
          </cell>
        </row>
        <row r="91">
          <cell r="R91">
            <v>9</v>
          </cell>
        </row>
        <row r="92">
          <cell r="R92">
            <v>9</v>
          </cell>
        </row>
        <row r="93">
          <cell r="R93">
            <v>9</v>
          </cell>
        </row>
        <row r="94">
          <cell r="R94">
            <v>9</v>
          </cell>
        </row>
        <row r="95">
          <cell r="R95">
            <v>9</v>
          </cell>
        </row>
        <row r="96">
          <cell r="R96">
            <v>9</v>
          </cell>
        </row>
        <row r="97">
          <cell r="R97">
            <v>9</v>
          </cell>
        </row>
        <row r="98">
          <cell r="R98">
            <v>9</v>
          </cell>
        </row>
        <row r="99">
          <cell r="R99">
            <v>9</v>
          </cell>
        </row>
        <row r="100">
          <cell r="R100">
            <v>9</v>
          </cell>
        </row>
        <row r="101">
          <cell r="R101">
            <v>9</v>
          </cell>
        </row>
        <row r="102">
          <cell r="R102">
            <v>9</v>
          </cell>
        </row>
        <row r="103">
          <cell r="R103">
            <v>9</v>
          </cell>
        </row>
        <row r="104">
          <cell r="R104">
            <v>9</v>
          </cell>
        </row>
        <row r="105">
          <cell r="R105">
            <v>9</v>
          </cell>
        </row>
        <row r="106">
          <cell r="R106">
            <v>9</v>
          </cell>
        </row>
        <row r="107">
          <cell r="R107">
            <v>9</v>
          </cell>
        </row>
        <row r="108">
          <cell r="R108">
            <v>9</v>
          </cell>
        </row>
        <row r="109">
          <cell r="R109">
            <v>9</v>
          </cell>
        </row>
        <row r="110">
          <cell r="R110">
            <v>9</v>
          </cell>
        </row>
        <row r="111">
          <cell r="R111">
            <v>9</v>
          </cell>
        </row>
        <row r="112">
          <cell r="R112">
            <v>9</v>
          </cell>
        </row>
        <row r="113">
          <cell r="R113">
            <v>9</v>
          </cell>
        </row>
        <row r="114">
          <cell r="R114">
            <v>9</v>
          </cell>
        </row>
        <row r="115">
          <cell r="R115">
            <v>9</v>
          </cell>
        </row>
        <row r="116">
          <cell r="R116">
            <v>9</v>
          </cell>
        </row>
        <row r="117">
          <cell r="R117">
            <v>9</v>
          </cell>
        </row>
        <row r="118">
          <cell r="R118">
            <v>9</v>
          </cell>
        </row>
        <row r="119">
          <cell r="R119">
            <v>9</v>
          </cell>
        </row>
        <row r="120">
          <cell r="R120">
            <v>9</v>
          </cell>
        </row>
        <row r="121">
          <cell r="R121">
            <v>9</v>
          </cell>
        </row>
        <row r="122">
          <cell r="R122">
            <v>9</v>
          </cell>
        </row>
        <row r="123">
          <cell r="R123">
            <v>9</v>
          </cell>
        </row>
        <row r="124">
          <cell r="R124">
            <v>9</v>
          </cell>
        </row>
        <row r="125">
          <cell r="R125">
            <v>9</v>
          </cell>
        </row>
        <row r="126">
          <cell r="R126">
            <v>9</v>
          </cell>
        </row>
        <row r="127">
          <cell r="R127">
            <v>9</v>
          </cell>
        </row>
        <row r="128">
          <cell r="R128">
            <v>9</v>
          </cell>
        </row>
        <row r="129">
          <cell r="R129">
            <v>9</v>
          </cell>
        </row>
        <row r="130">
          <cell r="R130">
            <v>9</v>
          </cell>
        </row>
        <row r="131">
          <cell r="R131">
            <v>9</v>
          </cell>
        </row>
        <row r="132">
          <cell r="R132">
            <v>9</v>
          </cell>
        </row>
        <row r="133">
          <cell r="R133">
            <v>9</v>
          </cell>
        </row>
        <row r="134">
          <cell r="R134">
            <v>9</v>
          </cell>
        </row>
        <row r="135">
          <cell r="R135">
            <v>9</v>
          </cell>
        </row>
        <row r="136">
          <cell r="R136">
            <v>9</v>
          </cell>
        </row>
        <row r="137">
          <cell r="R137">
            <v>9</v>
          </cell>
        </row>
        <row r="138">
          <cell r="R138">
            <v>51</v>
          </cell>
        </row>
        <row r="139">
          <cell r="R139">
            <v>81</v>
          </cell>
        </row>
        <row r="140">
          <cell r="R140">
            <v>81</v>
          </cell>
        </row>
        <row r="141">
          <cell r="R141">
            <v>66</v>
          </cell>
        </row>
        <row r="142">
          <cell r="R142">
            <v>36</v>
          </cell>
        </row>
        <row r="143">
          <cell r="R143">
            <v>51</v>
          </cell>
        </row>
        <row r="144">
          <cell r="R144">
            <v>51</v>
          </cell>
        </row>
        <row r="145">
          <cell r="R145">
            <v>36</v>
          </cell>
        </row>
        <row r="146">
          <cell r="R146">
            <v>66</v>
          </cell>
        </row>
        <row r="147">
          <cell r="R147">
            <v>81</v>
          </cell>
        </row>
        <row r="148">
          <cell r="R148">
            <v>36</v>
          </cell>
        </row>
        <row r="149">
          <cell r="R149">
            <v>36</v>
          </cell>
        </row>
        <row r="150">
          <cell r="R150">
            <v>36</v>
          </cell>
        </row>
        <row r="151">
          <cell r="R151">
            <v>51</v>
          </cell>
        </row>
        <row r="152">
          <cell r="R152">
            <v>66</v>
          </cell>
        </row>
        <row r="153">
          <cell r="R153">
            <v>36</v>
          </cell>
        </row>
        <row r="154">
          <cell r="R154">
            <v>51</v>
          </cell>
        </row>
        <row r="155">
          <cell r="R155">
            <v>36</v>
          </cell>
        </row>
        <row r="156">
          <cell r="R156">
            <v>81</v>
          </cell>
        </row>
        <row r="157">
          <cell r="R157">
            <v>66</v>
          </cell>
        </row>
        <row r="158">
          <cell r="R158">
            <v>66</v>
          </cell>
        </row>
        <row r="159">
          <cell r="R159">
            <v>66</v>
          </cell>
        </row>
        <row r="160">
          <cell r="R160">
            <v>51</v>
          </cell>
        </row>
        <row r="161">
          <cell r="R161">
            <v>66</v>
          </cell>
        </row>
        <row r="162">
          <cell r="R162">
            <v>66</v>
          </cell>
        </row>
        <row r="163">
          <cell r="R163">
            <v>66</v>
          </cell>
        </row>
        <row r="164">
          <cell r="R164">
            <v>81</v>
          </cell>
        </row>
        <row r="165">
          <cell r="R165">
            <v>66</v>
          </cell>
        </row>
        <row r="166">
          <cell r="R166">
            <v>66</v>
          </cell>
        </row>
        <row r="167">
          <cell r="R167">
            <v>81</v>
          </cell>
        </row>
        <row r="168">
          <cell r="R168">
            <v>81</v>
          </cell>
        </row>
        <row r="169">
          <cell r="R169">
            <v>36</v>
          </cell>
        </row>
        <row r="170">
          <cell r="R170">
            <v>66</v>
          </cell>
        </row>
        <row r="171">
          <cell r="R171">
            <v>36</v>
          </cell>
        </row>
        <row r="172">
          <cell r="R172">
            <v>81</v>
          </cell>
        </row>
        <row r="173">
          <cell r="R173">
            <v>81</v>
          </cell>
        </row>
        <row r="174">
          <cell r="R174">
            <v>36</v>
          </cell>
        </row>
        <row r="175">
          <cell r="R175">
            <v>66</v>
          </cell>
        </row>
        <row r="176">
          <cell r="R176">
            <v>66</v>
          </cell>
        </row>
        <row r="177">
          <cell r="R177">
            <v>51</v>
          </cell>
        </row>
        <row r="178">
          <cell r="R178">
            <v>81</v>
          </cell>
        </row>
        <row r="179">
          <cell r="R179">
            <v>81</v>
          </cell>
        </row>
        <row r="180">
          <cell r="R180">
            <v>51</v>
          </cell>
        </row>
        <row r="181">
          <cell r="R181">
            <v>81</v>
          </cell>
        </row>
        <row r="182">
          <cell r="R182">
            <v>81</v>
          </cell>
        </row>
        <row r="183">
          <cell r="R183">
            <v>81</v>
          </cell>
        </row>
        <row r="184">
          <cell r="R184">
            <v>81</v>
          </cell>
        </row>
        <row r="185">
          <cell r="R185">
            <v>36</v>
          </cell>
        </row>
        <row r="186">
          <cell r="R186">
            <v>81</v>
          </cell>
        </row>
        <row r="187">
          <cell r="R187">
            <v>81</v>
          </cell>
        </row>
        <row r="188">
          <cell r="R188">
            <v>51</v>
          </cell>
        </row>
        <row r="189">
          <cell r="R189">
            <v>36</v>
          </cell>
        </row>
        <row r="190">
          <cell r="R190">
            <v>81</v>
          </cell>
        </row>
        <row r="191">
          <cell r="R191">
            <v>51</v>
          </cell>
        </row>
        <row r="192">
          <cell r="R192">
            <v>81</v>
          </cell>
        </row>
        <row r="193">
          <cell r="R193">
            <v>81</v>
          </cell>
        </row>
        <row r="194">
          <cell r="R194">
            <v>81</v>
          </cell>
        </row>
        <row r="195">
          <cell r="R195">
            <v>66</v>
          </cell>
        </row>
        <row r="196">
          <cell r="R196">
            <v>66</v>
          </cell>
        </row>
        <row r="197">
          <cell r="R197">
            <v>81</v>
          </cell>
        </row>
        <row r="198">
          <cell r="R198">
            <v>51</v>
          </cell>
        </row>
        <row r="199">
          <cell r="R199">
            <v>36</v>
          </cell>
        </row>
        <row r="200">
          <cell r="R200">
            <v>81</v>
          </cell>
        </row>
        <row r="201">
          <cell r="R201">
            <v>66</v>
          </cell>
        </row>
        <row r="202">
          <cell r="R202">
            <v>81</v>
          </cell>
        </row>
        <row r="203">
          <cell r="R203">
            <v>51</v>
          </cell>
        </row>
        <row r="204">
          <cell r="R204">
            <v>81</v>
          </cell>
        </row>
        <row r="205">
          <cell r="R205">
            <v>66</v>
          </cell>
        </row>
        <row r="206">
          <cell r="R206">
            <v>81</v>
          </cell>
        </row>
        <row r="207">
          <cell r="R207">
            <v>81</v>
          </cell>
        </row>
        <row r="208">
          <cell r="R208">
            <v>66</v>
          </cell>
        </row>
        <row r="209">
          <cell r="R209">
            <v>36</v>
          </cell>
        </row>
        <row r="210">
          <cell r="R210">
            <v>66</v>
          </cell>
        </row>
        <row r="211">
          <cell r="R211">
            <v>66</v>
          </cell>
        </row>
        <row r="212">
          <cell r="R212">
            <v>51</v>
          </cell>
        </row>
        <row r="213">
          <cell r="R213">
            <v>66</v>
          </cell>
        </row>
        <row r="214">
          <cell r="R214">
            <v>66</v>
          </cell>
        </row>
        <row r="215">
          <cell r="R215">
            <v>51</v>
          </cell>
        </row>
        <row r="216">
          <cell r="R216">
            <v>66</v>
          </cell>
        </row>
        <row r="217">
          <cell r="R217">
            <v>51</v>
          </cell>
        </row>
        <row r="218">
          <cell r="R218">
            <v>51</v>
          </cell>
        </row>
        <row r="219">
          <cell r="R219">
            <v>81</v>
          </cell>
        </row>
        <row r="220">
          <cell r="R220">
            <v>66</v>
          </cell>
        </row>
        <row r="221">
          <cell r="R221">
            <v>51</v>
          </cell>
        </row>
        <row r="222">
          <cell r="R222">
            <v>36</v>
          </cell>
        </row>
        <row r="223">
          <cell r="R223">
            <v>81</v>
          </cell>
        </row>
        <row r="224">
          <cell r="R224">
            <v>81</v>
          </cell>
        </row>
        <row r="225">
          <cell r="R225">
            <v>81</v>
          </cell>
        </row>
        <row r="226">
          <cell r="R226">
            <v>81</v>
          </cell>
        </row>
        <row r="227">
          <cell r="R227">
            <v>51</v>
          </cell>
        </row>
        <row r="228">
          <cell r="R228">
            <v>51</v>
          </cell>
        </row>
        <row r="229">
          <cell r="R229">
            <v>66</v>
          </cell>
        </row>
        <row r="230">
          <cell r="R230">
            <v>36</v>
          </cell>
        </row>
        <row r="231">
          <cell r="R231">
            <v>81</v>
          </cell>
        </row>
        <row r="232">
          <cell r="R232">
            <v>81</v>
          </cell>
        </row>
        <row r="233">
          <cell r="R233">
            <v>36</v>
          </cell>
        </row>
        <row r="234">
          <cell r="R234">
            <v>81</v>
          </cell>
        </row>
        <row r="235">
          <cell r="R235">
            <v>36</v>
          </cell>
        </row>
        <row r="236">
          <cell r="R236">
            <v>81</v>
          </cell>
        </row>
        <row r="237">
          <cell r="R237">
            <v>51</v>
          </cell>
        </row>
        <row r="238">
          <cell r="R238">
            <v>36</v>
          </cell>
        </row>
        <row r="239">
          <cell r="R239">
            <v>81</v>
          </cell>
        </row>
        <row r="240">
          <cell r="R240">
            <v>81</v>
          </cell>
        </row>
        <row r="241">
          <cell r="R241">
            <v>66</v>
          </cell>
        </row>
        <row r="242">
          <cell r="R242">
            <v>51</v>
          </cell>
        </row>
        <row r="243">
          <cell r="R243">
            <v>36</v>
          </cell>
        </row>
        <row r="244">
          <cell r="R244">
            <v>81</v>
          </cell>
        </row>
        <row r="245">
          <cell r="R245">
            <v>51</v>
          </cell>
        </row>
        <row r="246">
          <cell r="R246">
            <v>51</v>
          </cell>
        </row>
        <row r="247">
          <cell r="R247">
            <v>81</v>
          </cell>
        </row>
        <row r="248">
          <cell r="R248">
            <v>51</v>
          </cell>
        </row>
        <row r="249">
          <cell r="R249">
            <v>36</v>
          </cell>
        </row>
        <row r="250">
          <cell r="R250">
            <v>36</v>
          </cell>
        </row>
        <row r="251">
          <cell r="R251">
            <v>81</v>
          </cell>
        </row>
        <row r="252">
          <cell r="R252">
            <v>81</v>
          </cell>
        </row>
        <row r="253">
          <cell r="R253">
            <v>66</v>
          </cell>
        </row>
        <row r="254">
          <cell r="R254">
            <v>81</v>
          </cell>
        </row>
        <row r="255">
          <cell r="R255">
            <v>81</v>
          </cell>
        </row>
        <row r="256">
          <cell r="R256">
            <v>66</v>
          </cell>
        </row>
        <row r="257">
          <cell r="R257">
            <v>66</v>
          </cell>
        </row>
        <row r="258">
          <cell r="R258">
            <v>66</v>
          </cell>
        </row>
        <row r="259">
          <cell r="R259">
            <v>81</v>
          </cell>
        </row>
        <row r="260">
          <cell r="R260">
            <v>66</v>
          </cell>
        </row>
        <row r="261">
          <cell r="R261">
            <v>51</v>
          </cell>
        </row>
        <row r="262">
          <cell r="R262">
            <v>51</v>
          </cell>
        </row>
        <row r="263">
          <cell r="R263">
            <v>51</v>
          </cell>
        </row>
        <row r="264">
          <cell r="R264">
            <v>66</v>
          </cell>
        </row>
        <row r="265">
          <cell r="R265">
            <v>81</v>
          </cell>
        </row>
        <row r="266">
          <cell r="R266">
            <v>66</v>
          </cell>
        </row>
        <row r="267">
          <cell r="R267">
            <v>66</v>
          </cell>
        </row>
        <row r="268">
          <cell r="R268">
            <v>36</v>
          </cell>
        </row>
        <row r="269">
          <cell r="R269">
            <v>81</v>
          </cell>
        </row>
        <row r="270">
          <cell r="R270">
            <v>36</v>
          </cell>
        </row>
        <row r="271">
          <cell r="R271">
            <v>36</v>
          </cell>
        </row>
        <row r="272">
          <cell r="R272">
            <v>81</v>
          </cell>
        </row>
        <row r="273">
          <cell r="R273">
            <v>484.5</v>
          </cell>
        </row>
        <row r="274">
          <cell r="R274">
            <v>484.5</v>
          </cell>
        </row>
        <row r="275">
          <cell r="R275">
            <v>484.5</v>
          </cell>
        </row>
        <row r="276">
          <cell r="R276">
            <v>484.5</v>
          </cell>
        </row>
        <row r="277">
          <cell r="R277">
            <v>525</v>
          </cell>
        </row>
        <row r="278">
          <cell r="R278">
            <v>484.5</v>
          </cell>
        </row>
        <row r="279">
          <cell r="R279">
            <v>484.5</v>
          </cell>
        </row>
        <row r="280">
          <cell r="R280">
            <v>484.5</v>
          </cell>
        </row>
        <row r="281">
          <cell r="R281">
            <v>484.5</v>
          </cell>
        </row>
        <row r="282">
          <cell r="R282">
            <v>525</v>
          </cell>
        </row>
        <row r="283">
          <cell r="R283">
            <v>525</v>
          </cell>
        </row>
        <row r="284">
          <cell r="R284">
            <v>525</v>
          </cell>
        </row>
        <row r="285">
          <cell r="R285">
            <v>525</v>
          </cell>
        </row>
        <row r="286">
          <cell r="R286">
            <v>525</v>
          </cell>
        </row>
        <row r="287">
          <cell r="R287">
            <v>525</v>
          </cell>
        </row>
        <row r="288">
          <cell r="R288">
            <v>525</v>
          </cell>
        </row>
        <row r="289">
          <cell r="R289">
            <v>525</v>
          </cell>
        </row>
        <row r="290">
          <cell r="R290">
            <v>525</v>
          </cell>
        </row>
        <row r="291">
          <cell r="R291">
            <v>525</v>
          </cell>
        </row>
        <row r="292">
          <cell r="R292">
            <v>484.5</v>
          </cell>
        </row>
        <row r="293">
          <cell r="R293">
            <v>525</v>
          </cell>
        </row>
        <row r="294">
          <cell r="R294">
            <v>484.5</v>
          </cell>
        </row>
        <row r="295">
          <cell r="R295">
            <v>525</v>
          </cell>
        </row>
        <row r="296">
          <cell r="R296">
            <v>525</v>
          </cell>
        </row>
        <row r="297">
          <cell r="R297">
            <v>525</v>
          </cell>
        </row>
        <row r="298">
          <cell r="R298">
            <v>484.5</v>
          </cell>
        </row>
        <row r="299">
          <cell r="R299">
            <v>525</v>
          </cell>
        </row>
        <row r="300">
          <cell r="R300">
            <v>525</v>
          </cell>
        </row>
        <row r="301">
          <cell r="R301">
            <v>525</v>
          </cell>
        </row>
        <row r="302">
          <cell r="R302">
            <v>525</v>
          </cell>
        </row>
        <row r="303">
          <cell r="R303">
            <v>525</v>
          </cell>
        </row>
        <row r="304">
          <cell r="R304">
            <v>525</v>
          </cell>
        </row>
        <row r="305">
          <cell r="R305">
            <v>525</v>
          </cell>
        </row>
        <row r="306">
          <cell r="R306">
            <v>525</v>
          </cell>
        </row>
        <row r="307">
          <cell r="R307">
            <v>457.5</v>
          </cell>
        </row>
        <row r="308">
          <cell r="R308">
            <v>525</v>
          </cell>
        </row>
        <row r="309">
          <cell r="R309">
            <v>525</v>
          </cell>
        </row>
        <row r="310">
          <cell r="R310">
            <v>525</v>
          </cell>
        </row>
        <row r="311">
          <cell r="R311">
            <v>525</v>
          </cell>
        </row>
        <row r="312">
          <cell r="R312">
            <v>525</v>
          </cell>
        </row>
        <row r="313">
          <cell r="R313">
            <v>484.5</v>
          </cell>
        </row>
        <row r="314">
          <cell r="R314">
            <v>484.5</v>
          </cell>
        </row>
        <row r="315">
          <cell r="R315">
            <v>525</v>
          </cell>
        </row>
        <row r="316">
          <cell r="R316">
            <v>525</v>
          </cell>
        </row>
        <row r="317">
          <cell r="R317">
            <v>484.5</v>
          </cell>
        </row>
        <row r="318">
          <cell r="R318">
            <v>457.5</v>
          </cell>
        </row>
        <row r="319">
          <cell r="R319">
            <v>457.5</v>
          </cell>
        </row>
        <row r="320">
          <cell r="R320">
            <v>457.5</v>
          </cell>
        </row>
        <row r="321">
          <cell r="R321">
            <v>417</v>
          </cell>
        </row>
        <row r="322">
          <cell r="R322">
            <v>457.5</v>
          </cell>
        </row>
        <row r="323">
          <cell r="R323">
            <v>457.5</v>
          </cell>
        </row>
        <row r="324">
          <cell r="R324">
            <v>457.5</v>
          </cell>
        </row>
        <row r="325">
          <cell r="R325">
            <v>457.5</v>
          </cell>
        </row>
        <row r="326">
          <cell r="R326">
            <v>417</v>
          </cell>
        </row>
        <row r="327">
          <cell r="R327">
            <v>525</v>
          </cell>
        </row>
        <row r="328">
          <cell r="R328">
            <v>525</v>
          </cell>
        </row>
        <row r="329">
          <cell r="R329">
            <v>525</v>
          </cell>
        </row>
        <row r="330">
          <cell r="R330">
            <v>525</v>
          </cell>
        </row>
        <row r="331">
          <cell r="R331">
            <v>525</v>
          </cell>
        </row>
        <row r="332">
          <cell r="R332">
            <v>417</v>
          </cell>
        </row>
        <row r="333">
          <cell r="R333">
            <v>525</v>
          </cell>
        </row>
        <row r="334">
          <cell r="R334">
            <v>525</v>
          </cell>
        </row>
        <row r="335">
          <cell r="R335">
            <v>417</v>
          </cell>
        </row>
        <row r="336">
          <cell r="R336">
            <v>525</v>
          </cell>
        </row>
        <row r="337">
          <cell r="R337">
            <v>525</v>
          </cell>
        </row>
        <row r="338">
          <cell r="R338">
            <v>525</v>
          </cell>
        </row>
        <row r="339">
          <cell r="R339">
            <v>525</v>
          </cell>
        </row>
        <row r="340">
          <cell r="R340">
            <v>525</v>
          </cell>
        </row>
        <row r="341">
          <cell r="R341">
            <v>525</v>
          </cell>
        </row>
        <row r="342">
          <cell r="R342">
            <v>525</v>
          </cell>
        </row>
        <row r="343">
          <cell r="R343">
            <v>484.5</v>
          </cell>
        </row>
        <row r="344">
          <cell r="R344">
            <v>525</v>
          </cell>
        </row>
        <row r="345">
          <cell r="R345">
            <v>417</v>
          </cell>
        </row>
        <row r="346">
          <cell r="R346">
            <v>525</v>
          </cell>
        </row>
        <row r="347">
          <cell r="R347">
            <v>525</v>
          </cell>
        </row>
        <row r="348">
          <cell r="R348">
            <v>525</v>
          </cell>
        </row>
        <row r="349">
          <cell r="R349">
            <v>525</v>
          </cell>
        </row>
        <row r="350">
          <cell r="R350">
            <v>417</v>
          </cell>
        </row>
        <row r="351">
          <cell r="R351">
            <v>525</v>
          </cell>
        </row>
        <row r="352">
          <cell r="R352">
            <v>525</v>
          </cell>
        </row>
        <row r="353">
          <cell r="R353">
            <v>417</v>
          </cell>
        </row>
        <row r="354">
          <cell r="R354">
            <v>417</v>
          </cell>
        </row>
        <row r="355">
          <cell r="R355">
            <v>417</v>
          </cell>
        </row>
        <row r="356">
          <cell r="R356">
            <v>484.5</v>
          </cell>
        </row>
        <row r="357">
          <cell r="R357">
            <v>484.5</v>
          </cell>
        </row>
        <row r="358">
          <cell r="R358">
            <v>484.5</v>
          </cell>
        </row>
        <row r="359">
          <cell r="R359">
            <v>417</v>
          </cell>
        </row>
        <row r="360">
          <cell r="R360">
            <v>484.5</v>
          </cell>
        </row>
        <row r="361">
          <cell r="R361">
            <v>417</v>
          </cell>
        </row>
        <row r="362">
          <cell r="R362">
            <v>417</v>
          </cell>
        </row>
        <row r="363">
          <cell r="R363">
            <v>484.5</v>
          </cell>
        </row>
        <row r="364">
          <cell r="R364">
            <v>484.5</v>
          </cell>
        </row>
        <row r="365">
          <cell r="R365">
            <v>484.5</v>
          </cell>
        </row>
        <row r="366">
          <cell r="R366">
            <v>484.5</v>
          </cell>
        </row>
        <row r="367">
          <cell r="R367">
            <v>484.5</v>
          </cell>
        </row>
        <row r="368">
          <cell r="R368">
            <v>484.5</v>
          </cell>
        </row>
        <row r="369">
          <cell r="R369">
            <v>484.5</v>
          </cell>
        </row>
        <row r="370">
          <cell r="R370">
            <v>484.5</v>
          </cell>
        </row>
        <row r="371">
          <cell r="R371">
            <v>484.5</v>
          </cell>
        </row>
        <row r="372">
          <cell r="R372">
            <v>457.5</v>
          </cell>
        </row>
        <row r="373">
          <cell r="R373">
            <v>525</v>
          </cell>
        </row>
        <row r="374">
          <cell r="R374">
            <v>525</v>
          </cell>
        </row>
        <row r="375">
          <cell r="R375">
            <v>525</v>
          </cell>
        </row>
        <row r="376">
          <cell r="R376">
            <v>417</v>
          </cell>
        </row>
        <row r="377">
          <cell r="R377">
            <v>417</v>
          </cell>
        </row>
        <row r="378">
          <cell r="R378">
            <v>417</v>
          </cell>
        </row>
        <row r="379">
          <cell r="R379">
            <v>525</v>
          </cell>
        </row>
        <row r="380">
          <cell r="R380">
            <v>417</v>
          </cell>
        </row>
        <row r="381">
          <cell r="R381">
            <v>525</v>
          </cell>
        </row>
        <row r="382">
          <cell r="R382">
            <v>525</v>
          </cell>
        </row>
        <row r="383">
          <cell r="R383">
            <v>525</v>
          </cell>
        </row>
        <row r="384">
          <cell r="R384">
            <v>525</v>
          </cell>
        </row>
        <row r="385">
          <cell r="R385">
            <v>525</v>
          </cell>
        </row>
        <row r="386">
          <cell r="R386">
            <v>525</v>
          </cell>
        </row>
        <row r="387">
          <cell r="R387">
            <v>525</v>
          </cell>
        </row>
        <row r="388">
          <cell r="R388">
            <v>525</v>
          </cell>
        </row>
        <row r="389">
          <cell r="R389">
            <v>525</v>
          </cell>
        </row>
        <row r="390">
          <cell r="R390">
            <v>498</v>
          </cell>
        </row>
        <row r="391">
          <cell r="R391">
            <v>498</v>
          </cell>
        </row>
        <row r="392">
          <cell r="R392">
            <v>498</v>
          </cell>
        </row>
        <row r="393">
          <cell r="R393">
            <v>525</v>
          </cell>
        </row>
        <row r="394">
          <cell r="R394">
            <v>430.5</v>
          </cell>
        </row>
        <row r="395">
          <cell r="R395">
            <v>498</v>
          </cell>
        </row>
        <row r="396">
          <cell r="R396">
            <v>525</v>
          </cell>
        </row>
        <row r="397">
          <cell r="R397">
            <v>484.5</v>
          </cell>
        </row>
        <row r="398">
          <cell r="R398">
            <v>525</v>
          </cell>
        </row>
        <row r="399">
          <cell r="R399">
            <v>457.5</v>
          </cell>
        </row>
        <row r="400">
          <cell r="R400">
            <v>525</v>
          </cell>
        </row>
        <row r="401">
          <cell r="R401">
            <v>457.5</v>
          </cell>
        </row>
        <row r="402">
          <cell r="R402">
            <v>525</v>
          </cell>
        </row>
        <row r="403">
          <cell r="R403">
            <v>484.5</v>
          </cell>
        </row>
        <row r="404">
          <cell r="R404">
            <v>525</v>
          </cell>
        </row>
        <row r="405">
          <cell r="R405">
            <v>525</v>
          </cell>
        </row>
        <row r="406">
          <cell r="R406">
            <v>525</v>
          </cell>
        </row>
        <row r="407">
          <cell r="R407">
            <v>457.5</v>
          </cell>
        </row>
        <row r="408">
          <cell r="R408">
            <v>1110</v>
          </cell>
        </row>
        <row r="409">
          <cell r="R409">
            <v>1110</v>
          </cell>
        </row>
        <row r="410">
          <cell r="R410">
            <v>1110</v>
          </cell>
        </row>
        <row r="411">
          <cell r="R411">
            <v>1110</v>
          </cell>
        </row>
        <row r="412">
          <cell r="R412">
            <v>1110</v>
          </cell>
        </row>
        <row r="413">
          <cell r="R413">
            <v>1110</v>
          </cell>
        </row>
        <row r="414">
          <cell r="R414">
            <v>1110</v>
          </cell>
        </row>
        <row r="415">
          <cell r="R415">
            <v>1110</v>
          </cell>
        </row>
        <row r="416">
          <cell r="R416">
            <v>1110</v>
          </cell>
        </row>
        <row r="417">
          <cell r="R417">
            <v>1110</v>
          </cell>
        </row>
        <row r="418">
          <cell r="R418">
            <v>1110</v>
          </cell>
        </row>
        <row r="419">
          <cell r="R419">
            <v>900</v>
          </cell>
        </row>
        <row r="420">
          <cell r="R420">
            <v>1110</v>
          </cell>
        </row>
        <row r="421">
          <cell r="R421">
            <v>1110</v>
          </cell>
        </row>
        <row r="422">
          <cell r="R422">
            <v>1110</v>
          </cell>
        </row>
        <row r="423">
          <cell r="R423">
            <v>1110</v>
          </cell>
        </row>
        <row r="424">
          <cell r="R424">
            <v>1110</v>
          </cell>
        </row>
        <row r="425">
          <cell r="R425">
            <v>1110</v>
          </cell>
        </row>
        <row r="426">
          <cell r="R426">
            <v>1110</v>
          </cell>
        </row>
        <row r="427">
          <cell r="R427">
            <v>1110</v>
          </cell>
        </row>
        <row r="428">
          <cell r="R428">
            <v>1110</v>
          </cell>
        </row>
        <row r="429">
          <cell r="R429">
            <v>871.5</v>
          </cell>
        </row>
        <row r="430">
          <cell r="R430">
            <v>871.5</v>
          </cell>
        </row>
        <row r="431">
          <cell r="R431">
            <v>871.5</v>
          </cell>
        </row>
        <row r="432">
          <cell r="R432">
            <v>871.5</v>
          </cell>
        </row>
        <row r="433">
          <cell r="R433">
            <v>997.5</v>
          </cell>
        </row>
        <row r="434">
          <cell r="R434">
            <v>871.5</v>
          </cell>
        </row>
        <row r="435">
          <cell r="R435">
            <v>1110</v>
          </cell>
        </row>
        <row r="436">
          <cell r="R436">
            <v>1110</v>
          </cell>
        </row>
        <row r="437">
          <cell r="R437">
            <v>1110</v>
          </cell>
        </row>
        <row r="438">
          <cell r="R438">
            <v>900</v>
          </cell>
        </row>
        <row r="439">
          <cell r="R439">
            <v>900</v>
          </cell>
        </row>
        <row r="440">
          <cell r="R440">
            <v>900</v>
          </cell>
        </row>
        <row r="441">
          <cell r="R441">
            <v>1042.5</v>
          </cell>
        </row>
        <row r="442">
          <cell r="R442">
            <v>1042.5</v>
          </cell>
        </row>
        <row r="443">
          <cell r="R443">
            <v>1042.5</v>
          </cell>
        </row>
        <row r="444">
          <cell r="R444">
            <v>1110</v>
          </cell>
        </row>
        <row r="445">
          <cell r="R445">
            <v>1110</v>
          </cell>
        </row>
        <row r="446">
          <cell r="R446">
            <v>1110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45"/>
  <sheetViews>
    <sheetView tabSelected="1" topLeftCell="A413" workbookViewId="0">
      <selection activeCell="F424" sqref="F424"/>
    </sheetView>
  </sheetViews>
  <sheetFormatPr defaultRowHeight="12.75" x14ac:dyDescent="0.15"/>
  <cols>
    <col min="1" max="16384" width="9" style="1"/>
  </cols>
  <sheetData>
    <row r="1" spans="1:13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7</v>
      </c>
      <c r="J1" s="1" t="s">
        <v>8</v>
      </c>
      <c r="K1" s="1" t="s">
        <v>10</v>
      </c>
      <c r="L1" s="1" t="s">
        <v>11</v>
      </c>
      <c r="M1" s="1" t="s">
        <v>12</v>
      </c>
    </row>
    <row r="2" spans="1:13" x14ac:dyDescent="0.15">
      <c r="A2" s="1">
        <v>1</v>
      </c>
      <c r="B2" s="1">
        <v>0</v>
      </c>
      <c r="C2" s="1">
        <v>100001</v>
      </c>
      <c r="D2" s="1" t="str">
        <f>[1]装备明细!$M3</f>
        <v>IC1001</v>
      </c>
      <c r="E2" s="1" t="str">
        <f>[1]装备明细!$C3</f>
        <v>破旧的锤</v>
      </c>
      <c r="G2" s="1">
        <f>[1]装备明细!$J3</f>
        <v>0</v>
      </c>
      <c r="H2" s="1">
        <f>IF([1]装备明细!$G3&gt;=14,"",[1]装备明细!$G3-1)</f>
        <v>0</v>
      </c>
      <c r="I2" s="1">
        <f>[1]装备明细!$F3</f>
        <v>1</v>
      </c>
      <c r="J2" s="1">
        <f>[1]装备明细!$L3</f>
        <v>1</v>
      </c>
      <c r="K2" s="1">
        <f>[1]装备明细!$E3</f>
        <v>1</v>
      </c>
      <c r="L2" s="1">
        <f>K2</f>
        <v>1</v>
      </c>
      <c r="M2" s="1">
        <f>[2]Sheet1!$R3*2</f>
        <v>18</v>
      </c>
    </row>
    <row r="3" spans="1:13" x14ac:dyDescent="0.15">
      <c r="A3" s="1">
        <v>2</v>
      </c>
      <c r="B3" s="1">
        <v>0</v>
      </c>
      <c r="C3" s="1">
        <v>100002</v>
      </c>
      <c r="D3" s="1" t="str">
        <f>[1]装备明细!$M4</f>
        <v>IC1002</v>
      </c>
      <c r="E3" s="1" t="str">
        <f>[1]装备明细!$C4</f>
        <v>普通的锤</v>
      </c>
      <c r="G3" s="1">
        <f>[1]装备明细!$J4</f>
        <v>0</v>
      </c>
      <c r="H3" s="1">
        <f>IF([1]装备明细!$G4&gt;=14,"",[1]装备明细!$G4-1)</f>
        <v>0</v>
      </c>
      <c r="I3" s="1">
        <f>[1]装备明细!$F4</f>
        <v>1</v>
      </c>
      <c r="J3" s="1">
        <f>[1]装备明细!$L4</f>
        <v>2</v>
      </c>
      <c r="K3" s="1">
        <f>[1]装备明细!$E4</f>
        <v>1</v>
      </c>
      <c r="L3" s="1">
        <f t="shared" ref="L3:L66" si="0">K3</f>
        <v>1</v>
      </c>
      <c r="M3" s="1">
        <f>[2]Sheet1!$R4*2</f>
        <v>18</v>
      </c>
    </row>
    <row r="4" spans="1:13" x14ac:dyDescent="0.15">
      <c r="A4" s="1">
        <v>3</v>
      </c>
      <c r="B4" s="1">
        <v>0</v>
      </c>
      <c r="C4" s="1">
        <v>100003</v>
      </c>
      <c r="D4" s="1" t="str">
        <f>[1]装备明细!$M5</f>
        <v>IC1080</v>
      </c>
      <c r="E4" s="1" t="str">
        <f>[1]装备明细!$C5</f>
        <v>初级的锤</v>
      </c>
      <c r="G4" s="1">
        <f>[1]装备明细!$J5</f>
        <v>0</v>
      </c>
      <c r="H4" s="1">
        <f>IF([1]装备明细!$G5&gt;=14,"",[1]装备明细!$G5-1)</f>
        <v>0</v>
      </c>
      <c r="I4" s="1">
        <f>[1]装备明细!$F5</f>
        <v>1</v>
      </c>
      <c r="J4" s="1">
        <f>[1]装备明细!$L5</f>
        <v>3</v>
      </c>
      <c r="K4" s="1">
        <f>[1]装备明细!$E5</f>
        <v>1</v>
      </c>
      <c r="L4" s="1">
        <f t="shared" si="0"/>
        <v>1</v>
      </c>
      <c r="M4" s="1">
        <f>[2]Sheet1!$R5*2</f>
        <v>18</v>
      </c>
    </row>
    <row r="5" spans="1:13" x14ac:dyDescent="0.15">
      <c r="A5" s="1">
        <v>4</v>
      </c>
      <c r="B5" s="1">
        <v>0</v>
      </c>
      <c r="C5" s="1">
        <v>100004</v>
      </c>
      <c r="D5" s="1" t="str">
        <f>[1]装备明细!$M6</f>
        <v>IC1006</v>
      </c>
      <c r="E5" s="1" t="str">
        <f>[1]装备明细!$C6</f>
        <v>水晶锤</v>
      </c>
      <c r="G5" s="1">
        <f>[1]装备明细!$J6</f>
        <v>0</v>
      </c>
      <c r="H5" s="1">
        <f>IF([1]装备明细!$G6&gt;=14,"",[1]装备明细!$G6-1)</f>
        <v>0</v>
      </c>
      <c r="I5" s="1">
        <f>[1]装备明细!$F6</f>
        <v>1</v>
      </c>
      <c r="J5" s="1">
        <f>[1]装备明细!$L6</f>
        <v>4</v>
      </c>
      <c r="K5" s="1">
        <f>[1]装备明细!$E6</f>
        <v>1</v>
      </c>
      <c r="L5" s="1">
        <f t="shared" si="0"/>
        <v>1</v>
      </c>
      <c r="M5" s="1">
        <f>[2]Sheet1!$R6*2</f>
        <v>18</v>
      </c>
    </row>
    <row r="6" spans="1:13" x14ac:dyDescent="0.15">
      <c r="A6" s="1">
        <v>5</v>
      </c>
      <c r="B6" s="1">
        <v>0</v>
      </c>
      <c r="C6" s="1">
        <v>100005</v>
      </c>
      <c r="D6" s="1" t="str">
        <f>[1]装备明细!$M7</f>
        <v>IC1001</v>
      </c>
      <c r="E6" s="1" t="str">
        <f>[1]装备明细!$C7</f>
        <v>青铜锤</v>
      </c>
      <c r="G6" s="1">
        <f>[1]装备明细!$J7</f>
        <v>0</v>
      </c>
      <c r="H6" s="1">
        <f>IF([1]装备明细!$G7&gt;=14,"",[1]装备明细!$G7-1)</f>
        <v>0</v>
      </c>
      <c r="I6" s="1">
        <f>[1]装备明细!$F7</f>
        <v>1</v>
      </c>
      <c r="J6" s="1">
        <f>[1]装备明细!$L7</f>
        <v>5</v>
      </c>
      <c r="K6" s="1">
        <f>[1]装备明细!$E7</f>
        <v>1</v>
      </c>
      <c r="L6" s="1">
        <f t="shared" si="0"/>
        <v>1</v>
      </c>
      <c r="M6" s="1">
        <f>[2]Sheet1!$R7*2</f>
        <v>18</v>
      </c>
    </row>
    <row r="7" spans="1:13" x14ac:dyDescent="0.15">
      <c r="A7" s="1">
        <v>6</v>
      </c>
      <c r="B7" s="1">
        <v>0</v>
      </c>
      <c r="C7" s="1">
        <v>100006</v>
      </c>
      <c r="D7" s="1" t="str">
        <f>[1]装备明细!$M8</f>
        <v>IC1002</v>
      </c>
      <c r="E7" s="1" t="str">
        <f>[1]装备明细!$C8</f>
        <v>玄铁锤</v>
      </c>
      <c r="G7" s="1">
        <f>[1]装备明细!$J8</f>
        <v>0</v>
      </c>
      <c r="H7" s="1">
        <f>IF([1]装备明细!$G8&gt;=14,"",[1]装备明细!$G8-1)</f>
        <v>0</v>
      </c>
      <c r="I7" s="1">
        <f>[1]装备明细!$F8</f>
        <v>1</v>
      </c>
      <c r="J7" s="1">
        <f>[1]装备明细!$L8</f>
        <v>6</v>
      </c>
      <c r="K7" s="1">
        <f>[1]装备明细!$E8</f>
        <v>1</v>
      </c>
      <c r="L7" s="1">
        <f t="shared" si="0"/>
        <v>1</v>
      </c>
      <c r="M7" s="1">
        <f>[2]Sheet1!$R8*2</f>
        <v>18</v>
      </c>
    </row>
    <row r="8" spans="1:13" x14ac:dyDescent="0.15">
      <c r="A8" s="1">
        <v>7</v>
      </c>
      <c r="B8" s="1">
        <v>0</v>
      </c>
      <c r="C8" s="1">
        <v>100007</v>
      </c>
      <c r="D8" s="1" t="str">
        <f>[1]装备明细!$M9</f>
        <v>IC1080</v>
      </c>
      <c r="E8" s="1" t="str">
        <f>[1]装备明细!$C9</f>
        <v>白银锤</v>
      </c>
      <c r="G8" s="1">
        <f>[1]装备明细!$J9</f>
        <v>0</v>
      </c>
      <c r="H8" s="1">
        <f>IF([1]装备明细!$G9&gt;=14,"",[1]装备明细!$G9-1)</f>
        <v>0</v>
      </c>
      <c r="I8" s="1">
        <f>[1]装备明细!$F9</f>
        <v>1</v>
      </c>
      <c r="J8" s="1">
        <f>[1]装备明细!$L9</f>
        <v>7</v>
      </c>
      <c r="K8" s="1">
        <f>[1]装备明细!$E9</f>
        <v>1</v>
      </c>
      <c r="L8" s="1">
        <f t="shared" si="0"/>
        <v>1</v>
      </c>
      <c r="M8" s="1">
        <f>[2]Sheet1!$R9*2</f>
        <v>18</v>
      </c>
    </row>
    <row r="9" spans="1:13" x14ac:dyDescent="0.15">
      <c r="A9" s="1">
        <v>8</v>
      </c>
      <c r="B9" s="1">
        <v>0</v>
      </c>
      <c r="C9" s="1">
        <v>100008</v>
      </c>
      <c r="D9" s="1" t="str">
        <f>[1]装备明细!$M10</f>
        <v>IC1006</v>
      </c>
      <c r="E9" s="1" t="str">
        <f>[1]装备明细!$C10</f>
        <v>异灵锤</v>
      </c>
      <c r="G9" s="1">
        <f>[1]装备明细!$J10</f>
        <v>0</v>
      </c>
      <c r="H9" s="1">
        <f>IF([1]装备明细!$G10&gt;=14,"",[1]装备明细!$G10-1)</f>
        <v>0</v>
      </c>
      <c r="I9" s="1">
        <f>[1]装备明细!$F10</f>
        <v>1</v>
      </c>
      <c r="J9" s="1">
        <f>[1]装备明细!$L10</f>
        <v>8</v>
      </c>
      <c r="K9" s="1">
        <f>[1]装备明细!$E10</f>
        <v>1</v>
      </c>
      <c r="L9" s="1">
        <f t="shared" si="0"/>
        <v>1</v>
      </c>
      <c r="M9" s="1">
        <f>[2]Sheet1!$R10*2</f>
        <v>18</v>
      </c>
    </row>
    <row r="10" spans="1:13" x14ac:dyDescent="0.15">
      <c r="A10" s="1">
        <v>9</v>
      </c>
      <c r="B10" s="1">
        <v>0</v>
      </c>
      <c r="C10" s="1">
        <v>100009</v>
      </c>
      <c r="D10" s="1" t="str">
        <f>[1]装备明细!$M11</f>
        <v>IC1001</v>
      </c>
      <c r="E10" s="1" t="str">
        <f>[1]装备明细!$C11</f>
        <v>流星锤</v>
      </c>
      <c r="G10" s="1">
        <f>[1]装备明细!$J11</f>
        <v>0</v>
      </c>
      <c r="H10" s="1">
        <f>IF([1]装备明细!$G11&gt;=14,"",[1]装备明细!$G11-1)</f>
        <v>0</v>
      </c>
      <c r="I10" s="1">
        <f>[1]装备明细!$F11</f>
        <v>1</v>
      </c>
      <c r="J10" s="1">
        <f>[1]装备明细!$L11</f>
        <v>9</v>
      </c>
      <c r="K10" s="1">
        <f>[1]装备明细!$E11</f>
        <v>1</v>
      </c>
      <c r="L10" s="1">
        <f t="shared" si="0"/>
        <v>1</v>
      </c>
      <c r="M10" s="1">
        <f>[2]Sheet1!$R11*2</f>
        <v>18</v>
      </c>
    </row>
    <row r="11" spans="1:13" x14ac:dyDescent="0.15">
      <c r="A11" s="1">
        <v>10</v>
      </c>
      <c r="B11" s="1">
        <v>0</v>
      </c>
      <c r="C11" s="1">
        <v>100010</v>
      </c>
      <c r="D11" s="1" t="str">
        <f>[1]装备明细!$M12</f>
        <v>IC1240</v>
      </c>
      <c r="E11" s="1" t="str">
        <f>[1]装备明细!$C12</f>
        <v>破旧的刀</v>
      </c>
      <c r="G11" s="1">
        <f>[1]装备明细!$J12</f>
        <v>0</v>
      </c>
      <c r="H11" s="1">
        <f>IF([1]装备明细!$G12&gt;=14,"",[1]装备明细!$G12-1)</f>
        <v>1</v>
      </c>
      <c r="I11" s="1">
        <f>[1]装备明细!$F12</f>
        <v>1</v>
      </c>
      <c r="J11" s="1">
        <f>[1]装备明细!$L12</f>
        <v>1</v>
      </c>
      <c r="K11" s="1">
        <f>[1]装备明细!$E12</f>
        <v>1</v>
      </c>
      <c r="L11" s="1">
        <f t="shared" si="0"/>
        <v>1</v>
      </c>
      <c r="M11" s="1">
        <f>[2]Sheet1!$R12*2</f>
        <v>18</v>
      </c>
    </row>
    <row r="12" spans="1:13" x14ac:dyDescent="0.15">
      <c r="A12" s="1">
        <v>11</v>
      </c>
      <c r="B12" s="1">
        <v>0</v>
      </c>
      <c r="C12" s="1">
        <v>100011</v>
      </c>
      <c r="D12" s="1" t="str">
        <f>[1]装备明细!$M13</f>
        <v>IC1201</v>
      </c>
      <c r="E12" s="1" t="str">
        <f>[1]装备明细!$C13</f>
        <v>普通的刀</v>
      </c>
      <c r="G12" s="1">
        <f>[1]装备明细!$J13</f>
        <v>0</v>
      </c>
      <c r="H12" s="1">
        <f>IF([1]装备明细!$G13&gt;=14,"",[1]装备明细!$G13-1)</f>
        <v>1</v>
      </c>
      <c r="I12" s="1">
        <f>[1]装备明细!$F13</f>
        <v>1</v>
      </c>
      <c r="J12" s="1">
        <f>[1]装备明细!$L13</f>
        <v>2</v>
      </c>
      <c r="K12" s="1">
        <f>[1]装备明细!$E13</f>
        <v>1</v>
      </c>
      <c r="L12" s="1">
        <f t="shared" si="0"/>
        <v>1</v>
      </c>
      <c r="M12" s="1">
        <f>[2]Sheet1!$R13*2</f>
        <v>18</v>
      </c>
    </row>
    <row r="13" spans="1:13" x14ac:dyDescent="0.15">
      <c r="A13" s="1">
        <v>12</v>
      </c>
      <c r="B13" s="1">
        <v>0</v>
      </c>
      <c r="C13" s="1">
        <v>100012</v>
      </c>
      <c r="D13" s="1" t="str">
        <f>[1]装备明细!$M14</f>
        <v>IC1239</v>
      </c>
      <c r="E13" s="1" t="str">
        <f>[1]装备明细!$C14</f>
        <v>初级的刀</v>
      </c>
      <c r="G13" s="1">
        <f>[1]装备明细!$J14</f>
        <v>0</v>
      </c>
      <c r="H13" s="1">
        <f>IF([1]装备明细!$G14&gt;=14,"",[1]装备明细!$G14-1)</f>
        <v>1</v>
      </c>
      <c r="I13" s="1">
        <f>[1]装备明细!$F14</f>
        <v>1</v>
      </c>
      <c r="J13" s="1">
        <f>[1]装备明细!$L14</f>
        <v>3</v>
      </c>
      <c r="K13" s="1">
        <f>[1]装备明细!$E14</f>
        <v>1</v>
      </c>
      <c r="L13" s="1">
        <f t="shared" si="0"/>
        <v>1</v>
      </c>
      <c r="M13" s="1">
        <f>[2]Sheet1!$R14*2</f>
        <v>18</v>
      </c>
    </row>
    <row r="14" spans="1:13" x14ac:dyDescent="0.15">
      <c r="A14" s="1">
        <v>13</v>
      </c>
      <c r="B14" s="1">
        <v>0</v>
      </c>
      <c r="C14" s="1">
        <v>100013</v>
      </c>
      <c r="D14" s="1" t="str">
        <f>[1]装备明细!$M15</f>
        <v>IC1204</v>
      </c>
      <c r="E14" s="1" t="str">
        <f>[1]装备明细!$C15</f>
        <v>水晶刀</v>
      </c>
      <c r="G14" s="1">
        <f>[1]装备明细!$J15</f>
        <v>0</v>
      </c>
      <c r="H14" s="1">
        <f>IF([1]装备明细!$G15&gt;=14,"",[1]装备明细!$G15-1)</f>
        <v>1</v>
      </c>
      <c r="I14" s="1">
        <f>[1]装备明细!$F15</f>
        <v>1</v>
      </c>
      <c r="J14" s="1">
        <f>[1]装备明细!$L15</f>
        <v>4</v>
      </c>
      <c r="K14" s="1">
        <f>[1]装备明细!$E15</f>
        <v>1</v>
      </c>
      <c r="L14" s="1">
        <f t="shared" si="0"/>
        <v>1</v>
      </c>
      <c r="M14" s="1">
        <f>[2]Sheet1!$R15*2</f>
        <v>18</v>
      </c>
    </row>
    <row r="15" spans="1:13" x14ac:dyDescent="0.15">
      <c r="A15" s="1">
        <v>14</v>
      </c>
      <c r="B15" s="1">
        <v>0</v>
      </c>
      <c r="C15" s="1">
        <v>100014</v>
      </c>
      <c r="D15" s="1" t="str">
        <f>[1]装备明细!$M16</f>
        <v>IC1209</v>
      </c>
      <c r="E15" s="1" t="str">
        <f>[1]装备明细!$C16</f>
        <v>青铜刀</v>
      </c>
      <c r="G15" s="1">
        <f>[1]装备明细!$J16</f>
        <v>0</v>
      </c>
      <c r="H15" s="1">
        <f>IF([1]装备明细!$G16&gt;=14,"",[1]装备明细!$G16-1)</f>
        <v>1</v>
      </c>
      <c r="I15" s="1">
        <f>[1]装备明细!$F16</f>
        <v>1</v>
      </c>
      <c r="J15" s="1">
        <f>[1]装备明细!$L16</f>
        <v>5</v>
      </c>
      <c r="K15" s="1">
        <f>[1]装备明细!$E16</f>
        <v>1</v>
      </c>
      <c r="L15" s="1">
        <f t="shared" si="0"/>
        <v>1</v>
      </c>
      <c r="M15" s="1">
        <f>[2]Sheet1!$R16*2</f>
        <v>18</v>
      </c>
    </row>
    <row r="16" spans="1:13" x14ac:dyDescent="0.15">
      <c r="A16" s="1">
        <v>15</v>
      </c>
      <c r="B16" s="1">
        <v>0</v>
      </c>
      <c r="C16" s="1">
        <v>100015</v>
      </c>
      <c r="D16" s="1" t="str">
        <f>[1]装备明细!$M17</f>
        <v>IC1225</v>
      </c>
      <c r="E16" s="1" t="str">
        <f>[1]装备明细!$C17</f>
        <v>玄铁刀</v>
      </c>
      <c r="G16" s="1">
        <f>[1]装备明细!$J17</f>
        <v>0</v>
      </c>
      <c r="H16" s="1">
        <f>IF([1]装备明细!$G17&gt;=14,"",[1]装备明细!$G17-1)</f>
        <v>1</v>
      </c>
      <c r="I16" s="1">
        <f>[1]装备明细!$F17</f>
        <v>1</v>
      </c>
      <c r="J16" s="1">
        <f>[1]装备明细!$L17</f>
        <v>6</v>
      </c>
      <c r="K16" s="1">
        <f>[1]装备明细!$E17</f>
        <v>1</v>
      </c>
      <c r="L16" s="1">
        <f t="shared" si="0"/>
        <v>1</v>
      </c>
      <c r="M16" s="1">
        <f>[2]Sheet1!$R17*2</f>
        <v>18</v>
      </c>
    </row>
    <row r="17" spans="1:13" x14ac:dyDescent="0.15">
      <c r="A17" s="1">
        <v>16</v>
      </c>
      <c r="B17" s="1">
        <v>0</v>
      </c>
      <c r="C17" s="1">
        <v>100016</v>
      </c>
      <c r="D17" s="1" t="str">
        <f>[1]装备明细!$M18</f>
        <v>IC1239</v>
      </c>
      <c r="E17" s="1" t="str">
        <f>[1]装备明细!$C18</f>
        <v>白银刀</v>
      </c>
      <c r="G17" s="1">
        <f>[1]装备明细!$J18</f>
        <v>0</v>
      </c>
      <c r="H17" s="1">
        <f>IF([1]装备明细!$G18&gt;=14,"",[1]装备明细!$G18-1)</f>
        <v>1</v>
      </c>
      <c r="I17" s="1">
        <f>[1]装备明细!$F18</f>
        <v>1</v>
      </c>
      <c r="J17" s="1">
        <f>[1]装备明细!$L18</f>
        <v>7</v>
      </c>
      <c r="K17" s="1">
        <f>[1]装备明细!$E18</f>
        <v>1</v>
      </c>
      <c r="L17" s="1">
        <f t="shared" si="0"/>
        <v>1</v>
      </c>
      <c r="M17" s="1">
        <f>[2]Sheet1!$R18*2</f>
        <v>18</v>
      </c>
    </row>
    <row r="18" spans="1:13" x14ac:dyDescent="0.15">
      <c r="A18" s="1">
        <v>17</v>
      </c>
      <c r="B18" s="1">
        <v>0</v>
      </c>
      <c r="C18" s="1">
        <v>100017</v>
      </c>
      <c r="D18" s="1" t="str">
        <f>[1]装备明细!$M19</f>
        <v>IC1204</v>
      </c>
      <c r="E18" s="1" t="str">
        <f>[1]装备明细!$C19</f>
        <v>异灵刀</v>
      </c>
      <c r="G18" s="1">
        <f>[1]装备明细!$J19</f>
        <v>0</v>
      </c>
      <c r="H18" s="1">
        <f>IF([1]装备明细!$G19&gt;=14,"",[1]装备明细!$G19-1)</f>
        <v>1</v>
      </c>
      <c r="I18" s="1">
        <f>[1]装备明细!$F19</f>
        <v>1</v>
      </c>
      <c r="J18" s="1">
        <f>[1]装备明细!$L19</f>
        <v>8</v>
      </c>
      <c r="K18" s="1">
        <f>[1]装备明细!$E19</f>
        <v>1</v>
      </c>
      <c r="L18" s="1">
        <f t="shared" si="0"/>
        <v>1</v>
      </c>
      <c r="M18" s="1">
        <f>[2]Sheet1!$R19*2</f>
        <v>18</v>
      </c>
    </row>
    <row r="19" spans="1:13" x14ac:dyDescent="0.15">
      <c r="A19" s="1">
        <v>18</v>
      </c>
      <c r="B19" s="1">
        <v>0</v>
      </c>
      <c r="C19" s="1">
        <v>100018</v>
      </c>
      <c r="D19" s="1" t="str">
        <f>[1]装备明细!$M20</f>
        <v>IC1209</v>
      </c>
      <c r="E19" s="1" t="str">
        <f>[1]装备明细!$C20</f>
        <v>流星刀</v>
      </c>
      <c r="G19" s="1">
        <f>[1]装备明细!$J20</f>
        <v>0</v>
      </c>
      <c r="H19" s="1">
        <f>IF([1]装备明细!$G20&gt;=14,"",[1]装备明细!$G20-1)</f>
        <v>1</v>
      </c>
      <c r="I19" s="1">
        <f>[1]装备明细!$F20</f>
        <v>1</v>
      </c>
      <c r="J19" s="1">
        <f>[1]装备明细!$L20</f>
        <v>9</v>
      </c>
      <c r="K19" s="1">
        <f>[1]装备明细!$E20</f>
        <v>1</v>
      </c>
      <c r="L19" s="1">
        <f t="shared" si="0"/>
        <v>1</v>
      </c>
      <c r="M19" s="1">
        <f>[2]Sheet1!$R20*2</f>
        <v>18</v>
      </c>
    </row>
    <row r="20" spans="1:13" x14ac:dyDescent="0.15">
      <c r="A20" s="1">
        <v>19</v>
      </c>
      <c r="B20" s="1">
        <v>0</v>
      </c>
      <c r="C20" s="1">
        <v>100019</v>
      </c>
      <c r="D20" s="1" t="str">
        <f>[1]装备明细!$M21</f>
        <v>IC1501</v>
      </c>
      <c r="E20" s="1" t="str">
        <f>[1]装备明细!$C21</f>
        <v>破旧的拳套</v>
      </c>
      <c r="G20" s="1">
        <f>[1]装备明细!$J21</f>
        <v>0</v>
      </c>
      <c r="H20" s="1">
        <f>IF([1]装备明细!$G21&gt;=14,"",[1]装备明细!$G21-1)</f>
        <v>2</v>
      </c>
      <c r="I20" s="1">
        <f>[1]装备明细!$F21</f>
        <v>1</v>
      </c>
      <c r="J20" s="1">
        <f>[1]装备明细!$L21</f>
        <v>1</v>
      </c>
      <c r="K20" s="1">
        <f>[1]装备明细!$E21</f>
        <v>1</v>
      </c>
      <c r="L20" s="1">
        <f t="shared" si="0"/>
        <v>1</v>
      </c>
      <c r="M20" s="1">
        <f>[2]Sheet1!$R21*2</f>
        <v>18</v>
      </c>
    </row>
    <row r="21" spans="1:13" x14ac:dyDescent="0.15">
      <c r="A21" s="1">
        <v>20</v>
      </c>
      <c r="B21" s="1">
        <v>0</v>
      </c>
      <c r="C21" s="1">
        <v>100020</v>
      </c>
      <c r="D21" s="1" t="str">
        <f>[1]装备明细!$M22</f>
        <v>IC1504</v>
      </c>
      <c r="E21" s="1" t="str">
        <f>[1]装备明细!$C22</f>
        <v>普通的拳套</v>
      </c>
      <c r="G21" s="1">
        <f>[1]装备明细!$J22</f>
        <v>0</v>
      </c>
      <c r="H21" s="1">
        <f>IF([1]装备明细!$G22&gt;=14,"",[1]装备明细!$G22-1)</f>
        <v>2</v>
      </c>
      <c r="I21" s="1">
        <f>[1]装备明细!$F22</f>
        <v>1</v>
      </c>
      <c r="J21" s="1">
        <f>[1]装备明细!$L22</f>
        <v>2</v>
      </c>
      <c r="K21" s="1">
        <f>[1]装备明细!$E22</f>
        <v>1</v>
      </c>
      <c r="L21" s="1">
        <f t="shared" si="0"/>
        <v>1</v>
      </c>
      <c r="M21" s="1">
        <f>[2]Sheet1!$R22*2</f>
        <v>18</v>
      </c>
    </row>
    <row r="22" spans="1:13" x14ac:dyDescent="0.15">
      <c r="A22" s="1">
        <v>21</v>
      </c>
      <c r="B22" s="1">
        <v>0</v>
      </c>
      <c r="C22" s="1">
        <v>100021</v>
      </c>
      <c r="D22" s="1" t="str">
        <f>[1]装备明细!$M23</f>
        <v>IC1506</v>
      </c>
      <c r="E22" s="1" t="str">
        <f>[1]装备明细!$C23</f>
        <v>初级的拳套</v>
      </c>
      <c r="G22" s="1">
        <f>[1]装备明细!$J23</f>
        <v>0</v>
      </c>
      <c r="H22" s="1">
        <f>IF([1]装备明细!$G23&gt;=14,"",[1]装备明细!$G23-1)</f>
        <v>2</v>
      </c>
      <c r="I22" s="1">
        <f>[1]装备明细!$F23</f>
        <v>1</v>
      </c>
      <c r="J22" s="1">
        <f>[1]装备明细!$L23</f>
        <v>3</v>
      </c>
      <c r="K22" s="1">
        <f>[1]装备明细!$E23</f>
        <v>1</v>
      </c>
      <c r="L22" s="1">
        <f t="shared" si="0"/>
        <v>1</v>
      </c>
      <c r="M22" s="1">
        <f>[2]Sheet1!$R23*2</f>
        <v>18</v>
      </c>
    </row>
    <row r="23" spans="1:13" x14ac:dyDescent="0.15">
      <c r="A23" s="1">
        <v>22</v>
      </c>
      <c r="B23" s="1">
        <v>0</v>
      </c>
      <c r="C23" s="1">
        <v>100022</v>
      </c>
      <c r="D23" s="1" t="str">
        <f>[1]装备明细!$M24</f>
        <v>IC1507</v>
      </c>
      <c r="E23" s="1" t="str">
        <f>[1]装备明细!$C24</f>
        <v>水晶拳套</v>
      </c>
      <c r="G23" s="1">
        <f>[1]装备明细!$J24</f>
        <v>0</v>
      </c>
      <c r="H23" s="1">
        <f>IF([1]装备明细!$G24&gt;=14,"",[1]装备明细!$G24-1)</f>
        <v>2</v>
      </c>
      <c r="I23" s="1">
        <f>[1]装备明细!$F24</f>
        <v>1</v>
      </c>
      <c r="J23" s="1">
        <f>[1]装备明细!$L24</f>
        <v>4</v>
      </c>
      <c r="K23" s="1">
        <f>[1]装备明细!$E24</f>
        <v>1</v>
      </c>
      <c r="L23" s="1">
        <f t="shared" si="0"/>
        <v>1</v>
      </c>
      <c r="M23" s="1">
        <f>[2]Sheet1!$R24*2</f>
        <v>18</v>
      </c>
    </row>
    <row r="24" spans="1:13" x14ac:dyDescent="0.15">
      <c r="A24" s="1">
        <v>23</v>
      </c>
      <c r="B24" s="1">
        <v>0</v>
      </c>
      <c r="C24" s="1">
        <v>100023</v>
      </c>
      <c r="D24" s="1" t="str">
        <f>[1]装备明细!$M25</f>
        <v>IC1501</v>
      </c>
      <c r="E24" s="1" t="str">
        <f>[1]装备明细!$C25</f>
        <v>青铜拳套</v>
      </c>
      <c r="G24" s="1">
        <f>[1]装备明细!$J25</f>
        <v>0</v>
      </c>
      <c r="H24" s="1">
        <f>IF([1]装备明细!$G25&gt;=14,"",[1]装备明细!$G25-1)</f>
        <v>2</v>
      </c>
      <c r="I24" s="1">
        <f>[1]装备明细!$F25</f>
        <v>1</v>
      </c>
      <c r="J24" s="1">
        <f>[1]装备明细!$L25</f>
        <v>5</v>
      </c>
      <c r="K24" s="1">
        <f>[1]装备明细!$E25</f>
        <v>1</v>
      </c>
      <c r="L24" s="1">
        <f t="shared" si="0"/>
        <v>1</v>
      </c>
      <c r="M24" s="1">
        <f>[2]Sheet1!$R25*2</f>
        <v>18</v>
      </c>
    </row>
    <row r="25" spans="1:13" x14ac:dyDescent="0.15">
      <c r="A25" s="1">
        <v>24</v>
      </c>
      <c r="B25" s="1">
        <v>0</v>
      </c>
      <c r="C25" s="1">
        <v>100024</v>
      </c>
      <c r="D25" s="1" t="str">
        <f>[1]装备明细!$M26</f>
        <v>IC1504</v>
      </c>
      <c r="E25" s="1" t="str">
        <f>[1]装备明细!$C26</f>
        <v>玄铁拳套</v>
      </c>
      <c r="G25" s="1">
        <f>[1]装备明细!$J26</f>
        <v>0</v>
      </c>
      <c r="H25" s="1">
        <f>IF([1]装备明细!$G26&gt;=14,"",[1]装备明细!$G26-1)</f>
        <v>2</v>
      </c>
      <c r="I25" s="1">
        <f>[1]装备明细!$F26</f>
        <v>1</v>
      </c>
      <c r="J25" s="1">
        <f>[1]装备明细!$L26</f>
        <v>6</v>
      </c>
      <c r="K25" s="1">
        <f>[1]装备明细!$E26</f>
        <v>1</v>
      </c>
      <c r="L25" s="1">
        <f t="shared" si="0"/>
        <v>1</v>
      </c>
      <c r="M25" s="1">
        <f>[2]Sheet1!$R26*2</f>
        <v>18</v>
      </c>
    </row>
    <row r="26" spans="1:13" x14ac:dyDescent="0.15">
      <c r="A26" s="1">
        <v>25</v>
      </c>
      <c r="B26" s="1">
        <v>0</v>
      </c>
      <c r="C26" s="1">
        <v>100025</v>
      </c>
      <c r="D26" s="1" t="str">
        <f>[1]装备明细!$M27</f>
        <v>IC1506</v>
      </c>
      <c r="E26" s="1" t="str">
        <f>[1]装备明细!$C27</f>
        <v>白银拳套</v>
      </c>
      <c r="G26" s="1">
        <f>[1]装备明细!$J27</f>
        <v>0</v>
      </c>
      <c r="H26" s="1">
        <f>IF([1]装备明细!$G27&gt;=14,"",[1]装备明细!$G27-1)</f>
        <v>2</v>
      </c>
      <c r="I26" s="1">
        <f>[1]装备明细!$F27</f>
        <v>1</v>
      </c>
      <c r="J26" s="1">
        <f>[1]装备明细!$L27</f>
        <v>7</v>
      </c>
      <c r="K26" s="1">
        <f>[1]装备明细!$E27</f>
        <v>1</v>
      </c>
      <c r="L26" s="1">
        <f t="shared" si="0"/>
        <v>1</v>
      </c>
      <c r="M26" s="1">
        <f>[2]Sheet1!$R27*2</f>
        <v>18</v>
      </c>
    </row>
    <row r="27" spans="1:13" x14ac:dyDescent="0.15">
      <c r="A27" s="1">
        <v>26</v>
      </c>
      <c r="B27" s="1">
        <v>0</v>
      </c>
      <c r="C27" s="1">
        <v>100026</v>
      </c>
      <c r="D27" s="1" t="str">
        <f>[1]装备明细!$M28</f>
        <v>IC1507</v>
      </c>
      <c r="E27" s="1" t="str">
        <f>[1]装备明细!$C28</f>
        <v>异灵拳套</v>
      </c>
      <c r="G27" s="1">
        <f>[1]装备明细!$J28</f>
        <v>0</v>
      </c>
      <c r="H27" s="1">
        <f>IF([1]装备明细!$G28&gt;=14,"",[1]装备明细!$G28-1)</f>
        <v>2</v>
      </c>
      <c r="I27" s="1">
        <f>[1]装备明细!$F28</f>
        <v>1</v>
      </c>
      <c r="J27" s="1">
        <f>[1]装备明细!$L28</f>
        <v>8</v>
      </c>
      <c r="K27" s="1">
        <f>[1]装备明细!$E28</f>
        <v>1</v>
      </c>
      <c r="L27" s="1">
        <f t="shared" si="0"/>
        <v>1</v>
      </c>
      <c r="M27" s="1">
        <f>[2]Sheet1!$R28*2</f>
        <v>18</v>
      </c>
    </row>
    <row r="28" spans="1:13" x14ac:dyDescent="0.15">
      <c r="A28" s="1">
        <v>27</v>
      </c>
      <c r="B28" s="1">
        <v>0</v>
      </c>
      <c r="C28" s="1">
        <v>100027</v>
      </c>
      <c r="D28" s="1" t="str">
        <f>[1]装备明细!$M29</f>
        <v>IC1501</v>
      </c>
      <c r="E28" s="1" t="str">
        <f>[1]装备明细!$C29</f>
        <v>流星拳套</v>
      </c>
      <c r="G28" s="1">
        <f>[1]装备明细!$J29</f>
        <v>0</v>
      </c>
      <c r="H28" s="1">
        <f>IF([1]装备明细!$G29&gt;=14,"",[1]装备明细!$G29-1)</f>
        <v>2</v>
      </c>
      <c r="I28" s="1">
        <f>[1]装备明细!$F29</f>
        <v>1</v>
      </c>
      <c r="J28" s="1">
        <f>[1]装备明细!$L29</f>
        <v>9</v>
      </c>
      <c r="K28" s="1">
        <f>[1]装备明细!$E29</f>
        <v>1</v>
      </c>
      <c r="L28" s="1">
        <f t="shared" si="0"/>
        <v>1</v>
      </c>
      <c r="M28" s="1">
        <f>[2]Sheet1!$R29*2</f>
        <v>18</v>
      </c>
    </row>
    <row r="29" spans="1:13" x14ac:dyDescent="0.15">
      <c r="A29" s="1">
        <v>28</v>
      </c>
      <c r="B29" s="1">
        <v>0</v>
      </c>
      <c r="C29" s="1">
        <v>100028</v>
      </c>
      <c r="D29" s="1" t="str">
        <f>[1]装备明细!$M30</f>
        <v>IC1650</v>
      </c>
      <c r="E29" s="1" t="str">
        <f>[1]装备明细!$C30</f>
        <v>破旧的枪</v>
      </c>
      <c r="G29" s="1">
        <f>[1]装备明细!$J30</f>
        <v>0</v>
      </c>
      <c r="H29" s="1">
        <f>IF([1]装备明细!$G30&gt;=14,"",[1]装备明细!$G30-1)</f>
        <v>3</v>
      </c>
      <c r="I29" s="1">
        <f>[1]装备明细!$F30</f>
        <v>1</v>
      </c>
      <c r="J29" s="1">
        <f>[1]装备明细!$L30</f>
        <v>1</v>
      </c>
      <c r="K29" s="1">
        <f>[1]装备明细!$E30</f>
        <v>1</v>
      </c>
      <c r="L29" s="1">
        <f t="shared" si="0"/>
        <v>1</v>
      </c>
      <c r="M29" s="1">
        <f>[2]Sheet1!$R30*2</f>
        <v>18</v>
      </c>
    </row>
    <row r="30" spans="1:13" x14ac:dyDescent="0.15">
      <c r="A30" s="1">
        <v>29</v>
      </c>
      <c r="B30" s="1">
        <v>0</v>
      </c>
      <c r="C30" s="1">
        <v>100029</v>
      </c>
      <c r="D30" s="1" t="str">
        <f>[1]装备明细!$M31</f>
        <v>IC1651</v>
      </c>
      <c r="E30" s="1" t="str">
        <f>[1]装备明细!$C31</f>
        <v>普通的枪</v>
      </c>
      <c r="G30" s="1">
        <f>[1]装备明细!$J31</f>
        <v>0</v>
      </c>
      <c r="H30" s="1">
        <f>IF([1]装备明细!$G31&gt;=14,"",[1]装备明细!$G31-1)</f>
        <v>3</v>
      </c>
      <c r="I30" s="1">
        <f>[1]装备明细!$F31</f>
        <v>1</v>
      </c>
      <c r="J30" s="1">
        <f>[1]装备明细!$L31</f>
        <v>2</v>
      </c>
      <c r="K30" s="1">
        <f>[1]装备明细!$E31</f>
        <v>1</v>
      </c>
      <c r="L30" s="1">
        <f t="shared" si="0"/>
        <v>1</v>
      </c>
      <c r="M30" s="1">
        <f>[2]Sheet1!$R31*2</f>
        <v>18</v>
      </c>
    </row>
    <row r="31" spans="1:13" x14ac:dyDescent="0.15">
      <c r="A31" s="1">
        <v>30</v>
      </c>
      <c r="B31" s="1">
        <v>0</v>
      </c>
      <c r="C31" s="1">
        <v>100030</v>
      </c>
      <c r="D31" s="1" t="str">
        <f>[1]装备明细!$M32</f>
        <v>IC1655</v>
      </c>
      <c r="E31" s="1" t="str">
        <f>[1]装备明细!$C32</f>
        <v>初级的枪</v>
      </c>
      <c r="G31" s="1">
        <f>[1]装备明细!$J32</f>
        <v>0</v>
      </c>
      <c r="H31" s="1">
        <f>IF([1]装备明细!$G32&gt;=14,"",[1]装备明细!$G32-1)</f>
        <v>3</v>
      </c>
      <c r="I31" s="1">
        <f>[1]装备明细!$F32</f>
        <v>1</v>
      </c>
      <c r="J31" s="1">
        <f>[1]装备明细!$L32</f>
        <v>3</v>
      </c>
      <c r="K31" s="1">
        <f>[1]装备明细!$E32</f>
        <v>1</v>
      </c>
      <c r="L31" s="1">
        <f t="shared" si="0"/>
        <v>1</v>
      </c>
      <c r="M31" s="1">
        <f>[2]Sheet1!$R32*2</f>
        <v>18</v>
      </c>
    </row>
    <row r="32" spans="1:13" x14ac:dyDescent="0.15">
      <c r="A32" s="1">
        <v>31</v>
      </c>
      <c r="B32" s="1">
        <v>0</v>
      </c>
      <c r="C32" s="1">
        <v>100031</v>
      </c>
      <c r="D32" s="1" t="str">
        <f>[1]装备明细!$M33</f>
        <v>IC1665</v>
      </c>
      <c r="E32" s="1" t="str">
        <f>[1]装备明细!$C33</f>
        <v>水晶枪</v>
      </c>
      <c r="G32" s="1">
        <f>[1]装备明细!$J33</f>
        <v>0</v>
      </c>
      <c r="H32" s="1">
        <f>IF([1]装备明细!$G33&gt;=14,"",[1]装备明细!$G33-1)</f>
        <v>3</v>
      </c>
      <c r="I32" s="1">
        <f>[1]装备明细!$F33</f>
        <v>1</v>
      </c>
      <c r="J32" s="1">
        <f>[1]装备明细!$L33</f>
        <v>4</v>
      </c>
      <c r="K32" s="1">
        <f>[1]装备明细!$E33</f>
        <v>1</v>
      </c>
      <c r="L32" s="1">
        <f t="shared" si="0"/>
        <v>1</v>
      </c>
      <c r="M32" s="1">
        <f>[2]Sheet1!$R33*2</f>
        <v>18</v>
      </c>
    </row>
    <row r="33" spans="1:13" x14ac:dyDescent="0.15">
      <c r="A33" s="1">
        <v>32</v>
      </c>
      <c r="B33" s="1">
        <v>0</v>
      </c>
      <c r="C33" s="1">
        <v>100032</v>
      </c>
      <c r="D33" s="1" t="str">
        <f>[1]装备明细!$M34</f>
        <v>IC1670</v>
      </c>
      <c r="E33" s="1" t="str">
        <f>[1]装备明细!$C34</f>
        <v>青铜枪</v>
      </c>
      <c r="G33" s="1">
        <f>[1]装备明细!$J34</f>
        <v>0</v>
      </c>
      <c r="H33" s="1">
        <f>IF([1]装备明细!$G34&gt;=14,"",[1]装备明细!$G34-1)</f>
        <v>3</v>
      </c>
      <c r="I33" s="1">
        <f>[1]装备明细!$F34</f>
        <v>1</v>
      </c>
      <c r="J33" s="1">
        <f>[1]装备明细!$L34</f>
        <v>5</v>
      </c>
      <c r="K33" s="1">
        <f>[1]装备明细!$E34</f>
        <v>1</v>
      </c>
      <c r="L33" s="1">
        <f t="shared" si="0"/>
        <v>1</v>
      </c>
      <c r="M33" s="1">
        <f>[2]Sheet1!$R34*2</f>
        <v>18</v>
      </c>
    </row>
    <row r="34" spans="1:13" x14ac:dyDescent="0.15">
      <c r="A34" s="1">
        <v>33</v>
      </c>
      <c r="B34" s="1">
        <v>0</v>
      </c>
      <c r="C34" s="1">
        <v>100033</v>
      </c>
      <c r="D34" s="1" t="str">
        <f>[1]装备明细!$M35</f>
        <v>IC1650</v>
      </c>
      <c r="E34" s="1" t="str">
        <f>[1]装备明细!$C35</f>
        <v>玄铁枪</v>
      </c>
      <c r="G34" s="1">
        <f>[1]装备明细!$J35</f>
        <v>0</v>
      </c>
      <c r="H34" s="1">
        <f>IF([1]装备明细!$G35&gt;=14,"",[1]装备明细!$G35-1)</f>
        <v>3</v>
      </c>
      <c r="I34" s="1">
        <f>[1]装备明细!$F35</f>
        <v>1</v>
      </c>
      <c r="J34" s="1">
        <f>[1]装备明细!$L35</f>
        <v>6</v>
      </c>
      <c r="K34" s="1">
        <f>[1]装备明细!$E35</f>
        <v>1</v>
      </c>
      <c r="L34" s="1">
        <f t="shared" si="0"/>
        <v>1</v>
      </c>
      <c r="M34" s="1">
        <f>[2]Sheet1!$R35*2</f>
        <v>18</v>
      </c>
    </row>
    <row r="35" spans="1:13" x14ac:dyDescent="0.15">
      <c r="A35" s="1">
        <v>34</v>
      </c>
      <c r="B35" s="1">
        <v>0</v>
      </c>
      <c r="C35" s="1">
        <v>100034</v>
      </c>
      <c r="D35" s="1" t="str">
        <f>[1]装备明细!$M36</f>
        <v>IC1651</v>
      </c>
      <c r="E35" s="1" t="str">
        <f>[1]装备明细!$C36</f>
        <v>白银枪</v>
      </c>
      <c r="G35" s="1">
        <f>[1]装备明细!$J36</f>
        <v>0</v>
      </c>
      <c r="H35" s="1">
        <f>IF([1]装备明细!$G36&gt;=14,"",[1]装备明细!$G36-1)</f>
        <v>3</v>
      </c>
      <c r="I35" s="1">
        <f>[1]装备明细!$F36</f>
        <v>1</v>
      </c>
      <c r="J35" s="1">
        <f>[1]装备明细!$L36</f>
        <v>7</v>
      </c>
      <c r="K35" s="1">
        <f>[1]装备明细!$E36</f>
        <v>1</v>
      </c>
      <c r="L35" s="1">
        <f t="shared" si="0"/>
        <v>1</v>
      </c>
      <c r="M35" s="1">
        <f>[2]Sheet1!$R36*2</f>
        <v>18</v>
      </c>
    </row>
    <row r="36" spans="1:13" x14ac:dyDescent="0.15">
      <c r="A36" s="1">
        <v>35</v>
      </c>
      <c r="B36" s="1">
        <v>0</v>
      </c>
      <c r="C36" s="1">
        <v>100035</v>
      </c>
      <c r="D36" s="1" t="str">
        <f>[1]装备明细!$M37</f>
        <v>IC1655</v>
      </c>
      <c r="E36" s="1" t="str">
        <f>[1]装备明细!$C37</f>
        <v>异灵枪</v>
      </c>
      <c r="G36" s="1">
        <f>[1]装备明细!$J37</f>
        <v>0</v>
      </c>
      <c r="H36" s="1">
        <f>IF([1]装备明细!$G37&gt;=14,"",[1]装备明细!$G37-1)</f>
        <v>3</v>
      </c>
      <c r="I36" s="1">
        <f>[1]装备明细!$F37</f>
        <v>1</v>
      </c>
      <c r="J36" s="1">
        <f>[1]装备明细!$L37</f>
        <v>8</v>
      </c>
      <c r="K36" s="1">
        <f>[1]装备明细!$E37</f>
        <v>1</v>
      </c>
      <c r="L36" s="1">
        <f t="shared" si="0"/>
        <v>1</v>
      </c>
      <c r="M36" s="1">
        <f>[2]Sheet1!$R37*2</f>
        <v>18</v>
      </c>
    </row>
    <row r="37" spans="1:13" x14ac:dyDescent="0.15">
      <c r="A37" s="1">
        <v>36</v>
      </c>
      <c r="B37" s="1">
        <v>0</v>
      </c>
      <c r="C37" s="1">
        <v>100036</v>
      </c>
      <c r="D37" s="1" t="str">
        <f>[1]装备明细!$M38</f>
        <v>IC1665</v>
      </c>
      <c r="E37" s="1" t="str">
        <f>[1]装备明细!$C38</f>
        <v>流星枪</v>
      </c>
      <c r="G37" s="1">
        <f>[1]装备明细!$J38</f>
        <v>0</v>
      </c>
      <c r="H37" s="1">
        <f>IF([1]装备明细!$G38&gt;=14,"",[1]装备明细!$G38-1)</f>
        <v>3</v>
      </c>
      <c r="I37" s="1">
        <f>[1]装备明细!$F38</f>
        <v>1</v>
      </c>
      <c r="J37" s="1">
        <f>[1]装备明细!$L38</f>
        <v>9</v>
      </c>
      <c r="K37" s="1">
        <f>[1]装备明细!$E38</f>
        <v>1</v>
      </c>
      <c r="L37" s="1">
        <f t="shared" si="0"/>
        <v>1</v>
      </c>
      <c r="M37" s="1">
        <f>[2]Sheet1!$R38*2</f>
        <v>18</v>
      </c>
    </row>
    <row r="38" spans="1:13" x14ac:dyDescent="0.15">
      <c r="A38" s="1">
        <v>37</v>
      </c>
      <c r="B38" s="1">
        <v>0</v>
      </c>
      <c r="C38" s="1">
        <v>100037</v>
      </c>
      <c r="D38" s="1" t="str">
        <f>[1]装备明细!$M39</f>
        <v>IC1710</v>
      </c>
      <c r="E38" s="1" t="str">
        <f>[1]装备明细!$C39</f>
        <v>破旧的镰刀</v>
      </c>
      <c r="G38" s="1">
        <f>[1]装备明细!$J39</f>
        <v>0</v>
      </c>
      <c r="H38" s="1">
        <f>IF([1]装备明细!$G39&gt;=14,"",[1]装备明细!$G39-1)</f>
        <v>4</v>
      </c>
      <c r="I38" s="1">
        <f>[1]装备明细!$F39</f>
        <v>1</v>
      </c>
      <c r="J38" s="1">
        <f>[1]装备明细!$L39</f>
        <v>1</v>
      </c>
      <c r="K38" s="1">
        <f>[1]装备明细!$E39</f>
        <v>1</v>
      </c>
      <c r="L38" s="1">
        <f t="shared" si="0"/>
        <v>1</v>
      </c>
      <c r="M38" s="1">
        <f>[2]Sheet1!$R39*2</f>
        <v>18</v>
      </c>
    </row>
    <row r="39" spans="1:13" x14ac:dyDescent="0.15">
      <c r="A39" s="1">
        <v>38</v>
      </c>
      <c r="B39" s="1">
        <v>0</v>
      </c>
      <c r="C39" s="1">
        <v>100038</v>
      </c>
      <c r="D39" s="1" t="str">
        <f>[1]装备明细!$M40</f>
        <v>IC1702</v>
      </c>
      <c r="E39" s="1" t="str">
        <f>[1]装备明细!$C40</f>
        <v>普通的镰刀</v>
      </c>
      <c r="G39" s="1">
        <f>[1]装备明细!$J40</f>
        <v>0</v>
      </c>
      <c r="H39" s="1">
        <f>IF([1]装备明细!$G40&gt;=14,"",[1]装备明细!$G40-1)</f>
        <v>4</v>
      </c>
      <c r="I39" s="1">
        <f>[1]装备明细!$F40</f>
        <v>1</v>
      </c>
      <c r="J39" s="1">
        <f>[1]装备明细!$L40</f>
        <v>2</v>
      </c>
      <c r="K39" s="1">
        <f>[1]装备明细!$E40</f>
        <v>1</v>
      </c>
      <c r="L39" s="1">
        <f t="shared" si="0"/>
        <v>1</v>
      </c>
      <c r="M39" s="1">
        <f>[2]Sheet1!$R40*2</f>
        <v>18</v>
      </c>
    </row>
    <row r="40" spans="1:13" x14ac:dyDescent="0.15">
      <c r="A40" s="1">
        <v>39</v>
      </c>
      <c r="B40" s="1">
        <v>0</v>
      </c>
      <c r="C40" s="1">
        <v>100039</v>
      </c>
      <c r="D40" s="1" t="str">
        <f>[1]装备明细!$M41</f>
        <v>IC1708</v>
      </c>
      <c r="E40" s="1" t="str">
        <f>[1]装备明细!$C41</f>
        <v>初级的镰刀</v>
      </c>
      <c r="G40" s="1">
        <f>[1]装备明细!$J41</f>
        <v>0</v>
      </c>
      <c r="H40" s="1">
        <f>IF([1]装备明细!$G41&gt;=14,"",[1]装备明细!$G41-1)</f>
        <v>4</v>
      </c>
      <c r="I40" s="1">
        <f>[1]装备明细!$F41</f>
        <v>1</v>
      </c>
      <c r="J40" s="1">
        <f>[1]装备明细!$L41</f>
        <v>3</v>
      </c>
      <c r="K40" s="1">
        <f>[1]装备明细!$E41</f>
        <v>1</v>
      </c>
      <c r="L40" s="1">
        <f t="shared" si="0"/>
        <v>1</v>
      </c>
      <c r="M40" s="1">
        <f>[2]Sheet1!$R41*2</f>
        <v>18</v>
      </c>
    </row>
    <row r="41" spans="1:13" x14ac:dyDescent="0.15">
      <c r="A41" s="1">
        <v>40</v>
      </c>
      <c r="B41" s="1">
        <v>0</v>
      </c>
      <c r="C41" s="1">
        <v>100040</v>
      </c>
      <c r="D41" s="1" t="str">
        <f>[1]装备明细!$M42</f>
        <v>IC1703</v>
      </c>
      <c r="E41" s="1" t="str">
        <f>[1]装备明细!$C42</f>
        <v>水晶镰刀</v>
      </c>
      <c r="G41" s="1">
        <f>[1]装备明细!$J42</f>
        <v>0</v>
      </c>
      <c r="H41" s="1">
        <f>IF([1]装备明细!$G42&gt;=14,"",[1]装备明细!$G42-1)</f>
        <v>4</v>
      </c>
      <c r="I41" s="1">
        <f>[1]装备明细!$F42</f>
        <v>1</v>
      </c>
      <c r="J41" s="1">
        <f>[1]装备明细!$L42</f>
        <v>4</v>
      </c>
      <c r="K41" s="1">
        <f>[1]装备明细!$E42</f>
        <v>1</v>
      </c>
      <c r="L41" s="1">
        <f t="shared" si="0"/>
        <v>1</v>
      </c>
      <c r="M41" s="1">
        <f>[2]Sheet1!$R42*2</f>
        <v>18</v>
      </c>
    </row>
    <row r="42" spans="1:13" x14ac:dyDescent="0.15">
      <c r="A42" s="1">
        <v>41</v>
      </c>
      <c r="B42" s="1">
        <v>0</v>
      </c>
      <c r="C42" s="1">
        <v>100041</v>
      </c>
      <c r="D42" s="1" t="str">
        <f>[1]装备明细!$M43</f>
        <v>IC1714</v>
      </c>
      <c r="E42" s="1" t="str">
        <f>[1]装备明细!$C43</f>
        <v>青铜镰刀</v>
      </c>
      <c r="G42" s="1">
        <f>[1]装备明细!$J43</f>
        <v>0</v>
      </c>
      <c r="H42" s="1">
        <f>IF([1]装备明细!$G43&gt;=14,"",[1]装备明细!$G43-1)</f>
        <v>4</v>
      </c>
      <c r="I42" s="1">
        <f>[1]装备明细!$F43</f>
        <v>1</v>
      </c>
      <c r="J42" s="1">
        <f>[1]装备明细!$L43</f>
        <v>5</v>
      </c>
      <c r="K42" s="1">
        <f>[1]装备明细!$E43</f>
        <v>1</v>
      </c>
      <c r="L42" s="1">
        <f t="shared" si="0"/>
        <v>1</v>
      </c>
      <c r="M42" s="1">
        <f>[2]Sheet1!$R43*2</f>
        <v>18</v>
      </c>
    </row>
    <row r="43" spans="1:13" x14ac:dyDescent="0.15">
      <c r="A43" s="1">
        <v>42</v>
      </c>
      <c r="B43" s="1">
        <v>0</v>
      </c>
      <c r="C43" s="1">
        <v>100042</v>
      </c>
      <c r="D43" s="1" t="str">
        <f>[1]装备明细!$M44</f>
        <v>IC1710</v>
      </c>
      <c r="E43" s="1" t="str">
        <f>[1]装备明细!$C44</f>
        <v>玄铁镰刀</v>
      </c>
      <c r="G43" s="1">
        <f>[1]装备明细!$J44</f>
        <v>0</v>
      </c>
      <c r="H43" s="1">
        <f>IF([1]装备明细!$G44&gt;=14,"",[1]装备明细!$G44-1)</f>
        <v>4</v>
      </c>
      <c r="I43" s="1">
        <f>[1]装备明细!$F44</f>
        <v>1</v>
      </c>
      <c r="J43" s="1">
        <f>[1]装备明细!$L44</f>
        <v>6</v>
      </c>
      <c r="K43" s="1">
        <f>[1]装备明细!$E44</f>
        <v>1</v>
      </c>
      <c r="L43" s="1">
        <f t="shared" si="0"/>
        <v>1</v>
      </c>
      <c r="M43" s="1">
        <f>[2]Sheet1!$R44*2</f>
        <v>18</v>
      </c>
    </row>
    <row r="44" spans="1:13" x14ac:dyDescent="0.15">
      <c r="A44" s="1">
        <v>43</v>
      </c>
      <c r="B44" s="1">
        <v>0</v>
      </c>
      <c r="C44" s="1">
        <v>100043</v>
      </c>
      <c r="D44" s="1" t="str">
        <f>[1]装备明细!$M45</f>
        <v>IC1702</v>
      </c>
      <c r="E44" s="1" t="str">
        <f>[1]装备明细!$C45</f>
        <v>白银镰刀</v>
      </c>
      <c r="G44" s="1">
        <f>[1]装备明细!$J45</f>
        <v>0</v>
      </c>
      <c r="H44" s="1">
        <f>IF([1]装备明细!$G45&gt;=14,"",[1]装备明细!$G45-1)</f>
        <v>4</v>
      </c>
      <c r="I44" s="1">
        <f>[1]装备明细!$F45</f>
        <v>1</v>
      </c>
      <c r="J44" s="1">
        <f>[1]装备明细!$L45</f>
        <v>7</v>
      </c>
      <c r="K44" s="1">
        <f>[1]装备明细!$E45</f>
        <v>1</v>
      </c>
      <c r="L44" s="1">
        <f t="shared" si="0"/>
        <v>1</v>
      </c>
      <c r="M44" s="1">
        <f>[2]Sheet1!$R45*2</f>
        <v>18</v>
      </c>
    </row>
    <row r="45" spans="1:13" x14ac:dyDescent="0.15">
      <c r="A45" s="1">
        <v>44</v>
      </c>
      <c r="B45" s="1">
        <v>0</v>
      </c>
      <c r="C45" s="1">
        <v>100044</v>
      </c>
      <c r="D45" s="1" t="str">
        <f>[1]装备明细!$M46</f>
        <v>IC1708</v>
      </c>
      <c r="E45" s="1" t="str">
        <f>[1]装备明细!$C46</f>
        <v>异灵镰刀</v>
      </c>
      <c r="G45" s="1">
        <f>[1]装备明细!$J46</f>
        <v>0</v>
      </c>
      <c r="H45" s="1">
        <f>IF([1]装备明细!$G46&gt;=14,"",[1]装备明细!$G46-1)</f>
        <v>4</v>
      </c>
      <c r="I45" s="1">
        <f>[1]装备明细!$F46</f>
        <v>1</v>
      </c>
      <c r="J45" s="1">
        <f>[1]装备明细!$L46</f>
        <v>8</v>
      </c>
      <c r="K45" s="1">
        <f>[1]装备明细!$E46</f>
        <v>1</v>
      </c>
      <c r="L45" s="1">
        <f t="shared" si="0"/>
        <v>1</v>
      </c>
      <c r="M45" s="1">
        <f>[2]Sheet1!$R46*2</f>
        <v>18</v>
      </c>
    </row>
    <row r="46" spans="1:13" x14ac:dyDescent="0.15">
      <c r="A46" s="1">
        <v>45</v>
      </c>
      <c r="B46" s="1">
        <v>0</v>
      </c>
      <c r="C46" s="1">
        <v>100045</v>
      </c>
      <c r="D46" s="1" t="str">
        <f>[1]装备明细!$M47</f>
        <v>IC1703</v>
      </c>
      <c r="E46" s="1" t="str">
        <f>[1]装备明细!$C47</f>
        <v>流星镰刀</v>
      </c>
      <c r="G46" s="1">
        <f>[1]装备明细!$J47</f>
        <v>0</v>
      </c>
      <c r="H46" s="1">
        <f>IF([1]装备明细!$G47&gt;=14,"",[1]装备明细!$G47-1)</f>
        <v>4</v>
      </c>
      <c r="I46" s="1">
        <f>[1]装备明细!$F47</f>
        <v>1</v>
      </c>
      <c r="J46" s="1">
        <f>[1]装备明细!$L47</f>
        <v>9</v>
      </c>
      <c r="K46" s="1">
        <f>[1]装备明细!$E47</f>
        <v>1</v>
      </c>
      <c r="L46" s="1">
        <f t="shared" si="0"/>
        <v>1</v>
      </c>
      <c r="M46" s="1">
        <f>[2]Sheet1!$R47*2</f>
        <v>18</v>
      </c>
    </row>
    <row r="47" spans="1:13" x14ac:dyDescent="0.15">
      <c r="A47" s="1">
        <v>46</v>
      </c>
      <c r="B47" s="1">
        <v>0</v>
      </c>
      <c r="C47" s="1">
        <v>100046</v>
      </c>
      <c r="D47" s="1" t="str">
        <f>[1]装备明细!$M48</f>
        <v>IC1156</v>
      </c>
      <c r="E47" s="1" t="str">
        <f>[1]装备明细!$C48</f>
        <v>破旧的法杖</v>
      </c>
      <c r="G47" s="1">
        <f>[1]装备明细!$J48</f>
        <v>0</v>
      </c>
      <c r="H47" s="1">
        <f>IF([1]装备明细!$G48&gt;=14,"",[1]装备明细!$G48-1)</f>
        <v>5</v>
      </c>
      <c r="I47" s="1">
        <f>[1]装备明细!$F48</f>
        <v>1</v>
      </c>
      <c r="J47" s="1">
        <f>[1]装备明细!$L48</f>
        <v>1</v>
      </c>
      <c r="K47" s="1">
        <f>[1]装备明细!$E48</f>
        <v>1</v>
      </c>
      <c r="L47" s="1">
        <f t="shared" si="0"/>
        <v>1</v>
      </c>
      <c r="M47" s="1">
        <f>[2]Sheet1!$R48*2</f>
        <v>18</v>
      </c>
    </row>
    <row r="48" spans="1:13" x14ac:dyDescent="0.15">
      <c r="A48" s="1">
        <v>47</v>
      </c>
      <c r="B48" s="1">
        <v>0</v>
      </c>
      <c r="C48" s="1">
        <v>100047</v>
      </c>
      <c r="D48" s="1" t="str">
        <f>[1]装备明细!$M49</f>
        <v>IC1199</v>
      </c>
      <c r="E48" s="1" t="str">
        <f>[1]装备明细!$C49</f>
        <v>普通的法杖</v>
      </c>
      <c r="G48" s="1">
        <f>[1]装备明细!$J49</f>
        <v>0</v>
      </c>
      <c r="H48" s="1">
        <f>IF([1]装备明细!$G49&gt;=14,"",[1]装备明细!$G49-1)</f>
        <v>5</v>
      </c>
      <c r="I48" s="1">
        <f>[1]装备明细!$F49</f>
        <v>1</v>
      </c>
      <c r="J48" s="1">
        <f>[1]装备明细!$L49</f>
        <v>2</v>
      </c>
      <c r="K48" s="1">
        <f>[1]装备明细!$E49</f>
        <v>1</v>
      </c>
      <c r="L48" s="1">
        <f t="shared" si="0"/>
        <v>1</v>
      </c>
      <c r="M48" s="1">
        <f>[2]Sheet1!$R49*2</f>
        <v>18</v>
      </c>
    </row>
    <row r="49" spans="1:13" x14ac:dyDescent="0.15">
      <c r="A49" s="1">
        <v>48</v>
      </c>
      <c r="B49" s="1">
        <v>0</v>
      </c>
      <c r="C49" s="1">
        <v>100048</v>
      </c>
      <c r="D49" s="1" t="str">
        <f>[1]装备明细!$M50</f>
        <v>IC1138</v>
      </c>
      <c r="E49" s="1" t="str">
        <f>[1]装备明细!$C50</f>
        <v>初级的法杖</v>
      </c>
      <c r="G49" s="1">
        <f>[1]装备明细!$J50</f>
        <v>0</v>
      </c>
      <c r="H49" s="1">
        <f>IF([1]装备明细!$G50&gt;=14,"",[1]装备明细!$G50-1)</f>
        <v>5</v>
      </c>
      <c r="I49" s="1">
        <f>[1]装备明细!$F50</f>
        <v>1</v>
      </c>
      <c r="J49" s="1">
        <f>[1]装备明细!$L50</f>
        <v>3</v>
      </c>
      <c r="K49" s="1">
        <f>[1]装备明细!$E50</f>
        <v>1</v>
      </c>
      <c r="L49" s="1">
        <f t="shared" si="0"/>
        <v>1</v>
      </c>
      <c r="M49" s="1">
        <f>[2]Sheet1!$R50*2</f>
        <v>18</v>
      </c>
    </row>
    <row r="50" spans="1:13" x14ac:dyDescent="0.15">
      <c r="A50" s="1">
        <v>49</v>
      </c>
      <c r="B50" s="1">
        <v>0</v>
      </c>
      <c r="C50" s="1">
        <v>100049</v>
      </c>
      <c r="D50" s="1" t="str">
        <f>[1]装备明细!$M51</f>
        <v>IC1121</v>
      </c>
      <c r="E50" s="1" t="str">
        <f>[1]装备明细!$C51</f>
        <v>水晶法杖</v>
      </c>
      <c r="G50" s="1">
        <f>[1]装备明细!$J51</f>
        <v>0</v>
      </c>
      <c r="H50" s="1">
        <f>IF([1]装备明细!$G51&gt;=14,"",[1]装备明细!$G51-1)</f>
        <v>5</v>
      </c>
      <c r="I50" s="1">
        <f>[1]装备明细!$F51</f>
        <v>1</v>
      </c>
      <c r="J50" s="1">
        <f>[1]装备明细!$L51</f>
        <v>4</v>
      </c>
      <c r="K50" s="1">
        <f>[1]装备明细!$E51</f>
        <v>1</v>
      </c>
      <c r="L50" s="1">
        <f t="shared" si="0"/>
        <v>1</v>
      </c>
      <c r="M50" s="1">
        <f>[2]Sheet1!$R51*2</f>
        <v>18</v>
      </c>
    </row>
    <row r="51" spans="1:13" x14ac:dyDescent="0.15">
      <c r="A51" s="1">
        <v>50</v>
      </c>
      <c r="B51" s="1">
        <v>0</v>
      </c>
      <c r="C51" s="1">
        <v>100050</v>
      </c>
      <c r="D51" s="1" t="str">
        <f>[1]装备明细!$M52</f>
        <v>IC1110</v>
      </c>
      <c r="E51" s="1" t="str">
        <f>[1]装备明细!$C52</f>
        <v>青铜法杖</v>
      </c>
      <c r="G51" s="1">
        <f>[1]装备明细!$J52</f>
        <v>0</v>
      </c>
      <c r="H51" s="1">
        <f>IF([1]装备明细!$G52&gt;=14,"",[1]装备明细!$G52-1)</f>
        <v>5</v>
      </c>
      <c r="I51" s="1">
        <f>[1]装备明细!$F52</f>
        <v>1</v>
      </c>
      <c r="J51" s="1">
        <f>[1]装备明细!$L52</f>
        <v>5</v>
      </c>
      <c r="K51" s="1">
        <f>[1]装备明细!$E52</f>
        <v>1</v>
      </c>
      <c r="L51" s="1">
        <f t="shared" si="0"/>
        <v>1</v>
      </c>
      <c r="M51" s="1">
        <f>[2]Sheet1!$R52*2</f>
        <v>18</v>
      </c>
    </row>
    <row r="52" spans="1:13" x14ac:dyDescent="0.15">
      <c r="A52" s="1">
        <v>51</v>
      </c>
      <c r="B52" s="1">
        <v>0</v>
      </c>
      <c r="C52" s="1">
        <v>100051</v>
      </c>
      <c r="D52" s="1" t="str">
        <f>[1]装备明细!$M53</f>
        <v>IC1199</v>
      </c>
      <c r="E52" s="1" t="str">
        <f>[1]装备明细!$C53</f>
        <v>玄铁法杖</v>
      </c>
      <c r="G52" s="1">
        <f>[1]装备明细!$J53</f>
        <v>0</v>
      </c>
      <c r="H52" s="1">
        <f>IF([1]装备明细!$G53&gt;=14,"",[1]装备明细!$G53-1)</f>
        <v>5</v>
      </c>
      <c r="I52" s="1">
        <f>[1]装备明细!$F53</f>
        <v>1</v>
      </c>
      <c r="J52" s="1">
        <f>[1]装备明细!$L53</f>
        <v>6</v>
      </c>
      <c r="K52" s="1">
        <f>[1]装备明细!$E53</f>
        <v>1</v>
      </c>
      <c r="L52" s="1">
        <f t="shared" si="0"/>
        <v>1</v>
      </c>
      <c r="M52" s="1">
        <f>[2]Sheet1!$R53*2</f>
        <v>18</v>
      </c>
    </row>
    <row r="53" spans="1:13" x14ac:dyDescent="0.15">
      <c r="A53" s="1">
        <v>52</v>
      </c>
      <c r="B53" s="1">
        <v>0</v>
      </c>
      <c r="C53" s="1">
        <v>100052</v>
      </c>
      <c r="D53" s="1" t="str">
        <f>[1]装备明细!$M54</f>
        <v>IC1138</v>
      </c>
      <c r="E53" s="1" t="str">
        <f>[1]装备明细!$C54</f>
        <v>白银法杖</v>
      </c>
      <c r="G53" s="1">
        <f>[1]装备明细!$J54</f>
        <v>0</v>
      </c>
      <c r="H53" s="1">
        <f>IF([1]装备明细!$G54&gt;=14,"",[1]装备明细!$G54-1)</f>
        <v>5</v>
      </c>
      <c r="I53" s="1">
        <f>[1]装备明细!$F54</f>
        <v>1</v>
      </c>
      <c r="J53" s="1">
        <f>[1]装备明细!$L54</f>
        <v>7</v>
      </c>
      <c r="K53" s="1">
        <f>[1]装备明细!$E54</f>
        <v>1</v>
      </c>
      <c r="L53" s="1">
        <f t="shared" si="0"/>
        <v>1</v>
      </c>
      <c r="M53" s="1">
        <f>[2]Sheet1!$R54*2</f>
        <v>18</v>
      </c>
    </row>
    <row r="54" spans="1:13" x14ac:dyDescent="0.15">
      <c r="A54" s="1">
        <v>53</v>
      </c>
      <c r="B54" s="1">
        <v>0</v>
      </c>
      <c r="C54" s="1">
        <v>100053</v>
      </c>
      <c r="D54" s="1" t="str">
        <f>[1]装备明细!$M55</f>
        <v>IC1121</v>
      </c>
      <c r="E54" s="1" t="str">
        <f>[1]装备明细!$C55</f>
        <v>异灵法杖</v>
      </c>
      <c r="G54" s="1">
        <f>[1]装备明细!$J55</f>
        <v>0</v>
      </c>
      <c r="H54" s="1">
        <f>IF([1]装备明细!$G55&gt;=14,"",[1]装备明细!$G55-1)</f>
        <v>5</v>
      </c>
      <c r="I54" s="1">
        <f>[1]装备明细!$F55</f>
        <v>1</v>
      </c>
      <c r="J54" s="1">
        <f>[1]装备明细!$L55</f>
        <v>8</v>
      </c>
      <c r="K54" s="1">
        <f>[1]装备明细!$E55</f>
        <v>1</v>
      </c>
      <c r="L54" s="1">
        <f t="shared" si="0"/>
        <v>1</v>
      </c>
      <c r="M54" s="1">
        <f>[2]Sheet1!$R55*2</f>
        <v>18</v>
      </c>
    </row>
    <row r="55" spans="1:13" x14ac:dyDescent="0.15">
      <c r="A55" s="1">
        <v>54</v>
      </c>
      <c r="B55" s="1">
        <v>0</v>
      </c>
      <c r="C55" s="1">
        <v>100054</v>
      </c>
      <c r="D55" s="1" t="str">
        <f>[1]装备明细!$M56</f>
        <v>IC1156</v>
      </c>
      <c r="E55" s="1" t="str">
        <f>[1]装备明细!$C56</f>
        <v>流星法杖</v>
      </c>
      <c r="G55" s="1">
        <f>[1]装备明细!$J56</f>
        <v>0</v>
      </c>
      <c r="H55" s="1">
        <f>IF([1]装备明细!$G56&gt;=14,"",[1]装备明细!$G56-1)</f>
        <v>5</v>
      </c>
      <c r="I55" s="1">
        <f>[1]装备明细!$F56</f>
        <v>1</v>
      </c>
      <c r="J55" s="1">
        <f>[1]装备明细!$L56</f>
        <v>9</v>
      </c>
      <c r="K55" s="1">
        <f>[1]装备明细!$E56</f>
        <v>1</v>
      </c>
      <c r="L55" s="1">
        <f t="shared" si="0"/>
        <v>1</v>
      </c>
      <c r="M55" s="1">
        <f>[2]Sheet1!$R56*2</f>
        <v>18</v>
      </c>
    </row>
    <row r="56" spans="1:13" x14ac:dyDescent="0.15">
      <c r="A56" s="1">
        <v>55</v>
      </c>
      <c r="B56" s="1">
        <v>0</v>
      </c>
      <c r="C56" s="1">
        <v>100055</v>
      </c>
      <c r="D56" s="1" t="str">
        <f>[1]装备明细!$M57</f>
        <v>IC1399</v>
      </c>
      <c r="E56" s="1" t="str">
        <f>[1]装备明细!$C57</f>
        <v>破旧的弓</v>
      </c>
      <c r="G56" s="1">
        <f>[1]装备明细!$J57</f>
        <v>0</v>
      </c>
      <c r="H56" s="1">
        <f>IF([1]装备明细!$G57&gt;=14,"",[1]装备明细!$G57-1)</f>
        <v>6</v>
      </c>
      <c r="I56" s="1">
        <f>[1]装备明细!$F57</f>
        <v>1</v>
      </c>
      <c r="J56" s="1">
        <f>[1]装备明细!$L57</f>
        <v>1</v>
      </c>
      <c r="K56" s="1">
        <f>[1]装备明细!$E57</f>
        <v>1</v>
      </c>
      <c r="L56" s="1">
        <f t="shared" si="0"/>
        <v>1</v>
      </c>
      <c r="M56" s="1">
        <f>[2]Sheet1!$R57*2</f>
        <v>18</v>
      </c>
    </row>
    <row r="57" spans="1:13" x14ac:dyDescent="0.15">
      <c r="A57" s="1">
        <v>56</v>
      </c>
      <c r="B57" s="1">
        <v>0</v>
      </c>
      <c r="C57" s="1">
        <v>100056</v>
      </c>
      <c r="D57" s="1" t="str">
        <f>[1]装备明细!$M58</f>
        <v>IC1356</v>
      </c>
      <c r="E57" s="1" t="str">
        <f>[1]装备明细!$C58</f>
        <v>普通的弓</v>
      </c>
      <c r="G57" s="1">
        <f>[1]装备明细!$J58</f>
        <v>0</v>
      </c>
      <c r="H57" s="1">
        <f>IF([1]装备明细!$G58&gt;=14,"",[1]装备明细!$G58-1)</f>
        <v>6</v>
      </c>
      <c r="I57" s="1">
        <f>[1]装备明细!$F58</f>
        <v>1</v>
      </c>
      <c r="J57" s="1">
        <f>[1]装备明细!$L58</f>
        <v>2</v>
      </c>
      <c r="K57" s="1">
        <f>[1]装备明细!$E58</f>
        <v>1</v>
      </c>
      <c r="L57" s="1">
        <f t="shared" si="0"/>
        <v>1</v>
      </c>
      <c r="M57" s="1">
        <f>[2]Sheet1!$R58*2</f>
        <v>18</v>
      </c>
    </row>
    <row r="58" spans="1:13" x14ac:dyDescent="0.15">
      <c r="A58" s="1">
        <v>57</v>
      </c>
      <c r="B58" s="1">
        <v>0</v>
      </c>
      <c r="C58" s="1">
        <v>100057</v>
      </c>
      <c r="D58" s="1" t="str">
        <f>[1]装备明细!$M59</f>
        <v>IC1347</v>
      </c>
      <c r="E58" s="1" t="str">
        <f>[1]装备明细!$C59</f>
        <v>初级的弓</v>
      </c>
      <c r="G58" s="1">
        <f>[1]装备明细!$J59</f>
        <v>0</v>
      </c>
      <c r="H58" s="1">
        <f>IF([1]装备明细!$G59&gt;=14,"",[1]装备明细!$G59-1)</f>
        <v>6</v>
      </c>
      <c r="I58" s="1">
        <f>[1]装备明细!$F59</f>
        <v>1</v>
      </c>
      <c r="J58" s="1">
        <f>[1]装备明细!$L59</f>
        <v>3</v>
      </c>
      <c r="K58" s="1">
        <f>[1]装备明细!$E59</f>
        <v>1</v>
      </c>
      <c r="L58" s="1">
        <f t="shared" si="0"/>
        <v>1</v>
      </c>
      <c r="M58" s="1">
        <f>[2]Sheet1!$R59*2</f>
        <v>18</v>
      </c>
    </row>
    <row r="59" spans="1:13" x14ac:dyDescent="0.15">
      <c r="A59" s="1">
        <v>58</v>
      </c>
      <c r="B59" s="1">
        <v>0</v>
      </c>
      <c r="C59" s="1">
        <v>100058</v>
      </c>
      <c r="D59" s="1" t="str">
        <f>[1]装备明细!$M60</f>
        <v>IC1340</v>
      </c>
      <c r="E59" s="1" t="str">
        <f>[1]装备明细!$C60</f>
        <v>水晶弓</v>
      </c>
      <c r="G59" s="1">
        <f>[1]装备明细!$J60</f>
        <v>0</v>
      </c>
      <c r="H59" s="1">
        <f>IF([1]装备明细!$G60&gt;=14,"",[1]装备明细!$G60-1)</f>
        <v>6</v>
      </c>
      <c r="I59" s="1">
        <f>[1]装备明细!$F60</f>
        <v>1</v>
      </c>
      <c r="J59" s="1">
        <f>[1]装备明细!$L60</f>
        <v>4</v>
      </c>
      <c r="K59" s="1">
        <f>[1]装备明细!$E60</f>
        <v>1</v>
      </c>
      <c r="L59" s="1">
        <f t="shared" si="0"/>
        <v>1</v>
      </c>
      <c r="M59" s="1">
        <f>[2]Sheet1!$R60*2</f>
        <v>18</v>
      </c>
    </row>
    <row r="60" spans="1:13" x14ac:dyDescent="0.15">
      <c r="A60" s="1">
        <v>59</v>
      </c>
      <c r="B60" s="1">
        <v>0</v>
      </c>
      <c r="C60" s="1">
        <v>100059</v>
      </c>
      <c r="D60" s="1" t="str">
        <f>[1]装备明细!$M61</f>
        <v>IC1342</v>
      </c>
      <c r="E60" s="1" t="str">
        <f>[1]装备明细!$C61</f>
        <v>青铜弓</v>
      </c>
      <c r="G60" s="1">
        <f>[1]装备明细!$J61</f>
        <v>0</v>
      </c>
      <c r="H60" s="1">
        <f>IF([1]装备明细!$G61&gt;=14,"",[1]装备明细!$G61-1)</f>
        <v>6</v>
      </c>
      <c r="I60" s="1">
        <f>[1]装备明细!$F61</f>
        <v>1</v>
      </c>
      <c r="J60" s="1">
        <f>[1]装备明细!$L61</f>
        <v>5</v>
      </c>
      <c r="K60" s="1">
        <f>[1]装备明细!$E61</f>
        <v>1</v>
      </c>
      <c r="L60" s="1">
        <f t="shared" si="0"/>
        <v>1</v>
      </c>
      <c r="M60" s="1">
        <f>[2]Sheet1!$R61*2</f>
        <v>18</v>
      </c>
    </row>
    <row r="61" spans="1:13" x14ac:dyDescent="0.15">
      <c r="A61" s="1">
        <v>60</v>
      </c>
      <c r="B61" s="1">
        <v>0</v>
      </c>
      <c r="C61" s="1">
        <v>100060</v>
      </c>
      <c r="D61" s="1" t="str">
        <f>[1]装备明细!$M62</f>
        <v>IC1399</v>
      </c>
      <c r="E61" s="1" t="str">
        <f>[1]装备明细!$C62</f>
        <v>玄铁弓</v>
      </c>
      <c r="G61" s="1">
        <f>[1]装备明细!$J62</f>
        <v>0</v>
      </c>
      <c r="H61" s="1">
        <f>IF([1]装备明细!$G62&gt;=14,"",[1]装备明细!$G62-1)</f>
        <v>6</v>
      </c>
      <c r="I61" s="1">
        <f>[1]装备明细!$F62</f>
        <v>1</v>
      </c>
      <c r="J61" s="1">
        <f>[1]装备明细!$L62</f>
        <v>6</v>
      </c>
      <c r="K61" s="1">
        <f>[1]装备明细!$E62</f>
        <v>1</v>
      </c>
      <c r="L61" s="1">
        <f t="shared" si="0"/>
        <v>1</v>
      </c>
      <c r="M61" s="1">
        <f>[2]Sheet1!$R62*2</f>
        <v>18</v>
      </c>
    </row>
    <row r="62" spans="1:13" x14ac:dyDescent="0.15">
      <c r="A62" s="1">
        <v>61</v>
      </c>
      <c r="B62" s="1">
        <v>0</v>
      </c>
      <c r="C62" s="1">
        <v>100061</v>
      </c>
      <c r="D62" s="1" t="str">
        <f>[1]装备明细!$M63</f>
        <v>IC1356</v>
      </c>
      <c r="E62" s="1" t="str">
        <f>[1]装备明细!$C63</f>
        <v>白银弓</v>
      </c>
      <c r="G62" s="1">
        <f>[1]装备明细!$J63</f>
        <v>0</v>
      </c>
      <c r="H62" s="1">
        <f>IF([1]装备明细!$G63&gt;=14,"",[1]装备明细!$G63-1)</f>
        <v>6</v>
      </c>
      <c r="I62" s="1">
        <f>[1]装备明细!$F63</f>
        <v>1</v>
      </c>
      <c r="J62" s="1">
        <f>[1]装备明细!$L63</f>
        <v>7</v>
      </c>
      <c r="K62" s="1">
        <f>[1]装备明细!$E63</f>
        <v>1</v>
      </c>
      <c r="L62" s="1">
        <f t="shared" si="0"/>
        <v>1</v>
      </c>
      <c r="M62" s="1">
        <f>[2]Sheet1!$R63*2</f>
        <v>18</v>
      </c>
    </row>
    <row r="63" spans="1:13" x14ac:dyDescent="0.15">
      <c r="A63" s="1">
        <v>62</v>
      </c>
      <c r="B63" s="1">
        <v>0</v>
      </c>
      <c r="C63" s="1">
        <v>100062</v>
      </c>
      <c r="D63" s="1" t="str">
        <f>[1]装备明细!$M64</f>
        <v>IC1347</v>
      </c>
      <c r="E63" s="1" t="str">
        <f>[1]装备明细!$C64</f>
        <v>异灵弓</v>
      </c>
      <c r="G63" s="1">
        <f>[1]装备明细!$J64</f>
        <v>0</v>
      </c>
      <c r="H63" s="1">
        <f>IF([1]装备明细!$G64&gt;=14,"",[1]装备明细!$G64-1)</f>
        <v>6</v>
      </c>
      <c r="I63" s="1">
        <f>[1]装备明细!$F64</f>
        <v>1</v>
      </c>
      <c r="J63" s="1">
        <f>[1]装备明细!$L64</f>
        <v>8</v>
      </c>
      <c r="K63" s="1">
        <f>[1]装备明细!$E64</f>
        <v>1</v>
      </c>
      <c r="L63" s="1">
        <f t="shared" si="0"/>
        <v>1</v>
      </c>
      <c r="M63" s="1">
        <f>[2]Sheet1!$R64*2</f>
        <v>18</v>
      </c>
    </row>
    <row r="64" spans="1:13" x14ac:dyDescent="0.15">
      <c r="A64" s="1">
        <v>63</v>
      </c>
      <c r="B64" s="1">
        <v>0</v>
      </c>
      <c r="C64" s="1">
        <v>100063</v>
      </c>
      <c r="D64" s="1" t="str">
        <f>[1]装备明细!$M65</f>
        <v>IC1340</v>
      </c>
      <c r="E64" s="1" t="str">
        <f>[1]装备明细!$C65</f>
        <v>流星弓</v>
      </c>
      <c r="G64" s="1">
        <f>[1]装备明细!$J65</f>
        <v>0</v>
      </c>
      <c r="H64" s="1">
        <f>IF([1]装备明细!$G65&gt;=14,"",[1]装备明细!$G65-1)</f>
        <v>6</v>
      </c>
      <c r="I64" s="1">
        <f>[1]装备明细!$F65</f>
        <v>1</v>
      </c>
      <c r="J64" s="1">
        <f>[1]装备明细!$L65</f>
        <v>9</v>
      </c>
      <c r="K64" s="1">
        <f>[1]装备明细!$E65</f>
        <v>1</v>
      </c>
      <c r="L64" s="1">
        <f t="shared" si="0"/>
        <v>1</v>
      </c>
      <c r="M64" s="1">
        <f>[2]Sheet1!$R65*2</f>
        <v>18</v>
      </c>
    </row>
    <row r="65" spans="1:13" x14ac:dyDescent="0.15">
      <c r="A65" s="1">
        <v>64</v>
      </c>
      <c r="B65" s="1">
        <v>0</v>
      </c>
      <c r="C65" s="1">
        <v>100064</v>
      </c>
      <c r="D65" s="1" t="str">
        <f>[1]装备明细!$M66</f>
        <v>IC1103</v>
      </c>
      <c r="E65" s="1" t="str">
        <f>[1]装备明细!$C66</f>
        <v>破旧的烟斗</v>
      </c>
      <c r="G65" s="1">
        <f>[1]装备明细!$J66</f>
        <v>0</v>
      </c>
      <c r="H65" s="1">
        <f>IF([1]装备明细!$G66&gt;=14,"",[1]装备明细!$G66-1)</f>
        <v>7</v>
      </c>
      <c r="I65" s="1">
        <f>[1]装备明细!$F66</f>
        <v>1</v>
      </c>
      <c r="J65" s="1">
        <f>[1]装备明细!$L66</f>
        <v>1</v>
      </c>
      <c r="K65" s="1">
        <f>[1]装备明细!$E66</f>
        <v>1</v>
      </c>
      <c r="L65" s="1">
        <f t="shared" si="0"/>
        <v>1</v>
      </c>
      <c r="M65" s="1">
        <f>[2]Sheet1!$R66*2</f>
        <v>18</v>
      </c>
    </row>
    <row r="66" spans="1:13" x14ac:dyDescent="0.15">
      <c r="A66" s="1">
        <v>65</v>
      </c>
      <c r="B66" s="1">
        <v>0</v>
      </c>
      <c r="C66" s="1">
        <v>100065</v>
      </c>
      <c r="D66" s="1" t="str">
        <f>[1]装备明细!$M67</f>
        <v>IC1101</v>
      </c>
      <c r="E66" s="1" t="str">
        <f>[1]装备明细!$C67</f>
        <v>普通的烟斗</v>
      </c>
      <c r="G66" s="1">
        <f>[1]装备明细!$J67</f>
        <v>0</v>
      </c>
      <c r="H66" s="1">
        <f>IF([1]装备明细!$G67&gt;=14,"",[1]装备明细!$G67-1)</f>
        <v>7</v>
      </c>
      <c r="I66" s="1">
        <f>[1]装备明细!$F67</f>
        <v>1</v>
      </c>
      <c r="J66" s="1">
        <f>[1]装备明细!$L67</f>
        <v>2</v>
      </c>
      <c r="K66" s="1">
        <f>[1]装备明细!$E67</f>
        <v>1</v>
      </c>
      <c r="L66" s="1">
        <f t="shared" si="0"/>
        <v>1</v>
      </c>
      <c r="M66" s="1">
        <f>[2]Sheet1!$R67*2</f>
        <v>18</v>
      </c>
    </row>
    <row r="67" spans="1:13" x14ac:dyDescent="0.15">
      <c r="A67" s="1">
        <v>66</v>
      </c>
      <c r="B67" s="1">
        <v>0</v>
      </c>
      <c r="C67" s="1">
        <v>100066</v>
      </c>
      <c r="D67" s="1" t="str">
        <f>[1]装备明细!$M68</f>
        <v>IC1104</v>
      </c>
      <c r="E67" s="1" t="str">
        <f>[1]装备明细!$C68</f>
        <v>初级的烟斗</v>
      </c>
      <c r="G67" s="1">
        <f>[1]装备明细!$J68</f>
        <v>0</v>
      </c>
      <c r="H67" s="1">
        <f>IF([1]装备明细!$G68&gt;=14,"",[1]装备明细!$G68-1)</f>
        <v>7</v>
      </c>
      <c r="I67" s="1">
        <f>[1]装备明细!$F68</f>
        <v>1</v>
      </c>
      <c r="J67" s="1">
        <f>[1]装备明细!$L68</f>
        <v>3</v>
      </c>
      <c r="K67" s="1">
        <f>[1]装备明细!$E68</f>
        <v>1</v>
      </c>
      <c r="L67" s="1">
        <f t="shared" ref="L67:L130" si="1">K67</f>
        <v>1</v>
      </c>
      <c r="M67" s="1">
        <f>[2]Sheet1!$R68*2</f>
        <v>18</v>
      </c>
    </row>
    <row r="68" spans="1:13" x14ac:dyDescent="0.15">
      <c r="A68" s="1">
        <v>67</v>
      </c>
      <c r="B68" s="1">
        <v>0</v>
      </c>
      <c r="C68" s="1">
        <v>100067</v>
      </c>
      <c r="D68" s="1" t="str">
        <f>[1]装备明细!$M69</f>
        <v>IC1106</v>
      </c>
      <c r="E68" s="1" t="str">
        <f>[1]装备明细!$C69</f>
        <v>水晶烟斗</v>
      </c>
      <c r="G68" s="1">
        <f>[1]装备明细!$J69</f>
        <v>0</v>
      </c>
      <c r="H68" s="1">
        <f>IF([1]装备明细!$G69&gt;=14,"",[1]装备明细!$G69-1)</f>
        <v>7</v>
      </c>
      <c r="I68" s="1">
        <f>[1]装备明细!$F69</f>
        <v>1</v>
      </c>
      <c r="J68" s="1">
        <f>[1]装备明细!$L69</f>
        <v>4</v>
      </c>
      <c r="K68" s="1">
        <f>[1]装备明细!$E69</f>
        <v>1</v>
      </c>
      <c r="L68" s="1">
        <f t="shared" si="1"/>
        <v>1</v>
      </c>
      <c r="M68" s="1">
        <f>[2]Sheet1!$R69*2</f>
        <v>18</v>
      </c>
    </row>
    <row r="69" spans="1:13" x14ac:dyDescent="0.15">
      <c r="A69" s="1">
        <v>68</v>
      </c>
      <c r="B69" s="1">
        <v>0</v>
      </c>
      <c r="C69" s="1">
        <v>100068</v>
      </c>
      <c r="D69" s="1" t="str">
        <f>[1]装备明细!$M70</f>
        <v>IC1113</v>
      </c>
      <c r="E69" s="1" t="str">
        <f>[1]装备明细!$C70</f>
        <v>青铜烟斗</v>
      </c>
      <c r="G69" s="1">
        <f>[1]装备明细!$J70</f>
        <v>0</v>
      </c>
      <c r="H69" s="1">
        <f>IF([1]装备明细!$G70&gt;=14,"",[1]装备明细!$G70-1)</f>
        <v>7</v>
      </c>
      <c r="I69" s="1">
        <f>[1]装备明细!$F70</f>
        <v>1</v>
      </c>
      <c r="J69" s="1">
        <f>[1]装备明细!$L70</f>
        <v>5</v>
      </c>
      <c r="K69" s="1">
        <f>[1]装备明细!$E70</f>
        <v>1</v>
      </c>
      <c r="L69" s="1">
        <f t="shared" si="1"/>
        <v>1</v>
      </c>
      <c r="M69" s="1">
        <f>[2]Sheet1!$R70*2</f>
        <v>18</v>
      </c>
    </row>
    <row r="70" spans="1:13" x14ac:dyDescent="0.15">
      <c r="A70" s="1">
        <v>69</v>
      </c>
      <c r="B70" s="1">
        <v>0</v>
      </c>
      <c r="C70" s="1">
        <v>100069</v>
      </c>
      <c r="D70" s="1" t="str">
        <f>[1]装备明细!$M71</f>
        <v>IC1118</v>
      </c>
      <c r="E70" s="1" t="str">
        <f>[1]装备明细!$C71</f>
        <v>玄铁烟斗</v>
      </c>
      <c r="G70" s="1">
        <f>[1]装备明细!$J71</f>
        <v>0</v>
      </c>
      <c r="H70" s="1">
        <f>IF([1]装备明细!$G71&gt;=14,"",[1]装备明细!$G71-1)</f>
        <v>7</v>
      </c>
      <c r="I70" s="1">
        <f>[1]装备明细!$F71</f>
        <v>1</v>
      </c>
      <c r="J70" s="1">
        <f>[1]装备明细!$L71</f>
        <v>6</v>
      </c>
      <c r="K70" s="1">
        <f>[1]装备明细!$E71</f>
        <v>1</v>
      </c>
      <c r="L70" s="1">
        <f t="shared" si="1"/>
        <v>1</v>
      </c>
      <c r="M70" s="1">
        <f>[2]Sheet1!$R71*2</f>
        <v>18</v>
      </c>
    </row>
    <row r="71" spans="1:13" x14ac:dyDescent="0.15">
      <c r="A71" s="1">
        <v>70</v>
      </c>
      <c r="B71" s="1">
        <v>0</v>
      </c>
      <c r="C71" s="1">
        <v>100070</v>
      </c>
      <c r="D71" s="1" t="str">
        <f>[1]装备明细!$M72</f>
        <v>IC1155</v>
      </c>
      <c r="E71" s="1" t="str">
        <f>[1]装备明细!$C72</f>
        <v>白银烟斗</v>
      </c>
      <c r="G71" s="1">
        <f>[1]装备明细!$J72</f>
        <v>0</v>
      </c>
      <c r="H71" s="1">
        <f>IF([1]装备明细!$G72&gt;=14,"",[1]装备明细!$G72-1)</f>
        <v>7</v>
      </c>
      <c r="I71" s="1">
        <f>[1]装备明细!$F72</f>
        <v>1</v>
      </c>
      <c r="J71" s="1">
        <f>[1]装备明细!$L72</f>
        <v>7</v>
      </c>
      <c r="K71" s="1">
        <f>[1]装备明细!$E72</f>
        <v>1</v>
      </c>
      <c r="L71" s="1">
        <f t="shared" si="1"/>
        <v>1</v>
      </c>
      <c r="M71" s="1">
        <f>[2]Sheet1!$R72*2</f>
        <v>18</v>
      </c>
    </row>
    <row r="72" spans="1:13" x14ac:dyDescent="0.15">
      <c r="A72" s="1">
        <v>71</v>
      </c>
      <c r="B72" s="1">
        <v>0</v>
      </c>
      <c r="C72" s="1">
        <v>100071</v>
      </c>
      <c r="D72" s="1" t="str">
        <f>[1]装备明细!$M73</f>
        <v>IC1143</v>
      </c>
      <c r="E72" s="1" t="str">
        <f>[1]装备明细!$C73</f>
        <v>异灵烟斗</v>
      </c>
      <c r="G72" s="1">
        <f>[1]装备明细!$J73</f>
        <v>0</v>
      </c>
      <c r="H72" s="1">
        <f>IF([1]装备明细!$G73&gt;=14,"",[1]装备明细!$G73-1)</f>
        <v>7</v>
      </c>
      <c r="I72" s="1">
        <f>[1]装备明细!$F73</f>
        <v>1</v>
      </c>
      <c r="J72" s="1">
        <f>[1]装备明细!$L73</f>
        <v>8</v>
      </c>
      <c r="K72" s="1">
        <f>[1]装备明细!$E73</f>
        <v>1</v>
      </c>
      <c r="L72" s="1">
        <f t="shared" si="1"/>
        <v>1</v>
      </c>
      <c r="M72" s="1">
        <f>[2]Sheet1!$R73*2</f>
        <v>18</v>
      </c>
    </row>
    <row r="73" spans="1:13" x14ac:dyDescent="0.15">
      <c r="A73" s="1">
        <v>72</v>
      </c>
      <c r="B73" s="1">
        <v>0</v>
      </c>
      <c r="C73" s="1">
        <v>100072</v>
      </c>
      <c r="D73" s="1" t="str">
        <f>[1]装备明细!$M74</f>
        <v>IC1143</v>
      </c>
      <c r="E73" s="1" t="str">
        <f>[1]装备明细!$C74</f>
        <v>流星烟斗</v>
      </c>
      <c r="G73" s="1">
        <f>[1]装备明细!$J74</f>
        <v>0</v>
      </c>
      <c r="H73" s="1">
        <f>IF([1]装备明细!$G74&gt;=14,"",[1]装备明细!$G74-1)</f>
        <v>7</v>
      </c>
      <c r="I73" s="1">
        <f>[1]装备明细!$F74</f>
        <v>1</v>
      </c>
      <c r="J73" s="1">
        <f>[1]装备明细!$L74</f>
        <v>9</v>
      </c>
      <c r="K73" s="1">
        <f>[1]装备明细!$E74</f>
        <v>1</v>
      </c>
      <c r="L73" s="1">
        <f t="shared" si="1"/>
        <v>1</v>
      </c>
      <c r="M73" s="1">
        <f>[2]Sheet1!$R74*2</f>
        <v>18</v>
      </c>
    </row>
    <row r="74" spans="1:13" x14ac:dyDescent="0.15">
      <c r="A74" s="1">
        <v>73</v>
      </c>
      <c r="B74" s="1">
        <v>0</v>
      </c>
      <c r="C74" s="1">
        <v>100073</v>
      </c>
      <c r="D74" s="1" t="str">
        <f>[1]装备明细!$M75</f>
        <v>IC1835</v>
      </c>
      <c r="E74" s="1" t="str">
        <f>[1]装备明细!$C75</f>
        <v>破旧的扇子</v>
      </c>
      <c r="G74" s="1">
        <f>[1]装备明细!$J75</f>
        <v>0</v>
      </c>
      <c r="H74" s="1">
        <f>IF([1]装备明细!$G75&gt;=14,"",[1]装备明细!$G75-1)</f>
        <v>8</v>
      </c>
      <c r="I74" s="1">
        <f>[1]装备明细!$F75</f>
        <v>1</v>
      </c>
      <c r="J74" s="1">
        <f>[1]装备明细!$L75</f>
        <v>1</v>
      </c>
      <c r="K74" s="1">
        <f>[1]装备明细!$E75</f>
        <v>1</v>
      </c>
      <c r="L74" s="1">
        <f t="shared" si="1"/>
        <v>1</v>
      </c>
      <c r="M74" s="1">
        <f>[2]Sheet1!$R75*2</f>
        <v>18</v>
      </c>
    </row>
    <row r="75" spans="1:13" x14ac:dyDescent="0.15">
      <c r="A75" s="1">
        <v>74</v>
      </c>
      <c r="B75" s="1">
        <v>0</v>
      </c>
      <c r="C75" s="1">
        <v>100074</v>
      </c>
      <c r="D75" s="1" t="str">
        <f>[1]装备明细!$M76</f>
        <v>IC1836</v>
      </c>
      <c r="E75" s="1" t="str">
        <f>[1]装备明细!$C76</f>
        <v>普通的扇子</v>
      </c>
      <c r="G75" s="1">
        <f>[1]装备明细!$J76</f>
        <v>0</v>
      </c>
      <c r="H75" s="1">
        <f>IF([1]装备明细!$G76&gt;=14,"",[1]装备明细!$G76-1)</f>
        <v>8</v>
      </c>
      <c r="I75" s="1">
        <f>[1]装备明细!$F76</f>
        <v>1</v>
      </c>
      <c r="J75" s="1">
        <f>[1]装备明细!$L76</f>
        <v>2</v>
      </c>
      <c r="K75" s="1">
        <f>[1]装备明细!$E76</f>
        <v>1</v>
      </c>
      <c r="L75" s="1">
        <f t="shared" si="1"/>
        <v>1</v>
      </c>
      <c r="M75" s="1">
        <f>[2]Sheet1!$R76*2</f>
        <v>18</v>
      </c>
    </row>
    <row r="76" spans="1:13" x14ac:dyDescent="0.15">
      <c r="A76" s="1">
        <v>75</v>
      </c>
      <c r="B76" s="1">
        <v>0</v>
      </c>
      <c r="C76" s="1">
        <v>100075</v>
      </c>
      <c r="D76" s="1" t="str">
        <f>[1]装备明细!$M77</f>
        <v>IC1837</v>
      </c>
      <c r="E76" s="1" t="str">
        <f>[1]装备明细!$C77</f>
        <v>初级的扇子</v>
      </c>
      <c r="G76" s="1">
        <f>[1]装备明细!$J77</f>
        <v>0</v>
      </c>
      <c r="H76" s="1">
        <f>IF([1]装备明细!$G77&gt;=14,"",[1]装备明细!$G77-1)</f>
        <v>8</v>
      </c>
      <c r="I76" s="1">
        <f>[1]装备明细!$F77</f>
        <v>1</v>
      </c>
      <c r="J76" s="1">
        <f>[1]装备明细!$L77</f>
        <v>3</v>
      </c>
      <c r="K76" s="1">
        <f>[1]装备明细!$E77</f>
        <v>1</v>
      </c>
      <c r="L76" s="1">
        <f t="shared" si="1"/>
        <v>1</v>
      </c>
      <c r="M76" s="1">
        <f>[2]Sheet1!$R77*2</f>
        <v>18</v>
      </c>
    </row>
    <row r="77" spans="1:13" x14ac:dyDescent="0.15">
      <c r="A77" s="1">
        <v>76</v>
      </c>
      <c r="B77" s="1">
        <v>0</v>
      </c>
      <c r="C77" s="1">
        <v>100076</v>
      </c>
      <c r="D77" s="1" t="str">
        <f>[1]装备明细!$M78</f>
        <v>IC1838</v>
      </c>
      <c r="E77" s="1" t="str">
        <f>[1]装备明细!$C78</f>
        <v>水晶扇子</v>
      </c>
      <c r="G77" s="1">
        <f>[1]装备明细!$J78</f>
        <v>0</v>
      </c>
      <c r="H77" s="1">
        <f>IF([1]装备明细!$G78&gt;=14,"",[1]装备明细!$G78-1)</f>
        <v>8</v>
      </c>
      <c r="I77" s="1">
        <f>[1]装备明细!$F78</f>
        <v>1</v>
      </c>
      <c r="J77" s="1">
        <f>[1]装备明细!$L78</f>
        <v>4</v>
      </c>
      <c r="K77" s="1">
        <f>[1]装备明细!$E78</f>
        <v>1</v>
      </c>
      <c r="L77" s="1">
        <f t="shared" si="1"/>
        <v>1</v>
      </c>
      <c r="M77" s="1">
        <f>[2]Sheet1!$R78*2</f>
        <v>18</v>
      </c>
    </row>
    <row r="78" spans="1:13" x14ac:dyDescent="0.15">
      <c r="A78" s="1">
        <v>77</v>
      </c>
      <c r="B78" s="1">
        <v>0</v>
      </c>
      <c r="C78" s="1">
        <v>100077</v>
      </c>
      <c r="D78" s="1" t="str">
        <f>[1]装备明细!$M79</f>
        <v>IC1839</v>
      </c>
      <c r="E78" s="1" t="str">
        <f>[1]装备明细!$C79</f>
        <v>青铜扇子</v>
      </c>
      <c r="G78" s="1">
        <f>[1]装备明细!$J79</f>
        <v>0</v>
      </c>
      <c r="H78" s="1">
        <f>IF([1]装备明细!$G79&gt;=14,"",[1]装备明细!$G79-1)</f>
        <v>8</v>
      </c>
      <c r="I78" s="1">
        <f>[1]装备明细!$F79</f>
        <v>1</v>
      </c>
      <c r="J78" s="1">
        <f>[1]装备明细!$L79</f>
        <v>5</v>
      </c>
      <c r="K78" s="1">
        <f>[1]装备明细!$E79</f>
        <v>1</v>
      </c>
      <c r="L78" s="1">
        <f t="shared" si="1"/>
        <v>1</v>
      </c>
      <c r="M78" s="1">
        <f>[2]Sheet1!$R79*2</f>
        <v>18</v>
      </c>
    </row>
    <row r="79" spans="1:13" x14ac:dyDescent="0.15">
      <c r="A79" s="1">
        <v>78</v>
      </c>
      <c r="B79" s="1">
        <v>0</v>
      </c>
      <c r="C79" s="1">
        <v>100078</v>
      </c>
      <c r="D79" s="1" t="str">
        <f>[1]装备明细!$M80</f>
        <v>IC1840</v>
      </c>
      <c r="E79" s="1" t="str">
        <f>[1]装备明细!$C80</f>
        <v>玄铁扇子</v>
      </c>
      <c r="G79" s="1">
        <f>[1]装备明细!$J80</f>
        <v>0</v>
      </c>
      <c r="H79" s="1">
        <f>IF([1]装备明细!$G80&gt;=14,"",[1]装备明细!$G80-1)</f>
        <v>8</v>
      </c>
      <c r="I79" s="1">
        <f>[1]装备明细!$F80</f>
        <v>1</v>
      </c>
      <c r="J79" s="1">
        <f>[1]装备明细!$L80</f>
        <v>6</v>
      </c>
      <c r="K79" s="1">
        <f>[1]装备明细!$E80</f>
        <v>1</v>
      </c>
      <c r="L79" s="1">
        <f t="shared" si="1"/>
        <v>1</v>
      </c>
      <c r="M79" s="1">
        <f>[2]Sheet1!$R80*2</f>
        <v>18</v>
      </c>
    </row>
    <row r="80" spans="1:13" x14ac:dyDescent="0.15">
      <c r="A80" s="1">
        <v>79</v>
      </c>
      <c r="B80" s="1">
        <v>0</v>
      </c>
      <c r="C80" s="1">
        <v>100079</v>
      </c>
      <c r="D80" s="1" t="str">
        <f>[1]装备明细!$M81</f>
        <v>IC1838</v>
      </c>
      <c r="E80" s="1" t="str">
        <f>[1]装备明细!$C81</f>
        <v>白银扇子</v>
      </c>
      <c r="G80" s="1">
        <f>[1]装备明细!$J81</f>
        <v>0</v>
      </c>
      <c r="H80" s="1">
        <f>IF([1]装备明细!$G81&gt;=14,"",[1]装备明细!$G81-1)</f>
        <v>8</v>
      </c>
      <c r="I80" s="1">
        <f>[1]装备明细!$F81</f>
        <v>1</v>
      </c>
      <c r="J80" s="1">
        <f>[1]装备明细!$L81</f>
        <v>7</v>
      </c>
      <c r="K80" s="1">
        <f>[1]装备明细!$E81</f>
        <v>1</v>
      </c>
      <c r="L80" s="1">
        <f t="shared" si="1"/>
        <v>1</v>
      </c>
      <c r="M80" s="1">
        <f>[2]Sheet1!$R81*2</f>
        <v>18</v>
      </c>
    </row>
    <row r="81" spans="1:13" x14ac:dyDescent="0.15">
      <c r="A81" s="1">
        <v>80</v>
      </c>
      <c r="B81" s="1">
        <v>0</v>
      </c>
      <c r="C81" s="1">
        <v>100080</v>
      </c>
      <c r="D81" s="1" t="str">
        <f>[1]装备明细!$M82</f>
        <v>IC1839</v>
      </c>
      <c r="E81" s="1" t="str">
        <f>[1]装备明细!$C82</f>
        <v>异灵扇子</v>
      </c>
      <c r="G81" s="1">
        <f>[1]装备明细!$J82</f>
        <v>0</v>
      </c>
      <c r="H81" s="1">
        <f>IF([1]装备明细!$G82&gt;=14,"",[1]装备明细!$G82-1)</f>
        <v>8</v>
      </c>
      <c r="I81" s="1">
        <f>[1]装备明细!$F82</f>
        <v>1</v>
      </c>
      <c r="J81" s="1">
        <f>[1]装备明细!$L82</f>
        <v>8</v>
      </c>
      <c r="K81" s="1">
        <f>[1]装备明细!$E82</f>
        <v>1</v>
      </c>
      <c r="L81" s="1">
        <f t="shared" si="1"/>
        <v>1</v>
      </c>
      <c r="M81" s="1">
        <f>[2]Sheet1!$R82*2</f>
        <v>18</v>
      </c>
    </row>
    <row r="82" spans="1:13" x14ac:dyDescent="0.15">
      <c r="A82" s="1">
        <v>81</v>
      </c>
      <c r="B82" s="1">
        <v>0</v>
      </c>
      <c r="C82" s="1">
        <v>100081</v>
      </c>
      <c r="D82" s="1" t="str">
        <f>[1]装备明细!$M83</f>
        <v>IC1838</v>
      </c>
      <c r="E82" s="1" t="str">
        <f>[1]装备明细!$C83</f>
        <v>流星扇子</v>
      </c>
      <c r="G82" s="1">
        <f>[1]装备明细!$J83</f>
        <v>0</v>
      </c>
      <c r="H82" s="1">
        <f>IF([1]装备明细!$G83&gt;=14,"",[1]装备明细!$G83-1)</f>
        <v>8</v>
      </c>
      <c r="I82" s="1">
        <f>[1]装备明细!$F83</f>
        <v>1</v>
      </c>
      <c r="J82" s="1">
        <f>[1]装备明细!$L83</f>
        <v>9</v>
      </c>
      <c r="K82" s="1">
        <f>[1]装备明细!$E83</f>
        <v>1</v>
      </c>
      <c r="L82" s="1">
        <f t="shared" si="1"/>
        <v>1</v>
      </c>
      <c r="M82" s="1">
        <f>[2]Sheet1!$R83*2</f>
        <v>18</v>
      </c>
    </row>
    <row r="83" spans="1:13" x14ac:dyDescent="0.15">
      <c r="A83" s="1">
        <v>82</v>
      </c>
      <c r="B83" s="1">
        <v>0</v>
      </c>
      <c r="C83" s="1">
        <v>100082</v>
      </c>
      <c r="D83" s="1" t="str">
        <f>[1]装备明细!$M84</f>
        <v>IC1553</v>
      </c>
      <c r="E83" s="1" t="str">
        <f>[1]装备明细!$C84</f>
        <v>破旧的牙齿</v>
      </c>
      <c r="G83" s="1">
        <f>[1]装备明细!$J84</f>
        <v>0</v>
      </c>
      <c r="H83" s="1">
        <f>IF([1]装备明细!$G84&gt;=14,"",[1]装备明细!$G84-1)</f>
        <v>9</v>
      </c>
      <c r="I83" s="1">
        <f>[1]装备明细!$F84</f>
        <v>1</v>
      </c>
      <c r="J83" s="1">
        <f>[1]装备明细!$L84</f>
        <v>1</v>
      </c>
      <c r="K83" s="1">
        <f>[1]装备明细!$E84</f>
        <v>1</v>
      </c>
      <c r="L83" s="1">
        <f t="shared" si="1"/>
        <v>1</v>
      </c>
      <c r="M83" s="1">
        <f>[2]Sheet1!$R84*2</f>
        <v>18</v>
      </c>
    </row>
    <row r="84" spans="1:13" x14ac:dyDescent="0.15">
      <c r="A84" s="1">
        <v>83</v>
      </c>
      <c r="B84" s="1">
        <v>0</v>
      </c>
      <c r="C84" s="1">
        <v>100083</v>
      </c>
      <c r="D84" s="1" t="str">
        <f>[1]装备明细!$M85</f>
        <v>IC1556</v>
      </c>
      <c r="E84" s="1" t="str">
        <f>[1]装备明细!$C85</f>
        <v>普通的牙齿</v>
      </c>
      <c r="G84" s="1">
        <f>[1]装备明细!$J85</f>
        <v>0</v>
      </c>
      <c r="H84" s="1">
        <f>IF([1]装备明细!$G85&gt;=14,"",[1]装备明细!$G85-1)</f>
        <v>9</v>
      </c>
      <c r="I84" s="1">
        <f>[1]装备明细!$F85</f>
        <v>1</v>
      </c>
      <c r="J84" s="1">
        <f>[1]装备明细!$L85</f>
        <v>2</v>
      </c>
      <c r="K84" s="1">
        <f>[1]装备明细!$E85</f>
        <v>1</v>
      </c>
      <c r="L84" s="1">
        <f t="shared" si="1"/>
        <v>1</v>
      </c>
      <c r="M84" s="1">
        <f>[2]Sheet1!$R85*2</f>
        <v>18</v>
      </c>
    </row>
    <row r="85" spans="1:13" x14ac:dyDescent="0.15">
      <c r="A85" s="1">
        <v>84</v>
      </c>
      <c r="B85" s="1">
        <v>0</v>
      </c>
      <c r="C85" s="1">
        <v>100084</v>
      </c>
      <c r="D85" s="1" t="str">
        <f>[1]装备明细!$M86</f>
        <v>IC1554</v>
      </c>
      <c r="E85" s="1" t="str">
        <f>[1]装备明细!$C86</f>
        <v>初级的牙齿</v>
      </c>
      <c r="G85" s="1">
        <f>[1]装备明细!$J86</f>
        <v>0</v>
      </c>
      <c r="H85" s="1">
        <f>IF([1]装备明细!$G86&gt;=14,"",[1]装备明细!$G86-1)</f>
        <v>9</v>
      </c>
      <c r="I85" s="1">
        <f>[1]装备明细!$F86</f>
        <v>1</v>
      </c>
      <c r="J85" s="1">
        <f>[1]装备明细!$L86</f>
        <v>3</v>
      </c>
      <c r="K85" s="1">
        <f>[1]装备明细!$E86</f>
        <v>1</v>
      </c>
      <c r="L85" s="1">
        <f t="shared" si="1"/>
        <v>1</v>
      </c>
      <c r="M85" s="1">
        <f>[2]Sheet1!$R86*2</f>
        <v>18</v>
      </c>
    </row>
    <row r="86" spans="1:13" x14ac:dyDescent="0.15">
      <c r="A86" s="1">
        <v>85</v>
      </c>
      <c r="B86" s="1">
        <v>0</v>
      </c>
      <c r="C86" s="1">
        <v>100085</v>
      </c>
      <c r="D86" s="1" t="str">
        <f>[1]装备明细!$M87</f>
        <v>IC1565</v>
      </c>
      <c r="E86" s="1" t="str">
        <f>[1]装备明细!$C87</f>
        <v>水晶牙齿</v>
      </c>
      <c r="G86" s="1">
        <f>[1]装备明细!$J87</f>
        <v>0</v>
      </c>
      <c r="H86" s="1">
        <f>IF([1]装备明细!$G87&gt;=14,"",[1]装备明细!$G87-1)</f>
        <v>9</v>
      </c>
      <c r="I86" s="1">
        <f>[1]装备明细!$F87</f>
        <v>1</v>
      </c>
      <c r="J86" s="1">
        <f>[1]装备明细!$L87</f>
        <v>4</v>
      </c>
      <c r="K86" s="1">
        <f>[1]装备明细!$E87</f>
        <v>1</v>
      </c>
      <c r="L86" s="1">
        <f t="shared" si="1"/>
        <v>1</v>
      </c>
      <c r="M86" s="1">
        <f>[2]Sheet1!$R87*2</f>
        <v>18</v>
      </c>
    </row>
    <row r="87" spans="1:13" x14ac:dyDescent="0.15">
      <c r="A87" s="1">
        <v>86</v>
      </c>
      <c r="B87" s="1">
        <v>0</v>
      </c>
      <c r="C87" s="1">
        <v>100086</v>
      </c>
      <c r="D87" s="1" t="str">
        <f>[1]装备明细!$M88</f>
        <v>IC1553</v>
      </c>
      <c r="E87" s="1" t="str">
        <f>[1]装备明细!$C88</f>
        <v>青铜牙齿</v>
      </c>
      <c r="G87" s="1">
        <f>[1]装备明细!$J88</f>
        <v>0</v>
      </c>
      <c r="H87" s="1">
        <f>IF([1]装备明细!$G88&gt;=14,"",[1]装备明细!$G88-1)</f>
        <v>9</v>
      </c>
      <c r="I87" s="1">
        <f>[1]装备明细!$F88</f>
        <v>1</v>
      </c>
      <c r="J87" s="1">
        <f>[1]装备明细!$L88</f>
        <v>5</v>
      </c>
      <c r="K87" s="1">
        <f>[1]装备明细!$E88</f>
        <v>1</v>
      </c>
      <c r="L87" s="1">
        <f t="shared" si="1"/>
        <v>1</v>
      </c>
      <c r="M87" s="1">
        <f>[2]Sheet1!$R88*2</f>
        <v>18</v>
      </c>
    </row>
    <row r="88" spans="1:13" x14ac:dyDescent="0.15">
      <c r="A88" s="1">
        <v>87</v>
      </c>
      <c r="B88" s="1">
        <v>0</v>
      </c>
      <c r="C88" s="1">
        <v>100087</v>
      </c>
      <c r="D88" s="1" t="str">
        <f>[1]装备明细!$M89</f>
        <v>IC1556</v>
      </c>
      <c r="E88" s="1" t="str">
        <f>[1]装备明细!$C89</f>
        <v>玄铁牙齿</v>
      </c>
      <c r="G88" s="1">
        <f>[1]装备明细!$J89</f>
        <v>0</v>
      </c>
      <c r="H88" s="1">
        <f>IF([1]装备明细!$G89&gt;=14,"",[1]装备明细!$G89-1)</f>
        <v>9</v>
      </c>
      <c r="I88" s="1">
        <f>[1]装备明细!$F89</f>
        <v>1</v>
      </c>
      <c r="J88" s="1">
        <f>[1]装备明细!$L89</f>
        <v>6</v>
      </c>
      <c r="K88" s="1">
        <f>[1]装备明细!$E89</f>
        <v>1</v>
      </c>
      <c r="L88" s="1">
        <f t="shared" si="1"/>
        <v>1</v>
      </c>
      <c r="M88" s="1">
        <f>[2]Sheet1!$R89*2</f>
        <v>18</v>
      </c>
    </row>
    <row r="89" spans="1:13" x14ac:dyDescent="0.15">
      <c r="A89" s="1">
        <v>88</v>
      </c>
      <c r="B89" s="1">
        <v>0</v>
      </c>
      <c r="C89" s="1">
        <v>100088</v>
      </c>
      <c r="D89" s="1" t="str">
        <f>[1]装备明细!$M90</f>
        <v>IC1554</v>
      </c>
      <c r="E89" s="1" t="str">
        <f>[1]装备明细!$C90</f>
        <v>白银牙齿</v>
      </c>
      <c r="G89" s="1">
        <f>[1]装备明细!$J90</f>
        <v>0</v>
      </c>
      <c r="H89" s="1">
        <f>IF([1]装备明细!$G90&gt;=14,"",[1]装备明细!$G90-1)</f>
        <v>9</v>
      </c>
      <c r="I89" s="1">
        <f>[1]装备明细!$F90</f>
        <v>1</v>
      </c>
      <c r="J89" s="1">
        <f>[1]装备明细!$L90</f>
        <v>7</v>
      </c>
      <c r="K89" s="1">
        <f>[1]装备明细!$E90</f>
        <v>1</v>
      </c>
      <c r="L89" s="1">
        <f t="shared" si="1"/>
        <v>1</v>
      </c>
      <c r="M89" s="1">
        <f>[2]Sheet1!$R90*2</f>
        <v>18</v>
      </c>
    </row>
    <row r="90" spans="1:13" x14ac:dyDescent="0.15">
      <c r="A90" s="1">
        <v>89</v>
      </c>
      <c r="B90" s="1">
        <v>0</v>
      </c>
      <c r="C90" s="1">
        <v>100089</v>
      </c>
      <c r="D90" s="1" t="str">
        <f>[1]装备明细!$M91</f>
        <v>IC1565</v>
      </c>
      <c r="E90" s="1" t="str">
        <f>[1]装备明细!$C91</f>
        <v>异灵牙齿</v>
      </c>
      <c r="G90" s="1">
        <f>[1]装备明细!$J91</f>
        <v>0</v>
      </c>
      <c r="H90" s="1">
        <f>IF([1]装备明细!$G91&gt;=14,"",[1]装备明细!$G91-1)</f>
        <v>9</v>
      </c>
      <c r="I90" s="1">
        <f>[1]装备明细!$F91</f>
        <v>1</v>
      </c>
      <c r="J90" s="1">
        <f>[1]装备明细!$L91</f>
        <v>8</v>
      </c>
      <c r="K90" s="1">
        <f>[1]装备明细!$E91</f>
        <v>1</v>
      </c>
      <c r="L90" s="1">
        <f t="shared" si="1"/>
        <v>1</v>
      </c>
      <c r="M90" s="1">
        <f>[2]Sheet1!$R91*2</f>
        <v>18</v>
      </c>
    </row>
    <row r="91" spans="1:13" x14ac:dyDescent="0.15">
      <c r="A91" s="1">
        <v>90</v>
      </c>
      <c r="B91" s="1">
        <v>0</v>
      </c>
      <c r="C91" s="1">
        <v>100090</v>
      </c>
      <c r="D91" s="1" t="str">
        <f>[1]装备明细!$M92</f>
        <v>IC1554</v>
      </c>
      <c r="E91" s="1" t="str">
        <f>[1]装备明细!$C92</f>
        <v>流星牙齿</v>
      </c>
      <c r="G91" s="1">
        <f>[1]装备明细!$J92</f>
        <v>0</v>
      </c>
      <c r="H91" s="1">
        <f>IF([1]装备明细!$G92&gt;=14,"",[1]装备明细!$G92-1)</f>
        <v>9</v>
      </c>
      <c r="I91" s="1">
        <f>[1]装备明细!$F92</f>
        <v>1</v>
      </c>
      <c r="J91" s="1">
        <f>[1]装备明细!$L92</f>
        <v>9</v>
      </c>
      <c r="K91" s="1">
        <f>[1]装备明细!$E92</f>
        <v>1</v>
      </c>
      <c r="L91" s="1">
        <f t="shared" si="1"/>
        <v>1</v>
      </c>
      <c r="M91" s="1">
        <f>[2]Sheet1!$R92*2</f>
        <v>18</v>
      </c>
    </row>
    <row r="92" spans="1:13" x14ac:dyDescent="0.15">
      <c r="A92" s="1">
        <v>91</v>
      </c>
      <c r="B92" s="1">
        <v>0</v>
      </c>
      <c r="C92" s="1">
        <v>100091</v>
      </c>
      <c r="D92" s="1" t="str">
        <f>[1]装备明细!$M93</f>
        <v>IC1400</v>
      </c>
      <c r="E92" s="1" t="str">
        <f>[1]装备明细!$C93</f>
        <v>破旧的球</v>
      </c>
      <c r="G92" s="1">
        <f>[1]装备明细!$J93</f>
        <v>0</v>
      </c>
      <c r="H92" s="1">
        <f>IF([1]装备明细!$G93&gt;=14,"",[1]装备明细!$G93-1)</f>
        <v>10</v>
      </c>
      <c r="I92" s="1">
        <f>[1]装备明细!$F93</f>
        <v>1</v>
      </c>
      <c r="J92" s="1">
        <f>[1]装备明细!$L93</f>
        <v>1</v>
      </c>
      <c r="K92" s="1">
        <f>[1]装备明细!$E93</f>
        <v>1</v>
      </c>
      <c r="L92" s="1">
        <f t="shared" si="1"/>
        <v>1</v>
      </c>
      <c r="M92" s="1">
        <f>[2]Sheet1!$R93*2</f>
        <v>18</v>
      </c>
    </row>
    <row r="93" spans="1:13" x14ac:dyDescent="0.15">
      <c r="A93" s="1">
        <v>92</v>
      </c>
      <c r="B93" s="1">
        <v>0</v>
      </c>
      <c r="C93" s="1">
        <v>100092</v>
      </c>
      <c r="D93" s="1" t="str">
        <f>[1]装备明细!$M94</f>
        <v>IC1408</v>
      </c>
      <c r="E93" s="1" t="str">
        <f>[1]装备明细!$C94</f>
        <v>普通的球</v>
      </c>
      <c r="G93" s="1">
        <f>[1]装备明细!$J94</f>
        <v>0</v>
      </c>
      <c r="H93" s="1">
        <f>IF([1]装备明细!$G94&gt;=14,"",[1]装备明细!$G94-1)</f>
        <v>10</v>
      </c>
      <c r="I93" s="1">
        <f>[1]装备明细!$F94</f>
        <v>1</v>
      </c>
      <c r="J93" s="1">
        <f>[1]装备明细!$L94</f>
        <v>2</v>
      </c>
      <c r="K93" s="1">
        <f>[1]装备明细!$E94</f>
        <v>1</v>
      </c>
      <c r="L93" s="1">
        <f t="shared" si="1"/>
        <v>1</v>
      </c>
      <c r="M93" s="1">
        <f>[2]Sheet1!$R94*2</f>
        <v>18</v>
      </c>
    </row>
    <row r="94" spans="1:13" x14ac:dyDescent="0.15">
      <c r="A94" s="1">
        <v>93</v>
      </c>
      <c r="B94" s="1">
        <v>0</v>
      </c>
      <c r="C94" s="1">
        <v>100093</v>
      </c>
      <c r="D94" s="1" t="str">
        <f>[1]装备明细!$M95</f>
        <v>IC1414</v>
      </c>
      <c r="E94" s="1" t="str">
        <f>[1]装备明细!$C95</f>
        <v>初级的球</v>
      </c>
      <c r="G94" s="1">
        <f>[1]装备明细!$J95</f>
        <v>0</v>
      </c>
      <c r="H94" s="1">
        <f>IF([1]装备明细!$G95&gt;=14,"",[1]装备明细!$G95-1)</f>
        <v>10</v>
      </c>
      <c r="I94" s="1">
        <f>[1]装备明细!$F95</f>
        <v>1</v>
      </c>
      <c r="J94" s="1">
        <f>[1]装备明细!$L95</f>
        <v>3</v>
      </c>
      <c r="K94" s="1">
        <f>[1]装备明细!$E95</f>
        <v>1</v>
      </c>
      <c r="L94" s="1">
        <f t="shared" si="1"/>
        <v>1</v>
      </c>
      <c r="M94" s="1">
        <f>[2]Sheet1!$R95*2</f>
        <v>18</v>
      </c>
    </row>
    <row r="95" spans="1:13" x14ac:dyDescent="0.15">
      <c r="A95" s="1">
        <v>94</v>
      </c>
      <c r="B95" s="1">
        <v>0</v>
      </c>
      <c r="C95" s="1">
        <v>100094</v>
      </c>
      <c r="D95" s="1" t="str">
        <f>[1]装备明细!$M96</f>
        <v>IC1415</v>
      </c>
      <c r="E95" s="1" t="str">
        <f>[1]装备明细!$C96</f>
        <v>水晶球</v>
      </c>
      <c r="G95" s="1">
        <f>[1]装备明细!$J96</f>
        <v>0</v>
      </c>
      <c r="H95" s="1">
        <f>IF([1]装备明细!$G96&gt;=14,"",[1]装备明细!$G96-1)</f>
        <v>10</v>
      </c>
      <c r="I95" s="1">
        <f>[1]装备明细!$F96</f>
        <v>1</v>
      </c>
      <c r="J95" s="1">
        <f>[1]装备明细!$L96</f>
        <v>4</v>
      </c>
      <c r="K95" s="1">
        <f>[1]装备明细!$E96</f>
        <v>1</v>
      </c>
      <c r="L95" s="1">
        <f t="shared" si="1"/>
        <v>1</v>
      </c>
      <c r="M95" s="1">
        <f>[2]Sheet1!$R96*2</f>
        <v>18</v>
      </c>
    </row>
    <row r="96" spans="1:13" x14ac:dyDescent="0.15">
      <c r="A96" s="1">
        <v>95</v>
      </c>
      <c r="B96" s="1">
        <v>0</v>
      </c>
      <c r="C96" s="1">
        <v>100095</v>
      </c>
      <c r="D96" s="1" t="str">
        <f>[1]装备明细!$M97</f>
        <v>IC1418</v>
      </c>
      <c r="E96" s="1" t="str">
        <f>[1]装备明细!$C97</f>
        <v>青铜球</v>
      </c>
      <c r="G96" s="1">
        <f>[1]装备明细!$J97</f>
        <v>0</v>
      </c>
      <c r="H96" s="1">
        <f>IF([1]装备明细!$G97&gt;=14,"",[1]装备明细!$G97-1)</f>
        <v>10</v>
      </c>
      <c r="I96" s="1">
        <f>[1]装备明细!$F97</f>
        <v>1</v>
      </c>
      <c r="J96" s="1">
        <f>[1]装备明细!$L97</f>
        <v>5</v>
      </c>
      <c r="K96" s="1">
        <f>[1]装备明细!$E97</f>
        <v>1</v>
      </c>
      <c r="L96" s="1">
        <f t="shared" si="1"/>
        <v>1</v>
      </c>
      <c r="M96" s="1">
        <f>[2]Sheet1!$R97*2</f>
        <v>18</v>
      </c>
    </row>
    <row r="97" spans="1:13" x14ac:dyDescent="0.15">
      <c r="A97" s="1">
        <v>96</v>
      </c>
      <c r="B97" s="1">
        <v>0</v>
      </c>
      <c r="C97" s="1">
        <v>100096</v>
      </c>
      <c r="D97" s="1" t="str">
        <f>[1]装备明细!$M98</f>
        <v>IC1400</v>
      </c>
      <c r="E97" s="1" t="str">
        <f>[1]装备明细!$C98</f>
        <v>玄铁球</v>
      </c>
      <c r="G97" s="1">
        <f>[1]装备明细!$J98</f>
        <v>0</v>
      </c>
      <c r="H97" s="1">
        <f>IF([1]装备明细!$G98&gt;=14,"",[1]装备明细!$G98-1)</f>
        <v>10</v>
      </c>
      <c r="I97" s="1">
        <f>[1]装备明细!$F98</f>
        <v>1</v>
      </c>
      <c r="J97" s="1">
        <f>[1]装备明细!$L98</f>
        <v>6</v>
      </c>
      <c r="K97" s="1">
        <f>[1]装备明细!$E98</f>
        <v>1</v>
      </c>
      <c r="L97" s="1">
        <f t="shared" si="1"/>
        <v>1</v>
      </c>
      <c r="M97" s="1">
        <f>[2]Sheet1!$R98*2</f>
        <v>18</v>
      </c>
    </row>
    <row r="98" spans="1:13" x14ac:dyDescent="0.15">
      <c r="A98" s="1">
        <v>97</v>
      </c>
      <c r="B98" s="1">
        <v>0</v>
      </c>
      <c r="C98" s="1">
        <v>100097</v>
      </c>
      <c r="D98" s="1" t="str">
        <f>[1]装备明细!$M99</f>
        <v>IC1408</v>
      </c>
      <c r="E98" s="1" t="str">
        <f>[1]装备明细!$C99</f>
        <v>白银球</v>
      </c>
      <c r="G98" s="1">
        <f>[1]装备明细!$J99</f>
        <v>0</v>
      </c>
      <c r="H98" s="1">
        <f>IF([1]装备明细!$G99&gt;=14,"",[1]装备明细!$G99-1)</f>
        <v>10</v>
      </c>
      <c r="I98" s="1">
        <f>[1]装备明细!$F99</f>
        <v>1</v>
      </c>
      <c r="J98" s="1">
        <f>[1]装备明细!$L99</f>
        <v>7</v>
      </c>
      <c r="K98" s="1">
        <f>[1]装备明细!$E99</f>
        <v>1</v>
      </c>
      <c r="L98" s="1">
        <f t="shared" si="1"/>
        <v>1</v>
      </c>
      <c r="M98" s="1">
        <f>[2]Sheet1!$R99*2</f>
        <v>18</v>
      </c>
    </row>
    <row r="99" spans="1:13" x14ac:dyDescent="0.15">
      <c r="A99" s="1">
        <v>98</v>
      </c>
      <c r="B99" s="1">
        <v>0</v>
      </c>
      <c r="C99" s="1">
        <v>100098</v>
      </c>
      <c r="D99" s="1" t="str">
        <f>[1]装备明细!$M100</f>
        <v>IC1414</v>
      </c>
      <c r="E99" s="1" t="str">
        <f>[1]装备明细!$C100</f>
        <v>异灵球</v>
      </c>
      <c r="G99" s="1">
        <f>[1]装备明细!$J100</f>
        <v>0</v>
      </c>
      <c r="H99" s="1">
        <f>IF([1]装备明细!$G100&gt;=14,"",[1]装备明细!$G100-1)</f>
        <v>10</v>
      </c>
      <c r="I99" s="1">
        <f>[1]装备明细!$F100</f>
        <v>1</v>
      </c>
      <c r="J99" s="1">
        <f>[1]装备明细!$L100</f>
        <v>8</v>
      </c>
      <c r="K99" s="1">
        <f>[1]装备明细!$E100</f>
        <v>1</v>
      </c>
      <c r="L99" s="1">
        <f t="shared" si="1"/>
        <v>1</v>
      </c>
      <c r="M99" s="1">
        <f>[2]Sheet1!$R100*2</f>
        <v>18</v>
      </c>
    </row>
    <row r="100" spans="1:13" x14ac:dyDescent="0.15">
      <c r="A100" s="1">
        <v>99</v>
      </c>
      <c r="B100" s="1">
        <v>0</v>
      </c>
      <c r="C100" s="1">
        <v>100099</v>
      </c>
      <c r="D100" s="1" t="str">
        <f>[1]装备明细!$M101</f>
        <v>IC1415</v>
      </c>
      <c r="E100" s="1" t="str">
        <f>[1]装备明细!$C101</f>
        <v>流星球</v>
      </c>
      <c r="G100" s="1">
        <f>[1]装备明细!$J101</f>
        <v>0</v>
      </c>
      <c r="H100" s="1">
        <f>IF([1]装备明细!$G101&gt;=14,"",[1]装备明细!$G101-1)</f>
        <v>10</v>
      </c>
      <c r="I100" s="1">
        <f>[1]装备明细!$F101</f>
        <v>1</v>
      </c>
      <c r="J100" s="1">
        <f>[1]装备明细!$L101</f>
        <v>9</v>
      </c>
      <c r="K100" s="1">
        <f>[1]装备明细!$E101</f>
        <v>1</v>
      </c>
      <c r="L100" s="1">
        <f t="shared" si="1"/>
        <v>1</v>
      </c>
      <c r="M100" s="1">
        <f>[2]Sheet1!$R101*2</f>
        <v>18</v>
      </c>
    </row>
    <row r="101" spans="1:13" x14ac:dyDescent="0.15">
      <c r="A101" s="1">
        <v>100</v>
      </c>
      <c r="B101" s="1">
        <v>0</v>
      </c>
      <c r="C101" s="1">
        <v>100100</v>
      </c>
      <c r="D101" s="1" t="str">
        <f>[1]装备明细!$M102</f>
        <v>IC1754</v>
      </c>
      <c r="E101" s="1" t="str">
        <f>[1]装备明细!$C102</f>
        <v>破旧的爪</v>
      </c>
      <c r="G101" s="1">
        <f>[1]装备明细!$J102</f>
        <v>0</v>
      </c>
      <c r="H101" s="1">
        <f>IF([1]装备明细!$G102&gt;=14,"",[1]装备明细!$G102-1)</f>
        <v>11</v>
      </c>
      <c r="I101" s="1">
        <f>[1]装备明细!$F102</f>
        <v>1</v>
      </c>
      <c r="J101" s="1">
        <f>[1]装备明细!$L102</f>
        <v>1</v>
      </c>
      <c r="K101" s="1">
        <f>[1]装备明细!$E102</f>
        <v>1</v>
      </c>
      <c r="L101" s="1">
        <f t="shared" si="1"/>
        <v>1</v>
      </c>
      <c r="M101" s="1">
        <f>[2]Sheet1!$R102*2</f>
        <v>18</v>
      </c>
    </row>
    <row r="102" spans="1:13" x14ac:dyDescent="0.15">
      <c r="A102" s="1">
        <v>101</v>
      </c>
      <c r="B102" s="1">
        <v>0</v>
      </c>
      <c r="C102" s="1">
        <v>100101</v>
      </c>
      <c r="D102" s="1" t="str">
        <f>[1]装备明细!$M103</f>
        <v>IC1758</v>
      </c>
      <c r="E102" s="1" t="str">
        <f>[1]装备明细!$C103</f>
        <v>普通的爪</v>
      </c>
      <c r="G102" s="1">
        <f>[1]装备明细!$J103</f>
        <v>0</v>
      </c>
      <c r="H102" s="1">
        <f>IF([1]装备明细!$G103&gt;=14,"",[1]装备明细!$G103-1)</f>
        <v>11</v>
      </c>
      <c r="I102" s="1">
        <f>[1]装备明细!$F103</f>
        <v>1</v>
      </c>
      <c r="J102" s="1">
        <f>[1]装备明细!$L103</f>
        <v>2</v>
      </c>
      <c r="K102" s="1">
        <f>[1]装备明细!$E103</f>
        <v>1</v>
      </c>
      <c r="L102" s="1">
        <f t="shared" si="1"/>
        <v>1</v>
      </c>
      <c r="M102" s="1">
        <f>[2]Sheet1!$R103*2</f>
        <v>18</v>
      </c>
    </row>
    <row r="103" spans="1:13" x14ac:dyDescent="0.15">
      <c r="A103" s="1">
        <v>102</v>
      </c>
      <c r="B103" s="1">
        <v>0</v>
      </c>
      <c r="C103" s="1">
        <v>100102</v>
      </c>
      <c r="D103" s="1" t="str">
        <f>[1]装备明细!$M104</f>
        <v>IC1777</v>
      </c>
      <c r="E103" s="1" t="str">
        <f>[1]装备明细!$C104</f>
        <v>初级的爪</v>
      </c>
      <c r="G103" s="1">
        <f>[1]装备明细!$J104</f>
        <v>0</v>
      </c>
      <c r="H103" s="1">
        <f>IF([1]装备明细!$G104&gt;=14,"",[1]装备明细!$G104-1)</f>
        <v>11</v>
      </c>
      <c r="I103" s="1">
        <f>[1]装备明细!$F104</f>
        <v>1</v>
      </c>
      <c r="J103" s="1">
        <f>[1]装备明细!$L104</f>
        <v>3</v>
      </c>
      <c r="K103" s="1">
        <f>[1]装备明细!$E104</f>
        <v>1</v>
      </c>
      <c r="L103" s="1">
        <f t="shared" si="1"/>
        <v>1</v>
      </c>
      <c r="M103" s="1">
        <f>[2]Sheet1!$R104*2</f>
        <v>18</v>
      </c>
    </row>
    <row r="104" spans="1:13" x14ac:dyDescent="0.15">
      <c r="A104" s="1">
        <v>103</v>
      </c>
      <c r="B104" s="1">
        <v>0</v>
      </c>
      <c r="C104" s="1">
        <v>100103</v>
      </c>
      <c r="D104" s="1" t="str">
        <f>[1]装备明细!$M105</f>
        <v>IC1776</v>
      </c>
      <c r="E104" s="1" t="str">
        <f>[1]装备明细!$C105</f>
        <v>水晶爪</v>
      </c>
      <c r="G104" s="1">
        <f>[1]装备明细!$J105</f>
        <v>0</v>
      </c>
      <c r="H104" s="1">
        <f>IF([1]装备明细!$G105&gt;=14,"",[1]装备明细!$G105-1)</f>
        <v>11</v>
      </c>
      <c r="I104" s="1">
        <f>[1]装备明细!$F105</f>
        <v>1</v>
      </c>
      <c r="J104" s="1">
        <f>[1]装备明细!$L105</f>
        <v>4</v>
      </c>
      <c r="K104" s="1">
        <f>[1]装备明细!$E105</f>
        <v>1</v>
      </c>
      <c r="L104" s="1">
        <f t="shared" si="1"/>
        <v>1</v>
      </c>
      <c r="M104" s="1">
        <f>[2]Sheet1!$R105*2</f>
        <v>18</v>
      </c>
    </row>
    <row r="105" spans="1:13" x14ac:dyDescent="0.15">
      <c r="A105" s="1">
        <v>104</v>
      </c>
      <c r="B105" s="1">
        <v>0</v>
      </c>
      <c r="C105" s="1">
        <v>100104</v>
      </c>
      <c r="D105" s="1" t="str">
        <f>[1]装备明细!$M106</f>
        <v>IC1774</v>
      </c>
      <c r="E105" s="1" t="str">
        <f>[1]装备明细!$C106</f>
        <v>青铜爪</v>
      </c>
      <c r="G105" s="1">
        <f>[1]装备明细!$J106</f>
        <v>0</v>
      </c>
      <c r="H105" s="1">
        <f>IF([1]装备明细!$G106&gt;=14,"",[1]装备明细!$G106-1)</f>
        <v>11</v>
      </c>
      <c r="I105" s="1">
        <f>[1]装备明细!$F106</f>
        <v>1</v>
      </c>
      <c r="J105" s="1">
        <f>[1]装备明细!$L106</f>
        <v>5</v>
      </c>
      <c r="K105" s="1">
        <f>[1]装备明细!$E106</f>
        <v>1</v>
      </c>
      <c r="L105" s="1">
        <f t="shared" si="1"/>
        <v>1</v>
      </c>
      <c r="M105" s="1">
        <f>[2]Sheet1!$R106*2</f>
        <v>18</v>
      </c>
    </row>
    <row r="106" spans="1:13" x14ac:dyDescent="0.15">
      <c r="A106" s="1">
        <v>105</v>
      </c>
      <c r="B106" s="1">
        <v>0</v>
      </c>
      <c r="C106" s="1">
        <v>100105</v>
      </c>
      <c r="D106" s="1" t="str">
        <f>[1]装备明细!$M107</f>
        <v>IC1775</v>
      </c>
      <c r="E106" s="1" t="str">
        <f>[1]装备明细!$C107</f>
        <v>玄铁爪</v>
      </c>
      <c r="G106" s="1">
        <f>[1]装备明细!$J107</f>
        <v>0</v>
      </c>
      <c r="H106" s="1">
        <f>IF([1]装备明细!$G107&gt;=14,"",[1]装备明细!$G107-1)</f>
        <v>11</v>
      </c>
      <c r="I106" s="1">
        <f>[1]装备明细!$F107</f>
        <v>1</v>
      </c>
      <c r="J106" s="1">
        <f>[1]装备明细!$L107</f>
        <v>6</v>
      </c>
      <c r="K106" s="1">
        <f>[1]装备明细!$E107</f>
        <v>1</v>
      </c>
      <c r="L106" s="1">
        <f t="shared" si="1"/>
        <v>1</v>
      </c>
      <c r="M106" s="1">
        <f>[2]Sheet1!$R107*2</f>
        <v>18</v>
      </c>
    </row>
    <row r="107" spans="1:13" x14ac:dyDescent="0.15">
      <c r="A107" s="1">
        <v>106</v>
      </c>
      <c r="B107" s="1">
        <v>0</v>
      </c>
      <c r="C107" s="1">
        <v>100106</v>
      </c>
      <c r="D107" s="1" t="str">
        <f>[1]装备明细!$M108</f>
        <v>IC1754</v>
      </c>
      <c r="E107" s="1" t="str">
        <f>[1]装备明细!$C108</f>
        <v>白银爪</v>
      </c>
      <c r="G107" s="1">
        <f>[1]装备明细!$J108</f>
        <v>0</v>
      </c>
      <c r="H107" s="1">
        <f>IF([1]装备明细!$G108&gt;=14,"",[1]装备明细!$G108-1)</f>
        <v>11</v>
      </c>
      <c r="I107" s="1">
        <f>[1]装备明细!$F108</f>
        <v>1</v>
      </c>
      <c r="J107" s="1">
        <f>[1]装备明细!$L108</f>
        <v>7</v>
      </c>
      <c r="K107" s="1">
        <f>[1]装备明细!$E108</f>
        <v>1</v>
      </c>
      <c r="L107" s="1">
        <f t="shared" si="1"/>
        <v>1</v>
      </c>
      <c r="M107" s="1">
        <f>[2]Sheet1!$R108*2</f>
        <v>18</v>
      </c>
    </row>
    <row r="108" spans="1:13" x14ac:dyDescent="0.15">
      <c r="A108" s="1">
        <v>107</v>
      </c>
      <c r="B108" s="1">
        <v>0</v>
      </c>
      <c r="C108" s="1">
        <v>100107</v>
      </c>
      <c r="D108" s="1" t="str">
        <f>[1]装备明细!$M109</f>
        <v>IC1758</v>
      </c>
      <c r="E108" s="1" t="str">
        <f>[1]装备明细!$C109</f>
        <v>异灵爪</v>
      </c>
      <c r="G108" s="1">
        <f>[1]装备明细!$J109</f>
        <v>0</v>
      </c>
      <c r="H108" s="1">
        <f>IF([1]装备明细!$G109&gt;=14,"",[1]装备明细!$G109-1)</f>
        <v>11</v>
      </c>
      <c r="I108" s="1">
        <f>[1]装备明细!$F109</f>
        <v>1</v>
      </c>
      <c r="J108" s="1">
        <f>[1]装备明细!$L109</f>
        <v>8</v>
      </c>
      <c r="K108" s="1">
        <f>[1]装备明细!$E109</f>
        <v>1</v>
      </c>
      <c r="L108" s="1">
        <f t="shared" si="1"/>
        <v>1</v>
      </c>
      <c r="M108" s="1">
        <f>[2]Sheet1!$R109*2</f>
        <v>18</v>
      </c>
    </row>
    <row r="109" spans="1:13" x14ac:dyDescent="0.15">
      <c r="A109" s="1">
        <v>108</v>
      </c>
      <c r="B109" s="1">
        <v>0</v>
      </c>
      <c r="C109" s="1">
        <v>100108</v>
      </c>
      <c r="D109" s="1" t="str">
        <f>[1]装备明细!$M110</f>
        <v>IC1777</v>
      </c>
      <c r="E109" s="1" t="str">
        <f>[1]装备明细!$C110</f>
        <v>流星爪</v>
      </c>
      <c r="G109" s="1">
        <f>[1]装备明细!$J110</f>
        <v>0</v>
      </c>
      <c r="H109" s="1">
        <f>IF([1]装备明细!$G110&gt;=14,"",[1]装备明细!$G110-1)</f>
        <v>11</v>
      </c>
      <c r="I109" s="1">
        <f>[1]装备明细!$F110</f>
        <v>1</v>
      </c>
      <c r="J109" s="1">
        <f>[1]装备明细!$L110</f>
        <v>9</v>
      </c>
      <c r="K109" s="1">
        <f>[1]装备明细!$E110</f>
        <v>1</v>
      </c>
      <c r="L109" s="1">
        <f t="shared" si="1"/>
        <v>1</v>
      </c>
      <c r="M109" s="1">
        <f>[2]Sheet1!$R110*2</f>
        <v>18</v>
      </c>
    </row>
    <row r="110" spans="1:13" x14ac:dyDescent="0.15">
      <c r="A110" s="1">
        <v>109</v>
      </c>
      <c r="B110" s="1">
        <v>0</v>
      </c>
      <c r="C110" s="1">
        <v>100109</v>
      </c>
      <c r="D110" s="1" t="str">
        <f>[1]装备明细!$M111</f>
        <v>IC1207</v>
      </c>
      <c r="E110" s="1" t="str">
        <f>[1]装备明细!$C111</f>
        <v>破旧的剑</v>
      </c>
      <c r="G110" s="1">
        <f>[1]装备明细!$J111</f>
        <v>0</v>
      </c>
      <c r="H110" s="1">
        <f>IF([1]装备明细!$G111&gt;=14,"",[1]装备明细!$G111-1)</f>
        <v>12</v>
      </c>
      <c r="I110" s="1">
        <f>[1]装备明细!$F111</f>
        <v>1</v>
      </c>
      <c r="J110" s="1">
        <f>[1]装备明细!$L111</f>
        <v>1</v>
      </c>
      <c r="K110" s="1">
        <f>[1]装备明细!$E111</f>
        <v>1</v>
      </c>
      <c r="L110" s="1">
        <f t="shared" si="1"/>
        <v>1</v>
      </c>
      <c r="M110" s="1">
        <f>[2]Sheet1!$R111*2</f>
        <v>18</v>
      </c>
    </row>
    <row r="111" spans="1:13" x14ac:dyDescent="0.15">
      <c r="A111" s="1">
        <v>110</v>
      </c>
      <c r="B111" s="1">
        <v>0</v>
      </c>
      <c r="C111" s="1">
        <v>100110</v>
      </c>
      <c r="D111" s="1" t="str">
        <f>[1]装备明细!$M112</f>
        <v>IC1299</v>
      </c>
      <c r="E111" s="1" t="str">
        <f>[1]装备明细!$C112</f>
        <v>普通的剑</v>
      </c>
      <c r="G111" s="1">
        <f>[1]装备明细!$J112</f>
        <v>0</v>
      </c>
      <c r="H111" s="1">
        <f>IF([1]装备明细!$G112&gt;=14,"",[1]装备明细!$G112-1)</f>
        <v>12</v>
      </c>
      <c r="I111" s="1">
        <f>[1]装备明细!$F112</f>
        <v>1</v>
      </c>
      <c r="J111" s="1">
        <f>[1]装备明细!$L112</f>
        <v>2</v>
      </c>
      <c r="K111" s="1">
        <f>[1]装备明细!$E112</f>
        <v>1</v>
      </c>
      <c r="L111" s="1">
        <f t="shared" si="1"/>
        <v>1</v>
      </c>
      <c r="M111" s="1">
        <f>[2]Sheet1!$R112*2</f>
        <v>18</v>
      </c>
    </row>
    <row r="112" spans="1:13" x14ac:dyDescent="0.15">
      <c r="A112" s="1">
        <v>111</v>
      </c>
      <c r="B112" s="1">
        <v>0</v>
      </c>
      <c r="C112" s="1">
        <v>100111</v>
      </c>
      <c r="D112" s="1" t="str">
        <f>[1]装备明细!$M113</f>
        <v>IC1201</v>
      </c>
      <c r="E112" s="1" t="str">
        <f>[1]装备明细!$C113</f>
        <v>初级的剑</v>
      </c>
      <c r="G112" s="1">
        <f>[1]装备明细!$J113</f>
        <v>0</v>
      </c>
      <c r="H112" s="1">
        <f>IF([1]装备明细!$G113&gt;=14,"",[1]装备明细!$G113-1)</f>
        <v>12</v>
      </c>
      <c r="I112" s="1">
        <f>[1]装备明细!$F113</f>
        <v>1</v>
      </c>
      <c r="J112" s="1">
        <f>[1]装备明细!$L113</f>
        <v>3</v>
      </c>
      <c r="K112" s="1">
        <f>[1]装备明细!$E113</f>
        <v>1</v>
      </c>
      <c r="L112" s="1">
        <f t="shared" si="1"/>
        <v>1</v>
      </c>
      <c r="M112" s="1">
        <f>[2]Sheet1!$R113*2</f>
        <v>18</v>
      </c>
    </row>
    <row r="113" spans="1:13" x14ac:dyDescent="0.15">
      <c r="A113" s="1">
        <v>112</v>
      </c>
      <c r="B113" s="1">
        <v>0</v>
      </c>
      <c r="C113" s="1">
        <v>100112</v>
      </c>
      <c r="D113" s="1" t="str">
        <f>[1]装备明细!$M114</f>
        <v>IC1209</v>
      </c>
      <c r="E113" s="1" t="str">
        <f>[1]装备明细!$C114</f>
        <v>水晶剑</v>
      </c>
      <c r="G113" s="1">
        <f>[1]装备明细!$J114</f>
        <v>0</v>
      </c>
      <c r="H113" s="1">
        <f>IF([1]装备明细!$G114&gt;=14,"",[1]装备明细!$G114-1)</f>
        <v>12</v>
      </c>
      <c r="I113" s="1">
        <f>[1]装备明细!$F114</f>
        <v>1</v>
      </c>
      <c r="J113" s="1">
        <f>[1]装备明细!$L114</f>
        <v>4</v>
      </c>
      <c r="K113" s="1">
        <f>[1]装备明细!$E114</f>
        <v>1</v>
      </c>
      <c r="L113" s="1">
        <f t="shared" si="1"/>
        <v>1</v>
      </c>
      <c r="M113" s="1">
        <f>[2]Sheet1!$R114*2</f>
        <v>18</v>
      </c>
    </row>
    <row r="114" spans="1:13" x14ac:dyDescent="0.15">
      <c r="A114" s="1">
        <v>113</v>
      </c>
      <c r="B114" s="1">
        <v>0</v>
      </c>
      <c r="C114" s="1">
        <v>100113</v>
      </c>
      <c r="D114" s="1" t="str">
        <f>[1]装备明细!$M115</f>
        <v>IC1225</v>
      </c>
      <c r="E114" s="1" t="str">
        <f>[1]装备明细!$C115</f>
        <v>青铜剑</v>
      </c>
      <c r="G114" s="1">
        <f>[1]装备明细!$J115</f>
        <v>0</v>
      </c>
      <c r="H114" s="1">
        <f>IF([1]装备明细!$G115&gt;=14,"",[1]装备明细!$G115-1)</f>
        <v>12</v>
      </c>
      <c r="I114" s="1">
        <f>[1]装备明细!$F115</f>
        <v>1</v>
      </c>
      <c r="J114" s="1">
        <f>[1]装备明细!$L115</f>
        <v>5</v>
      </c>
      <c r="K114" s="1">
        <f>[1]装备明细!$E115</f>
        <v>1</v>
      </c>
      <c r="L114" s="1">
        <f t="shared" si="1"/>
        <v>1</v>
      </c>
      <c r="M114" s="1">
        <f>[2]Sheet1!$R115*2</f>
        <v>18</v>
      </c>
    </row>
    <row r="115" spans="1:13" x14ac:dyDescent="0.15">
      <c r="A115" s="1">
        <v>114</v>
      </c>
      <c r="B115" s="1">
        <v>0</v>
      </c>
      <c r="C115" s="1">
        <v>100114</v>
      </c>
      <c r="D115" s="1" t="str">
        <f>[1]装备明细!$M116</f>
        <v>IC1226</v>
      </c>
      <c r="E115" s="1" t="str">
        <f>[1]装备明细!$C116</f>
        <v>玄铁剑</v>
      </c>
      <c r="G115" s="1">
        <f>[1]装备明细!$J116</f>
        <v>0</v>
      </c>
      <c r="H115" s="1">
        <f>IF([1]装备明细!$G116&gt;=14,"",[1]装备明细!$G116-1)</f>
        <v>12</v>
      </c>
      <c r="I115" s="1">
        <f>[1]装备明细!$F116</f>
        <v>1</v>
      </c>
      <c r="J115" s="1">
        <f>[1]装备明细!$L116</f>
        <v>6</v>
      </c>
      <c r="K115" s="1">
        <f>[1]装备明细!$E116</f>
        <v>1</v>
      </c>
      <c r="L115" s="1">
        <f t="shared" si="1"/>
        <v>1</v>
      </c>
      <c r="M115" s="1">
        <f>[2]Sheet1!$R116*2</f>
        <v>18</v>
      </c>
    </row>
    <row r="116" spans="1:13" x14ac:dyDescent="0.15">
      <c r="A116" s="1">
        <v>115</v>
      </c>
      <c r="B116" s="1">
        <v>0</v>
      </c>
      <c r="C116" s="1">
        <v>100115</v>
      </c>
      <c r="D116" s="1" t="str">
        <f>[1]装备明细!$M117</f>
        <v>IC1207</v>
      </c>
      <c r="E116" s="1" t="str">
        <f>[1]装备明细!$C117</f>
        <v>白银剑</v>
      </c>
      <c r="G116" s="1">
        <f>[1]装备明细!$J117</f>
        <v>0</v>
      </c>
      <c r="H116" s="1">
        <f>IF([1]装备明细!$G117&gt;=14,"",[1]装备明细!$G117-1)</f>
        <v>12</v>
      </c>
      <c r="I116" s="1">
        <f>[1]装备明细!$F117</f>
        <v>1</v>
      </c>
      <c r="J116" s="1">
        <f>[1]装备明细!$L117</f>
        <v>7</v>
      </c>
      <c r="K116" s="1">
        <f>[1]装备明细!$E117</f>
        <v>1</v>
      </c>
      <c r="L116" s="1">
        <f t="shared" si="1"/>
        <v>1</v>
      </c>
      <c r="M116" s="1">
        <f>[2]Sheet1!$R117*2</f>
        <v>18</v>
      </c>
    </row>
    <row r="117" spans="1:13" x14ac:dyDescent="0.15">
      <c r="A117" s="1">
        <v>116</v>
      </c>
      <c r="B117" s="1">
        <v>0</v>
      </c>
      <c r="C117" s="1">
        <v>100116</v>
      </c>
      <c r="D117" s="1" t="str">
        <f>[1]装备明细!$M118</f>
        <v>IC1299</v>
      </c>
      <c r="E117" s="1" t="str">
        <f>[1]装备明细!$C118</f>
        <v>异灵剑</v>
      </c>
      <c r="G117" s="1">
        <f>[1]装备明细!$J118</f>
        <v>0</v>
      </c>
      <c r="H117" s="1">
        <f>IF([1]装备明细!$G118&gt;=14,"",[1]装备明细!$G118-1)</f>
        <v>12</v>
      </c>
      <c r="I117" s="1">
        <f>[1]装备明细!$F118</f>
        <v>1</v>
      </c>
      <c r="J117" s="1">
        <f>[1]装备明细!$L118</f>
        <v>8</v>
      </c>
      <c r="K117" s="1">
        <f>[1]装备明细!$E118</f>
        <v>1</v>
      </c>
      <c r="L117" s="1">
        <f t="shared" si="1"/>
        <v>1</v>
      </c>
      <c r="M117" s="1">
        <f>[2]Sheet1!$R118*2</f>
        <v>18</v>
      </c>
    </row>
    <row r="118" spans="1:13" x14ac:dyDescent="0.15">
      <c r="A118" s="1">
        <v>117</v>
      </c>
      <c r="B118" s="1">
        <v>0</v>
      </c>
      <c r="C118" s="1">
        <v>100117</v>
      </c>
      <c r="D118" s="1" t="str">
        <f>[1]装备明细!$M119</f>
        <v>IC1201</v>
      </c>
      <c r="E118" s="1" t="str">
        <f>[1]装备明细!$C119</f>
        <v>流星剑</v>
      </c>
      <c r="G118" s="1">
        <f>[1]装备明细!$J119</f>
        <v>0</v>
      </c>
      <c r="H118" s="1">
        <f>IF([1]装备明细!$G119&gt;=14,"",[1]装备明细!$G119-1)</f>
        <v>12</v>
      </c>
      <c r="I118" s="1">
        <f>[1]装备明细!$F119</f>
        <v>1</v>
      </c>
      <c r="J118" s="1">
        <f>[1]装备明细!$L119</f>
        <v>9</v>
      </c>
      <c r="K118" s="1">
        <f>[1]装备明细!$E119</f>
        <v>1</v>
      </c>
      <c r="L118" s="1">
        <f t="shared" si="1"/>
        <v>1</v>
      </c>
      <c r="M118" s="1">
        <f>[2]Sheet1!$R119*2</f>
        <v>18</v>
      </c>
    </row>
    <row r="119" spans="1:13" x14ac:dyDescent="0.15">
      <c r="A119" s="1">
        <v>118</v>
      </c>
      <c r="B119" s="1">
        <v>0</v>
      </c>
      <c r="C119" s="1">
        <v>100118</v>
      </c>
      <c r="D119" s="1" t="str">
        <f>[1]装备明细!$M120</f>
        <v>IC1851</v>
      </c>
      <c r="E119" s="1" t="str">
        <f>[1]装备明细!$C120</f>
        <v>破旧的戒指</v>
      </c>
      <c r="G119" s="1">
        <f>[1]装备明细!$J120</f>
        <v>0</v>
      </c>
      <c r="H119" s="1" t="str">
        <f>IF([1]装备明细!$G120&gt;=14,"",[1]装备明细!$G120-1)</f>
        <v/>
      </c>
      <c r="I119" s="1">
        <f>[1]装备明细!$F120</f>
        <v>2</v>
      </c>
      <c r="J119" s="1">
        <f>[1]装备明细!$L120</f>
        <v>1</v>
      </c>
      <c r="K119" s="1">
        <f>[1]装备明细!$E120</f>
        <v>1</v>
      </c>
      <c r="L119" s="1">
        <f t="shared" si="1"/>
        <v>1</v>
      </c>
      <c r="M119" s="1">
        <f>[2]Sheet1!$R120*2</f>
        <v>18</v>
      </c>
    </row>
    <row r="120" spans="1:13" x14ac:dyDescent="0.15">
      <c r="A120" s="1">
        <v>119</v>
      </c>
      <c r="B120" s="1">
        <v>0</v>
      </c>
      <c r="C120" s="1">
        <v>100119</v>
      </c>
      <c r="D120" s="1" t="str">
        <f>[1]装备明细!$M121</f>
        <v>IC1853</v>
      </c>
      <c r="E120" s="1" t="str">
        <f>[1]装备明细!$C121</f>
        <v>普通的戒指</v>
      </c>
      <c r="G120" s="1">
        <f>[1]装备明细!$J121</f>
        <v>0</v>
      </c>
      <c r="H120" s="1" t="str">
        <f>IF([1]装备明细!$G121&gt;=14,"",[1]装备明细!$G121-1)</f>
        <v/>
      </c>
      <c r="I120" s="1">
        <f>[1]装备明细!$F121</f>
        <v>2</v>
      </c>
      <c r="J120" s="1">
        <f>[1]装备明细!$L121</f>
        <v>2</v>
      </c>
      <c r="K120" s="1">
        <f>[1]装备明细!$E121</f>
        <v>1</v>
      </c>
      <c r="L120" s="1">
        <f t="shared" si="1"/>
        <v>1</v>
      </c>
      <c r="M120" s="1">
        <f>[2]Sheet1!$R121*2</f>
        <v>18</v>
      </c>
    </row>
    <row r="121" spans="1:13" x14ac:dyDescent="0.15">
      <c r="A121" s="1">
        <v>120</v>
      </c>
      <c r="B121" s="1">
        <v>0</v>
      </c>
      <c r="C121" s="1">
        <v>100120</v>
      </c>
      <c r="D121" s="1" t="str">
        <f>[1]装备明细!$M122</f>
        <v>IC1857</v>
      </c>
      <c r="E121" s="1" t="str">
        <f>[1]装备明细!$C122</f>
        <v>初级的戒指</v>
      </c>
      <c r="G121" s="1">
        <f>[1]装备明细!$J122</f>
        <v>0</v>
      </c>
      <c r="H121" s="1" t="str">
        <f>IF([1]装备明细!$G122&gt;=14,"",[1]装备明细!$G122-1)</f>
        <v/>
      </c>
      <c r="I121" s="1">
        <f>[1]装备明细!$F122</f>
        <v>2</v>
      </c>
      <c r="J121" s="1">
        <f>[1]装备明细!$L122</f>
        <v>3</v>
      </c>
      <c r="K121" s="1">
        <f>[1]装备明细!$E122</f>
        <v>1</v>
      </c>
      <c r="L121" s="1">
        <f t="shared" si="1"/>
        <v>1</v>
      </c>
      <c r="M121" s="1">
        <f>[2]Sheet1!$R122*2</f>
        <v>18</v>
      </c>
    </row>
    <row r="122" spans="1:13" x14ac:dyDescent="0.15">
      <c r="A122" s="1">
        <v>121</v>
      </c>
      <c r="B122" s="1">
        <v>0</v>
      </c>
      <c r="C122" s="1">
        <v>100121</v>
      </c>
      <c r="D122" s="1" t="str">
        <f>[1]装备明细!$M123</f>
        <v>IC1903</v>
      </c>
      <c r="E122" s="1" t="str">
        <f>[1]装备明细!$C123</f>
        <v>水晶戒指</v>
      </c>
      <c r="G122" s="1">
        <f>[1]装备明细!$J123</f>
        <v>0</v>
      </c>
      <c r="H122" s="1" t="str">
        <f>IF([1]装备明细!$G123&gt;=14,"",[1]装备明细!$G123-1)</f>
        <v/>
      </c>
      <c r="I122" s="1">
        <f>[1]装备明细!$F123</f>
        <v>2</v>
      </c>
      <c r="J122" s="1">
        <f>[1]装备明细!$L123</f>
        <v>4</v>
      </c>
      <c r="K122" s="1">
        <f>[1]装备明细!$E123</f>
        <v>1</v>
      </c>
      <c r="L122" s="1">
        <f t="shared" si="1"/>
        <v>1</v>
      </c>
      <c r="M122" s="1">
        <f>[2]Sheet1!$R123*2</f>
        <v>18</v>
      </c>
    </row>
    <row r="123" spans="1:13" x14ac:dyDescent="0.15">
      <c r="A123" s="1">
        <v>122</v>
      </c>
      <c r="B123" s="1">
        <v>0</v>
      </c>
      <c r="C123" s="1">
        <v>100122</v>
      </c>
      <c r="D123" s="1" t="str">
        <f>[1]装备明细!$M124</f>
        <v>IC1929</v>
      </c>
      <c r="E123" s="1" t="str">
        <f>[1]装备明细!$C124</f>
        <v>青铜戒指</v>
      </c>
      <c r="G123" s="1">
        <f>[1]装备明细!$J124</f>
        <v>0</v>
      </c>
      <c r="H123" s="1" t="str">
        <f>IF([1]装备明细!$G124&gt;=14,"",[1]装备明细!$G124-1)</f>
        <v/>
      </c>
      <c r="I123" s="1">
        <f>[1]装备明细!$F124</f>
        <v>2</v>
      </c>
      <c r="J123" s="1">
        <f>[1]装备明细!$L124</f>
        <v>5</v>
      </c>
      <c r="K123" s="1">
        <f>[1]装备明细!$E124</f>
        <v>1</v>
      </c>
      <c r="L123" s="1">
        <f t="shared" si="1"/>
        <v>1</v>
      </c>
      <c r="M123" s="1">
        <f>[2]Sheet1!$R124*2</f>
        <v>18</v>
      </c>
    </row>
    <row r="124" spans="1:13" x14ac:dyDescent="0.15">
      <c r="A124" s="1">
        <v>123</v>
      </c>
      <c r="B124" s="1">
        <v>0</v>
      </c>
      <c r="C124" s="1">
        <v>100123</v>
      </c>
      <c r="D124" s="1" t="str">
        <f>[1]装备明细!$M125</f>
        <v>IC1851</v>
      </c>
      <c r="E124" s="1" t="str">
        <f>[1]装备明细!$C125</f>
        <v>玄铁戒指</v>
      </c>
      <c r="G124" s="1">
        <f>[1]装备明细!$J125</f>
        <v>0</v>
      </c>
      <c r="H124" s="1" t="str">
        <f>IF([1]装备明细!$G125&gt;=14,"",[1]装备明细!$G125-1)</f>
        <v/>
      </c>
      <c r="I124" s="1">
        <f>[1]装备明细!$F125</f>
        <v>2</v>
      </c>
      <c r="J124" s="1">
        <f>[1]装备明细!$L125</f>
        <v>6</v>
      </c>
      <c r="K124" s="1">
        <f>[1]装备明细!$E125</f>
        <v>1</v>
      </c>
      <c r="L124" s="1">
        <f t="shared" si="1"/>
        <v>1</v>
      </c>
      <c r="M124" s="1">
        <f>[2]Sheet1!$R125*2</f>
        <v>18</v>
      </c>
    </row>
    <row r="125" spans="1:13" x14ac:dyDescent="0.15">
      <c r="A125" s="1">
        <v>124</v>
      </c>
      <c r="B125" s="1">
        <v>0</v>
      </c>
      <c r="C125" s="1">
        <v>100124</v>
      </c>
      <c r="D125" s="1" t="str">
        <f>[1]装备明细!$M126</f>
        <v>IC1853</v>
      </c>
      <c r="E125" s="1" t="str">
        <f>[1]装备明细!$C126</f>
        <v>白银戒指</v>
      </c>
      <c r="G125" s="1">
        <f>[1]装备明细!$J126</f>
        <v>0</v>
      </c>
      <c r="H125" s="1" t="str">
        <f>IF([1]装备明细!$G126&gt;=14,"",[1]装备明细!$G126-1)</f>
        <v/>
      </c>
      <c r="I125" s="1">
        <f>[1]装备明细!$F126</f>
        <v>2</v>
      </c>
      <c r="J125" s="1">
        <f>[1]装备明细!$L126</f>
        <v>7</v>
      </c>
      <c r="K125" s="1">
        <f>[1]装备明细!$E126</f>
        <v>1</v>
      </c>
      <c r="L125" s="1">
        <f t="shared" si="1"/>
        <v>1</v>
      </c>
      <c r="M125" s="1">
        <f>[2]Sheet1!$R126*2</f>
        <v>18</v>
      </c>
    </row>
    <row r="126" spans="1:13" x14ac:dyDescent="0.15">
      <c r="A126" s="1">
        <v>125</v>
      </c>
      <c r="B126" s="1">
        <v>0</v>
      </c>
      <c r="C126" s="1">
        <v>100125</v>
      </c>
      <c r="D126" s="1" t="str">
        <f>[1]装备明细!$M127</f>
        <v>IC1857</v>
      </c>
      <c r="E126" s="1" t="str">
        <f>[1]装备明细!$C127</f>
        <v>异灵戒指</v>
      </c>
      <c r="G126" s="1">
        <f>[1]装备明细!$J127</f>
        <v>0</v>
      </c>
      <c r="H126" s="1" t="str">
        <f>IF([1]装备明细!$G127&gt;=14,"",[1]装备明细!$G127-1)</f>
        <v/>
      </c>
      <c r="I126" s="1">
        <f>[1]装备明细!$F127</f>
        <v>2</v>
      </c>
      <c r="J126" s="1">
        <f>[1]装备明细!$L127</f>
        <v>8</v>
      </c>
      <c r="K126" s="1">
        <f>[1]装备明细!$E127</f>
        <v>1</v>
      </c>
      <c r="L126" s="1">
        <f t="shared" si="1"/>
        <v>1</v>
      </c>
      <c r="M126" s="1">
        <f>[2]Sheet1!$R127*2</f>
        <v>18</v>
      </c>
    </row>
    <row r="127" spans="1:13" x14ac:dyDescent="0.15">
      <c r="A127" s="1">
        <v>126</v>
      </c>
      <c r="B127" s="1">
        <v>0</v>
      </c>
      <c r="C127" s="1">
        <v>100126</v>
      </c>
      <c r="D127" s="1" t="str">
        <f>[1]装备明细!$M128</f>
        <v>IC1903</v>
      </c>
      <c r="E127" s="1" t="str">
        <f>[1]装备明细!$C128</f>
        <v>流星戒指</v>
      </c>
      <c r="G127" s="1">
        <f>[1]装备明细!$J128</f>
        <v>0</v>
      </c>
      <c r="H127" s="1" t="str">
        <f>IF([1]装备明细!$G128&gt;=14,"",[1]装备明细!$G128-1)</f>
        <v/>
      </c>
      <c r="I127" s="1">
        <f>[1]装备明细!$F128</f>
        <v>2</v>
      </c>
      <c r="J127" s="1">
        <f>[1]装备明细!$L128</f>
        <v>9</v>
      </c>
      <c r="K127" s="1">
        <f>[1]装备明细!$E128</f>
        <v>1</v>
      </c>
      <c r="L127" s="1">
        <f t="shared" si="1"/>
        <v>1</v>
      </c>
      <c r="M127" s="1">
        <f>[2]Sheet1!$R128*2</f>
        <v>18</v>
      </c>
    </row>
    <row r="128" spans="1:13" x14ac:dyDescent="0.15">
      <c r="A128" s="1">
        <v>127</v>
      </c>
      <c r="B128" s="1">
        <v>0</v>
      </c>
      <c r="C128" s="1">
        <v>100127</v>
      </c>
      <c r="D128" s="1" t="str">
        <f>[1]装备明细!$M129</f>
        <v>IC1880</v>
      </c>
      <c r="E128" s="1" t="str">
        <f>[1]装备明细!$C129</f>
        <v>破旧的项链</v>
      </c>
      <c r="G128" s="1">
        <f>[1]装备明细!$J129</f>
        <v>0</v>
      </c>
      <c r="H128" s="1" t="str">
        <f>IF([1]装备明细!$G129&gt;=14,"",[1]装备明细!$G129-1)</f>
        <v/>
      </c>
      <c r="I128" s="1">
        <f>[1]装备明细!$F129</f>
        <v>3</v>
      </c>
      <c r="J128" s="1">
        <f>[1]装备明细!$L129</f>
        <v>1</v>
      </c>
      <c r="K128" s="1">
        <f>[1]装备明细!$E129</f>
        <v>1</v>
      </c>
      <c r="L128" s="1">
        <f t="shared" si="1"/>
        <v>1</v>
      </c>
      <c r="M128" s="1">
        <f>[2]Sheet1!$R129*2</f>
        <v>18</v>
      </c>
    </row>
    <row r="129" spans="1:13" x14ac:dyDescent="0.15">
      <c r="A129" s="1">
        <v>128</v>
      </c>
      <c r="B129" s="1">
        <v>0</v>
      </c>
      <c r="C129" s="1">
        <v>100128</v>
      </c>
      <c r="D129" s="1" t="str">
        <f>[1]装备明细!$M130</f>
        <v>IC1882</v>
      </c>
      <c r="E129" s="1" t="str">
        <f>[1]装备明细!$C130</f>
        <v>普通的项链</v>
      </c>
      <c r="G129" s="1">
        <f>[1]装备明细!$J130</f>
        <v>0</v>
      </c>
      <c r="H129" s="1" t="str">
        <f>IF([1]装备明细!$G130&gt;=14,"",[1]装备明细!$G130-1)</f>
        <v/>
      </c>
      <c r="I129" s="1">
        <f>[1]装备明细!$F130</f>
        <v>3</v>
      </c>
      <c r="J129" s="1">
        <f>[1]装备明细!$L130</f>
        <v>2</v>
      </c>
      <c r="K129" s="1">
        <f>[1]装备明细!$E130</f>
        <v>1</v>
      </c>
      <c r="L129" s="1">
        <f t="shared" si="1"/>
        <v>1</v>
      </c>
      <c r="M129" s="1">
        <f>[2]Sheet1!$R130*2</f>
        <v>18</v>
      </c>
    </row>
    <row r="130" spans="1:13" x14ac:dyDescent="0.15">
      <c r="A130" s="1">
        <v>129</v>
      </c>
      <c r="B130" s="1">
        <v>0</v>
      </c>
      <c r="C130" s="1">
        <v>100129</v>
      </c>
      <c r="D130" s="1" t="str">
        <f>[1]装备明细!$M131</f>
        <v>ICe930</v>
      </c>
      <c r="E130" s="1" t="str">
        <f>[1]装备明细!$C131</f>
        <v>初级的项链</v>
      </c>
      <c r="G130" s="1">
        <f>[1]装备明细!$J131</f>
        <v>0</v>
      </c>
      <c r="H130" s="1" t="str">
        <f>IF([1]装备明细!$G131&gt;=14,"",[1]装备明细!$G131-1)</f>
        <v/>
      </c>
      <c r="I130" s="1">
        <f>[1]装备明细!$F131</f>
        <v>3</v>
      </c>
      <c r="J130" s="1">
        <f>[1]装备明细!$L131</f>
        <v>3</v>
      </c>
      <c r="K130" s="1">
        <f>[1]装备明细!$E131</f>
        <v>1</v>
      </c>
      <c r="L130" s="1">
        <f t="shared" si="1"/>
        <v>1</v>
      </c>
      <c r="M130" s="1">
        <f>[2]Sheet1!$R131*2</f>
        <v>18</v>
      </c>
    </row>
    <row r="131" spans="1:13" x14ac:dyDescent="0.15">
      <c r="A131" s="1">
        <v>130</v>
      </c>
      <c r="B131" s="1">
        <v>0</v>
      </c>
      <c r="C131" s="1">
        <v>100130</v>
      </c>
      <c r="D131" s="1" t="str">
        <f>[1]装备明细!$M132</f>
        <v>IC1925</v>
      </c>
      <c r="E131" s="1" t="str">
        <f>[1]装备明细!$C132</f>
        <v>水晶项链</v>
      </c>
      <c r="G131" s="1">
        <f>[1]装备明细!$J132</f>
        <v>0</v>
      </c>
      <c r="H131" s="1" t="str">
        <f>IF([1]装备明细!$G132&gt;=14,"",[1]装备明细!$G132-1)</f>
        <v/>
      </c>
      <c r="I131" s="1">
        <f>[1]装备明细!$F132</f>
        <v>3</v>
      </c>
      <c r="J131" s="1">
        <f>[1]装备明细!$L132</f>
        <v>4</v>
      </c>
      <c r="K131" s="1">
        <f>[1]装备明细!$E132</f>
        <v>1</v>
      </c>
      <c r="L131" s="1">
        <f t="shared" ref="L131:L194" si="2">K131</f>
        <v>1</v>
      </c>
      <c r="M131" s="1">
        <f>[2]Sheet1!$R132*2</f>
        <v>18</v>
      </c>
    </row>
    <row r="132" spans="1:13" x14ac:dyDescent="0.15">
      <c r="A132" s="1">
        <v>131</v>
      </c>
      <c r="B132" s="1">
        <v>0</v>
      </c>
      <c r="C132" s="1">
        <v>100131</v>
      </c>
      <c r="D132" s="1" t="str">
        <f>[1]装备明细!$M133</f>
        <v>IC1889</v>
      </c>
      <c r="E132" s="1" t="str">
        <f>[1]装备明细!$C133</f>
        <v>青铜项链</v>
      </c>
      <c r="G132" s="1">
        <f>[1]装备明细!$J133</f>
        <v>0</v>
      </c>
      <c r="H132" s="1" t="str">
        <f>IF([1]装备明细!$G133&gt;=14,"",[1]装备明细!$G133-1)</f>
        <v/>
      </c>
      <c r="I132" s="1">
        <f>[1]装备明细!$F133</f>
        <v>3</v>
      </c>
      <c r="J132" s="1">
        <f>[1]装备明细!$L133</f>
        <v>5</v>
      </c>
      <c r="K132" s="1">
        <f>[1]装备明细!$E133</f>
        <v>1</v>
      </c>
      <c r="L132" s="1">
        <f t="shared" si="2"/>
        <v>1</v>
      </c>
      <c r="M132" s="1">
        <f>[2]Sheet1!$R133*2</f>
        <v>18</v>
      </c>
    </row>
    <row r="133" spans="1:13" x14ac:dyDescent="0.15">
      <c r="A133" s="1">
        <v>132</v>
      </c>
      <c r="B133" s="1">
        <v>0</v>
      </c>
      <c r="C133" s="1">
        <v>100132</v>
      </c>
      <c r="D133" s="1" t="str">
        <f>[1]装备明细!$M134</f>
        <v>IC1883</v>
      </c>
      <c r="E133" s="1" t="str">
        <f>[1]装备明细!$C134</f>
        <v>玄铁项链</v>
      </c>
      <c r="G133" s="1">
        <f>[1]装备明细!$J134</f>
        <v>0</v>
      </c>
      <c r="H133" s="1" t="str">
        <f>IF([1]装备明细!$G134&gt;=14,"",[1]装备明细!$G134-1)</f>
        <v/>
      </c>
      <c r="I133" s="1">
        <f>[1]装备明细!$F134</f>
        <v>3</v>
      </c>
      <c r="J133" s="1">
        <f>[1]装备明细!$L134</f>
        <v>6</v>
      </c>
      <c r="K133" s="1">
        <f>[1]装备明细!$E134</f>
        <v>1</v>
      </c>
      <c r="L133" s="1">
        <f t="shared" si="2"/>
        <v>1</v>
      </c>
      <c r="M133" s="1">
        <f>[2]Sheet1!$R134*2</f>
        <v>18</v>
      </c>
    </row>
    <row r="134" spans="1:13" x14ac:dyDescent="0.15">
      <c r="A134" s="1">
        <v>133</v>
      </c>
      <c r="B134" s="1">
        <v>0</v>
      </c>
      <c r="C134" s="1">
        <v>100133</v>
      </c>
      <c r="D134" s="1" t="str">
        <f>[1]装备明细!$M135</f>
        <v>IC1889</v>
      </c>
      <c r="E134" s="1" t="str">
        <f>[1]装备明细!$C135</f>
        <v>白银项链</v>
      </c>
      <c r="G134" s="1">
        <f>[1]装备明细!$J135</f>
        <v>0</v>
      </c>
      <c r="H134" s="1" t="str">
        <f>IF([1]装备明细!$G135&gt;=14,"",[1]装备明细!$G135-1)</f>
        <v/>
      </c>
      <c r="I134" s="1">
        <f>[1]装备明细!$F135</f>
        <v>3</v>
      </c>
      <c r="J134" s="1">
        <f>[1]装备明细!$L135</f>
        <v>7</v>
      </c>
      <c r="K134" s="1">
        <f>[1]装备明细!$E135</f>
        <v>1</v>
      </c>
      <c r="L134" s="1">
        <f t="shared" si="2"/>
        <v>1</v>
      </c>
      <c r="M134" s="1">
        <f>[2]Sheet1!$R135*2</f>
        <v>18</v>
      </c>
    </row>
    <row r="135" spans="1:13" x14ac:dyDescent="0.15">
      <c r="A135" s="1">
        <v>134</v>
      </c>
      <c r="B135" s="1">
        <v>0</v>
      </c>
      <c r="C135" s="1">
        <v>100134</v>
      </c>
      <c r="D135" s="1" t="str">
        <f>[1]装备明细!$M136</f>
        <v>IC1880</v>
      </c>
      <c r="E135" s="1" t="str">
        <f>[1]装备明细!$C136</f>
        <v>异灵项链</v>
      </c>
      <c r="G135" s="1">
        <f>[1]装备明细!$J136</f>
        <v>0</v>
      </c>
      <c r="H135" s="1" t="str">
        <f>IF([1]装备明细!$G136&gt;=14,"",[1]装备明细!$G136-1)</f>
        <v/>
      </c>
      <c r="I135" s="1">
        <f>[1]装备明细!$F136</f>
        <v>3</v>
      </c>
      <c r="J135" s="1">
        <f>[1]装备明细!$L136</f>
        <v>8</v>
      </c>
      <c r="K135" s="1">
        <f>[1]装备明细!$E136</f>
        <v>1</v>
      </c>
      <c r="L135" s="1">
        <f t="shared" si="2"/>
        <v>1</v>
      </c>
      <c r="M135" s="1">
        <f>[2]Sheet1!$R136*2</f>
        <v>18</v>
      </c>
    </row>
    <row r="136" spans="1:13" x14ac:dyDescent="0.15">
      <c r="A136" s="1">
        <v>135</v>
      </c>
      <c r="B136" s="1">
        <v>0</v>
      </c>
      <c r="C136" s="1">
        <v>100135</v>
      </c>
      <c r="D136" s="1" t="str">
        <f>[1]装备明细!$M137</f>
        <v>IC1882</v>
      </c>
      <c r="E136" s="1" t="str">
        <f>[1]装备明细!$C137</f>
        <v>流星项链</v>
      </c>
      <c r="G136" s="1">
        <f>[1]装备明细!$J137</f>
        <v>0</v>
      </c>
      <c r="H136" s="1" t="str">
        <f>IF([1]装备明细!$G137&gt;=14,"",[1]装备明细!$G137-1)</f>
        <v/>
      </c>
      <c r="I136" s="1">
        <f>[1]装备明细!$F137</f>
        <v>3</v>
      </c>
      <c r="J136" s="1">
        <f>[1]装备明细!$L137</f>
        <v>9</v>
      </c>
      <c r="K136" s="1">
        <f>[1]装备明细!$E137</f>
        <v>1</v>
      </c>
      <c r="L136" s="1">
        <f t="shared" si="2"/>
        <v>1</v>
      </c>
      <c r="M136" s="1">
        <f>[2]Sheet1!$R137*2</f>
        <v>18</v>
      </c>
    </row>
    <row r="137" spans="1:13" x14ac:dyDescent="0.15">
      <c r="A137" s="1">
        <v>136</v>
      </c>
      <c r="B137" s="1">
        <v>0</v>
      </c>
      <c r="C137" s="1">
        <v>100136</v>
      </c>
      <c r="D137" s="1" t="str">
        <f>[1]装备明细!$M138</f>
        <v>IC1002</v>
      </c>
      <c r="E137" s="1" t="str">
        <f>[1]装备明细!$C138</f>
        <v>学徒颓废锤</v>
      </c>
      <c r="G137" s="1">
        <f>[1]装备明细!$J138</f>
        <v>0</v>
      </c>
      <c r="H137" s="1">
        <f>IF([1]装备明细!$G138&gt;=14,"",[1]装备明细!$G138-1)</f>
        <v>0</v>
      </c>
      <c r="I137" s="1">
        <f>[1]装备明细!$F138</f>
        <v>1</v>
      </c>
      <c r="J137" s="1">
        <f>[1]装备明细!$L138</f>
        <v>1</v>
      </c>
      <c r="K137" s="1">
        <f>[1]装备明细!$E138</f>
        <v>2</v>
      </c>
      <c r="L137" s="1">
        <f t="shared" si="2"/>
        <v>2</v>
      </c>
      <c r="M137" s="1">
        <f>[2]Sheet1!$R138*2</f>
        <v>102</v>
      </c>
    </row>
    <row r="138" spans="1:13" x14ac:dyDescent="0.15">
      <c r="A138" s="1">
        <v>137</v>
      </c>
      <c r="B138" s="1">
        <v>0</v>
      </c>
      <c r="C138" s="1">
        <v>100137</v>
      </c>
      <c r="D138" s="1" t="str">
        <f>[1]装备明细!$M139</f>
        <v>IC1080</v>
      </c>
      <c r="E138" s="1" t="str">
        <f>[1]装备明细!$C139</f>
        <v>专家玄铁锤</v>
      </c>
      <c r="G138" s="1">
        <f>[1]装备明细!$J139</f>
        <v>0</v>
      </c>
      <c r="H138" s="1">
        <f>IF([1]装备明细!$G139&gt;=14,"",[1]装备明细!$G139-1)</f>
        <v>0</v>
      </c>
      <c r="I138" s="1">
        <f>[1]装备明细!$F139</f>
        <v>1</v>
      </c>
      <c r="J138" s="1">
        <f>[1]装备明细!$L139</f>
        <v>2</v>
      </c>
      <c r="K138" s="1">
        <f>[1]装备明细!$E139</f>
        <v>2</v>
      </c>
      <c r="L138" s="1">
        <f t="shared" si="2"/>
        <v>2</v>
      </c>
      <c r="M138" s="1">
        <f>[2]Sheet1!$R139*2</f>
        <v>162</v>
      </c>
    </row>
    <row r="139" spans="1:13" x14ac:dyDescent="0.15">
      <c r="A139" s="1">
        <v>138</v>
      </c>
      <c r="B139" s="1">
        <v>0</v>
      </c>
      <c r="C139" s="1">
        <v>100138</v>
      </c>
      <c r="D139" s="1" t="str">
        <f>[1]装备明细!$M140</f>
        <v>IC1001</v>
      </c>
      <c r="E139" s="1" t="str">
        <f>[1]装备明细!$C140</f>
        <v>大师水晶锤</v>
      </c>
      <c r="G139" s="1">
        <f>[1]装备明细!$J140</f>
        <v>0</v>
      </c>
      <c r="H139" s="1">
        <f>IF([1]装备明细!$G140&gt;=14,"",[1]装备明细!$G140-1)</f>
        <v>0</v>
      </c>
      <c r="I139" s="1">
        <f>[1]装备明细!$F140</f>
        <v>1</v>
      </c>
      <c r="J139" s="1">
        <f>[1]装备明细!$L140</f>
        <v>3</v>
      </c>
      <c r="K139" s="1">
        <f>[1]装备明细!$E140</f>
        <v>2</v>
      </c>
      <c r="L139" s="1">
        <f t="shared" si="2"/>
        <v>2</v>
      </c>
      <c r="M139" s="1">
        <f>[2]Sheet1!$R140*2</f>
        <v>162</v>
      </c>
    </row>
    <row r="140" spans="1:13" x14ac:dyDescent="0.15">
      <c r="A140" s="1">
        <v>139</v>
      </c>
      <c r="B140" s="1">
        <v>0</v>
      </c>
      <c r="C140" s="1">
        <v>100139</v>
      </c>
      <c r="D140" s="1" t="str">
        <f>[1]装备明细!$M141</f>
        <v>IC1006</v>
      </c>
      <c r="E140" s="1" t="str">
        <f>[1]装备明细!$C141</f>
        <v>宗师精钢锤</v>
      </c>
      <c r="G140" s="1">
        <f>[1]装备明细!$J141</f>
        <v>0</v>
      </c>
      <c r="H140" s="1">
        <f>IF([1]装备明细!$G141&gt;=14,"",[1]装备明细!$G141-1)</f>
        <v>0</v>
      </c>
      <c r="I140" s="1">
        <f>[1]装备明细!$F141</f>
        <v>1</v>
      </c>
      <c r="J140" s="1">
        <f>[1]装备明细!$L141</f>
        <v>4</v>
      </c>
      <c r="K140" s="1">
        <f>[1]装备明细!$E141</f>
        <v>2</v>
      </c>
      <c r="L140" s="1">
        <f t="shared" si="2"/>
        <v>2</v>
      </c>
      <c r="M140" s="1">
        <f>[2]Sheet1!$R141*2</f>
        <v>132</v>
      </c>
    </row>
    <row r="141" spans="1:13" x14ac:dyDescent="0.15">
      <c r="A141" s="1">
        <v>140</v>
      </c>
      <c r="B141" s="1">
        <v>0</v>
      </c>
      <c r="C141" s="1">
        <v>100140</v>
      </c>
      <c r="D141" s="1" t="str">
        <f>[1]装备明细!$M142</f>
        <v>IC1002</v>
      </c>
      <c r="E141" s="1" t="str">
        <f>[1]装备明细!$C142</f>
        <v>显赫白银锤</v>
      </c>
      <c r="G141" s="1">
        <f>[1]装备明细!$J142</f>
        <v>0</v>
      </c>
      <c r="H141" s="1">
        <f>IF([1]装备明细!$G142&gt;=14,"",[1]装备明细!$G142-1)</f>
        <v>0</v>
      </c>
      <c r="I141" s="1">
        <f>[1]装备明细!$F142</f>
        <v>1</v>
      </c>
      <c r="J141" s="1">
        <f>[1]装备明细!$L142</f>
        <v>5</v>
      </c>
      <c r="K141" s="1">
        <f>[1]装备明细!$E142</f>
        <v>2</v>
      </c>
      <c r="L141" s="1">
        <f t="shared" si="2"/>
        <v>2</v>
      </c>
      <c r="M141" s="1">
        <f>[2]Sheet1!$R142*2</f>
        <v>72</v>
      </c>
    </row>
    <row r="142" spans="1:13" x14ac:dyDescent="0.15">
      <c r="A142" s="1">
        <v>141</v>
      </c>
      <c r="B142" s="1">
        <v>0</v>
      </c>
      <c r="C142" s="1">
        <v>100141</v>
      </c>
      <c r="D142" s="1" t="str">
        <f>[1]装备明细!$M143</f>
        <v>IC1080</v>
      </c>
      <c r="E142" s="1" t="str">
        <f>[1]装备明细!$C143</f>
        <v>尊荣虚幻锤</v>
      </c>
      <c r="G142" s="1">
        <f>[1]装备明细!$J143</f>
        <v>0</v>
      </c>
      <c r="H142" s="1">
        <f>IF([1]装备明细!$G143&gt;=14,"",[1]装备明细!$G143-1)</f>
        <v>0</v>
      </c>
      <c r="I142" s="1">
        <f>[1]装备明细!$F143</f>
        <v>1</v>
      </c>
      <c r="J142" s="1">
        <f>[1]装备明细!$L143</f>
        <v>6</v>
      </c>
      <c r="K142" s="1">
        <f>[1]装备明细!$E143</f>
        <v>2</v>
      </c>
      <c r="L142" s="1">
        <f t="shared" si="2"/>
        <v>2</v>
      </c>
      <c r="M142" s="1">
        <f>[2]Sheet1!$R143*2</f>
        <v>102</v>
      </c>
    </row>
    <row r="143" spans="1:13" x14ac:dyDescent="0.15">
      <c r="A143" s="1">
        <v>142</v>
      </c>
      <c r="B143" s="1">
        <v>0</v>
      </c>
      <c r="C143" s="1">
        <v>100142</v>
      </c>
      <c r="D143" s="1" t="str">
        <f>[1]装备明细!$M144</f>
        <v>IC1001</v>
      </c>
      <c r="E143" s="1" t="str">
        <f>[1]装备明细!$C144</f>
        <v>至尊歌德锤</v>
      </c>
      <c r="G143" s="1">
        <f>[1]装备明细!$J144</f>
        <v>0</v>
      </c>
      <c r="H143" s="1">
        <f>IF([1]装备明细!$G144&gt;=14,"",[1]装备明细!$G144-1)</f>
        <v>0</v>
      </c>
      <c r="I143" s="1">
        <f>[1]装备明细!$F144</f>
        <v>1</v>
      </c>
      <c r="J143" s="1">
        <f>[1]装备明细!$L144</f>
        <v>7</v>
      </c>
      <c r="K143" s="1">
        <f>[1]装备明细!$E144</f>
        <v>2</v>
      </c>
      <c r="L143" s="1">
        <f t="shared" si="2"/>
        <v>2</v>
      </c>
      <c r="M143" s="1">
        <f>[2]Sheet1!$R144*2</f>
        <v>102</v>
      </c>
    </row>
    <row r="144" spans="1:13" x14ac:dyDescent="0.15">
      <c r="A144" s="1">
        <v>143</v>
      </c>
      <c r="B144" s="1">
        <v>0</v>
      </c>
      <c r="C144" s="1">
        <v>100143</v>
      </c>
      <c r="D144" s="1" t="str">
        <f>[1]装备明细!$M145</f>
        <v>IC1006</v>
      </c>
      <c r="E144" s="1" t="str">
        <f>[1]装备明细!$C145</f>
        <v>绝旨空灵锤</v>
      </c>
      <c r="G144" s="1">
        <f>[1]装备明细!$J145</f>
        <v>0</v>
      </c>
      <c r="H144" s="1">
        <f>IF([1]装备明细!$G145&gt;=14,"",[1]装备明细!$G145-1)</f>
        <v>0</v>
      </c>
      <c r="I144" s="1">
        <f>[1]装备明细!$F145</f>
        <v>1</v>
      </c>
      <c r="J144" s="1">
        <f>[1]装备明细!$L145</f>
        <v>8</v>
      </c>
      <c r="K144" s="1">
        <f>[1]装备明细!$E145</f>
        <v>2</v>
      </c>
      <c r="L144" s="1">
        <f t="shared" si="2"/>
        <v>2</v>
      </c>
      <c r="M144" s="1">
        <f>[2]Sheet1!$R145*2</f>
        <v>72</v>
      </c>
    </row>
    <row r="145" spans="1:13" x14ac:dyDescent="0.15">
      <c r="A145" s="1">
        <v>144</v>
      </c>
      <c r="B145" s="1">
        <v>0</v>
      </c>
      <c r="C145" s="1">
        <v>100144</v>
      </c>
      <c r="D145" s="1" t="str">
        <f>[1]装备明细!$M146</f>
        <v>IC1002</v>
      </c>
      <c r="E145" s="1" t="str">
        <f>[1]装备明细!$C146</f>
        <v>天工混乱锤</v>
      </c>
      <c r="G145" s="1">
        <f>[1]装备明细!$J146</f>
        <v>0</v>
      </c>
      <c r="H145" s="1">
        <f>IF([1]装备明细!$G146&gt;=14,"",[1]装备明细!$G146-1)</f>
        <v>0</v>
      </c>
      <c r="I145" s="1">
        <f>[1]装备明细!$F146</f>
        <v>1</v>
      </c>
      <c r="J145" s="1">
        <f>[1]装备明细!$L146</f>
        <v>9</v>
      </c>
      <c r="K145" s="1">
        <f>[1]装备明细!$E146</f>
        <v>2</v>
      </c>
      <c r="L145" s="1">
        <f t="shared" si="2"/>
        <v>2</v>
      </c>
      <c r="M145" s="1">
        <f>[2]Sheet1!$R146*2</f>
        <v>132</v>
      </c>
    </row>
    <row r="146" spans="1:13" x14ac:dyDescent="0.15">
      <c r="A146" s="1">
        <v>145</v>
      </c>
      <c r="B146" s="1">
        <v>0</v>
      </c>
      <c r="C146" s="1">
        <v>100145</v>
      </c>
      <c r="D146" s="1" t="str">
        <f>[1]装备明细!$M147</f>
        <v>IC1230</v>
      </c>
      <c r="E146" s="1" t="str">
        <f>[1]装备明细!$C147</f>
        <v>学徒颓废刀</v>
      </c>
      <c r="G146" s="1">
        <f>[1]装备明细!$J147</f>
        <v>0</v>
      </c>
      <c r="H146" s="1">
        <f>IF([1]装备明细!$G147&gt;=14,"",[1]装备明细!$G147-1)</f>
        <v>1</v>
      </c>
      <c r="I146" s="1">
        <f>[1]装备明细!$F147</f>
        <v>1</v>
      </c>
      <c r="J146" s="1">
        <f>[1]装备明细!$L147</f>
        <v>1</v>
      </c>
      <c r="K146" s="1">
        <f>[1]装备明细!$E147</f>
        <v>2</v>
      </c>
      <c r="L146" s="1">
        <f t="shared" si="2"/>
        <v>2</v>
      </c>
      <c r="M146" s="1">
        <f>[2]Sheet1!$R147*2</f>
        <v>162</v>
      </c>
    </row>
    <row r="147" spans="1:13" x14ac:dyDescent="0.15">
      <c r="A147" s="1">
        <v>146</v>
      </c>
      <c r="B147" s="1">
        <v>0</v>
      </c>
      <c r="C147" s="1">
        <v>100146</v>
      </c>
      <c r="D147" s="1" t="str">
        <f>[1]装备明细!$M148</f>
        <v>IC1280</v>
      </c>
      <c r="E147" s="1" t="str">
        <f>[1]装备明细!$C148</f>
        <v>专家玄铁刀</v>
      </c>
      <c r="G147" s="1">
        <f>[1]装备明细!$J148</f>
        <v>0</v>
      </c>
      <c r="H147" s="1">
        <f>IF([1]装备明细!$G148&gt;=14,"",[1]装备明细!$G148-1)</f>
        <v>1</v>
      </c>
      <c r="I147" s="1">
        <f>[1]装备明细!$F148</f>
        <v>1</v>
      </c>
      <c r="J147" s="1">
        <f>[1]装备明细!$L148</f>
        <v>2</v>
      </c>
      <c r="K147" s="1">
        <f>[1]装备明细!$E148</f>
        <v>2</v>
      </c>
      <c r="L147" s="1">
        <f t="shared" si="2"/>
        <v>2</v>
      </c>
      <c r="M147" s="1">
        <f>[2]Sheet1!$R148*2</f>
        <v>72</v>
      </c>
    </row>
    <row r="148" spans="1:13" x14ac:dyDescent="0.15">
      <c r="A148" s="1">
        <v>147</v>
      </c>
      <c r="B148" s="1">
        <v>0</v>
      </c>
      <c r="C148" s="1">
        <v>100147</v>
      </c>
      <c r="D148" s="1" t="str">
        <f>[1]装备明细!$M149</f>
        <v>IC1243</v>
      </c>
      <c r="E148" s="1" t="str">
        <f>[1]装备明细!$C149</f>
        <v>大师水晶刀</v>
      </c>
      <c r="G148" s="1">
        <f>[1]装备明细!$J149</f>
        <v>0</v>
      </c>
      <c r="H148" s="1">
        <f>IF([1]装备明细!$G149&gt;=14,"",[1]装备明细!$G149-1)</f>
        <v>1</v>
      </c>
      <c r="I148" s="1">
        <f>[1]装备明细!$F149</f>
        <v>1</v>
      </c>
      <c r="J148" s="1">
        <f>[1]装备明细!$L149</f>
        <v>3</v>
      </c>
      <c r="K148" s="1">
        <f>[1]装备明细!$E149</f>
        <v>2</v>
      </c>
      <c r="L148" s="1">
        <f t="shared" si="2"/>
        <v>2</v>
      </c>
      <c r="M148" s="1">
        <f>[2]Sheet1!$R149*2</f>
        <v>72</v>
      </c>
    </row>
    <row r="149" spans="1:13" x14ac:dyDescent="0.15">
      <c r="A149" s="1">
        <v>148</v>
      </c>
      <c r="B149" s="1">
        <v>0</v>
      </c>
      <c r="C149" s="1">
        <v>100148</v>
      </c>
      <c r="D149" s="1" t="str">
        <f>[1]装备明细!$M150</f>
        <v>IC1201</v>
      </c>
      <c r="E149" s="1" t="str">
        <f>[1]装备明细!$C150</f>
        <v>宗师精钢刀</v>
      </c>
      <c r="G149" s="1">
        <f>[1]装备明细!$J150</f>
        <v>0</v>
      </c>
      <c r="H149" s="1">
        <f>IF([1]装备明细!$G150&gt;=14,"",[1]装备明细!$G150-1)</f>
        <v>1</v>
      </c>
      <c r="I149" s="1">
        <f>[1]装备明细!$F150</f>
        <v>1</v>
      </c>
      <c r="J149" s="1">
        <f>[1]装备明细!$L150</f>
        <v>4</v>
      </c>
      <c r="K149" s="1">
        <f>[1]装备明细!$E150</f>
        <v>2</v>
      </c>
      <c r="L149" s="1">
        <f t="shared" si="2"/>
        <v>2</v>
      </c>
      <c r="M149" s="1">
        <f>[2]Sheet1!$R150*2</f>
        <v>72</v>
      </c>
    </row>
    <row r="150" spans="1:13" x14ac:dyDescent="0.15">
      <c r="A150" s="1">
        <v>149</v>
      </c>
      <c r="B150" s="1">
        <v>0</v>
      </c>
      <c r="C150" s="1">
        <v>100149</v>
      </c>
      <c r="D150" s="1" t="str">
        <f>[1]装备明细!$M151</f>
        <v>IC1213</v>
      </c>
      <c r="E150" s="1" t="str">
        <f>[1]装备明细!$C151</f>
        <v>显赫白银刀</v>
      </c>
      <c r="G150" s="1">
        <f>[1]装备明细!$J151</f>
        <v>0</v>
      </c>
      <c r="H150" s="1">
        <f>IF([1]装备明细!$G151&gt;=14,"",[1]装备明细!$G151-1)</f>
        <v>1</v>
      </c>
      <c r="I150" s="1">
        <f>[1]装备明细!$F151</f>
        <v>1</v>
      </c>
      <c r="J150" s="1">
        <f>[1]装备明细!$L151</f>
        <v>5</v>
      </c>
      <c r="K150" s="1">
        <f>[1]装备明细!$E151</f>
        <v>2</v>
      </c>
      <c r="L150" s="1">
        <f t="shared" si="2"/>
        <v>2</v>
      </c>
      <c r="M150" s="1">
        <f>[2]Sheet1!$R151*2</f>
        <v>102</v>
      </c>
    </row>
    <row r="151" spans="1:13" x14ac:dyDescent="0.15">
      <c r="A151" s="1">
        <v>150</v>
      </c>
      <c r="B151" s="1">
        <v>0</v>
      </c>
      <c r="C151" s="1">
        <v>100150</v>
      </c>
      <c r="D151" s="1" t="str">
        <f>[1]装备明细!$M152</f>
        <v>IC1280</v>
      </c>
      <c r="E151" s="1" t="str">
        <f>[1]装备明细!$C152</f>
        <v>尊荣虚幻刀</v>
      </c>
      <c r="G151" s="1">
        <f>[1]装备明细!$J152</f>
        <v>0</v>
      </c>
      <c r="H151" s="1">
        <f>IF([1]装备明细!$G152&gt;=14,"",[1]装备明细!$G152-1)</f>
        <v>1</v>
      </c>
      <c r="I151" s="1">
        <f>[1]装备明细!$F152</f>
        <v>1</v>
      </c>
      <c r="J151" s="1">
        <f>[1]装备明细!$L152</f>
        <v>6</v>
      </c>
      <c r="K151" s="1">
        <f>[1]装备明细!$E152</f>
        <v>2</v>
      </c>
      <c r="L151" s="1">
        <f t="shared" si="2"/>
        <v>2</v>
      </c>
      <c r="M151" s="1">
        <f>[2]Sheet1!$R152*2</f>
        <v>132</v>
      </c>
    </row>
    <row r="152" spans="1:13" x14ac:dyDescent="0.15">
      <c r="A152" s="1">
        <v>151</v>
      </c>
      <c r="B152" s="1">
        <v>0</v>
      </c>
      <c r="C152" s="1">
        <v>100151</v>
      </c>
      <c r="D152" s="1" t="str">
        <f>[1]装备明细!$M153</f>
        <v>IC1243</v>
      </c>
      <c r="E152" s="1" t="str">
        <f>[1]装备明细!$C153</f>
        <v>至尊歌德刀</v>
      </c>
      <c r="G152" s="1">
        <f>[1]装备明细!$J153</f>
        <v>0</v>
      </c>
      <c r="H152" s="1">
        <f>IF([1]装备明细!$G153&gt;=14,"",[1]装备明细!$G153-1)</f>
        <v>1</v>
      </c>
      <c r="I152" s="1">
        <f>[1]装备明细!$F153</f>
        <v>1</v>
      </c>
      <c r="J152" s="1">
        <f>[1]装备明细!$L153</f>
        <v>7</v>
      </c>
      <c r="K152" s="1">
        <f>[1]装备明细!$E153</f>
        <v>2</v>
      </c>
      <c r="L152" s="1">
        <f t="shared" si="2"/>
        <v>2</v>
      </c>
      <c r="M152" s="1">
        <f>[2]Sheet1!$R153*2</f>
        <v>72</v>
      </c>
    </row>
    <row r="153" spans="1:13" x14ac:dyDescent="0.15">
      <c r="A153" s="1">
        <v>152</v>
      </c>
      <c r="B153" s="1">
        <v>0</v>
      </c>
      <c r="C153" s="1">
        <v>100152</v>
      </c>
      <c r="D153" s="1" t="str">
        <f>[1]装备明细!$M154</f>
        <v>IC1201</v>
      </c>
      <c r="E153" s="1" t="str">
        <f>[1]装备明细!$C154</f>
        <v>绝旨空灵刀</v>
      </c>
      <c r="G153" s="1">
        <f>[1]装备明细!$J154</f>
        <v>0</v>
      </c>
      <c r="H153" s="1">
        <f>IF([1]装备明细!$G154&gt;=14,"",[1]装备明细!$G154-1)</f>
        <v>1</v>
      </c>
      <c r="I153" s="1">
        <f>[1]装备明细!$F154</f>
        <v>1</v>
      </c>
      <c r="J153" s="1">
        <f>[1]装备明细!$L154</f>
        <v>8</v>
      </c>
      <c r="K153" s="1">
        <f>[1]装备明细!$E154</f>
        <v>2</v>
      </c>
      <c r="L153" s="1">
        <f t="shared" si="2"/>
        <v>2</v>
      </c>
      <c r="M153" s="1">
        <f>[2]Sheet1!$R154*2</f>
        <v>102</v>
      </c>
    </row>
    <row r="154" spans="1:13" x14ac:dyDescent="0.15">
      <c r="A154" s="1">
        <v>153</v>
      </c>
      <c r="B154" s="1">
        <v>0</v>
      </c>
      <c r="C154" s="1">
        <v>100153</v>
      </c>
      <c r="D154" s="1" t="str">
        <f>[1]装备明细!$M155</f>
        <v>IC1213</v>
      </c>
      <c r="E154" s="1" t="str">
        <f>[1]装备明细!$C155</f>
        <v>天工混乱刀</v>
      </c>
      <c r="G154" s="1">
        <f>[1]装备明细!$J155</f>
        <v>0</v>
      </c>
      <c r="H154" s="1">
        <f>IF([1]装备明细!$G155&gt;=14,"",[1]装备明细!$G155-1)</f>
        <v>1</v>
      </c>
      <c r="I154" s="1">
        <f>[1]装备明细!$F155</f>
        <v>1</v>
      </c>
      <c r="J154" s="1">
        <f>[1]装备明细!$L155</f>
        <v>9</v>
      </c>
      <c r="K154" s="1">
        <f>[1]装备明细!$E155</f>
        <v>2</v>
      </c>
      <c r="L154" s="1">
        <f t="shared" si="2"/>
        <v>2</v>
      </c>
      <c r="M154" s="1">
        <f>[2]Sheet1!$R155*2</f>
        <v>72</v>
      </c>
    </row>
    <row r="155" spans="1:13" x14ac:dyDescent="0.15">
      <c r="A155" s="1">
        <v>154</v>
      </c>
      <c r="B155" s="1">
        <v>0</v>
      </c>
      <c r="C155" s="1">
        <v>100154</v>
      </c>
      <c r="D155" s="1" t="str">
        <f>[1]装备明细!$M156</f>
        <v>IC1510</v>
      </c>
      <c r="E155" s="1" t="str">
        <f>[1]装备明细!$C156</f>
        <v>学徒颓废拳套</v>
      </c>
      <c r="G155" s="1">
        <f>[1]装备明细!$J156</f>
        <v>0</v>
      </c>
      <c r="H155" s="1">
        <f>IF([1]装备明细!$G156&gt;=14,"",[1]装备明细!$G156-1)</f>
        <v>2</v>
      </c>
      <c r="I155" s="1">
        <f>[1]装备明细!$F156</f>
        <v>1</v>
      </c>
      <c r="J155" s="1">
        <f>[1]装备明细!$L156</f>
        <v>1</v>
      </c>
      <c r="K155" s="1">
        <f>[1]装备明细!$E156</f>
        <v>2</v>
      </c>
      <c r="L155" s="1">
        <f t="shared" si="2"/>
        <v>2</v>
      </c>
      <c r="M155" s="1">
        <f>[2]Sheet1!$R156*2</f>
        <v>162</v>
      </c>
    </row>
    <row r="156" spans="1:13" x14ac:dyDescent="0.15">
      <c r="A156" s="1">
        <v>155</v>
      </c>
      <c r="B156" s="1">
        <v>0</v>
      </c>
      <c r="C156" s="1">
        <v>100155</v>
      </c>
      <c r="D156" s="1" t="str">
        <f>[1]装备明细!$M157</f>
        <v>IC1513</v>
      </c>
      <c r="E156" s="1" t="str">
        <f>[1]装备明细!$C157</f>
        <v>专家玄铁拳套</v>
      </c>
      <c r="G156" s="1">
        <f>[1]装备明细!$J157</f>
        <v>0</v>
      </c>
      <c r="H156" s="1">
        <f>IF([1]装备明细!$G157&gt;=14,"",[1]装备明细!$G157-1)</f>
        <v>2</v>
      </c>
      <c r="I156" s="1">
        <f>[1]装备明细!$F157</f>
        <v>1</v>
      </c>
      <c r="J156" s="1">
        <f>[1]装备明细!$L157</f>
        <v>2</v>
      </c>
      <c r="K156" s="1">
        <f>[1]装备明细!$E157</f>
        <v>2</v>
      </c>
      <c r="L156" s="1">
        <f t="shared" si="2"/>
        <v>2</v>
      </c>
      <c r="M156" s="1">
        <f>[2]Sheet1!$R157*2</f>
        <v>132</v>
      </c>
    </row>
    <row r="157" spans="1:13" x14ac:dyDescent="0.15">
      <c r="A157" s="1">
        <v>156</v>
      </c>
      <c r="B157" s="1">
        <v>0</v>
      </c>
      <c r="C157" s="1">
        <v>100156</v>
      </c>
      <c r="D157" s="1" t="str">
        <f>[1]装备明细!$M158</f>
        <v>IC1517</v>
      </c>
      <c r="E157" s="1" t="str">
        <f>[1]装备明细!$C158</f>
        <v>大师水晶拳套</v>
      </c>
      <c r="G157" s="1">
        <f>[1]装备明细!$J158</f>
        <v>0</v>
      </c>
      <c r="H157" s="1">
        <f>IF([1]装备明细!$G158&gt;=14,"",[1]装备明细!$G158-1)</f>
        <v>2</v>
      </c>
      <c r="I157" s="1">
        <f>[1]装备明细!$F158</f>
        <v>1</v>
      </c>
      <c r="J157" s="1">
        <f>[1]装备明细!$L158</f>
        <v>3</v>
      </c>
      <c r="K157" s="1">
        <f>[1]装备明细!$E158</f>
        <v>2</v>
      </c>
      <c r="L157" s="1">
        <f t="shared" si="2"/>
        <v>2</v>
      </c>
      <c r="M157" s="1">
        <f>[2]Sheet1!$R158*2</f>
        <v>132</v>
      </c>
    </row>
    <row r="158" spans="1:13" x14ac:dyDescent="0.15">
      <c r="A158" s="1">
        <v>157</v>
      </c>
      <c r="B158" s="1">
        <v>0</v>
      </c>
      <c r="C158" s="1">
        <v>100157</v>
      </c>
      <c r="D158" s="1" t="str">
        <f>[1]装备明细!$M159</f>
        <v>IC1522</v>
      </c>
      <c r="E158" s="1" t="str">
        <f>[1]装备明细!$C159</f>
        <v>宗师精钢拳套</v>
      </c>
      <c r="G158" s="1">
        <f>[1]装备明细!$J159</f>
        <v>0</v>
      </c>
      <c r="H158" s="1">
        <f>IF([1]装备明细!$G159&gt;=14,"",[1]装备明细!$G159-1)</f>
        <v>2</v>
      </c>
      <c r="I158" s="1">
        <f>[1]装备明细!$F159</f>
        <v>1</v>
      </c>
      <c r="J158" s="1">
        <f>[1]装备明细!$L159</f>
        <v>4</v>
      </c>
      <c r="K158" s="1">
        <f>[1]装备明细!$E159</f>
        <v>2</v>
      </c>
      <c r="L158" s="1">
        <f t="shared" si="2"/>
        <v>2</v>
      </c>
      <c r="M158" s="1">
        <f>[2]Sheet1!$R159*2</f>
        <v>132</v>
      </c>
    </row>
    <row r="159" spans="1:13" x14ac:dyDescent="0.15">
      <c r="A159" s="1">
        <v>158</v>
      </c>
      <c r="B159" s="1">
        <v>0</v>
      </c>
      <c r="C159" s="1">
        <v>100158</v>
      </c>
      <c r="D159" s="1" t="str">
        <f>[1]装备明细!$M160</f>
        <v>IC1526</v>
      </c>
      <c r="E159" s="1" t="str">
        <f>[1]装备明细!$C160</f>
        <v>显赫白银拳套</v>
      </c>
      <c r="G159" s="1">
        <f>[1]装备明细!$J160</f>
        <v>0</v>
      </c>
      <c r="H159" s="1">
        <f>IF([1]装备明细!$G160&gt;=14,"",[1]装备明细!$G160-1)</f>
        <v>2</v>
      </c>
      <c r="I159" s="1">
        <f>[1]装备明细!$F160</f>
        <v>1</v>
      </c>
      <c r="J159" s="1">
        <f>[1]装备明细!$L160</f>
        <v>5</v>
      </c>
      <c r="K159" s="1">
        <f>[1]装备明细!$E160</f>
        <v>2</v>
      </c>
      <c r="L159" s="1">
        <f t="shared" si="2"/>
        <v>2</v>
      </c>
      <c r="M159" s="1">
        <f>[2]Sheet1!$R160*2</f>
        <v>102</v>
      </c>
    </row>
    <row r="160" spans="1:13" x14ac:dyDescent="0.15">
      <c r="A160" s="1">
        <v>159</v>
      </c>
      <c r="B160" s="1">
        <v>0</v>
      </c>
      <c r="C160" s="1">
        <v>100159</v>
      </c>
      <c r="D160" s="1" t="str">
        <f>[1]装备明细!$M161</f>
        <v>IC1537</v>
      </c>
      <c r="E160" s="1" t="str">
        <f>[1]装备明细!$C161</f>
        <v>尊荣虚幻拳套</v>
      </c>
      <c r="G160" s="1">
        <f>[1]装备明细!$J161</f>
        <v>0</v>
      </c>
      <c r="H160" s="1">
        <f>IF([1]装备明细!$G161&gt;=14,"",[1]装备明细!$G161-1)</f>
        <v>2</v>
      </c>
      <c r="I160" s="1">
        <f>[1]装备明细!$F161</f>
        <v>1</v>
      </c>
      <c r="J160" s="1">
        <f>[1]装备明细!$L161</f>
        <v>6</v>
      </c>
      <c r="K160" s="1">
        <f>[1]装备明细!$E161</f>
        <v>2</v>
      </c>
      <c r="L160" s="1">
        <f t="shared" si="2"/>
        <v>2</v>
      </c>
      <c r="M160" s="1">
        <f>[2]Sheet1!$R161*2</f>
        <v>132</v>
      </c>
    </row>
    <row r="161" spans="1:13" x14ac:dyDescent="0.15">
      <c r="A161" s="1">
        <v>160</v>
      </c>
      <c r="B161" s="1">
        <v>0</v>
      </c>
      <c r="C161" s="1">
        <v>100160</v>
      </c>
      <c r="D161" s="1" t="str">
        <f>[1]装备明细!$M162</f>
        <v>IC1517</v>
      </c>
      <c r="E161" s="1" t="str">
        <f>[1]装备明细!$C162</f>
        <v>至尊歌德拳套</v>
      </c>
      <c r="G161" s="1">
        <f>[1]装备明细!$J162</f>
        <v>0</v>
      </c>
      <c r="H161" s="1">
        <f>IF([1]装备明细!$G162&gt;=14,"",[1]装备明细!$G162-1)</f>
        <v>2</v>
      </c>
      <c r="I161" s="1">
        <f>[1]装备明细!$F162</f>
        <v>1</v>
      </c>
      <c r="J161" s="1">
        <f>[1]装备明细!$L162</f>
        <v>7</v>
      </c>
      <c r="K161" s="1">
        <f>[1]装备明细!$E162</f>
        <v>2</v>
      </c>
      <c r="L161" s="1">
        <f t="shared" si="2"/>
        <v>2</v>
      </c>
      <c r="M161" s="1">
        <f>[2]Sheet1!$R162*2</f>
        <v>132</v>
      </c>
    </row>
    <row r="162" spans="1:13" x14ac:dyDescent="0.15">
      <c r="A162" s="1">
        <v>161</v>
      </c>
      <c r="B162" s="1">
        <v>0</v>
      </c>
      <c r="C162" s="1">
        <v>100161</v>
      </c>
      <c r="D162" s="1" t="str">
        <f>[1]装备明细!$M163</f>
        <v>IC1522</v>
      </c>
      <c r="E162" s="1" t="str">
        <f>[1]装备明细!$C163</f>
        <v>绝旨空灵拳套</v>
      </c>
      <c r="G162" s="1">
        <f>[1]装备明细!$J163</f>
        <v>0</v>
      </c>
      <c r="H162" s="1">
        <f>IF([1]装备明细!$G163&gt;=14,"",[1]装备明细!$G163-1)</f>
        <v>2</v>
      </c>
      <c r="I162" s="1">
        <f>[1]装备明细!$F163</f>
        <v>1</v>
      </c>
      <c r="J162" s="1">
        <f>[1]装备明细!$L163</f>
        <v>8</v>
      </c>
      <c r="K162" s="1">
        <f>[1]装备明细!$E163</f>
        <v>2</v>
      </c>
      <c r="L162" s="1">
        <f t="shared" si="2"/>
        <v>2</v>
      </c>
      <c r="M162" s="1">
        <f>[2]Sheet1!$R163*2</f>
        <v>132</v>
      </c>
    </row>
    <row r="163" spans="1:13" x14ac:dyDescent="0.15">
      <c r="A163" s="1">
        <v>162</v>
      </c>
      <c r="B163" s="1">
        <v>0</v>
      </c>
      <c r="C163" s="1">
        <v>100162</v>
      </c>
      <c r="D163" s="1" t="str">
        <f>[1]装备明细!$M164</f>
        <v>IC1526</v>
      </c>
      <c r="E163" s="1" t="str">
        <f>[1]装备明细!$C164</f>
        <v>天工混乱拳套</v>
      </c>
      <c r="G163" s="1">
        <f>[1]装备明细!$J164</f>
        <v>0</v>
      </c>
      <c r="H163" s="1">
        <f>IF([1]装备明细!$G164&gt;=14,"",[1]装备明细!$G164-1)</f>
        <v>2</v>
      </c>
      <c r="I163" s="1">
        <f>[1]装备明细!$F164</f>
        <v>1</v>
      </c>
      <c r="J163" s="1">
        <f>[1]装备明细!$L164</f>
        <v>9</v>
      </c>
      <c r="K163" s="1">
        <f>[1]装备明细!$E164</f>
        <v>2</v>
      </c>
      <c r="L163" s="1">
        <f t="shared" si="2"/>
        <v>2</v>
      </c>
      <c r="M163" s="1">
        <f>[2]Sheet1!$R164*2</f>
        <v>162</v>
      </c>
    </row>
    <row r="164" spans="1:13" x14ac:dyDescent="0.15">
      <c r="A164" s="1">
        <v>163</v>
      </c>
      <c r="B164" s="1">
        <v>0</v>
      </c>
      <c r="C164" s="1">
        <v>100163</v>
      </c>
      <c r="D164" s="1" t="str">
        <f>[1]装备明细!$M165</f>
        <v>IC1651</v>
      </c>
      <c r="E164" s="1" t="str">
        <f>[1]装备明细!$C165</f>
        <v>学徒颓废枪</v>
      </c>
      <c r="G164" s="1">
        <f>[1]装备明细!$J165</f>
        <v>0</v>
      </c>
      <c r="H164" s="1">
        <f>IF([1]装备明细!$G165&gt;=14,"",[1]装备明细!$G165-1)</f>
        <v>3</v>
      </c>
      <c r="I164" s="1">
        <f>[1]装备明细!$F165</f>
        <v>1</v>
      </c>
      <c r="J164" s="1">
        <f>[1]装备明细!$L165</f>
        <v>1</v>
      </c>
      <c r="K164" s="1">
        <f>[1]装备明细!$E165</f>
        <v>2</v>
      </c>
      <c r="L164" s="1">
        <f t="shared" si="2"/>
        <v>2</v>
      </c>
      <c r="M164" s="1">
        <f>[2]Sheet1!$R165*2</f>
        <v>132</v>
      </c>
    </row>
    <row r="165" spans="1:13" x14ac:dyDescent="0.15">
      <c r="A165" s="1">
        <v>164</v>
      </c>
      <c r="B165" s="1">
        <v>0</v>
      </c>
      <c r="C165" s="1">
        <v>100164</v>
      </c>
      <c r="D165" s="1" t="str">
        <f>[1]装备明细!$M166</f>
        <v>IC1650</v>
      </c>
      <c r="E165" s="1" t="str">
        <f>[1]装备明细!$C166</f>
        <v>专家玄铁枪</v>
      </c>
      <c r="G165" s="1">
        <f>[1]装备明细!$J166</f>
        <v>0</v>
      </c>
      <c r="H165" s="1">
        <f>IF([1]装备明细!$G166&gt;=14,"",[1]装备明细!$G166-1)</f>
        <v>3</v>
      </c>
      <c r="I165" s="1">
        <f>[1]装备明细!$F166</f>
        <v>1</v>
      </c>
      <c r="J165" s="1">
        <f>[1]装备明细!$L166</f>
        <v>2</v>
      </c>
      <c r="K165" s="1">
        <f>[1]装备明细!$E166</f>
        <v>2</v>
      </c>
      <c r="L165" s="1">
        <f t="shared" si="2"/>
        <v>2</v>
      </c>
      <c r="M165" s="1">
        <f>[2]Sheet1!$R166*2</f>
        <v>132</v>
      </c>
    </row>
    <row r="166" spans="1:13" x14ac:dyDescent="0.15">
      <c r="A166" s="1">
        <v>165</v>
      </c>
      <c r="B166" s="1">
        <v>0</v>
      </c>
      <c r="C166" s="1">
        <v>100165</v>
      </c>
      <c r="D166" s="1" t="str">
        <f>[1]装备明细!$M167</f>
        <v>IC1655</v>
      </c>
      <c r="E166" s="1" t="str">
        <f>[1]装备明细!$C167</f>
        <v>大师水晶枪</v>
      </c>
      <c r="G166" s="1">
        <f>[1]装备明细!$J167</f>
        <v>0</v>
      </c>
      <c r="H166" s="1">
        <f>IF([1]装备明细!$G167&gt;=14,"",[1]装备明细!$G167-1)</f>
        <v>3</v>
      </c>
      <c r="I166" s="1">
        <f>[1]装备明细!$F167</f>
        <v>1</v>
      </c>
      <c r="J166" s="1">
        <f>[1]装备明细!$L167</f>
        <v>3</v>
      </c>
      <c r="K166" s="1">
        <f>[1]装备明细!$E167</f>
        <v>2</v>
      </c>
      <c r="L166" s="1">
        <f t="shared" si="2"/>
        <v>2</v>
      </c>
      <c r="M166" s="1">
        <f>[2]Sheet1!$R167*2</f>
        <v>162</v>
      </c>
    </row>
    <row r="167" spans="1:13" x14ac:dyDescent="0.15">
      <c r="A167" s="1">
        <v>166</v>
      </c>
      <c r="B167" s="1">
        <v>0</v>
      </c>
      <c r="C167" s="1">
        <v>100166</v>
      </c>
      <c r="D167" s="1" t="str">
        <f>[1]装备明细!$M168</f>
        <v>IC1665</v>
      </c>
      <c r="E167" s="1" t="str">
        <f>[1]装备明细!$C168</f>
        <v>宗师精钢枪</v>
      </c>
      <c r="G167" s="1">
        <f>[1]装备明细!$J168</f>
        <v>0</v>
      </c>
      <c r="H167" s="1">
        <f>IF([1]装备明细!$G168&gt;=14,"",[1]装备明细!$G168-1)</f>
        <v>3</v>
      </c>
      <c r="I167" s="1">
        <f>[1]装备明细!$F168</f>
        <v>1</v>
      </c>
      <c r="J167" s="1">
        <f>[1]装备明细!$L168</f>
        <v>4</v>
      </c>
      <c r="K167" s="1">
        <f>[1]装备明细!$E168</f>
        <v>2</v>
      </c>
      <c r="L167" s="1">
        <f t="shared" si="2"/>
        <v>2</v>
      </c>
      <c r="M167" s="1">
        <f>[2]Sheet1!$R168*2</f>
        <v>162</v>
      </c>
    </row>
    <row r="168" spans="1:13" x14ac:dyDescent="0.15">
      <c r="A168" s="1">
        <v>167</v>
      </c>
      <c r="B168" s="1">
        <v>0</v>
      </c>
      <c r="C168" s="1">
        <v>100167</v>
      </c>
      <c r="D168" s="1" t="str">
        <f>[1]装备明细!$M169</f>
        <v>IC1670</v>
      </c>
      <c r="E168" s="1" t="str">
        <f>[1]装备明细!$C169</f>
        <v>显赫白银枪</v>
      </c>
      <c r="G168" s="1">
        <f>[1]装备明细!$J169</f>
        <v>0</v>
      </c>
      <c r="H168" s="1">
        <f>IF([1]装备明细!$G169&gt;=14,"",[1]装备明细!$G169-1)</f>
        <v>3</v>
      </c>
      <c r="I168" s="1">
        <f>[1]装备明细!$F169</f>
        <v>1</v>
      </c>
      <c r="J168" s="1">
        <f>[1]装备明细!$L169</f>
        <v>5</v>
      </c>
      <c r="K168" s="1">
        <f>[1]装备明细!$E169</f>
        <v>2</v>
      </c>
      <c r="L168" s="1">
        <f t="shared" si="2"/>
        <v>2</v>
      </c>
      <c r="M168" s="1">
        <f>[2]Sheet1!$R169*2</f>
        <v>72</v>
      </c>
    </row>
    <row r="169" spans="1:13" x14ac:dyDescent="0.15">
      <c r="A169" s="1">
        <v>168</v>
      </c>
      <c r="B169" s="1">
        <v>0</v>
      </c>
      <c r="C169" s="1">
        <v>100168</v>
      </c>
      <c r="D169" s="1" t="str">
        <f>[1]装备明细!$M170</f>
        <v>IC1651</v>
      </c>
      <c r="E169" s="1" t="str">
        <f>[1]装备明细!$C170</f>
        <v>尊荣虚幻枪</v>
      </c>
      <c r="G169" s="1">
        <f>[1]装备明细!$J170</f>
        <v>0</v>
      </c>
      <c r="H169" s="1">
        <f>IF([1]装备明细!$G170&gt;=14,"",[1]装备明细!$G170-1)</f>
        <v>3</v>
      </c>
      <c r="I169" s="1">
        <f>[1]装备明细!$F170</f>
        <v>1</v>
      </c>
      <c r="J169" s="1">
        <f>[1]装备明细!$L170</f>
        <v>6</v>
      </c>
      <c r="K169" s="1">
        <f>[1]装备明细!$E170</f>
        <v>2</v>
      </c>
      <c r="L169" s="1">
        <f t="shared" si="2"/>
        <v>2</v>
      </c>
      <c r="M169" s="1">
        <f>[2]Sheet1!$R170*2</f>
        <v>132</v>
      </c>
    </row>
    <row r="170" spans="1:13" x14ac:dyDescent="0.15">
      <c r="A170" s="1">
        <v>169</v>
      </c>
      <c r="B170" s="1">
        <v>0</v>
      </c>
      <c r="C170" s="1">
        <v>100169</v>
      </c>
      <c r="D170" s="1" t="str">
        <f>[1]装备明细!$M171</f>
        <v>IC1650</v>
      </c>
      <c r="E170" s="1" t="str">
        <f>[1]装备明细!$C171</f>
        <v>至尊歌德枪</v>
      </c>
      <c r="G170" s="1">
        <f>[1]装备明细!$J171</f>
        <v>0</v>
      </c>
      <c r="H170" s="1">
        <f>IF([1]装备明细!$G171&gt;=14,"",[1]装备明细!$G171-1)</f>
        <v>3</v>
      </c>
      <c r="I170" s="1">
        <f>[1]装备明细!$F171</f>
        <v>1</v>
      </c>
      <c r="J170" s="1">
        <f>[1]装备明细!$L171</f>
        <v>7</v>
      </c>
      <c r="K170" s="1">
        <f>[1]装备明细!$E171</f>
        <v>2</v>
      </c>
      <c r="L170" s="1">
        <f t="shared" si="2"/>
        <v>2</v>
      </c>
      <c r="M170" s="1">
        <f>[2]Sheet1!$R171*2</f>
        <v>72</v>
      </c>
    </row>
    <row r="171" spans="1:13" x14ac:dyDescent="0.15">
      <c r="A171" s="1">
        <v>170</v>
      </c>
      <c r="B171" s="1">
        <v>0</v>
      </c>
      <c r="C171" s="1">
        <v>100170</v>
      </c>
      <c r="D171" s="1" t="str">
        <f>[1]装备明细!$M172</f>
        <v>IC1655</v>
      </c>
      <c r="E171" s="1" t="str">
        <f>[1]装备明细!$C172</f>
        <v>绝旨空灵枪</v>
      </c>
      <c r="G171" s="1">
        <f>[1]装备明细!$J172</f>
        <v>0</v>
      </c>
      <c r="H171" s="1">
        <f>IF([1]装备明细!$G172&gt;=14,"",[1]装备明细!$G172-1)</f>
        <v>3</v>
      </c>
      <c r="I171" s="1">
        <f>[1]装备明细!$F172</f>
        <v>1</v>
      </c>
      <c r="J171" s="1">
        <f>[1]装备明细!$L172</f>
        <v>8</v>
      </c>
      <c r="K171" s="1">
        <f>[1]装备明细!$E172</f>
        <v>2</v>
      </c>
      <c r="L171" s="1">
        <f t="shared" si="2"/>
        <v>2</v>
      </c>
      <c r="M171" s="1">
        <f>[2]Sheet1!$R172*2</f>
        <v>162</v>
      </c>
    </row>
    <row r="172" spans="1:13" x14ac:dyDescent="0.15">
      <c r="A172" s="1">
        <v>171</v>
      </c>
      <c r="B172" s="1">
        <v>0</v>
      </c>
      <c r="C172" s="1">
        <v>100171</v>
      </c>
      <c r="D172" s="1" t="str">
        <f>[1]装备明细!$M173</f>
        <v>IC1665</v>
      </c>
      <c r="E172" s="1" t="str">
        <f>[1]装备明细!$C173</f>
        <v>天工混乱枪</v>
      </c>
      <c r="G172" s="1">
        <f>[1]装备明细!$J173</f>
        <v>0</v>
      </c>
      <c r="H172" s="1">
        <f>IF([1]装备明细!$G173&gt;=14,"",[1]装备明细!$G173-1)</f>
        <v>3</v>
      </c>
      <c r="I172" s="1">
        <f>[1]装备明细!$F173</f>
        <v>1</v>
      </c>
      <c r="J172" s="1">
        <f>[1]装备明细!$L173</f>
        <v>9</v>
      </c>
      <c r="K172" s="1">
        <f>[1]装备明细!$E173</f>
        <v>2</v>
      </c>
      <c r="L172" s="1">
        <f t="shared" si="2"/>
        <v>2</v>
      </c>
      <c r="M172" s="1">
        <f>[2]Sheet1!$R173*2</f>
        <v>162</v>
      </c>
    </row>
    <row r="173" spans="1:13" x14ac:dyDescent="0.15">
      <c r="A173" s="1">
        <v>172</v>
      </c>
      <c r="B173" s="1">
        <v>0</v>
      </c>
      <c r="C173" s="1">
        <v>100172</v>
      </c>
      <c r="D173" s="1" t="str">
        <f>[1]装备明细!$M174</f>
        <v>IC1708</v>
      </c>
      <c r="E173" s="1" t="str">
        <f>[1]装备明细!$C174</f>
        <v>学徒颓废镰刀</v>
      </c>
      <c r="G173" s="1">
        <f>[1]装备明细!$J174</f>
        <v>0</v>
      </c>
      <c r="H173" s="1">
        <f>IF([1]装备明细!$G174&gt;=14,"",[1]装备明细!$G174-1)</f>
        <v>4</v>
      </c>
      <c r="I173" s="1">
        <f>[1]装备明细!$F174</f>
        <v>1</v>
      </c>
      <c r="J173" s="1">
        <f>[1]装备明细!$L174</f>
        <v>1</v>
      </c>
      <c r="K173" s="1">
        <f>[1]装备明细!$E174</f>
        <v>2</v>
      </c>
      <c r="L173" s="1">
        <f t="shared" si="2"/>
        <v>2</v>
      </c>
      <c r="M173" s="1">
        <f>[2]Sheet1!$R174*2</f>
        <v>72</v>
      </c>
    </row>
    <row r="174" spans="1:13" x14ac:dyDescent="0.15">
      <c r="A174" s="1">
        <v>173</v>
      </c>
      <c r="B174" s="1">
        <v>0</v>
      </c>
      <c r="C174" s="1">
        <v>100173</v>
      </c>
      <c r="D174" s="1" t="str">
        <f>[1]装备明细!$M175</f>
        <v>IC1703</v>
      </c>
      <c r="E174" s="1" t="str">
        <f>[1]装备明细!$C175</f>
        <v>专家玄铁镰刀</v>
      </c>
      <c r="G174" s="1">
        <f>[1]装备明细!$J175</f>
        <v>0</v>
      </c>
      <c r="H174" s="1">
        <f>IF([1]装备明细!$G175&gt;=14,"",[1]装备明细!$G175-1)</f>
        <v>4</v>
      </c>
      <c r="I174" s="1">
        <f>[1]装备明细!$F175</f>
        <v>1</v>
      </c>
      <c r="J174" s="1">
        <f>[1]装备明细!$L175</f>
        <v>2</v>
      </c>
      <c r="K174" s="1">
        <f>[1]装备明细!$E175</f>
        <v>2</v>
      </c>
      <c r="L174" s="1">
        <f t="shared" si="2"/>
        <v>2</v>
      </c>
      <c r="M174" s="1">
        <f>[2]Sheet1!$R175*2</f>
        <v>132</v>
      </c>
    </row>
    <row r="175" spans="1:13" x14ac:dyDescent="0.15">
      <c r="A175" s="1">
        <v>174</v>
      </c>
      <c r="B175" s="1">
        <v>0</v>
      </c>
      <c r="C175" s="1">
        <v>100174</v>
      </c>
      <c r="D175" s="1" t="str">
        <f>[1]装备明细!$M176</f>
        <v>IC1714</v>
      </c>
      <c r="E175" s="1" t="str">
        <f>[1]装备明细!$C176</f>
        <v>大师水晶镰刀</v>
      </c>
      <c r="G175" s="1">
        <f>[1]装备明细!$J176</f>
        <v>0</v>
      </c>
      <c r="H175" s="1">
        <f>IF([1]装备明细!$G176&gt;=14,"",[1]装备明细!$G176-1)</f>
        <v>4</v>
      </c>
      <c r="I175" s="1">
        <f>[1]装备明细!$F176</f>
        <v>1</v>
      </c>
      <c r="J175" s="1">
        <f>[1]装备明细!$L176</f>
        <v>3</v>
      </c>
      <c r="K175" s="1">
        <f>[1]装备明细!$E176</f>
        <v>2</v>
      </c>
      <c r="L175" s="1">
        <f t="shared" si="2"/>
        <v>2</v>
      </c>
      <c r="M175" s="1">
        <f>[2]Sheet1!$R176*2</f>
        <v>132</v>
      </c>
    </row>
    <row r="176" spans="1:13" x14ac:dyDescent="0.15">
      <c r="A176" s="1">
        <v>175</v>
      </c>
      <c r="B176" s="1">
        <v>0</v>
      </c>
      <c r="C176" s="1">
        <v>100175</v>
      </c>
      <c r="D176" s="1" t="str">
        <f>[1]装备明细!$M177</f>
        <v>IC1710</v>
      </c>
      <c r="E176" s="1" t="str">
        <f>[1]装备明细!$C177</f>
        <v>宗师精钢镰刀</v>
      </c>
      <c r="G176" s="1">
        <f>[1]装备明细!$J177</f>
        <v>0</v>
      </c>
      <c r="H176" s="1">
        <f>IF([1]装备明细!$G177&gt;=14,"",[1]装备明细!$G177-1)</f>
        <v>4</v>
      </c>
      <c r="I176" s="1">
        <f>[1]装备明细!$F177</f>
        <v>1</v>
      </c>
      <c r="J176" s="1">
        <f>[1]装备明细!$L177</f>
        <v>4</v>
      </c>
      <c r="K176" s="1">
        <f>[1]装备明细!$E177</f>
        <v>2</v>
      </c>
      <c r="L176" s="1">
        <f t="shared" si="2"/>
        <v>2</v>
      </c>
      <c r="M176" s="1">
        <f>[2]Sheet1!$R177*2</f>
        <v>102</v>
      </c>
    </row>
    <row r="177" spans="1:13" x14ac:dyDescent="0.15">
      <c r="A177" s="1">
        <v>176</v>
      </c>
      <c r="B177" s="1">
        <v>0</v>
      </c>
      <c r="C177" s="1">
        <v>100176</v>
      </c>
      <c r="D177" s="1" t="str">
        <f>[1]装备明细!$M178</f>
        <v>IC1702</v>
      </c>
      <c r="E177" s="1" t="str">
        <f>[1]装备明细!$C178</f>
        <v>显赫白银镰刀</v>
      </c>
      <c r="G177" s="1">
        <f>[1]装备明细!$J178</f>
        <v>0</v>
      </c>
      <c r="H177" s="1">
        <f>IF([1]装备明细!$G178&gt;=14,"",[1]装备明细!$G178-1)</f>
        <v>4</v>
      </c>
      <c r="I177" s="1">
        <f>[1]装备明细!$F178</f>
        <v>1</v>
      </c>
      <c r="J177" s="1">
        <f>[1]装备明细!$L178</f>
        <v>5</v>
      </c>
      <c r="K177" s="1">
        <f>[1]装备明细!$E178</f>
        <v>2</v>
      </c>
      <c r="L177" s="1">
        <f t="shared" si="2"/>
        <v>2</v>
      </c>
      <c r="M177" s="1">
        <f>[2]Sheet1!$R178*2</f>
        <v>162</v>
      </c>
    </row>
    <row r="178" spans="1:13" x14ac:dyDescent="0.15">
      <c r="A178" s="1">
        <v>177</v>
      </c>
      <c r="B178" s="1">
        <v>0</v>
      </c>
      <c r="C178" s="1">
        <v>100177</v>
      </c>
      <c r="D178" s="1" t="str">
        <f>[1]装备明细!$M179</f>
        <v>IC1708</v>
      </c>
      <c r="E178" s="1" t="str">
        <f>[1]装备明细!$C179</f>
        <v>尊荣虚幻镰刀</v>
      </c>
      <c r="G178" s="1">
        <f>[1]装备明细!$J179</f>
        <v>0</v>
      </c>
      <c r="H178" s="1">
        <f>IF([1]装备明细!$G179&gt;=14,"",[1]装备明细!$G179-1)</f>
        <v>4</v>
      </c>
      <c r="I178" s="1">
        <f>[1]装备明细!$F179</f>
        <v>1</v>
      </c>
      <c r="J178" s="1">
        <f>[1]装备明细!$L179</f>
        <v>6</v>
      </c>
      <c r="K178" s="1">
        <f>[1]装备明细!$E179</f>
        <v>2</v>
      </c>
      <c r="L178" s="1">
        <f t="shared" si="2"/>
        <v>2</v>
      </c>
      <c r="M178" s="1">
        <f>[2]Sheet1!$R179*2</f>
        <v>162</v>
      </c>
    </row>
    <row r="179" spans="1:13" x14ac:dyDescent="0.15">
      <c r="A179" s="1">
        <v>178</v>
      </c>
      <c r="B179" s="1">
        <v>0</v>
      </c>
      <c r="C179" s="1">
        <v>100178</v>
      </c>
      <c r="D179" s="1" t="str">
        <f>[1]装备明细!$M180</f>
        <v>IC1703</v>
      </c>
      <c r="E179" s="1" t="str">
        <f>[1]装备明细!$C180</f>
        <v>至尊歌德镰刀</v>
      </c>
      <c r="G179" s="1">
        <f>[1]装备明细!$J180</f>
        <v>0</v>
      </c>
      <c r="H179" s="1">
        <f>IF([1]装备明细!$G180&gt;=14,"",[1]装备明细!$G180-1)</f>
        <v>4</v>
      </c>
      <c r="I179" s="1">
        <f>[1]装备明细!$F180</f>
        <v>1</v>
      </c>
      <c r="J179" s="1">
        <f>[1]装备明细!$L180</f>
        <v>7</v>
      </c>
      <c r="K179" s="1">
        <f>[1]装备明细!$E180</f>
        <v>2</v>
      </c>
      <c r="L179" s="1">
        <f t="shared" si="2"/>
        <v>2</v>
      </c>
      <c r="M179" s="1">
        <f>[2]Sheet1!$R180*2</f>
        <v>102</v>
      </c>
    </row>
    <row r="180" spans="1:13" x14ac:dyDescent="0.15">
      <c r="A180" s="1">
        <v>179</v>
      </c>
      <c r="B180" s="1">
        <v>0</v>
      </c>
      <c r="C180" s="1">
        <v>100179</v>
      </c>
      <c r="D180" s="1" t="str">
        <f>[1]装备明细!$M181</f>
        <v>IC1702</v>
      </c>
      <c r="E180" s="1" t="str">
        <f>[1]装备明细!$C181</f>
        <v>绝旨空灵镰刀</v>
      </c>
      <c r="G180" s="1">
        <f>[1]装备明细!$J181</f>
        <v>0</v>
      </c>
      <c r="H180" s="1">
        <f>IF([1]装备明细!$G181&gt;=14,"",[1]装备明细!$G181-1)</f>
        <v>4</v>
      </c>
      <c r="I180" s="1">
        <f>[1]装备明细!$F181</f>
        <v>1</v>
      </c>
      <c r="J180" s="1">
        <f>[1]装备明细!$L181</f>
        <v>8</v>
      </c>
      <c r="K180" s="1">
        <f>[1]装备明细!$E181</f>
        <v>2</v>
      </c>
      <c r="L180" s="1">
        <f t="shared" si="2"/>
        <v>2</v>
      </c>
      <c r="M180" s="1">
        <f>[2]Sheet1!$R181*2</f>
        <v>162</v>
      </c>
    </row>
    <row r="181" spans="1:13" x14ac:dyDescent="0.15">
      <c r="A181" s="1">
        <v>180</v>
      </c>
      <c r="B181" s="1">
        <v>0</v>
      </c>
      <c r="C181" s="1">
        <v>100180</v>
      </c>
      <c r="D181" s="1" t="str">
        <f>[1]装备明细!$M182</f>
        <v>IC1708</v>
      </c>
      <c r="E181" s="1" t="str">
        <f>[1]装备明细!$C182</f>
        <v>天工混乱镰刀</v>
      </c>
      <c r="G181" s="1">
        <f>[1]装备明细!$J182</f>
        <v>0</v>
      </c>
      <c r="H181" s="1">
        <f>IF([1]装备明细!$G182&gt;=14,"",[1]装备明细!$G182-1)</f>
        <v>4</v>
      </c>
      <c r="I181" s="1">
        <f>[1]装备明细!$F182</f>
        <v>1</v>
      </c>
      <c r="J181" s="1">
        <f>[1]装备明细!$L182</f>
        <v>9</v>
      </c>
      <c r="K181" s="1">
        <f>[1]装备明细!$E182</f>
        <v>2</v>
      </c>
      <c r="L181" s="1">
        <f t="shared" si="2"/>
        <v>2</v>
      </c>
      <c r="M181" s="1">
        <f>[2]Sheet1!$R182*2</f>
        <v>162</v>
      </c>
    </row>
    <row r="182" spans="1:13" x14ac:dyDescent="0.15">
      <c r="A182" s="1">
        <v>181</v>
      </c>
      <c r="B182" s="1">
        <v>0</v>
      </c>
      <c r="C182" s="1">
        <v>100181</v>
      </c>
      <c r="D182" s="1" t="str">
        <f>[1]装备明细!$M183</f>
        <v>IC1107</v>
      </c>
      <c r="E182" s="1" t="str">
        <f>[1]装备明细!$C183</f>
        <v>学徒颓废法杖</v>
      </c>
      <c r="G182" s="1">
        <f>[1]装备明细!$J183</f>
        <v>0</v>
      </c>
      <c r="H182" s="1">
        <f>IF([1]装备明细!$G183&gt;=14,"",[1]装备明细!$G183-1)</f>
        <v>5</v>
      </c>
      <c r="I182" s="1">
        <f>[1]装备明细!$F183</f>
        <v>1</v>
      </c>
      <c r="J182" s="1">
        <f>[1]装备明细!$L183</f>
        <v>1</v>
      </c>
      <c r="K182" s="1">
        <f>[1]装备明细!$E183</f>
        <v>2</v>
      </c>
      <c r="L182" s="1">
        <f t="shared" si="2"/>
        <v>2</v>
      </c>
      <c r="M182" s="1">
        <f>[2]Sheet1!$R183*2</f>
        <v>162</v>
      </c>
    </row>
    <row r="183" spans="1:13" x14ac:dyDescent="0.15">
      <c r="A183" s="1">
        <v>182</v>
      </c>
      <c r="B183" s="1">
        <v>0</v>
      </c>
      <c r="C183" s="1">
        <v>100182</v>
      </c>
      <c r="D183" s="1" t="str">
        <f>[1]装备明细!$M184</f>
        <v>IC1109</v>
      </c>
      <c r="E183" s="1" t="str">
        <f>[1]装备明细!$C184</f>
        <v>专家玄铁法杖</v>
      </c>
      <c r="G183" s="1">
        <f>[1]装备明细!$J184</f>
        <v>0</v>
      </c>
      <c r="H183" s="1">
        <f>IF([1]装备明细!$G184&gt;=14,"",[1]装备明细!$G184-1)</f>
        <v>5</v>
      </c>
      <c r="I183" s="1">
        <f>[1]装备明细!$F184</f>
        <v>1</v>
      </c>
      <c r="J183" s="1">
        <f>[1]装备明细!$L184</f>
        <v>2</v>
      </c>
      <c r="K183" s="1">
        <f>[1]装备明细!$E184</f>
        <v>2</v>
      </c>
      <c r="L183" s="1">
        <f t="shared" si="2"/>
        <v>2</v>
      </c>
      <c r="M183" s="1">
        <f>[2]Sheet1!$R184*2</f>
        <v>162</v>
      </c>
    </row>
    <row r="184" spans="1:13" x14ac:dyDescent="0.15">
      <c r="A184" s="1">
        <v>183</v>
      </c>
      <c r="B184" s="1">
        <v>0</v>
      </c>
      <c r="C184" s="1">
        <v>100183</v>
      </c>
      <c r="D184" s="1" t="str">
        <f>[1]装备明细!$M185</f>
        <v>IC1121</v>
      </c>
      <c r="E184" s="1" t="str">
        <f>[1]装备明细!$C185</f>
        <v>大师水晶法杖</v>
      </c>
      <c r="G184" s="1">
        <f>[1]装备明细!$J185</f>
        <v>0</v>
      </c>
      <c r="H184" s="1">
        <f>IF([1]装备明细!$G185&gt;=14,"",[1]装备明细!$G185-1)</f>
        <v>5</v>
      </c>
      <c r="I184" s="1">
        <f>[1]装备明细!$F185</f>
        <v>1</v>
      </c>
      <c r="J184" s="1">
        <f>[1]装备明细!$L185</f>
        <v>3</v>
      </c>
      <c r="K184" s="1">
        <f>[1]装备明细!$E185</f>
        <v>2</v>
      </c>
      <c r="L184" s="1">
        <f t="shared" si="2"/>
        <v>2</v>
      </c>
      <c r="M184" s="1">
        <f>[2]Sheet1!$R185*2</f>
        <v>72</v>
      </c>
    </row>
    <row r="185" spans="1:13" x14ac:dyDescent="0.15">
      <c r="A185" s="1">
        <v>184</v>
      </c>
      <c r="B185" s="1">
        <v>0</v>
      </c>
      <c r="C185" s="1">
        <v>100184</v>
      </c>
      <c r="D185" s="1" t="str">
        <f>[1]装备明细!$M186</f>
        <v>IC1123</v>
      </c>
      <c r="E185" s="1" t="str">
        <f>[1]装备明细!$C186</f>
        <v>宗师精钢法杖</v>
      </c>
      <c r="G185" s="1">
        <f>[1]装备明细!$J186</f>
        <v>0</v>
      </c>
      <c r="H185" s="1">
        <f>IF([1]装备明细!$G186&gt;=14,"",[1]装备明细!$G186-1)</f>
        <v>5</v>
      </c>
      <c r="I185" s="1">
        <f>[1]装备明细!$F186</f>
        <v>1</v>
      </c>
      <c r="J185" s="1">
        <f>[1]装备明细!$L186</f>
        <v>4</v>
      </c>
      <c r="K185" s="1">
        <f>[1]装备明细!$E186</f>
        <v>2</v>
      </c>
      <c r="L185" s="1">
        <f t="shared" si="2"/>
        <v>2</v>
      </c>
      <c r="M185" s="1">
        <f>[2]Sheet1!$R186*2</f>
        <v>162</v>
      </c>
    </row>
    <row r="186" spans="1:13" x14ac:dyDescent="0.15">
      <c r="A186" s="1">
        <v>185</v>
      </c>
      <c r="B186" s="1">
        <v>0</v>
      </c>
      <c r="C186" s="1">
        <v>100185</v>
      </c>
      <c r="D186" s="1" t="str">
        <f>[1]装备明细!$M187</f>
        <v>IC1124</v>
      </c>
      <c r="E186" s="1" t="str">
        <f>[1]装备明细!$C187</f>
        <v>显赫白银法杖</v>
      </c>
      <c r="G186" s="1">
        <f>[1]装备明细!$J187</f>
        <v>0</v>
      </c>
      <c r="H186" s="1">
        <f>IF([1]装备明细!$G187&gt;=14,"",[1]装备明细!$G187-1)</f>
        <v>5</v>
      </c>
      <c r="I186" s="1">
        <f>[1]装备明细!$F187</f>
        <v>1</v>
      </c>
      <c r="J186" s="1">
        <f>[1]装备明细!$L187</f>
        <v>5</v>
      </c>
      <c r="K186" s="1">
        <f>[1]装备明细!$E187</f>
        <v>2</v>
      </c>
      <c r="L186" s="1">
        <f t="shared" si="2"/>
        <v>2</v>
      </c>
      <c r="M186" s="1">
        <f>[2]Sheet1!$R187*2</f>
        <v>162</v>
      </c>
    </row>
    <row r="187" spans="1:13" x14ac:dyDescent="0.15">
      <c r="A187" s="1">
        <v>186</v>
      </c>
      <c r="B187" s="1">
        <v>0</v>
      </c>
      <c r="C187" s="1">
        <v>100186</v>
      </c>
      <c r="D187" s="1" t="str">
        <f>[1]装备明细!$M188</f>
        <v>IC1128</v>
      </c>
      <c r="E187" s="1" t="str">
        <f>[1]装备明细!$C188</f>
        <v>尊荣虚幻法杖</v>
      </c>
      <c r="G187" s="1">
        <f>[1]装备明细!$J188</f>
        <v>0</v>
      </c>
      <c r="H187" s="1">
        <f>IF([1]装备明细!$G188&gt;=14,"",[1]装备明细!$G188-1)</f>
        <v>5</v>
      </c>
      <c r="I187" s="1">
        <f>[1]装备明细!$F188</f>
        <v>1</v>
      </c>
      <c r="J187" s="1">
        <f>[1]装备明细!$L188</f>
        <v>6</v>
      </c>
      <c r="K187" s="1">
        <f>[1]装备明细!$E188</f>
        <v>2</v>
      </c>
      <c r="L187" s="1">
        <f t="shared" si="2"/>
        <v>2</v>
      </c>
      <c r="M187" s="1">
        <f>[2]Sheet1!$R188*2</f>
        <v>102</v>
      </c>
    </row>
    <row r="188" spans="1:13" x14ac:dyDescent="0.15">
      <c r="A188" s="1">
        <v>187</v>
      </c>
      <c r="B188" s="1">
        <v>0</v>
      </c>
      <c r="C188" s="1">
        <v>100187</v>
      </c>
      <c r="D188" s="1" t="str">
        <f>[1]装备明细!$M189</f>
        <v>IC1109</v>
      </c>
      <c r="E188" s="1" t="str">
        <f>[1]装备明细!$C189</f>
        <v>至尊歌德法杖</v>
      </c>
      <c r="G188" s="1">
        <f>[1]装备明细!$J189</f>
        <v>0</v>
      </c>
      <c r="H188" s="1">
        <f>IF([1]装备明细!$G189&gt;=14,"",[1]装备明细!$G189-1)</f>
        <v>5</v>
      </c>
      <c r="I188" s="1">
        <f>[1]装备明细!$F189</f>
        <v>1</v>
      </c>
      <c r="J188" s="1">
        <f>[1]装备明细!$L189</f>
        <v>7</v>
      </c>
      <c r="K188" s="1">
        <f>[1]装备明细!$E189</f>
        <v>2</v>
      </c>
      <c r="L188" s="1">
        <f t="shared" si="2"/>
        <v>2</v>
      </c>
      <c r="M188" s="1">
        <f>[2]Sheet1!$R189*2</f>
        <v>72</v>
      </c>
    </row>
    <row r="189" spans="1:13" x14ac:dyDescent="0.15">
      <c r="A189" s="1">
        <v>188</v>
      </c>
      <c r="B189" s="1">
        <v>0</v>
      </c>
      <c r="C189" s="1">
        <v>100188</v>
      </c>
      <c r="D189" s="1" t="str">
        <f>[1]装备明细!$M190</f>
        <v>IC1121</v>
      </c>
      <c r="E189" s="1" t="str">
        <f>[1]装备明细!$C190</f>
        <v>绝旨空灵法杖</v>
      </c>
      <c r="G189" s="1">
        <f>[1]装备明细!$J190</f>
        <v>0</v>
      </c>
      <c r="H189" s="1">
        <f>IF([1]装备明细!$G190&gt;=14,"",[1]装备明细!$G190-1)</f>
        <v>5</v>
      </c>
      <c r="I189" s="1">
        <f>[1]装备明细!$F190</f>
        <v>1</v>
      </c>
      <c r="J189" s="1">
        <f>[1]装备明细!$L190</f>
        <v>8</v>
      </c>
      <c r="K189" s="1">
        <f>[1]装备明细!$E190</f>
        <v>2</v>
      </c>
      <c r="L189" s="1">
        <f t="shared" si="2"/>
        <v>2</v>
      </c>
      <c r="M189" s="1">
        <f>[2]Sheet1!$R190*2</f>
        <v>162</v>
      </c>
    </row>
    <row r="190" spans="1:13" x14ac:dyDescent="0.15">
      <c r="A190" s="1">
        <v>189</v>
      </c>
      <c r="B190" s="1">
        <v>0</v>
      </c>
      <c r="C190" s="1">
        <v>100189</v>
      </c>
      <c r="D190" s="1" t="str">
        <f>[1]装备明细!$M191</f>
        <v>IC1123</v>
      </c>
      <c r="E190" s="1" t="str">
        <f>[1]装备明细!$C191</f>
        <v>天工混乱法杖</v>
      </c>
      <c r="G190" s="1">
        <f>[1]装备明细!$J191</f>
        <v>0</v>
      </c>
      <c r="H190" s="1">
        <f>IF([1]装备明细!$G191&gt;=14,"",[1]装备明细!$G191-1)</f>
        <v>5</v>
      </c>
      <c r="I190" s="1">
        <f>[1]装备明细!$F191</f>
        <v>1</v>
      </c>
      <c r="J190" s="1">
        <f>[1]装备明细!$L191</f>
        <v>9</v>
      </c>
      <c r="K190" s="1">
        <f>[1]装备明细!$E191</f>
        <v>2</v>
      </c>
      <c r="L190" s="1">
        <f t="shared" si="2"/>
        <v>2</v>
      </c>
      <c r="M190" s="1">
        <f>[2]Sheet1!$R191*2</f>
        <v>102</v>
      </c>
    </row>
    <row r="191" spans="1:13" x14ac:dyDescent="0.15">
      <c r="A191" s="1">
        <v>190</v>
      </c>
      <c r="B191" s="1">
        <v>0</v>
      </c>
      <c r="C191" s="1">
        <v>100190</v>
      </c>
      <c r="D191" s="1" t="str">
        <f>[1]装备明细!$M192</f>
        <v>IC1318</v>
      </c>
      <c r="E191" s="1" t="str">
        <f>[1]装备明细!$C192</f>
        <v>学徒颓废弓</v>
      </c>
      <c r="G191" s="1">
        <f>[1]装备明细!$J192</f>
        <v>0</v>
      </c>
      <c r="H191" s="1">
        <f>IF([1]装备明细!$G192&gt;=14,"",[1]装备明细!$G192-1)</f>
        <v>6</v>
      </c>
      <c r="I191" s="1">
        <f>[1]装备明细!$F192</f>
        <v>1</v>
      </c>
      <c r="J191" s="1">
        <f>[1]装备明细!$L192</f>
        <v>1</v>
      </c>
      <c r="K191" s="1">
        <f>[1]装备明细!$E192</f>
        <v>2</v>
      </c>
      <c r="L191" s="1">
        <f t="shared" si="2"/>
        <v>2</v>
      </c>
      <c r="M191" s="1">
        <f>[2]Sheet1!$R192*2</f>
        <v>162</v>
      </c>
    </row>
    <row r="192" spans="1:13" x14ac:dyDescent="0.15">
      <c r="A192" s="1">
        <v>191</v>
      </c>
      <c r="B192" s="1">
        <v>0</v>
      </c>
      <c r="C192" s="1">
        <v>100191</v>
      </c>
      <c r="D192" s="1" t="str">
        <f>[1]装备明细!$M193</f>
        <v>IC1359</v>
      </c>
      <c r="E192" s="1" t="str">
        <f>[1]装备明细!$C193</f>
        <v>专家玄铁弓</v>
      </c>
      <c r="G192" s="1">
        <f>[1]装备明细!$J193</f>
        <v>0</v>
      </c>
      <c r="H192" s="1">
        <f>IF([1]装备明细!$G193&gt;=14,"",[1]装备明细!$G193-1)</f>
        <v>6</v>
      </c>
      <c r="I192" s="1">
        <f>[1]装备明细!$F193</f>
        <v>1</v>
      </c>
      <c r="J192" s="1">
        <f>[1]装备明细!$L193</f>
        <v>2</v>
      </c>
      <c r="K192" s="1">
        <f>[1]装备明细!$E193</f>
        <v>2</v>
      </c>
      <c r="L192" s="1">
        <f t="shared" si="2"/>
        <v>2</v>
      </c>
      <c r="M192" s="1">
        <f>[2]Sheet1!$R193*2</f>
        <v>162</v>
      </c>
    </row>
    <row r="193" spans="1:13" x14ac:dyDescent="0.15">
      <c r="A193" s="1">
        <v>192</v>
      </c>
      <c r="B193" s="1">
        <v>0</v>
      </c>
      <c r="C193" s="1">
        <v>100192</v>
      </c>
      <c r="D193" s="1" t="str">
        <f>[1]装备明细!$M194</f>
        <v>IC1340</v>
      </c>
      <c r="E193" s="1" t="str">
        <f>[1]装备明细!$C194</f>
        <v>大师水晶弓</v>
      </c>
      <c r="G193" s="1">
        <f>[1]装备明细!$J194</f>
        <v>0</v>
      </c>
      <c r="H193" s="1">
        <f>IF([1]装备明细!$G194&gt;=14,"",[1]装备明细!$G194-1)</f>
        <v>6</v>
      </c>
      <c r="I193" s="1">
        <f>[1]装备明细!$F194</f>
        <v>1</v>
      </c>
      <c r="J193" s="1">
        <f>[1]装备明细!$L194</f>
        <v>3</v>
      </c>
      <c r="K193" s="1">
        <f>[1]装备明细!$E194</f>
        <v>2</v>
      </c>
      <c r="L193" s="1">
        <f t="shared" si="2"/>
        <v>2</v>
      </c>
      <c r="M193" s="1">
        <f>[2]Sheet1!$R194*2</f>
        <v>162</v>
      </c>
    </row>
    <row r="194" spans="1:13" x14ac:dyDescent="0.15">
      <c r="A194" s="1">
        <v>193</v>
      </c>
      <c r="B194" s="1">
        <v>0</v>
      </c>
      <c r="C194" s="1">
        <v>100193</v>
      </c>
      <c r="D194" s="1" t="str">
        <f>[1]装备明细!$M195</f>
        <v>IC1341</v>
      </c>
      <c r="E194" s="1" t="str">
        <f>[1]装备明细!$C195</f>
        <v>宗师精钢弓</v>
      </c>
      <c r="G194" s="1">
        <f>[1]装备明细!$J195</f>
        <v>0</v>
      </c>
      <c r="H194" s="1">
        <f>IF([1]装备明细!$G195&gt;=14,"",[1]装备明细!$G195-1)</f>
        <v>6</v>
      </c>
      <c r="I194" s="1">
        <f>[1]装备明细!$F195</f>
        <v>1</v>
      </c>
      <c r="J194" s="1">
        <f>[1]装备明细!$L195</f>
        <v>4</v>
      </c>
      <c r="K194" s="1">
        <f>[1]装备明细!$E195</f>
        <v>2</v>
      </c>
      <c r="L194" s="1">
        <f t="shared" si="2"/>
        <v>2</v>
      </c>
      <c r="M194" s="1">
        <f>[2]Sheet1!$R195*2</f>
        <v>132</v>
      </c>
    </row>
    <row r="195" spans="1:13" x14ac:dyDescent="0.15">
      <c r="A195" s="1">
        <v>194</v>
      </c>
      <c r="B195" s="1">
        <v>0</v>
      </c>
      <c r="C195" s="1">
        <v>100194</v>
      </c>
      <c r="D195" s="1" t="str">
        <f>[1]装备明细!$M196</f>
        <v>IC1342</v>
      </c>
      <c r="E195" s="1" t="str">
        <f>[1]装备明细!$C196</f>
        <v>显赫白银弓</v>
      </c>
      <c r="G195" s="1">
        <f>[1]装备明细!$J196</f>
        <v>0</v>
      </c>
      <c r="H195" s="1">
        <f>IF([1]装备明细!$G196&gt;=14,"",[1]装备明细!$G196-1)</f>
        <v>6</v>
      </c>
      <c r="I195" s="1">
        <f>[1]装备明细!$F196</f>
        <v>1</v>
      </c>
      <c r="J195" s="1">
        <f>[1]装备明细!$L196</f>
        <v>5</v>
      </c>
      <c r="K195" s="1">
        <f>[1]装备明细!$E196</f>
        <v>2</v>
      </c>
      <c r="L195" s="1">
        <f t="shared" ref="L195:L258" si="3">K195</f>
        <v>2</v>
      </c>
      <c r="M195" s="1">
        <f>[2]Sheet1!$R196*2</f>
        <v>132</v>
      </c>
    </row>
    <row r="196" spans="1:13" x14ac:dyDescent="0.15">
      <c r="A196" s="1">
        <v>195</v>
      </c>
      <c r="B196" s="1">
        <v>0</v>
      </c>
      <c r="C196" s="1">
        <v>100195</v>
      </c>
      <c r="D196" s="1" t="str">
        <f>[1]装备明细!$M197</f>
        <v>IC1359</v>
      </c>
      <c r="E196" s="1" t="str">
        <f>[1]装备明细!$C197</f>
        <v>尊荣虚幻弓</v>
      </c>
      <c r="G196" s="1">
        <f>[1]装备明细!$J197</f>
        <v>0</v>
      </c>
      <c r="H196" s="1">
        <f>IF([1]装备明细!$G197&gt;=14,"",[1]装备明细!$G197-1)</f>
        <v>6</v>
      </c>
      <c r="I196" s="1">
        <f>[1]装备明细!$F197</f>
        <v>1</v>
      </c>
      <c r="J196" s="1">
        <f>[1]装备明细!$L197</f>
        <v>6</v>
      </c>
      <c r="K196" s="1">
        <f>[1]装备明细!$E197</f>
        <v>2</v>
      </c>
      <c r="L196" s="1">
        <f t="shared" si="3"/>
        <v>2</v>
      </c>
      <c r="M196" s="1">
        <f>[2]Sheet1!$R197*2</f>
        <v>162</v>
      </c>
    </row>
    <row r="197" spans="1:13" x14ac:dyDescent="0.15">
      <c r="A197" s="1">
        <v>196</v>
      </c>
      <c r="B197" s="1">
        <v>0</v>
      </c>
      <c r="C197" s="1">
        <v>100196</v>
      </c>
      <c r="D197" s="1" t="str">
        <f>[1]装备明细!$M198</f>
        <v>IC1340</v>
      </c>
      <c r="E197" s="1" t="str">
        <f>[1]装备明细!$C198</f>
        <v>至尊歌德弓</v>
      </c>
      <c r="G197" s="1">
        <f>[1]装备明细!$J198</f>
        <v>0</v>
      </c>
      <c r="H197" s="1">
        <f>IF([1]装备明细!$G198&gt;=14,"",[1]装备明细!$G198-1)</f>
        <v>6</v>
      </c>
      <c r="I197" s="1">
        <f>[1]装备明细!$F198</f>
        <v>1</v>
      </c>
      <c r="J197" s="1">
        <f>[1]装备明细!$L198</f>
        <v>7</v>
      </c>
      <c r="K197" s="1">
        <f>[1]装备明细!$E198</f>
        <v>2</v>
      </c>
      <c r="L197" s="1">
        <f t="shared" si="3"/>
        <v>2</v>
      </c>
      <c r="M197" s="1">
        <f>[2]Sheet1!$R198*2</f>
        <v>102</v>
      </c>
    </row>
    <row r="198" spans="1:13" x14ac:dyDescent="0.15">
      <c r="A198" s="1">
        <v>197</v>
      </c>
      <c r="B198" s="1">
        <v>0</v>
      </c>
      <c r="C198" s="1">
        <v>100197</v>
      </c>
      <c r="D198" s="1" t="str">
        <f>[1]装备明细!$M199</f>
        <v>IC1341</v>
      </c>
      <c r="E198" s="1" t="str">
        <f>[1]装备明细!$C199</f>
        <v>绝旨空灵弓</v>
      </c>
      <c r="G198" s="1">
        <f>[1]装备明细!$J199</f>
        <v>0</v>
      </c>
      <c r="H198" s="1">
        <f>IF([1]装备明细!$G199&gt;=14,"",[1]装备明细!$G199-1)</f>
        <v>6</v>
      </c>
      <c r="I198" s="1">
        <f>[1]装备明细!$F199</f>
        <v>1</v>
      </c>
      <c r="J198" s="1">
        <f>[1]装备明细!$L199</f>
        <v>8</v>
      </c>
      <c r="K198" s="1">
        <f>[1]装备明细!$E199</f>
        <v>2</v>
      </c>
      <c r="L198" s="1">
        <f t="shared" si="3"/>
        <v>2</v>
      </c>
      <c r="M198" s="1">
        <f>[2]Sheet1!$R199*2</f>
        <v>72</v>
      </c>
    </row>
    <row r="199" spans="1:13" x14ac:dyDescent="0.15">
      <c r="A199" s="1">
        <v>198</v>
      </c>
      <c r="B199" s="1">
        <v>0</v>
      </c>
      <c r="C199" s="1">
        <v>100198</v>
      </c>
      <c r="D199" s="1" t="str">
        <f>[1]装备明细!$M200</f>
        <v>IC1342</v>
      </c>
      <c r="E199" s="1" t="str">
        <f>[1]装备明细!$C200</f>
        <v>天工混乱弓</v>
      </c>
      <c r="G199" s="1">
        <f>[1]装备明细!$J200</f>
        <v>0</v>
      </c>
      <c r="H199" s="1">
        <f>IF([1]装备明细!$G200&gt;=14,"",[1]装备明细!$G200-1)</f>
        <v>6</v>
      </c>
      <c r="I199" s="1">
        <f>[1]装备明细!$F200</f>
        <v>1</v>
      </c>
      <c r="J199" s="1">
        <f>[1]装备明细!$L200</f>
        <v>9</v>
      </c>
      <c r="K199" s="1">
        <f>[1]装备明细!$E200</f>
        <v>2</v>
      </c>
      <c r="L199" s="1">
        <f t="shared" si="3"/>
        <v>2</v>
      </c>
      <c r="M199" s="1">
        <f>[2]Sheet1!$R200*2</f>
        <v>162</v>
      </c>
    </row>
    <row r="200" spans="1:13" x14ac:dyDescent="0.15">
      <c r="A200" s="1">
        <v>199</v>
      </c>
      <c r="B200" s="1">
        <v>0</v>
      </c>
      <c r="C200" s="1">
        <v>100199</v>
      </c>
      <c r="D200" s="1" t="str">
        <f>[1]装备明细!$M201</f>
        <v>IC1106</v>
      </c>
      <c r="E200" s="1" t="str">
        <f>[1]装备明细!$C201</f>
        <v>学徒颓废烟斗</v>
      </c>
      <c r="G200" s="1">
        <f>[1]装备明细!$J201</f>
        <v>0</v>
      </c>
      <c r="H200" s="1">
        <f>IF([1]装备明细!$G201&gt;=14,"",[1]装备明细!$G201-1)</f>
        <v>7</v>
      </c>
      <c r="I200" s="1">
        <f>[1]装备明细!$F201</f>
        <v>1</v>
      </c>
      <c r="J200" s="1">
        <f>[1]装备明细!$L201</f>
        <v>1</v>
      </c>
      <c r="K200" s="1">
        <f>[1]装备明细!$E201</f>
        <v>2</v>
      </c>
      <c r="L200" s="1">
        <f t="shared" si="3"/>
        <v>2</v>
      </c>
      <c r="M200" s="1">
        <f>[2]Sheet1!$R201*2</f>
        <v>132</v>
      </c>
    </row>
    <row r="201" spans="1:13" x14ac:dyDescent="0.15">
      <c r="A201" s="1">
        <v>200</v>
      </c>
      <c r="B201" s="1">
        <v>0</v>
      </c>
      <c r="C201" s="1">
        <v>100200</v>
      </c>
      <c r="D201" s="1" t="str">
        <f>[1]装备明细!$M202</f>
        <v>IC1113</v>
      </c>
      <c r="E201" s="1" t="str">
        <f>[1]装备明细!$C202</f>
        <v>专家玄铁烟斗</v>
      </c>
      <c r="G201" s="1">
        <f>[1]装备明细!$J202</f>
        <v>0</v>
      </c>
      <c r="H201" s="1">
        <f>IF([1]装备明细!$G202&gt;=14,"",[1]装备明细!$G202-1)</f>
        <v>7</v>
      </c>
      <c r="I201" s="1">
        <f>[1]装备明细!$F202</f>
        <v>1</v>
      </c>
      <c r="J201" s="1">
        <f>[1]装备明细!$L202</f>
        <v>2</v>
      </c>
      <c r="K201" s="1">
        <f>[1]装备明细!$E202</f>
        <v>2</v>
      </c>
      <c r="L201" s="1">
        <f t="shared" si="3"/>
        <v>2</v>
      </c>
      <c r="M201" s="1">
        <f>[2]Sheet1!$R202*2</f>
        <v>162</v>
      </c>
    </row>
    <row r="202" spans="1:13" x14ac:dyDescent="0.15">
      <c r="A202" s="1">
        <v>201</v>
      </c>
      <c r="B202" s="1">
        <v>0</v>
      </c>
      <c r="C202" s="1">
        <v>100201</v>
      </c>
      <c r="D202" s="1" t="str">
        <f>[1]装备明细!$M203</f>
        <v>IC1118</v>
      </c>
      <c r="E202" s="1" t="str">
        <f>[1]装备明细!$C203</f>
        <v>大师水晶烟斗</v>
      </c>
      <c r="G202" s="1">
        <f>[1]装备明细!$J203</f>
        <v>0</v>
      </c>
      <c r="H202" s="1">
        <f>IF([1]装备明细!$G203&gt;=14,"",[1]装备明细!$G203-1)</f>
        <v>7</v>
      </c>
      <c r="I202" s="1">
        <f>[1]装备明细!$F203</f>
        <v>1</v>
      </c>
      <c r="J202" s="1">
        <f>[1]装备明细!$L203</f>
        <v>3</v>
      </c>
      <c r="K202" s="1">
        <f>[1]装备明细!$E203</f>
        <v>2</v>
      </c>
      <c r="L202" s="1">
        <f t="shared" si="3"/>
        <v>2</v>
      </c>
      <c r="M202" s="1">
        <f>[2]Sheet1!$R203*2</f>
        <v>102</v>
      </c>
    </row>
    <row r="203" spans="1:13" x14ac:dyDescent="0.15">
      <c r="A203" s="1">
        <v>202</v>
      </c>
      <c r="B203" s="1">
        <v>0</v>
      </c>
      <c r="C203" s="1">
        <v>100202</v>
      </c>
      <c r="D203" s="1" t="str">
        <f>[1]装备明细!$M204</f>
        <v>IC1155</v>
      </c>
      <c r="E203" s="1" t="str">
        <f>[1]装备明细!$C204</f>
        <v>宗师精钢烟斗</v>
      </c>
      <c r="G203" s="1">
        <f>[1]装备明细!$J204</f>
        <v>0</v>
      </c>
      <c r="H203" s="1">
        <f>IF([1]装备明细!$G204&gt;=14,"",[1]装备明细!$G204-1)</f>
        <v>7</v>
      </c>
      <c r="I203" s="1">
        <f>[1]装备明细!$F204</f>
        <v>1</v>
      </c>
      <c r="J203" s="1">
        <f>[1]装备明细!$L204</f>
        <v>4</v>
      </c>
      <c r="K203" s="1">
        <f>[1]装备明细!$E204</f>
        <v>2</v>
      </c>
      <c r="L203" s="1">
        <f t="shared" si="3"/>
        <v>2</v>
      </c>
      <c r="M203" s="1">
        <f>[2]Sheet1!$R204*2</f>
        <v>162</v>
      </c>
    </row>
    <row r="204" spans="1:13" x14ac:dyDescent="0.15">
      <c r="A204" s="1">
        <v>203</v>
      </c>
      <c r="B204" s="1">
        <v>0</v>
      </c>
      <c r="C204" s="1">
        <v>100203</v>
      </c>
      <c r="D204" s="1" t="str">
        <f>[1]装备明细!$M205</f>
        <v>IC1118</v>
      </c>
      <c r="E204" s="1" t="str">
        <f>[1]装备明细!$C205</f>
        <v>显赫白银烟斗</v>
      </c>
      <c r="G204" s="1">
        <f>[1]装备明细!$J205</f>
        <v>0</v>
      </c>
      <c r="H204" s="1">
        <f>IF([1]装备明细!$G205&gt;=14,"",[1]装备明细!$G205-1)</f>
        <v>7</v>
      </c>
      <c r="I204" s="1">
        <f>[1]装备明细!$F205</f>
        <v>1</v>
      </c>
      <c r="J204" s="1">
        <f>[1]装备明细!$L205</f>
        <v>5</v>
      </c>
      <c r="K204" s="1">
        <f>[1]装备明细!$E205</f>
        <v>2</v>
      </c>
      <c r="L204" s="1">
        <f t="shared" si="3"/>
        <v>2</v>
      </c>
      <c r="M204" s="1">
        <f>[2]Sheet1!$R205*2</f>
        <v>132</v>
      </c>
    </row>
    <row r="205" spans="1:13" x14ac:dyDescent="0.15">
      <c r="A205" s="1">
        <v>204</v>
      </c>
      <c r="B205" s="1">
        <v>0</v>
      </c>
      <c r="C205" s="1">
        <v>100204</v>
      </c>
      <c r="D205" s="1" t="str">
        <f>[1]装备明细!$M206</f>
        <v>IC1155</v>
      </c>
      <c r="E205" s="1" t="str">
        <f>[1]装备明细!$C206</f>
        <v>尊荣虚幻烟斗</v>
      </c>
      <c r="G205" s="1">
        <f>[1]装备明细!$J206</f>
        <v>0</v>
      </c>
      <c r="H205" s="1">
        <f>IF([1]装备明细!$G206&gt;=14,"",[1]装备明细!$G206-1)</f>
        <v>7</v>
      </c>
      <c r="I205" s="1">
        <f>[1]装备明细!$F206</f>
        <v>1</v>
      </c>
      <c r="J205" s="1">
        <f>[1]装备明细!$L206</f>
        <v>6</v>
      </c>
      <c r="K205" s="1">
        <f>[1]装备明细!$E206</f>
        <v>2</v>
      </c>
      <c r="L205" s="1">
        <f t="shared" si="3"/>
        <v>2</v>
      </c>
      <c r="M205" s="1">
        <f>[2]Sheet1!$R206*2</f>
        <v>162</v>
      </c>
    </row>
    <row r="206" spans="1:13" x14ac:dyDescent="0.15">
      <c r="A206" s="1">
        <v>205</v>
      </c>
      <c r="B206" s="1">
        <v>0</v>
      </c>
      <c r="C206" s="1">
        <v>100205</v>
      </c>
      <c r="D206" s="1" t="str">
        <f>[1]装备明细!$M207</f>
        <v>IC1143</v>
      </c>
      <c r="E206" s="1" t="str">
        <f>[1]装备明细!$C207</f>
        <v>至尊歌德烟斗</v>
      </c>
      <c r="G206" s="1">
        <f>[1]装备明细!$J207</f>
        <v>0</v>
      </c>
      <c r="H206" s="1">
        <f>IF([1]装备明细!$G207&gt;=14,"",[1]装备明细!$G207-1)</f>
        <v>7</v>
      </c>
      <c r="I206" s="1">
        <f>[1]装备明细!$F207</f>
        <v>1</v>
      </c>
      <c r="J206" s="1">
        <f>[1]装备明细!$L207</f>
        <v>7</v>
      </c>
      <c r="K206" s="1">
        <f>[1]装备明细!$E207</f>
        <v>2</v>
      </c>
      <c r="L206" s="1">
        <f t="shared" si="3"/>
        <v>2</v>
      </c>
      <c r="M206" s="1">
        <f>[2]Sheet1!$R207*2</f>
        <v>162</v>
      </c>
    </row>
    <row r="207" spans="1:13" x14ac:dyDescent="0.15">
      <c r="A207" s="1">
        <v>206</v>
      </c>
      <c r="B207" s="1">
        <v>0</v>
      </c>
      <c r="C207" s="1">
        <v>100206</v>
      </c>
      <c r="D207" s="1" t="str">
        <f>[1]装备明细!$M208</f>
        <v>IC1101</v>
      </c>
      <c r="E207" s="1" t="str">
        <f>[1]装备明细!$C208</f>
        <v>绝旨空灵烟斗</v>
      </c>
      <c r="G207" s="1">
        <f>[1]装备明细!$J208</f>
        <v>0</v>
      </c>
      <c r="H207" s="1">
        <f>IF([1]装备明细!$G208&gt;=14,"",[1]装备明细!$G208-1)</f>
        <v>7</v>
      </c>
      <c r="I207" s="1">
        <f>[1]装备明细!$F208</f>
        <v>1</v>
      </c>
      <c r="J207" s="1">
        <f>[1]装备明细!$L208</f>
        <v>8</v>
      </c>
      <c r="K207" s="1">
        <f>[1]装备明细!$E208</f>
        <v>2</v>
      </c>
      <c r="L207" s="1">
        <f t="shared" si="3"/>
        <v>2</v>
      </c>
      <c r="M207" s="1">
        <f>[2]Sheet1!$R208*2</f>
        <v>132</v>
      </c>
    </row>
    <row r="208" spans="1:13" x14ac:dyDescent="0.15">
      <c r="A208" s="1">
        <v>207</v>
      </c>
      <c r="B208" s="1">
        <v>0</v>
      </c>
      <c r="C208" s="1">
        <v>100207</v>
      </c>
      <c r="D208" s="1" t="str">
        <f>[1]装备明细!$M209</f>
        <v>IC1104</v>
      </c>
      <c r="E208" s="1" t="str">
        <f>[1]装备明细!$C209</f>
        <v>天工混乱烟斗</v>
      </c>
      <c r="G208" s="1">
        <f>[1]装备明细!$J209</f>
        <v>0</v>
      </c>
      <c r="H208" s="1">
        <f>IF([1]装备明细!$G209&gt;=14,"",[1]装备明细!$G209-1)</f>
        <v>7</v>
      </c>
      <c r="I208" s="1">
        <f>[1]装备明细!$F209</f>
        <v>1</v>
      </c>
      <c r="J208" s="1">
        <f>[1]装备明细!$L209</f>
        <v>9</v>
      </c>
      <c r="K208" s="1">
        <f>[1]装备明细!$E209</f>
        <v>2</v>
      </c>
      <c r="L208" s="1">
        <f t="shared" si="3"/>
        <v>2</v>
      </c>
      <c r="M208" s="1">
        <f>[2]Sheet1!$R209*2</f>
        <v>72</v>
      </c>
    </row>
    <row r="209" spans="1:13" x14ac:dyDescent="0.15">
      <c r="A209" s="1">
        <v>208</v>
      </c>
      <c r="B209" s="1">
        <v>0</v>
      </c>
      <c r="C209" s="1">
        <v>100208</v>
      </c>
      <c r="D209" s="1" t="str">
        <f>[1]装备明细!$M210</f>
        <v>IC1837</v>
      </c>
      <c r="E209" s="1" t="str">
        <f>[1]装备明细!$C210</f>
        <v>学徒颓废扇子</v>
      </c>
      <c r="G209" s="1">
        <f>[1]装备明细!$J210</f>
        <v>0</v>
      </c>
      <c r="H209" s="1">
        <f>IF([1]装备明细!$G210&gt;=14,"",[1]装备明细!$G210-1)</f>
        <v>8</v>
      </c>
      <c r="I209" s="1">
        <f>[1]装备明细!$F210</f>
        <v>1</v>
      </c>
      <c r="J209" s="1">
        <f>[1]装备明细!$L210</f>
        <v>1</v>
      </c>
      <c r="K209" s="1">
        <f>[1]装备明细!$E210</f>
        <v>2</v>
      </c>
      <c r="L209" s="1">
        <f t="shared" si="3"/>
        <v>2</v>
      </c>
      <c r="M209" s="1">
        <f>[2]Sheet1!$R210*2</f>
        <v>132</v>
      </c>
    </row>
    <row r="210" spans="1:13" x14ac:dyDescent="0.15">
      <c r="A210" s="1">
        <v>209</v>
      </c>
      <c r="B210" s="1">
        <v>0</v>
      </c>
      <c r="C210" s="1">
        <v>100209</v>
      </c>
      <c r="D210" s="1" t="str">
        <f>[1]装备明细!$M211</f>
        <v>IC1838</v>
      </c>
      <c r="E210" s="1" t="str">
        <f>[1]装备明细!$C211</f>
        <v>专家玄铁扇子</v>
      </c>
      <c r="G210" s="1">
        <f>[1]装备明细!$J211</f>
        <v>0</v>
      </c>
      <c r="H210" s="1">
        <f>IF([1]装备明细!$G211&gt;=14,"",[1]装备明细!$G211-1)</f>
        <v>8</v>
      </c>
      <c r="I210" s="1">
        <f>[1]装备明细!$F211</f>
        <v>1</v>
      </c>
      <c r="J210" s="1">
        <f>[1]装备明细!$L211</f>
        <v>2</v>
      </c>
      <c r="K210" s="1">
        <f>[1]装备明细!$E211</f>
        <v>2</v>
      </c>
      <c r="L210" s="1">
        <f t="shared" si="3"/>
        <v>2</v>
      </c>
      <c r="M210" s="1">
        <f>[2]Sheet1!$R211*2</f>
        <v>132</v>
      </c>
    </row>
    <row r="211" spans="1:13" x14ac:dyDescent="0.15">
      <c r="A211" s="1">
        <v>210</v>
      </c>
      <c r="B211" s="1">
        <v>0</v>
      </c>
      <c r="C211" s="1">
        <v>100210</v>
      </c>
      <c r="D211" s="1" t="str">
        <f>[1]装备明细!$M212</f>
        <v>IC1839</v>
      </c>
      <c r="E211" s="1" t="str">
        <f>[1]装备明细!$C212</f>
        <v>大师水晶扇子</v>
      </c>
      <c r="G211" s="1">
        <f>[1]装备明细!$J212</f>
        <v>0</v>
      </c>
      <c r="H211" s="1">
        <f>IF([1]装备明细!$G212&gt;=14,"",[1]装备明细!$G212-1)</f>
        <v>8</v>
      </c>
      <c r="I211" s="1">
        <f>[1]装备明细!$F212</f>
        <v>1</v>
      </c>
      <c r="J211" s="1">
        <f>[1]装备明细!$L212</f>
        <v>3</v>
      </c>
      <c r="K211" s="1">
        <f>[1]装备明细!$E212</f>
        <v>2</v>
      </c>
      <c r="L211" s="1">
        <f t="shared" si="3"/>
        <v>2</v>
      </c>
      <c r="M211" s="1">
        <f>[2]Sheet1!$R212*2</f>
        <v>102</v>
      </c>
    </row>
    <row r="212" spans="1:13" x14ac:dyDescent="0.15">
      <c r="A212" s="1">
        <v>211</v>
      </c>
      <c r="B212" s="1">
        <v>0</v>
      </c>
      <c r="C212" s="1">
        <v>100211</v>
      </c>
      <c r="D212" s="1" t="str">
        <f>[1]装备明细!$M213</f>
        <v>IC1840</v>
      </c>
      <c r="E212" s="1" t="str">
        <f>[1]装备明细!$C213</f>
        <v>宗师精钢扇子</v>
      </c>
      <c r="G212" s="1">
        <f>[1]装备明细!$J213</f>
        <v>0</v>
      </c>
      <c r="H212" s="1">
        <f>IF([1]装备明细!$G213&gt;=14,"",[1]装备明细!$G213-1)</f>
        <v>8</v>
      </c>
      <c r="I212" s="1">
        <f>[1]装备明细!$F213</f>
        <v>1</v>
      </c>
      <c r="J212" s="1">
        <f>[1]装备明细!$L213</f>
        <v>4</v>
      </c>
      <c r="K212" s="1">
        <f>[1]装备明细!$E213</f>
        <v>2</v>
      </c>
      <c r="L212" s="1">
        <f t="shared" si="3"/>
        <v>2</v>
      </c>
      <c r="M212" s="1">
        <f>[2]Sheet1!$R213*2</f>
        <v>132</v>
      </c>
    </row>
    <row r="213" spans="1:13" x14ac:dyDescent="0.15">
      <c r="A213" s="1">
        <v>212</v>
      </c>
      <c r="B213" s="1">
        <v>0</v>
      </c>
      <c r="C213" s="1">
        <v>100212</v>
      </c>
      <c r="D213" s="1" t="str">
        <f>[1]装备明细!$M214</f>
        <v>IC1838</v>
      </c>
      <c r="E213" s="1" t="str">
        <f>[1]装备明细!$C214</f>
        <v>显赫白银扇子</v>
      </c>
      <c r="G213" s="1">
        <f>[1]装备明细!$J214</f>
        <v>0</v>
      </c>
      <c r="H213" s="1">
        <f>IF([1]装备明细!$G214&gt;=14,"",[1]装备明细!$G214-1)</f>
        <v>8</v>
      </c>
      <c r="I213" s="1">
        <f>[1]装备明细!$F214</f>
        <v>1</v>
      </c>
      <c r="J213" s="1">
        <f>[1]装备明细!$L214</f>
        <v>5</v>
      </c>
      <c r="K213" s="1">
        <f>[1]装备明细!$E214</f>
        <v>2</v>
      </c>
      <c r="L213" s="1">
        <f t="shared" si="3"/>
        <v>2</v>
      </c>
      <c r="M213" s="1">
        <f>[2]Sheet1!$R214*2</f>
        <v>132</v>
      </c>
    </row>
    <row r="214" spans="1:13" x14ac:dyDescent="0.15">
      <c r="A214" s="1">
        <v>213</v>
      </c>
      <c r="B214" s="1">
        <v>0</v>
      </c>
      <c r="C214" s="1">
        <v>100213</v>
      </c>
      <c r="D214" s="1" t="str">
        <f>[1]装备明细!$M215</f>
        <v>IC1839</v>
      </c>
      <c r="E214" s="1" t="str">
        <f>[1]装备明细!$C215</f>
        <v>尊荣虚幻扇子</v>
      </c>
      <c r="G214" s="1">
        <f>[1]装备明细!$J215</f>
        <v>0</v>
      </c>
      <c r="H214" s="1">
        <f>IF([1]装备明细!$G215&gt;=14,"",[1]装备明细!$G215-1)</f>
        <v>8</v>
      </c>
      <c r="I214" s="1">
        <f>[1]装备明细!$F215</f>
        <v>1</v>
      </c>
      <c r="J214" s="1">
        <f>[1]装备明细!$L215</f>
        <v>6</v>
      </c>
      <c r="K214" s="1">
        <f>[1]装备明细!$E215</f>
        <v>2</v>
      </c>
      <c r="L214" s="1">
        <f t="shared" si="3"/>
        <v>2</v>
      </c>
      <c r="M214" s="1">
        <f>[2]Sheet1!$R215*2</f>
        <v>102</v>
      </c>
    </row>
    <row r="215" spans="1:13" x14ac:dyDescent="0.15">
      <c r="A215" s="1">
        <v>214</v>
      </c>
      <c r="B215" s="1">
        <v>0</v>
      </c>
      <c r="C215" s="1">
        <v>100214</v>
      </c>
      <c r="D215" s="1" t="str">
        <f>[1]装备明细!$M216</f>
        <v>IC1838</v>
      </c>
      <c r="E215" s="1" t="str">
        <f>[1]装备明细!$C216</f>
        <v>至尊歌德扇子</v>
      </c>
      <c r="G215" s="1">
        <f>[1]装备明细!$J216</f>
        <v>0</v>
      </c>
      <c r="H215" s="1">
        <f>IF([1]装备明细!$G216&gt;=14,"",[1]装备明细!$G216-1)</f>
        <v>8</v>
      </c>
      <c r="I215" s="1">
        <f>[1]装备明细!$F216</f>
        <v>1</v>
      </c>
      <c r="J215" s="1">
        <f>[1]装备明细!$L216</f>
        <v>7</v>
      </c>
      <c r="K215" s="1">
        <f>[1]装备明细!$E216</f>
        <v>2</v>
      </c>
      <c r="L215" s="1">
        <f t="shared" si="3"/>
        <v>2</v>
      </c>
      <c r="M215" s="1">
        <f>[2]Sheet1!$R216*2</f>
        <v>132</v>
      </c>
    </row>
    <row r="216" spans="1:13" x14ac:dyDescent="0.15">
      <c r="A216" s="1">
        <v>215</v>
      </c>
      <c r="B216" s="1">
        <v>0</v>
      </c>
      <c r="C216" s="1">
        <v>100215</v>
      </c>
      <c r="D216" s="1" t="str">
        <f>[1]装备明细!$M217</f>
        <v>IC1836</v>
      </c>
      <c r="E216" s="1" t="str">
        <f>[1]装备明细!$C217</f>
        <v>绝旨空灵扇子</v>
      </c>
      <c r="G216" s="1">
        <f>[1]装备明细!$J217</f>
        <v>0</v>
      </c>
      <c r="H216" s="1">
        <f>IF([1]装备明细!$G217&gt;=14,"",[1]装备明细!$G217-1)</f>
        <v>8</v>
      </c>
      <c r="I216" s="1">
        <f>[1]装备明细!$F217</f>
        <v>1</v>
      </c>
      <c r="J216" s="1">
        <f>[1]装备明细!$L217</f>
        <v>8</v>
      </c>
      <c r="K216" s="1">
        <f>[1]装备明细!$E217</f>
        <v>2</v>
      </c>
      <c r="L216" s="1">
        <f t="shared" si="3"/>
        <v>2</v>
      </c>
      <c r="M216" s="1">
        <f>[2]Sheet1!$R217*2</f>
        <v>102</v>
      </c>
    </row>
    <row r="217" spans="1:13" x14ac:dyDescent="0.15">
      <c r="A217" s="1">
        <v>216</v>
      </c>
      <c r="B217" s="1">
        <v>0</v>
      </c>
      <c r="C217" s="1">
        <v>100216</v>
      </c>
      <c r="D217" s="1" t="str">
        <f>[1]装备明细!$M218</f>
        <v>IC1837</v>
      </c>
      <c r="E217" s="1" t="str">
        <f>[1]装备明细!$C218</f>
        <v>天工混乱扇子</v>
      </c>
      <c r="G217" s="1">
        <f>[1]装备明细!$J218</f>
        <v>0</v>
      </c>
      <c r="H217" s="1">
        <f>IF([1]装备明细!$G218&gt;=14,"",[1]装备明细!$G218-1)</f>
        <v>8</v>
      </c>
      <c r="I217" s="1">
        <f>[1]装备明细!$F218</f>
        <v>1</v>
      </c>
      <c r="J217" s="1">
        <f>[1]装备明细!$L218</f>
        <v>9</v>
      </c>
      <c r="K217" s="1">
        <f>[1]装备明细!$E218</f>
        <v>2</v>
      </c>
      <c r="L217" s="1">
        <f t="shared" si="3"/>
        <v>2</v>
      </c>
      <c r="M217" s="1">
        <f>[2]Sheet1!$R218*2</f>
        <v>102</v>
      </c>
    </row>
    <row r="218" spans="1:13" x14ac:dyDescent="0.15">
      <c r="A218" s="1">
        <v>217</v>
      </c>
      <c r="B218" s="1">
        <v>0</v>
      </c>
      <c r="C218" s="1">
        <v>100217</v>
      </c>
      <c r="D218" s="1" t="str">
        <f>[1]装备明细!$M219</f>
        <v>IC1554</v>
      </c>
      <c r="E218" s="1" t="str">
        <f>[1]装备明细!$C219</f>
        <v>学徒颓废牙齿</v>
      </c>
      <c r="G218" s="1">
        <f>[1]装备明细!$J219</f>
        <v>0</v>
      </c>
      <c r="H218" s="1">
        <f>IF([1]装备明细!$G219&gt;=14,"",[1]装备明细!$G219-1)</f>
        <v>9</v>
      </c>
      <c r="I218" s="1">
        <f>[1]装备明细!$F219</f>
        <v>1</v>
      </c>
      <c r="J218" s="1">
        <f>[1]装备明细!$L219</f>
        <v>1</v>
      </c>
      <c r="K218" s="1">
        <f>[1]装备明细!$E219</f>
        <v>2</v>
      </c>
      <c r="L218" s="1">
        <f t="shared" si="3"/>
        <v>2</v>
      </c>
      <c r="M218" s="1">
        <f>[2]Sheet1!$R219*2</f>
        <v>162</v>
      </c>
    </row>
    <row r="219" spans="1:13" x14ac:dyDescent="0.15">
      <c r="A219" s="1">
        <v>218</v>
      </c>
      <c r="B219" s="1">
        <v>0</v>
      </c>
      <c r="C219" s="1">
        <v>100218</v>
      </c>
      <c r="D219" s="1" t="str">
        <f>[1]装备明细!$M220</f>
        <v>IC1565</v>
      </c>
      <c r="E219" s="1" t="str">
        <f>[1]装备明细!$C220</f>
        <v>专家玄铁牙齿</v>
      </c>
      <c r="G219" s="1">
        <f>[1]装备明细!$J220</f>
        <v>0</v>
      </c>
      <c r="H219" s="1">
        <f>IF([1]装备明细!$G220&gt;=14,"",[1]装备明细!$G220-1)</f>
        <v>9</v>
      </c>
      <c r="I219" s="1">
        <f>[1]装备明细!$F220</f>
        <v>1</v>
      </c>
      <c r="J219" s="1">
        <f>[1]装备明细!$L220</f>
        <v>2</v>
      </c>
      <c r="K219" s="1">
        <f>[1]装备明细!$E220</f>
        <v>2</v>
      </c>
      <c r="L219" s="1">
        <f t="shared" si="3"/>
        <v>2</v>
      </c>
      <c r="M219" s="1">
        <f>[2]Sheet1!$R220*2</f>
        <v>132</v>
      </c>
    </row>
    <row r="220" spans="1:13" x14ac:dyDescent="0.15">
      <c r="A220" s="1">
        <v>219</v>
      </c>
      <c r="B220" s="1">
        <v>0</v>
      </c>
      <c r="C220" s="1">
        <v>100219</v>
      </c>
      <c r="D220" s="1" t="str">
        <f>[1]装备明细!$M221</f>
        <v>IC1553</v>
      </c>
      <c r="E220" s="1" t="str">
        <f>[1]装备明细!$C221</f>
        <v>大师水晶牙齿</v>
      </c>
      <c r="G220" s="1">
        <f>[1]装备明细!$J221</f>
        <v>0</v>
      </c>
      <c r="H220" s="1">
        <f>IF([1]装备明细!$G221&gt;=14,"",[1]装备明细!$G221-1)</f>
        <v>9</v>
      </c>
      <c r="I220" s="1">
        <f>[1]装备明细!$F221</f>
        <v>1</v>
      </c>
      <c r="J220" s="1">
        <f>[1]装备明细!$L221</f>
        <v>3</v>
      </c>
      <c r="K220" s="1">
        <f>[1]装备明细!$E221</f>
        <v>2</v>
      </c>
      <c r="L220" s="1">
        <f t="shared" si="3"/>
        <v>2</v>
      </c>
      <c r="M220" s="1">
        <f>[2]Sheet1!$R221*2</f>
        <v>102</v>
      </c>
    </row>
    <row r="221" spans="1:13" x14ac:dyDescent="0.15">
      <c r="A221" s="1">
        <v>220</v>
      </c>
      <c r="B221" s="1">
        <v>0</v>
      </c>
      <c r="C221" s="1">
        <v>100220</v>
      </c>
      <c r="D221" s="1" t="str">
        <f>[1]装备明细!$M222</f>
        <v>IC1556</v>
      </c>
      <c r="E221" s="1" t="str">
        <f>[1]装备明细!$C222</f>
        <v>宗师精钢牙齿</v>
      </c>
      <c r="G221" s="1">
        <f>[1]装备明细!$J222</f>
        <v>0</v>
      </c>
      <c r="H221" s="1">
        <f>IF([1]装备明细!$G222&gt;=14,"",[1]装备明细!$G222-1)</f>
        <v>9</v>
      </c>
      <c r="I221" s="1">
        <f>[1]装备明细!$F222</f>
        <v>1</v>
      </c>
      <c r="J221" s="1">
        <f>[1]装备明细!$L222</f>
        <v>4</v>
      </c>
      <c r="K221" s="1">
        <f>[1]装备明细!$E222</f>
        <v>2</v>
      </c>
      <c r="L221" s="1">
        <f t="shared" si="3"/>
        <v>2</v>
      </c>
      <c r="M221" s="1">
        <f>[2]Sheet1!$R222*2</f>
        <v>72</v>
      </c>
    </row>
    <row r="222" spans="1:13" x14ac:dyDescent="0.15">
      <c r="A222" s="1">
        <v>221</v>
      </c>
      <c r="B222" s="1">
        <v>0</v>
      </c>
      <c r="C222" s="1">
        <v>100221</v>
      </c>
      <c r="D222" s="1" t="str">
        <f>[1]装备明细!$M223</f>
        <v>IC1554</v>
      </c>
      <c r="E222" s="1" t="str">
        <f>[1]装备明细!$C223</f>
        <v>显赫白银牙齿</v>
      </c>
      <c r="G222" s="1">
        <f>[1]装备明细!$J223</f>
        <v>0</v>
      </c>
      <c r="H222" s="1">
        <f>IF([1]装备明细!$G223&gt;=14,"",[1]装备明细!$G223-1)</f>
        <v>9</v>
      </c>
      <c r="I222" s="1">
        <f>[1]装备明细!$F223</f>
        <v>1</v>
      </c>
      <c r="J222" s="1">
        <f>[1]装备明细!$L223</f>
        <v>5</v>
      </c>
      <c r="K222" s="1">
        <f>[1]装备明细!$E223</f>
        <v>2</v>
      </c>
      <c r="L222" s="1">
        <f t="shared" si="3"/>
        <v>2</v>
      </c>
      <c r="M222" s="1">
        <f>[2]Sheet1!$R223*2</f>
        <v>162</v>
      </c>
    </row>
    <row r="223" spans="1:13" x14ac:dyDescent="0.15">
      <c r="A223" s="1">
        <v>222</v>
      </c>
      <c r="B223" s="1">
        <v>0</v>
      </c>
      <c r="C223" s="1">
        <v>100222</v>
      </c>
      <c r="D223" s="1" t="str">
        <f>[1]装备明细!$M224</f>
        <v>IC1565</v>
      </c>
      <c r="E223" s="1" t="str">
        <f>[1]装备明细!$C224</f>
        <v>尊荣虚幻牙齿</v>
      </c>
      <c r="G223" s="1">
        <f>[1]装备明细!$J224</f>
        <v>0</v>
      </c>
      <c r="H223" s="1">
        <f>IF([1]装备明细!$G224&gt;=14,"",[1]装备明细!$G224-1)</f>
        <v>9</v>
      </c>
      <c r="I223" s="1">
        <f>[1]装备明细!$F224</f>
        <v>1</v>
      </c>
      <c r="J223" s="1">
        <f>[1]装备明细!$L224</f>
        <v>6</v>
      </c>
      <c r="K223" s="1">
        <f>[1]装备明细!$E224</f>
        <v>2</v>
      </c>
      <c r="L223" s="1">
        <f t="shared" si="3"/>
        <v>2</v>
      </c>
      <c r="M223" s="1">
        <f>[2]Sheet1!$R224*2</f>
        <v>162</v>
      </c>
    </row>
    <row r="224" spans="1:13" x14ac:dyDescent="0.15">
      <c r="A224" s="1">
        <v>223</v>
      </c>
      <c r="B224" s="1">
        <v>0</v>
      </c>
      <c r="C224" s="1">
        <v>100223</v>
      </c>
      <c r="D224" s="1" t="str">
        <f>[1]装备明细!$M225</f>
        <v>IC1554</v>
      </c>
      <c r="E224" s="1" t="str">
        <f>[1]装备明细!$C225</f>
        <v>至尊歌德牙齿</v>
      </c>
      <c r="G224" s="1">
        <f>[1]装备明细!$J225</f>
        <v>0</v>
      </c>
      <c r="H224" s="1">
        <f>IF([1]装备明细!$G225&gt;=14,"",[1]装备明细!$G225-1)</f>
        <v>9</v>
      </c>
      <c r="I224" s="1">
        <f>[1]装备明细!$F225</f>
        <v>1</v>
      </c>
      <c r="J224" s="1">
        <f>[1]装备明细!$L225</f>
        <v>7</v>
      </c>
      <c r="K224" s="1">
        <f>[1]装备明细!$E225</f>
        <v>2</v>
      </c>
      <c r="L224" s="1">
        <f t="shared" si="3"/>
        <v>2</v>
      </c>
      <c r="M224" s="1">
        <f>[2]Sheet1!$R225*2</f>
        <v>162</v>
      </c>
    </row>
    <row r="225" spans="1:13" x14ac:dyDescent="0.15">
      <c r="A225" s="1">
        <v>224</v>
      </c>
      <c r="B225" s="1">
        <v>0</v>
      </c>
      <c r="C225" s="1">
        <v>100224</v>
      </c>
      <c r="D225" s="1" t="str">
        <f>[1]装备明细!$M226</f>
        <v>IC1553</v>
      </c>
      <c r="E225" s="1" t="str">
        <f>[1]装备明细!$C226</f>
        <v>绝旨空灵牙齿</v>
      </c>
      <c r="G225" s="1">
        <f>[1]装备明细!$J226</f>
        <v>0</v>
      </c>
      <c r="H225" s="1">
        <f>IF([1]装备明细!$G226&gt;=14,"",[1]装备明细!$G226-1)</f>
        <v>9</v>
      </c>
      <c r="I225" s="1">
        <f>[1]装备明细!$F226</f>
        <v>1</v>
      </c>
      <c r="J225" s="1">
        <f>[1]装备明细!$L226</f>
        <v>8</v>
      </c>
      <c r="K225" s="1">
        <f>[1]装备明细!$E226</f>
        <v>2</v>
      </c>
      <c r="L225" s="1">
        <f t="shared" si="3"/>
        <v>2</v>
      </c>
      <c r="M225" s="1">
        <f>[2]Sheet1!$R226*2</f>
        <v>162</v>
      </c>
    </row>
    <row r="226" spans="1:13" x14ac:dyDescent="0.15">
      <c r="A226" s="1">
        <v>225</v>
      </c>
      <c r="B226" s="1">
        <v>0</v>
      </c>
      <c r="C226" s="1">
        <v>100225</v>
      </c>
      <c r="D226" s="1" t="str">
        <f>[1]装备明细!$M227</f>
        <v>IC1556</v>
      </c>
      <c r="E226" s="1" t="str">
        <f>[1]装备明细!$C227</f>
        <v>天工混乱牙齿</v>
      </c>
      <c r="G226" s="1">
        <f>[1]装备明细!$J227</f>
        <v>0</v>
      </c>
      <c r="H226" s="1">
        <f>IF([1]装备明细!$G227&gt;=14,"",[1]装备明细!$G227-1)</f>
        <v>9</v>
      </c>
      <c r="I226" s="1">
        <f>[1]装备明细!$F227</f>
        <v>1</v>
      </c>
      <c r="J226" s="1">
        <f>[1]装备明细!$L227</f>
        <v>9</v>
      </c>
      <c r="K226" s="1">
        <f>[1]装备明细!$E227</f>
        <v>2</v>
      </c>
      <c r="L226" s="1">
        <f t="shared" si="3"/>
        <v>2</v>
      </c>
      <c r="M226" s="1">
        <f>[2]Sheet1!$R227*2</f>
        <v>102</v>
      </c>
    </row>
    <row r="227" spans="1:13" x14ac:dyDescent="0.15">
      <c r="A227" s="1">
        <v>226</v>
      </c>
      <c r="B227" s="1">
        <v>0</v>
      </c>
      <c r="C227" s="1">
        <v>100226</v>
      </c>
      <c r="D227" s="1" t="str">
        <f>[1]装备明细!$M228</f>
        <v>IC1414</v>
      </c>
      <c r="E227" s="1" t="str">
        <f>[1]装备明细!$C228</f>
        <v>学徒颓废球</v>
      </c>
      <c r="G227" s="1">
        <f>[1]装备明细!$J228</f>
        <v>0</v>
      </c>
      <c r="H227" s="1">
        <f>IF([1]装备明细!$G228&gt;=14,"",[1]装备明细!$G228-1)</f>
        <v>10</v>
      </c>
      <c r="I227" s="1">
        <f>[1]装备明细!$F228</f>
        <v>1</v>
      </c>
      <c r="J227" s="1">
        <f>[1]装备明细!$L228</f>
        <v>1</v>
      </c>
      <c r="K227" s="1">
        <f>[1]装备明细!$E228</f>
        <v>2</v>
      </c>
      <c r="L227" s="1">
        <f t="shared" si="3"/>
        <v>2</v>
      </c>
      <c r="M227" s="1">
        <f>[2]Sheet1!$R228*2</f>
        <v>102</v>
      </c>
    </row>
    <row r="228" spans="1:13" x14ac:dyDescent="0.15">
      <c r="A228" s="1">
        <v>227</v>
      </c>
      <c r="B228" s="1">
        <v>0</v>
      </c>
      <c r="C228" s="1">
        <v>100227</v>
      </c>
      <c r="D228" s="1" t="str">
        <f>[1]装备明细!$M229</f>
        <v>IC1415</v>
      </c>
      <c r="E228" s="1" t="str">
        <f>[1]装备明细!$C229</f>
        <v>专家玄铁球</v>
      </c>
      <c r="G228" s="1">
        <f>[1]装备明细!$J229</f>
        <v>0</v>
      </c>
      <c r="H228" s="1">
        <f>IF([1]装备明细!$G229&gt;=14,"",[1]装备明细!$G229-1)</f>
        <v>10</v>
      </c>
      <c r="I228" s="1">
        <f>[1]装备明细!$F229</f>
        <v>1</v>
      </c>
      <c r="J228" s="1">
        <f>[1]装备明细!$L229</f>
        <v>2</v>
      </c>
      <c r="K228" s="1">
        <f>[1]装备明细!$E229</f>
        <v>2</v>
      </c>
      <c r="L228" s="1">
        <f t="shared" si="3"/>
        <v>2</v>
      </c>
      <c r="M228" s="1">
        <f>[2]Sheet1!$R229*2</f>
        <v>132</v>
      </c>
    </row>
    <row r="229" spans="1:13" x14ac:dyDescent="0.15">
      <c r="A229" s="1">
        <v>228</v>
      </c>
      <c r="B229" s="1">
        <v>0</v>
      </c>
      <c r="C229" s="1">
        <v>100228</v>
      </c>
      <c r="D229" s="1" t="str">
        <f>[1]装备明细!$M230</f>
        <v>IC1418</v>
      </c>
      <c r="E229" s="1" t="str">
        <f>[1]装备明细!$C230</f>
        <v>大师水晶球</v>
      </c>
      <c r="G229" s="1">
        <f>[1]装备明细!$J230</f>
        <v>0</v>
      </c>
      <c r="H229" s="1">
        <f>IF([1]装备明细!$G230&gt;=14,"",[1]装备明细!$G230-1)</f>
        <v>10</v>
      </c>
      <c r="I229" s="1">
        <f>[1]装备明细!$F230</f>
        <v>1</v>
      </c>
      <c r="J229" s="1">
        <f>[1]装备明细!$L230</f>
        <v>3</v>
      </c>
      <c r="K229" s="1">
        <f>[1]装备明细!$E230</f>
        <v>2</v>
      </c>
      <c r="L229" s="1">
        <f t="shared" si="3"/>
        <v>2</v>
      </c>
      <c r="M229" s="1">
        <f>[2]Sheet1!$R230*2</f>
        <v>72</v>
      </c>
    </row>
    <row r="230" spans="1:13" x14ac:dyDescent="0.15">
      <c r="A230" s="1">
        <v>229</v>
      </c>
      <c r="B230" s="1">
        <v>0</v>
      </c>
      <c r="C230" s="1">
        <v>100229</v>
      </c>
      <c r="D230" s="1" t="str">
        <f>[1]装备明细!$M231</f>
        <v>IC1400</v>
      </c>
      <c r="E230" s="1" t="str">
        <f>[1]装备明细!$C231</f>
        <v>宗师精钢球</v>
      </c>
      <c r="G230" s="1">
        <f>[1]装备明细!$J231</f>
        <v>0</v>
      </c>
      <c r="H230" s="1">
        <f>IF([1]装备明细!$G231&gt;=14,"",[1]装备明细!$G231-1)</f>
        <v>10</v>
      </c>
      <c r="I230" s="1">
        <f>[1]装备明细!$F231</f>
        <v>1</v>
      </c>
      <c r="J230" s="1">
        <f>[1]装备明细!$L231</f>
        <v>4</v>
      </c>
      <c r="K230" s="1">
        <f>[1]装备明细!$E231</f>
        <v>2</v>
      </c>
      <c r="L230" s="1">
        <f t="shared" si="3"/>
        <v>2</v>
      </c>
      <c r="M230" s="1">
        <f>[2]Sheet1!$R231*2</f>
        <v>162</v>
      </c>
    </row>
    <row r="231" spans="1:13" x14ac:dyDescent="0.15">
      <c r="A231" s="1">
        <v>230</v>
      </c>
      <c r="B231" s="1">
        <v>0</v>
      </c>
      <c r="C231" s="1">
        <v>100230</v>
      </c>
      <c r="D231" s="1" t="str">
        <f>[1]装备明细!$M232</f>
        <v>IC1408</v>
      </c>
      <c r="E231" s="1" t="str">
        <f>[1]装备明细!$C232</f>
        <v>显赫白银球</v>
      </c>
      <c r="G231" s="1">
        <f>[1]装备明细!$J232</f>
        <v>0</v>
      </c>
      <c r="H231" s="1">
        <f>IF([1]装备明细!$G232&gt;=14,"",[1]装备明细!$G232-1)</f>
        <v>10</v>
      </c>
      <c r="I231" s="1">
        <f>[1]装备明细!$F232</f>
        <v>1</v>
      </c>
      <c r="J231" s="1">
        <f>[1]装备明细!$L232</f>
        <v>5</v>
      </c>
      <c r="K231" s="1">
        <f>[1]装备明细!$E232</f>
        <v>2</v>
      </c>
      <c r="L231" s="1">
        <f t="shared" si="3"/>
        <v>2</v>
      </c>
      <c r="M231" s="1">
        <f>[2]Sheet1!$R232*2</f>
        <v>162</v>
      </c>
    </row>
    <row r="232" spans="1:13" x14ac:dyDescent="0.15">
      <c r="A232" s="1">
        <v>231</v>
      </c>
      <c r="B232" s="1">
        <v>0</v>
      </c>
      <c r="C232" s="1">
        <v>100231</v>
      </c>
      <c r="D232" s="1" t="str">
        <f>[1]装备明细!$M233</f>
        <v>IC1400</v>
      </c>
      <c r="E232" s="1" t="str">
        <f>[1]装备明细!$C233</f>
        <v>尊荣虚幻球</v>
      </c>
      <c r="G232" s="1">
        <f>[1]装备明细!$J233</f>
        <v>0</v>
      </c>
      <c r="H232" s="1">
        <f>IF([1]装备明细!$G233&gt;=14,"",[1]装备明细!$G233-1)</f>
        <v>10</v>
      </c>
      <c r="I232" s="1">
        <f>[1]装备明细!$F233</f>
        <v>1</v>
      </c>
      <c r="J232" s="1">
        <f>[1]装备明细!$L233</f>
        <v>6</v>
      </c>
      <c r="K232" s="1">
        <f>[1]装备明细!$E233</f>
        <v>2</v>
      </c>
      <c r="L232" s="1">
        <f t="shared" si="3"/>
        <v>2</v>
      </c>
      <c r="M232" s="1">
        <f>[2]Sheet1!$R233*2</f>
        <v>72</v>
      </c>
    </row>
    <row r="233" spans="1:13" x14ac:dyDescent="0.15">
      <c r="A233" s="1">
        <v>232</v>
      </c>
      <c r="B233" s="1">
        <v>0</v>
      </c>
      <c r="C233" s="1">
        <v>100232</v>
      </c>
      <c r="D233" s="1" t="str">
        <f>[1]装备明细!$M234</f>
        <v>IC1408</v>
      </c>
      <c r="E233" s="1" t="str">
        <f>[1]装备明细!$C234</f>
        <v>至尊歌德球</v>
      </c>
      <c r="G233" s="1">
        <f>[1]装备明细!$J234</f>
        <v>0</v>
      </c>
      <c r="H233" s="1">
        <f>IF([1]装备明细!$G234&gt;=14,"",[1]装备明细!$G234-1)</f>
        <v>10</v>
      </c>
      <c r="I233" s="1">
        <f>[1]装备明细!$F234</f>
        <v>1</v>
      </c>
      <c r="J233" s="1">
        <f>[1]装备明细!$L234</f>
        <v>7</v>
      </c>
      <c r="K233" s="1">
        <f>[1]装备明细!$E234</f>
        <v>2</v>
      </c>
      <c r="L233" s="1">
        <f t="shared" si="3"/>
        <v>2</v>
      </c>
      <c r="M233" s="1">
        <f>[2]Sheet1!$R234*2</f>
        <v>162</v>
      </c>
    </row>
    <row r="234" spans="1:13" x14ac:dyDescent="0.15">
      <c r="A234" s="1">
        <v>233</v>
      </c>
      <c r="B234" s="1">
        <v>0</v>
      </c>
      <c r="C234" s="1">
        <v>100233</v>
      </c>
      <c r="D234" s="1" t="str">
        <f>[1]装备明细!$M235</f>
        <v>IC1414</v>
      </c>
      <c r="E234" s="1" t="str">
        <f>[1]装备明细!$C235</f>
        <v>绝旨空灵球</v>
      </c>
      <c r="G234" s="1">
        <f>[1]装备明细!$J235</f>
        <v>0</v>
      </c>
      <c r="H234" s="1">
        <f>IF([1]装备明细!$G235&gt;=14,"",[1]装备明细!$G235-1)</f>
        <v>10</v>
      </c>
      <c r="I234" s="1">
        <f>[1]装备明细!$F235</f>
        <v>1</v>
      </c>
      <c r="J234" s="1">
        <f>[1]装备明细!$L235</f>
        <v>8</v>
      </c>
      <c r="K234" s="1">
        <f>[1]装备明细!$E235</f>
        <v>2</v>
      </c>
      <c r="L234" s="1">
        <f t="shared" si="3"/>
        <v>2</v>
      </c>
      <c r="M234" s="1">
        <f>[2]Sheet1!$R235*2</f>
        <v>72</v>
      </c>
    </row>
    <row r="235" spans="1:13" x14ac:dyDescent="0.15">
      <c r="A235" s="1">
        <v>234</v>
      </c>
      <c r="B235" s="1">
        <v>0</v>
      </c>
      <c r="C235" s="1">
        <v>100234</v>
      </c>
      <c r="D235" s="1" t="str">
        <f>[1]装备明细!$M236</f>
        <v>IC1415</v>
      </c>
      <c r="E235" s="1" t="str">
        <f>[1]装备明细!$C236</f>
        <v>天工混乱球</v>
      </c>
      <c r="G235" s="1">
        <f>[1]装备明细!$J236</f>
        <v>0</v>
      </c>
      <c r="H235" s="1">
        <f>IF([1]装备明细!$G236&gt;=14,"",[1]装备明细!$G236-1)</f>
        <v>10</v>
      </c>
      <c r="I235" s="1">
        <f>[1]装备明细!$F236</f>
        <v>1</v>
      </c>
      <c r="J235" s="1">
        <f>[1]装备明细!$L236</f>
        <v>9</v>
      </c>
      <c r="K235" s="1">
        <f>[1]装备明细!$E236</f>
        <v>2</v>
      </c>
      <c r="L235" s="1">
        <f t="shared" si="3"/>
        <v>2</v>
      </c>
      <c r="M235" s="1">
        <f>[2]Sheet1!$R236*2</f>
        <v>162</v>
      </c>
    </row>
    <row r="236" spans="1:13" x14ac:dyDescent="0.15">
      <c r="A236" s="1">
        <v>235</v>
      </c>
      <c r="B236" s="1">
        <v>0</v>
      </c>
      <c r="C236" s="1">
        <v>100235</v>
      </c>
      <c r="D236" s="1" t="str">
        <f>[1]装备明细!$M237</f>
        <v>IC1777</v>
      </c>
      <c r="E236" s="1" t="str">
        <f>[1]装备明细!$C237</f>
        <v>学徒颓废爪</v>
      </c>
      <c r="G236" s="1">
        <f>[1]装备明细!$J237</f>
        <v>0</v>
      </c>
      <c r="H236" s="1">
        <f>IF([1]装备明细!$G237&gt;=14,"",[1]装备明细!$G237-1)</f>
        <v>11</v>
      </c>
      <c r="I236" s="1">
        <f>[1]装备明细!$F237</f>
        <v>1</v>
      </c>
      <c r="J236" s="1">
        <f>[1]装备明细!$L237</f>
        <v>1</v>
      </c>
      <c r="K236" s="1">
        <f>[1]装备明细!$E237</f>
        <v>2</v>
      </c>
      <c r="L236" s="1">
        <f t="shared" si="3"/>
        <v>2</v>
      </c>
      <c r="M236" s="1">
        <f>[2]Sheet1!$R237*2</f>
        <v>102</v>
      </c>
    </row>
    <row r="237" spans="1:13" x14ac:dyDescent="0.15">
      <c r="A237" s="1">
        <v>236</v>
      </c>
      <c r="B237" s="1">
        <v>0</v>
      </c>
      <c r="C237" s="1">
        <v>100236</v>
      </c>
      <c r="D237" s="1" t="str">
        <f>[1]装备明细!$M238</f>
        <v>IC1776</v>
      </c>
      <c r="E237" s="1" t="str">
        <f>[1]装备明细!$C238</f>
        <v>专家玄铁爪</v>
      </c>
      <c r="G237" s="1">
        <f>[1]装备明细!$J238</f>
        <v>0</v>
      </c>
      <c r="H237" s="1">
        <f>IF([1]装备明细!$G238&gt;=14,"",[1]装备明细!$G238-1)</f>
        <v>11</v>
      </c>
      <c r="I237" s="1">
        <f>[1]装备明细!$F238</f>
        <v>1</v>
      </c>
      <c r="J237" s="1">
        <f>[1]装备明细!$L238</f>
        <v>2</v>
      </c>
      <c r="K237" s="1">
        <f>[1]装备明细!$E238</f>
        <v>2</v>
      </c>
      <c r="L237" s="1">
        <f t="shared" si="3"/>
        <v>2</v>
      </c>
      <c r="M237" s="1">
        <f>[2]Sheet1!$R238*2</f>
        <v>72</v>
      </c>
    </row>
    <row r="238" spans="1:13" x14ac:dyDescent="0.15">
      <c r="A238" s="1">
        <v>237</v>
      </c>
      <c r="B238" s="1">
        <v>0</v>
      </c>
      <c r="C238" s="1">
        <v>100237</v>
      </c>
      <c r="D238" s="1" t="str">
        <f>[1]装备明细!$M239</f>
        <v>IC1774</v>
      </c>
      <c r="E238" s="1" t="str">
        <f>[1]装备明细!$C239</f>
        <v>大师水晶爪</v>
      </c>
      <c r="G238" s="1">
        <f>[1]装备明细!$J239</f>
        <v>0</v>
      </c>
      <c r="H238" s="1">
        <f>IF([1]装备明细!$G239&gt;=14,"",[1]装备明细!$G239-1)</f>
        <v>11</v>
      </c>
      <c r="I238" s="1">
        <f>[1]装备明细!$F239</f>
        <v>1</v>
      </c>
      <c r="J238" s="1">
        <f>[1]装备明细!$L239</f>
        <v>3</v>
      </c>
      <c r="K238" s="1">
        <f>[1]装备明细!$E239</f>
        <v>2</v>
      </c>
      <c r="L238" s="1">
        <f t="shared" si="3"/>
        <v>2</v>
      </c>
      <c r="M238" s="1">
        <f>[2]Sheet1!$R239*2</f>
        <v>162</v>
      </c>
    </row>
    <row r="239" spans="1:13" x14ac:dyDescent="0.15">
      <c r="A239" s="1">
        <v>238</v>
      </c>
      <c r="B239" s="1">
        <v>0</v>
      </c>
      <c r="C239" s="1">
        <v>100238</v>
      </c>
      <c r="D239" s="1" t="str">
        <f>[1]装备明细!$M240</f>
        <v>IC1775</v>
      </c>
      <c r="E239" s="1" t="str">
        <f>[1]装备明细!$C240</f>
        <v>宗师精钢爪</v>
      </c>
      <c r="G239" s="1">
        <f>[1]装备明细!$J240</f>
        <v>0</v>
      </c>
      <c r="H239" s="1">
        <f>IF([1]装备明细!$G240&gt;=14,"",[1]装备明细!$G240-1)</f>
        <v>11</v>
      </c>
      <c r="I239" s="1">
        <f>[1]装备明细!$F240</f>
        <v>1</v>
      </c>
      <c r="J239" s="1">
        <f>[1]装备明细!$L240</f>
        <v>4</v>
      </c>
      <c r="K239" s="1">
        <f>[1]装备明细!$E240</f>
        <v>2</v>
      </c>
      <c r="L239" s="1">
        <f t="shared" si="3"/>
        <v>2</v>
      </c>
      <c r="M239" s="1">
        <f>[2]Sheet1!$R240*2</f>
        <v>162</v>
      </c>
    </row>
    <row r="240" spans="1:13" x14ac:dyDescent="0.15">
      <c r="A240" s="1">
        <v>239</v>
      </c>
      <c r="B240" s="1">
        <v>0</v>
      </c>
      <c r="C240" s="1">
        <v>100239</v>
      </c>
      <c r="D240" s="1" t="str">
        <f>[1]装备明细!$M241</f>
        <v>IC1754</v>
      </c>
      <c r="E240" s="1" t="str">
        <f>[1]装备明细!$C241</f>
        <v>显赫白银爪</v>
      </c>
      <c r="G240" s="1">
        <f>[1]装备明细!$J241</f>
        <v>0</v>
      </c>
      <c r="H240" s="1">
        <f>IF([1]装备明细!$G241&gt;=14,"",[1]装备明细!$G241-1)</f>
        <v>11</v>
      </c>
      <c r="I240" s="1">
        <f>[1]装备明细!$F241</f>
        <v>1</v>
      </c>
      <c r="J240" s="1">
        <f>[1]装备明细!$L241</f>
        <v>5</v>
      </c>
      <c r="K240" s="1">
        <f>[1]装备明细!$E241</f>
        <v>2</v>
      </c>
      <c r="L240" s="1">
        <f t="shared" si="3"/>
        <v>2</v>
      </c>
      <c r="M240" s="1">
        <f>[2]Sheet1!$R241*2</f>
        <v>132</v>
      </c>
    </row>
    <row r="241" spans="1:13" x14ac:dyDescent="0.15">
      <c r="A241" s="1">
        <v>240</v>
      </c>
      <c r="B241" s="1">
        <v>0</v>
      </c>
      <c r="C241" s="1">
        <v>100240</v>
      </c>
      <c r="D241" s="1" t="str">
        <f>[1]装备明细!$M242</f>
        <v>IC1758</v>
      </c>
      <c r="E241" s="1" t="str">
        <f>[1]装备明细!$C242</f>
        <v>尊荣虚幻爪</v>
      </c>
      <c r="G241" s="1">
        <f>[1]装备明细!$J242</f>
        <v>0</v>
      </c>
      <c r="H241" s="1">
        <f>IF([1]装备明细!$G242&gt;=14,"",[1]装备明细!$G242-1)</f>
        <v>11</v>
      </c>
      <c r="I241" s="1">
        <f>[1]装备明细!$F242</f>
        <v>1</v>
      </c>
      <c r="J241" s="1">
        <f>[1]装备明细!$L242</f>
        <v>6</v>
      </c>
      <c r="K241" s="1">
        <f>[1]装备明细!$E242</f>
        <v>2</v>
      </c>
      <c r="L241" s="1">
        <f t="shared" si="3"/>
        <v>2</v>
      </c>
      <c r="M241" s="1">
        <f>[2]Sheet1!$R242*2</f>
        <v>102</v>
      </c>
    </row>
    <row r="242" spans="1:13" x14ac:dyDescent="0.15">
      <c r="A242" s="1">
        <v>241</v>
      </c>
      <c r="B242" s="1">
        <v>0</v>
      </c>
      <c r="C242" s="1">
        <v>100241</v>
      </c>
      <c r="D242" s="1" t="str">
        <f>[1]装备明细!$M243</f>
        <v>IC1777</v>
      </c>
      <c r="E242" s="1" t="str">
        <f>[1]装备明细!$C243</f>
        <v>至尊歌德爪</v>
      </c>
      <c r="G242" s="1">
        <f>[1]装备明细!$J243</f>
        <v>0</v>
      </c>
      <c r="H242" s="1">
        <f>IF([1]装备明细!$G243&gt;=14,"",[1]装备明细!$G243-1)</f>
        <v>11</v>
      </c>
      <c r="I242" s="1">
        <f>[1]装备明细!$F243</f>
        <v>1</v>
      </c>
      <c r="J242" s="1">
        <f>[1]装备明细!$L243</f>
        <v>7</v>
      </c>
      <c r="K242" s="1">
        <f>[1]装备明细!$E243</f>
        <v>2</v>
      </c>
      <c r="L242" s="1">
        <f t="shared" si="3"/>
        <v>2</v>
      </c>
      <c r="M242" s="1">
        <f>[2]Sheet1!$R243*2</f>
        <v>72</v>
      </c>
    </row>
    <row r="243" spans="1:13" x14ac:dyDescent="0.15">
      <c r="A243" s="1">
        <v>242</v>
      </c>
      <c r="B243" s="1">
        <v>0</v>
      </c>
      <c r="C243" s="1">
        <v>100242</v>
      </c>
      <c r="D243" s="1" t="str">
        <f>[1]装备明细!$M244</f>
        <v>IC1754</v>
      </c>
      <c r="E243" s="1" t="str">
        <f>[1]装备明细!$C244</f>
        <v>绝旨空灵爪</v>
      </c>
      <c r="G243" s="1">
        <f>[1]装备明细!$J244</f>
        <v>0</v>
      </c>
      <c r="H243" s="1">
        <f>IF([1]装备明细!$G244&gt;=14,"",[1]装备明细!$G244-1)</f>
        <v>11</v>
      </c>
      <c r="I243" s="1">
        <f>[1]装备明细!$F244</f>
        <v>1</v>
      </c>
      <c r="J243" s="1">
        <f>[1]装备明细!$L244</f>
        <v>8</v>
      </c>
      <c r="K243" s="1">
        <f>[1]装备明细!$E244</f>
        <v>2</v>
      </c>
      <c r="L243" s="1">
        <f t="shared" si="3"/>
        <v>2</v>
      </c>
      <c r="M243" s="1">
        <f>[2]Sheet1!$R244*2</f>
        <v>162</v>
      </c>
    </row>
    <row r="244" spans="1:13" x14ac:dyDescent="0.15">
      <c r="A244" s="1">
        <v>243</v>
      </c>
      <c r="B244" s="1">
        <v>0</v>
      </c>
      <c r="C244" s="1">
        <v>100243</v>
      </c>
      <c r="D244" s="1" t="str">
        <f>[1]装备明细!$M245</f>
        <v>IC1758</v>
      </c>
      <c r="E244" s="1" t="str">
        <f>[1]装备明细!$C245</f>
        <v>天工混乱爪</v>
      </c>
      <c r="G244" s="1">
        <f>[1]装备明细!$J245</f>
        <v>0</v>
      </c>
      <c r="H244" s="1">
        <f>IF([1]装备明细!$G245&gt;=14,"",[1]装备明细!$G245-1)</f>
        <v>11</v>
      </c>
      <c r="I244" s="1">
        <f>[1]装备明细!$F245</f>
        <v>1</v>
      </c>
      <c r="J244" s="1">
        <f>[1]装备明细!$L245</f>
        <v>9</v>
      </c>
      <c r="K244" s="1">
        <f>[1]装备明细!$E245</f>
        <v>2</v>
      </c>
      <c r="L244" s="1">
        <f t="shared" si="3"/>
        <v>2</v>
      </c>
      <c r="M244" s="1">
        <f>[2]Sheet1!$R245*2</f>
        <v>102</v>
      </c>
    </row>
    <row r="245" spans="1:13" x14ac:dyDescent="0.15">
      <c r="A245" s="1">
        <v>244</v>
      </c>
      <c r="B245" s="1">
        <v>0</v>
      </c>
      <c r="C245" s="1">
        <v>100244</v>
      </c>
      <c r="D245" s="1" t="str">
        <f>[1]装备明细!$M246</f>
        <v>IC1204</v>
      </c>
      <c r="E245" s="1" t="str">
        <f>[1]装备明细!$C246</f>
        <v>学徒颓废剑</v>
      </c>
      <c r="G245" s="1">
        <f>[1]装备明细!$J246</f>
        <v>0</v>
      </c>
      <c r="H245" s="1">
        <f>IF([1]装备明细!$G246&gt;=14,"",[1]装备明细!$G246-1)</f>
        <v>12</v>
      </c>
      <c r="I245" s="1">
        <f>[1]装备明细!$F246</f>
        <v>1</v>
      </c>
      <c r="J245" s="1">
        <f>[1]装备明细!$L246</f>
        <v>1</v>
      </c>
      <c r="K245" s="1">
        <f>[1]装备明细!$E246</f>
        <v>2</v>
      </c>
      <c r="L245" s="1">
        <f t="shared" si="3"/>
        <v>2</v>
      </c>
      <c r="M245" s="1">
        <f>[2]Sheet1!$R246*2</f>
        <v>102</v>
      </c>
    </row>
    <row r="246" spans="1:13" x14ac:dyDescent="0.15">
      <c r="A246" s="1">
        <v>245</v>
      </c>
      <c r="B246" s="1">
        <v>0</v>
      </c>
      <c r="C246" s="1">
        <v>100245</v>
      </c>
      <c r="D246" s="1" t="str">
        <f>[1]装备明细!$M247</f>
        <v>IC1209</v>
      </c>
      <c r="E246" s="1" t="str">
        <f>[1]装备明细!$C247</f>
        <v>专家玄铁剑</v>
      </c>
      <c r="G246" s="1">
        <f>[1]装备明细!$J247</f>
        <v>0</v>
      </c>
      <c r="H246" s="1">
        <f>IF([1]装备明细!$G247&gt;=14,"",[1]装备明细!$G247-1)</f>
        <v>12</v>
      </c>
      <c r="I246" s="1">
        <f>[1]装备明细!$F247</f>
        <v>1</v>
      </c>
      <c r="J246" s="1">
        <f>[1]装备明细!$L247</f>
        <v>2</v>
      </c>
      <c r="K246" s="1">
        <f>[1]装备明细!$E247</f>
        <v>2</v>
      </c>
      <c r="L246" s="1">
        <f t="shared" si="3"/>
        <v>2</v>
      </c>
      <c r="M246" s="1">
        <f>[2]Sheet1!$R247*2</f>
        <v>162</v>
      </c>
    </row>
    <row r="247" spans="1:13" x14ac:dyDescent="0.15">
      <c r="A247" s="1">
        <v>246</v>
      </c>
      <c r="B247" s="1">
        <v>0</v>
      </c>
      <c r="C247" s="1">
        <v>100246</v>
      </c>
      <c r="D247" s="1" t="str">
        <f>[1]装备明细!$M248</f>
        <v>IC1225</v>
      </c>
      <c r="E247" s="1" t="str">
        <f>[1]装备明细!$C248</f>
        <v>大师水晶剑</v>
      </c>
      <c r="G247" s="1">
        <f>[1]装备明细!$J248</f>
        <v>0</v>
      </c>
      <c r="H247" s="1">
        <f>IF([1]装备明细!$G248&gt;=14,"",[1]装备明细!$G248-1)</f>
        <v>12</v>
      </c>
      <c r="I247" s="1">
        <f>[1]装备明细!$F248</f>
        <v>1</v>
      </c>
      <c r="J247" s="1">
        <f>[1]装备明细!$L248</f>
        <v>3</v>
      </c>
      <c r="K247" s="1">
        <f>[1]装备明细!$E248</f>
        <v>2</v>
      </c>
      <c r="L247" s="1">
        <f t="shared" si="3"/>
        <v>2</v>
      </c>
      <c r="M247" s="1">
        <f>[2]Sheet1!$R248*2</f>
        <v>102</v>
      </c>
    </row>
    <row r="248" spans="1:13" x14ac:dyDescent="0.15">
      <c r="A248" s="1">
        <v>247</v>
      </c>
      <c r="B248" s="1">
        <v>0</v>
      </c>
      <c r="C248" s="1">
        <v>100247</v>
      </c>
      <c r="D248" s="1" t="str">
        <f>[1]装备明细!$M249</f>
        <v>IC1226</v>
      </c>
      <c r="E248" s="1" t="str">
        <f>[1]装备明细!$C249</f>
        <v>宗师精钢剑</v>
      </c>
      <c r="G248" s="1">
        <f>[1]装备明细!$J249</f>
        <v>0</v>
      </c>
      <c r="H248" s="1">
        <f>IF([1]装备明细!$G249&gt;=14,"",[1]装备明细!$G249-1)</f>
        <v>12</v>
      </c>
      <c r="I248" s="1">
        <f>[1]装备明细!$F249</f>
        <v>1</v>
      </c>
      <c r="J248" s="1">
        <f>[1]装备明细!$L249</f>
        <v>4</v>
      </c>
      <c r="K248" s="1">
        <f>[1]装备明细!$E249</f>
        <v>2</v>
      </c>
      <c r="L248" s="1">
        <f t="shared" si="3"/>
        <v>2</v>
      </c>
      <c r="M248" s="1">
        <f>[2]Sheet1!$R249*2</f>
        <v>72</v>
      </c>
    </row>
    <row r="249" spans="1:13" x14ac:dyDescent="0.15">
      <c r="A249" s="1">
        <v>248</v>
      </c>
      <c r="B249" s="1">
        <v>0</v>
      </c>
      <c r="C249" s="1">
        <v>100248</v>
      </c>
      <c r="D249" s="1" t="str">
        <f>[1]装备明细!$M250</f>
        <v>IC1230</v>
      </c>
      <c r="E249" s="1" t="str">
        <f>[1]装备明细!$C250</f>
        <v>显赫白银剑</v>
      </c>
      <c r="G249" s="1">
        <f>[1]装备明细!$J250</f>
        <v>0</v>
      </c>
      <c r="H249" s="1">
        <f>IF([1]装备明细!$G250&gt;=14,"",[1]装备明细!$G250-1)</f>
        <v>12</v>
      </c>
      <c r="I249" s="1">
        <f>[1]装备明细!$F250</f>
        <v>1</v>
      </c>
      <c r="J249" s="1">
        <f>[1]装备明细!$L250</f>
        <v>5</v>
      </c>
      <c r="K249" s="1">
        <f>[1]装备明细!$E250</f>
        <v>2</v>
      </c>
      <c r="L249" s="1">
        <f t="shared" si="3"/>
        <v>2</v>
      </c>
      <c r="M249" s="1">
        <f>[2]Sheet1!$R250*2</f>
        <v>72</v>
      </c>
    </row>
    <row r="250" spans="1:13" x14ac:dyDescent="0.15">
      <c r="A250" s="1">
        <v>249</v>
      </c>
      <c r="B250" s="1">
        <v>0</v>
      </c>
      <c r="C250" s="1">
        <v>100249</v>
      </c>
      <c r="D250" s="1" t="str">
        <f>[1]装备明细!$M251</f>
        <v>IC1236</v>
      </c>
      <c r="E250" s="1" t="str">
        <f>[1]装备明细!$C251</f>
        <v>尊荣虚幻剑</v>
      </c>
      <c r="G250" s="1">
        <f>[1]装备明细!$J251</f>
        <v>0</v>
      </c>
      <c r="H250" s="1">
        <f>IF([1]装备明细!$G251&gt;=14,"",[1]装备明细!$G251-1)</f>
        <v>12</v>
      </c>
      <c r="I250" s="1">
        <f>[1]装备明细!$F251</f>
        <v>1</v>
      </c>
      <c r="J250" s="1">
        <f>[1]装备明细!$L251</f>
        <v>6</v>
      </c>
      <c r="K250" s="1">
        <f>[1]装备明细!$E251</f>
        <v>2</v>
      </c>
      <c r="L250" s="1">
        <f t="shared" si="3"/>
        <v>2</v>
      </c>
      <c r="M250" s="1">
        <f>[2]Sheet1!$R251*2</f>
        <v>162</v>
      </c>
    </row>
    <row r="251" spans="1:13" x14ac:dyDescent="0.15">
      <c r="A251" s="1">
        <v>250</v>
      </c>
      <c r="B251" s="1">
        <v>0</v>
      </c>
      <c r="C251" s="1">
        <v>100250</v>
      </c>
      <c r="D251" s="1" t="str">
        <f>[1]装备明细!$M252</f>
        <v>IC1279</v>
      </c>
      <c r="E251" s="1" t="str">
        <f>[1]装备明细!$C252</f>
        <v>至尊歌德剑</v>
      </c>
      <c r="G251" s="1">
        <f>[1]装备明细!$J252</f>
        <v>0</v>
      </c>
      <c r="H251" s="1">
        <f>IF([1]装备明细!$G252&gt;=14,"",[1]装备明细!$G252-1)</f>
        <v>12</v>
      </c>
      <c r="I251" s="1">
        <f>[1]装备明细!$F252</f>
        <v>1</v>
      </c>
      <c r="J251" s="1">
        <f>[1]装备明细!$L252</f>
        <v>7</v>
      </c>
      <c r="K251" s="1">
        <f>[1]装备明细!$E252</f>
        <v>2</v>
      </c>
      <c r="L251" s="1">
        <f t="shared" si="3"/>
        <v>2</v>
      </c>
      <c r="M251" s="1">
        <f>[2]Sheet1!$R252*2</f>
        <v>162</v>
      </c>
    </row>
    <row r="252" spans="1:13" x14ac:dyDescent="0.15">
      <c r="A252" s="1">
        <v>251</v>
      </c>
      <c r="B252" s="1">
        <v>0</v>
      </c>
      <c r="C252" s="1">
        <v>100251</v>
      </c>
      <c r="D252" s="1" t="str">
        <f>[1]装备明细!$M253</f>
        <v>IC1280</v>
      </c>
      <c r="E252" s="1" t="str">
        <f>[1]装备明细!$C253</f>
        <v>绝旨空灵剑</v>
      </c>
      <c r="G252" s="1">
        <f>[1]装备明细!$J253</f>
        <v>0</v>
      </c>
      <c r="H252" s="1">
        <f>IF([1]装备明细!$G253&gt;=14,"",[1]装备明细!$G253-1)</f>
        <v>12</v>
      </c>
      <c r="I252" s="1">
        <f>[1]装备明细!$F253</f>
        <v>1</v>
      </c>
      <c r="J252" s="1">
        <f>[1]装备明细!$L253</f>
        <v>8</v>
      </c>
      <c r="K252" s="1">
        <f>[1]装备明细!$E253</f>
        <v>2</v>
      </c>
      <c r="L252" s="1">
        <f t="shared" si="3"/>
        <v>2</v>
      </c>
      <c r="M252" s="1">
        <f>[2]Sheet1!$R253*2</f>
        <v>132</v>
      </c>
    </row>
    <row r="253" spans="1:13" x14ac:dyDescent="0.15">
      <c r="A253" s="1">
        <v>252</v>
      </c>
      <c r="B253" s="1">
        <v>0</v>
      </c>
      <c r="C253" s="1">
        <v>100252</v>
      </c>
      <c r="D253" s="1" t="str">
        <f>[1]装备明细!$M254</f>
        <v>IC1201</v>
      </c>
      <c r="E253" s="1" t="str">
        <f>[1]装备明细!$C254</f>
        <v>天工混乱剑</v>
      </c>
      <c r="G253" s="1">
        <f>[1]装备明细!$J254</f>
        <v>0</v>
      </c>
      <c r="H253" s="1">
        <f>IF([1]装备明细!$G254&gt;=14,"",[1]装备明细!$G254-1)</f>
        <v>12</v>
      </c>
      <c r="I253" s="1">
        <f>[1]装备明细!$F254</f>
        <v>1</v>
      </c>
      <c r="J253" s="1">
        <f>[1]装备明细!$L254</f>
        <v>9</v>
      </c>
      <c r="K253" s="1">
        <f>[1]装备明细!$E254</f>
        <v>2</v>
      </c>
      <c r="L253" s="1">
        <f t="shared" si="3"/>
        <v>2</v>
      </c>
      <c r="M253" s="1">
        <f>[2]Sheet1!$R254*2</f>
        <v>162</v>
      </c>
    </row>
    <row r="254" spans="1:13" x14ac:dyDescent="0.15">
      <c r="A254" s="1">
        <v>253</v>
      </c>
      <c r="B254" s="1">
        <v>0</v>
      </c>
      <c r="C254" s="1">
        <v>100253</v>
      </c>
      <c r="D254" s="1" t="str">
        <f>[1]装备明细!$M255</f>
        <v>IC1852</v>
      </c>
      <c r="E254" s="1" t="str">
        <f>[1]装备明细!$C255</f>
        <v>学徒颓废戒指</v>
      </c>
      <c r="G254" s="1">
        <f>[1]装备明细!$J255</f>
        <v>0</v>
      </c>
      <c r="H254" s="1" t="str">
        <f>IF([1]装备明细!$G255&gt;=14,"",[1]装备明细!$G255-1)</f>
        <v/>
      </c>
      <c r="I254" s="1">
        <f>[1]装备明细!$F255</f>
        <v>2</v>
      </c>
      <c r="J254" s="1">
        <f>[1]装备明细!$L255</f>
        <v>1</v>
      </c>
      <c r="K254" s="1">
        <f>[1]装备明细!$E255</f>
        <v>2</v>
      </c>
      <c r="L254" s="1">
        <f t="shared" si="3"/>
        <v>2</v>
      </c>
      <c r="M254" s="1">
        <f>[2]Sheet1!$R255*2</f>
        <v>162</v>
      </c>
    </row>
    <row r="255" spans="1:13" x14ac:dyDescent="0.15">
      <c r="A255" s="1">
        <v>254</v>
      </c>
      <c r="B255" s="1">
        <v>0</v>
      </c>
      <c r="C255" s="1">
        <v>100254</v>
      </c>
      <c r="D255" s="1" t="str">
        <f>[1]装备明细!$M256</f>
        <v>IC1854</v>
      </c>
      <c r="E255" s="1" t="str">
        <f>[1]装备明细!$C256</f>
        <v>专家玄铁戒指</v>
      </c>
      <c r="G255" s="1">
        <f>[1]装备明细!$J256</f>
        <v>0</v>
      </c>
      <c r="H255" s="1" t="str">
        <f>IF([1]装备明细!$G256&gt;=14,"",[1]装备明细!$G256-1)</f>
        <v/>
      </c>
      <c r="I255" s="1">
        <f>[1]装备明细!$F256</f>
        <v>2</v>
      </c>
      <c r="J255" s="1">
        <f>[1]装备明细!$L256</f>
        <v>2</v>
      </c>
      <c r="K255" s="1">
        <f>[1]装备明细!$E256</f>
        <v>2</v>
      </c>
      <c r="L255" s="1">
        <f t="shared" si="3"/>
        <v>2</v>
      </c>
      <c r="M255" s="1">
        <f>[2]Sheet1!$R256*2</f>
        <v>132</v>
      </c>
    </row>
    <row r="256" spans="1:13" x14ac:dyDescent="0.15">
      <c r="A256" s="1">
        <v>255</v>
      </c>
      <c r="B256" s="1">
        <v>0</v>
      </c>
      <c r="C256" s="1">
        <v>100255</v>
      </c>
      <c r="D256" s="1" t="str">
        <f>[1]装备明细!$M257</f>
        <v>IC1855</v>
      </c>
      <c r="E256" s="1" t="str">
        <f>[1]装备明细!$C257</f>
        <v>大师水晶戒指</v>
      </c>
      <c r="G256" s="1">
        <f>[1]装备明细!$J257</f>
        <v>0</v>
      </c>
      <c r="H256" s="1" t="str">
        <f>IF([1]装备明细!$G257&gt;=14,"",[1]装备明细!$G257-1)</f>
        <v/>
      </c>
      <c r="I256" s="1">
        <f>[1]装备明细!$F257</f>
        <v>2</v>
      </c>
      <c r="J256" s="1">
        <f>[1]装备明细!$L257</f>
        <v>3</v>
      </c>
      <c r="K256" s="1">
        <f>[1]装备明细!$E257</f>
        <v>2</v>
      </c>
      <c r="L256" s="1">
        <f t="shared" si="3"/>
        <v>2</v>
      </c>
      <c r="M256" s="1">
        <f>[2]Sheet1!$R257*2</f>
        <v>132</v>
      </c>
    </row>
    <row r="257" spans="1:13" x14ac:dyDescent="0.15">
      <c r="A257" s="1">
        <v>256</v>
      </c>
      <c r="B257" s="1">
        <v>0</v>
      </c>
      <c r="C257" s="1">
        <v>100256</v>
      </c>
      <c r="D257" s="1" t="str">
        <f>[1]装备明细!$M258</f>
        <v>IC1858</v>
      </c>
      <c r="E257" s="1" t="str">
        <f>[1]装备明细!$C258</f>
        <v>宗师精钢戒指</v>
      </c>
      <c r="G257" s="1">
        <f>[1]装备明细!$J258</f>
        <v>0</v>
      </c>
      <c r="H257" s="1" t="str">
        <f>IF([1]装备明细!$G258&gt;=14,"",[1]装备明细!$G258-1)</f>
        <v/>
      </c>
      <c r="I257" s="1">
        <f>[1]装备明细!$F258</f>
        <v>2</v>
      </c>
      <c r="J257" s="1">
        <f>[1]装备明细!$L258</f>
        <v>4</v>
      </c>
      <c r="K257" s="1">
        <f>[1]装备明细!$E258</f>
        <v>2</v>
      </c>
      <c r="L257" s="1">
        <f t="shared" si="3"/>
        <v>2</v>
      </c>
      <c r="M257" s="1">
        <f>[2]Sheet1!$R258*2</f>
        <v>132</v>
      </c>
    </row>
    <row r="258" spans="1:13" x14ac:dyDescent="0.15">
      <c r="A258" s="1">
        <v>257</v>
      </c>
      <c r="B258" s="1">
        <v>0</v>
      </c>
      <c r="C258" s="1">
        <v>100257</v>
      </c>
      <c r="D258" s="1" t="str">
        <f>[1]装备明细!$M259</f>
        <v>IC1903</v>
      </c>
      <c r="E258" s="1" t="str">
        <f>[1]装备明细!$C259</f>
        <v>显赫白银戒指</v>
      </c>
      <c r="G258" s="1">
        <f>[1]装备明细!$J259</f>
        <v>0</v>
      </c>
      <c r="H258" s="1" t="str">
        <f>IF([1]装备明细!$G259&gt;=14,"",[1]装备明细!$G259-1)</f>
        <v/>
      </c>
      <c r="I258" s="1">
        <f>[1]装备明细!$F259</f>
        <v>2</v>
      </c>
      <c r="J258" s="1">
        <f>[1]装备明细!$L259</f>
        <v>5</v>
      </c>
      <c r="K258" s="1">
        <f>[1]装备明细!$E259</f>
        <v>2</v>
      </c>
      <c r="L258" s="1">
        <f t="shared" si="3"/>
        <v>2</v>
      </c>
      <c r="M258" s="1">
        <f>[2]Sheet1!$R259*2</f>
        <v>162</v>
      </c>
    </row>
    <row r="259" spans="1:13" x14ac:dyDescent="0.15">
      <c r="A259" s="1">
        <v>258</v>
      </c>
      <c r="B259" s="1">
        <v>0</v>
      </c>
      <c r="C259" s="1">
        <v>100258</v>
      </c>
      <c r="D259" s="1" t="str">
        <f>[1]装备明细!$M260</f>
        <v>IC1901</v>
      </c>
      <c r="E259" s="1" t="str">
        <f>[1]装备明细!$C260</f>
        <v>尊荣虚幻戒指</v>
      </c>
      <c r="G259" s="1">
        <f>[1]装备明细!$J260</f>
        <v>0</v>
      </c>
      <c r="H259" s="1" t="str">
        <f>IF([1]装备明细!$G260&gt;=14,"",[1]装备明细!$G260-1)</f>
        <v/>
      </c>
      <c r="I259" s="1">
        <f>[1]装备明细!$F260</f>
        <v>2</v>
      </c>
      <c r="J259" s="1">
        <f>[1]装备明细!$L260</f>
        <v>6</v>
      </c>
      <c r="K259" s="1">
        <f>[1]装备明细!$E260</f>
        <v>2</v>
      </c>
      <c r="L259" s="1">
        <f t="shared" ref="L259:L322" si="4">K259</f>
        <v>2</v>
      </c>
      <c r="M259" s="1">
        <f>[2]Sheet1!$R260*2</f>
        <v>132</v>
      </c>
    </row>
    <row r="260" spans="1:13" x14ac:dyDescent="0.15">
      <c r="A260" s="1">
        <v>259</v>
      </c>
      <c r="B260" s="1">
        <v>0</v>
      </c>
      <c r="C260" s="1">
        <v>100259</v>
      </c>
      <c r="D260" s="1" t="str">
        <f>[1]装备明细!$M261</f>
        <v>IC1902</v>
      </c>
      <c r="E260" s="1" t="str">
        <f>[1]装备明细!$C261</f>
        <v>至尊歌德戒指</v>
      </c>
      <c r="G260" s="1">
        <f>[1]装备明细!$J261</f>
        <v>0</v>
      </c>
      <c r="H260" s="1" t="str">
        <f>IF([1]装备明细!$G261&gt;=14,"",[1]装备明细!$G261-1)</f>
        <v/>
      </c>
      <c r="I260" s="1">
        <f>[1]装备明细!$F261</f>
        <v>2</v>
      </c>
      <c r="J260" s="1">
        <f>[1]装备明细!$L261</f>
        <v>7</v>
      </c>
      <c r="K260" s="1">
        <f>[1]装备明细!$E261</f>
        <v>2</v>
      </c>
      <c r="L260" s="1">
        <f t="shared" si="4"/>
        <v>2</v>
      </c>
      <c r="M260" s="1">
        <f>[2]Sheet1!$R261*2</f>
        <v>102</v>
      </c>
    </row>
    <row r="261" spans="1:13" x14ac:dyDescent="0.15">
      <c r="A261" s="1">
        <v>260</v>
      </c>
      <c r="B261" s="1">
        <v>0</v>
      </c>
      <c r="C261" s="1">
        <v>100260</v>
      </c>
      <c r="D261" s="1" t="str">
        <f>[1]装备明细!$M262</f>
        <v>IC1943</v>
      </c>
      <c r="E261" s="1" t="str">
        <f>[1]装备明细!$C262</f>
        <v>绝旨空灵戒指</v>
      </c>
      <c r="G261" s="1">
        <f>[1]装备明细!$J262</f>
        <v>0</v>
      </c>
      <c r="H261" s="1" t="str">
        <f>IF([1]装备明细!$G262&gt;=14,"",[1]装备明细!$G262-1)</f>
        <v/>
      </c>
      <c r="I261" s="1">
        <f>[1]装备明细!$F262</f>
        <v>2</v>
      </c>
      <c r="J261" s="1">
        <f>[1]装备明细!$L262</f>
        <v>8</v>
      </c>
      <c r="K261" s="1">
        <f>[1]装备明细!$E262</f>
        <v>2</v>
      </c>
      <c r="L261" s="1">
        <f t="shared" si="4"/>
        <v>2</v>
      </c>
      <c r="M261" s="1">
        <f>[2]Sheet1!$R262*2</f>
        <v>102</v>
      </c>
    </row>
    <row r="262" spans="1:13" x14ac:dyDescent="0.15">
      <c r="A262" s="1">
        <v>261</v>
      </c>
      <c r="B262" s="1">
        <v>0</v>
      </c>
      <c r="C262" s="1">
        <v>100261</v>
      </c>
      <c r="D262" s="1" t="str">
        <f>[1]装备明细!$M263</f>
        <v>IC1929</v>
      </c>
      <c r="E262" s="1" t="str">
        <f>[1]装备明细!$C263</f>
        <v>天工混乱戒指</v>
      </c>
      <c r="G262" s="1">
        <f>[1]装备明细!$J263</f>
        <v>0</v>
      </c>
      <c r="H262" s="1" t="str">
        <f>IF([1]装备明细!$G263&gt;=14,"",[1]装备明细!$G263-1)</f>
        <v/>
      </c>
      <c r="I262" s="1">
        <f>[1]装备明细!$F263</f>
        <v>2</v>
      </c>
      <c r="J262" s="1">
        <f>[1]装备明细!$L263</f>
        <v>9</v>
      </c>
      <c r="K262" s="1">
        <f>[1]装备明细!$E263</f>
        <v>2</v>
      </c>
      <c r="L262" s="1">
        <f t="shared" si="4"/>
        <v>2</v>
      </c>
      <c r="M262" s="1">
        <f>[2]Sheet1!$R263*2</f>
        <v>102</v>
      </c>
    </row>
    <row r="263" spans="1:13" x14ac:dyDescent="0.15">
      <c r="A263" s="1">
        <v>262</v>
      </c>
      <c r="B263" s="1">
        <v>0</v>
      </c>
      <c r="C263" s="1">
        <v>100262</v>
      </c>
      <c r="D263" s="1" t="str">
        <f>[1]装备明细!$M264</f>
        <v>IC1880</v>
      </c>
      <c r="E263" s="1" t="str">
        <f>[1]装备明细!$C264</f>
        <v>学徒颓废项链</v>
      </c>
      <c r="G263" s="1">
        <f>[1]装备明细!$J264</f>
        <v>0</v>
      </c>
      <c r="H263" s="1" t="str">
        <f>IF([1]装备明细!$G264&gt;=14,"",[1]装备明细!$G264-1)</f>
        <v/>
      </c>
      <c r="I263" s="1">
        <f>[1]装备明细!$F264</f>
        <v>3</v>
      </c>
      <c r="J263" s="1">
        <f>[1]装备明细!$L264</f>
        <v>1</v>
      </c>
      <c r="K263" s="1">
        <f>[1]装备明细!$E264</f>
        <v>2</v>
      </c>
      <c r="L263" s="1">
        <f t="shared" si="4"/>
        <v>2</v>
      </c>
      <c r="M263" s="1">
        <f>[2]Sheet1!$R264*2</f>
        <v>132</v>
      </c>
    </row>
    <row r="264" spans="1:13" x14ac:dyDescent="0.15">
      <c r="A264" s="1">
        <v>263</v>
      </c>
      <c r="B264" s="1">
        <v>0</v>
      </c>
      <c r="C264" s="1">
        <v>100263</v>
      </c>
      <c r="D264" s="1" t="str">
        <f>[1]装备明细!$M265</f>
        <v>IC1882</v>
      </c>
      <c r="E264" s="1" t="str">
        <f>[1]装备明细!$C265</f>
        <v>专家玄铁项链</v>
      </c>
      <c r="G264" s="1">
        <f>[1]装备明细!$J265</f>
        <v>0</v>
      </c>
      <c r="H264" s="1" t="str">
        <f>IF([1]装备明细!$G265&gt;=14,"",[1]装备明细!$G265-1)</f>
        <v/>
      </c>
      <c r="I264" s="1">
        <f>[1]装备明细!$F265</f>
        <v>3</v>
      </c>
      <c r="J264" s="1">
        <f>[1]装备明细!$L265</f>
        <v>2</v>
      </c>
      <c r="K264" s="1">
        <f>[1]装备明细!$E265</f>
        <v>2</v>
      </c>
      <c r="L264" s="1">
        <f t="shared" si="4"/>
        <v>2</v>
      </c>
      <c r="M264" s="1">
        <f>[2]Sheet1!$R265*2</f>
        <v>162</v>
      </c>
    </row>
    <row r="265" spans="1:13" x14ac:dyDescent="0.15">
      <c r="A265" s="1">
        <v>264</v>
      </c>
      <c r="B265" s="1">
        <v>0</v>
      </c>
      <c r="C265" s="1">
        <v>100264</v>
      </c>
      <c r="D265" s="1" t="str">
        <f>[1]装备明细!$M266</f>
        <v>IC1883</v>
      </c>
      <c r="E265" s="1" t="str">
        <f>[1]装备明细!$C266</f>
        <v>大师水晶项链</v>
      </c>
      <c r="G265" s="1">
        <f>[1]装备明细!$J266</f>
        <v>0</v>
      </c>
      <c r="H265" s="1" t="str">
        <f>IF([1]装备明细!$G266&gt;=14,"",[1]装备明细!$G266-1)</f>
        <v/>
      </c>
      <c r="I265" s="1">
        <f>[1]装备明细!$F266</f>
        <v>3</v>
      </c>
      <c r="J265" s="1">
        <f>[1]装备明细!$L266</f>
        <v>3</v>
      </c>
      <c r="K265" s="1">
        <f>[1]装备明细!$E266</f>
        <v>2</v>
      </c>
      <c r="L265" s="1">
        <f t="shared" si="4"/>
        <v>2</v>
      </c>
      <c r="M265" s="1">
        <f>[2]Sheet1!$R266*2</f>
        <v>132</v>
      </c>
    </row>
    <row r="266" spans="1:13" x14ac:dyDescent="0.15">
      <c r="A266" s="1">
        <v>265</v>
      </c>
      <c r="B266" s="1">
        <v>0</v>
      </c>
      <c r="C266" s="1">
        <v>100265</v>
      </c>
      <c r="D266" s="1" t="str">
        <f>[1]装备明细!$M267</f>
        <v>IC1886</v>
      </c>
      <c r="E266" s="1" t="str">
        <f>[1]装备明细!$C267</f>
        <v>宗师精钢项链</v>
      </c>
      <c r="G266" s="1">
        <f>[1]装备明细!$J267</f>
        <v>0</v>
      </c>
      <c r="H266" s="1" t="str">
        <f>IF([1]装备明细!$G267&gt;=14,"",[1]装备明细!$G267-1)</f>
        <v/>
      </c>
      <c r="I266" s="1">
        <f>[1]装备明细!$F267</f>
        <v>3</v>
      </c>
      <c r="J266" s="1">
        <f>[1]装备明细!$L267</f>
        <v>4</v>
      </c>
      <c r="K266" s="1">
        <f>[1]装备明细!$E267</f>
        <v>2</v>
      </c>
      <c r="L266" s="1">
        <f t="shared" si="4"/>
        <v>2</v>
      </c>
      <c r="M266" s="1">
        <f>[2]Sheet1!$R267*2</f>
        <v>132</v>
      </c>
    </row>
    <row r="267" spans="1:13" x14ac:dyDescent="0.15">
      <c r="A267" s="1">
        <v>266</v>
      </c>
      <c r="B267" s="1">
        <v>0</v>
      </c>
      <c r="C267" s="1">
        <v>100266</v>
      </c>
      <c r="D267" s="1" t="str">
        <f>[1]装备明细!$M268</f>
        <v>IC1889</v>
      </c>
      <c r="E267" s="1" t="str">
        <f>[1]装备明细!$C268</f>
        <v>显赫白银项链</v>
      </c>
      <c r="G267" s="1">
        <f>[1]装备明细!$J268</f>
        <v>0</v>
      </c>
      <c r="H267" s="1" t="str">
        <f>IF([1]装备明细!$G268&gt;=14,"",[1]装备明细!$G268-1)</f>
        <v/>
      </c>
      <c r="I267" s="1">
        <f>[1]装备明细!$F268</f>
        <v>3</v>
      </c>
      <c r="J267" s="1">
        <f>[1]装备明细!$L268</f>
        <v>5</v>
      </c>
      <c r="K267" s="1">
        <f>[1]装备明细!$E268</f>
        <v>2</v>
      </c>
      <c r="L267" s="1">
        <f t="shared" si="4"/>
        <v>2</v>
      </c>
      <c r="M267" s="1">
        <f>[2]Sheet1!$R268*2</f>
        <v>72</v>
      </c>
    </row>
    <row r="268" spans="1:13" x14ac:dyDescent="0.15">
      <c r="A268" s="1">
        <v>267</v>
      </c>
      <c r="B268" s="1">
        <v>0</v>
      </c>
      <c r="C268" s="1">
        <v>100267</v>
      </c>
      <c r="D268" s="1" t="str">
        <f>[1]装备明细!$M269</f>
        <v>IC1886</v>
      </c>
      <c r="E268" s="1" t="str">
        <f>[1]装备明细!$C269</f>
        <v>尊荣虚幻项链</v>
      </c>
      <c r="G268" s="1">
        <f>[1]装备明细!$J269</f>
        <v>0</v>
      </c>
      <c r="H268" s="1" t="str">
        <f>IF([1]装备明细!$G269&gt;=14,"",[1]装备明细!$G269-1)</f>
        <v/>
      </c>
      <c r="I268" s="1">
        <f>[1]装备明细!$F269</f>
        <v>3</v>
      </c>
      <c r="J268" s="1">
        <f>[1]装备明细!$L269</f>
        <v>6</v>
      </c>
      <c r="K268" s="1">
        <f>[1]装备明细!$E269</f>
        <v>2</v>
      </c>
      <c r="L268" s="1">
        <f t="shared" si="4"/>
        <v>2</v>
      </c>
      <c r="M268" s="1">
        <f>[2]Sheet1!$R269*2</f>
        <v>162</v>
      </c>
    </row>
    <row r="269" spans="1:13" x14ac:dyDescent="0.15">
      <c r="A269" s="1">
        <v>268</v>
      </c>
      <c r="B269" s="1">
        <v>0</v>
      </c>
      <c r="C269" s="1">
        <v>100268</v>
      </c>
      <c r="D269" s="1" t="str">
        <f>[1]装备明细!$M270</f>
        <v>IC1889</v>
      </c>
      <c r="E269" s="1" t="str">
        <f>[1]装备明细!$C270</f>
        <v>至尊歌德项链</v>
      </c>
      <c r="G269" s="1">
        <f>[1]装备明细!$J270</f>
        <v>0</v>
      </c>
      <c r="H269" s="1" t="str">
        <f>IF([1]装备明细!$G270&gt;=14,"",[1]装备明细!$G270-1)</f>
        <v/>
      </c>
      <c r="I269" s="1">
        <f>[1]装备明细!$F270</f>
        <v>3</v>
      </c>
      <c r="J269" s="1">
        <f>[1]装备明细!$L270</f>
        <v>7</v>
      </c>
      <c r="K269" s="1">
        <f>[1]装备明细!$E270</f>
        <v>2</v>
      </c>
      <c r="L269" s="1">
        <f t="shared" si="4"/>
        <v>2</v>
      </c>
      <c r="M269" s="1">
        <f>[2]Sheet1!$R270*2</f>
        <v>72</v>
      </c>
    </row>
    <row r="270" spans="1:13" x14ac:dyDescent="0.15">
      <c r="A270" s="1">
        <v>269</v>
      </c>
      <c r="B270" s="1">
        <v>0</v>
      </c>
      <c r="C270" s="1">
        <v>100269</v>
      </c>
      <c r="D270" s="1" t="str">
        <f>[1]装备明细!$M271</f>
        <v>IC1883</v>
      </c>
      <c r="E270" s="1" t="str">
        <f>[1]装备明细!$C271</f>
        <v>绝旨空灵项链</v>
      </c>
      <c r="G270" s="1">
        <f>[1]装备明细!$J271</f>
        <v>0</v>
      </c>
      <c r="H270" s="1" t="str">
        <f>IF([1]装备明细!$G271&gt;=14,"",[1]装备明细!$G271-1)</f>
        <v/>
      </c>
      <c r="I270" s="1">
        <f>[1]装备明细!$F271</f>
        <v>3</v>
      </c>
      <c r="J270" s="1">
        <f>[1]装备明细!$L271</f>
        <v>8</v>
      </c>
      <c r="K270" s="1">
        <f>[1]装备明细!$E271</f>
        <v>2</v>
      </c>
      <c r="L270" s="1">
        <f t="shared" si="4"/>
        <v>2</v>
      </c>
      <c r="M270" s="1">
        <f>[2]Sheet1!$R271*2</f>
        <v>72</v>
      </c>
    </row>
    <row r="271" spans="1:13" x14ac:dyDescent="0.15">
      <c r="A271" s="1">
        <v>270</v>
      </c>
      <c r="B271" s="1">
        <v>0</v>
      </c>
      <c r="C271" s="1">
        <v>100270</v>
      </c>
      <c r="D271" s="1" t="str">
        <f>[1]装备明细!$M272</f>
        <v>IC1880</v>
      </c>
      <c r="E271" s="1" t="str">
        <f>[1]装备明细!$C272</f>
        <v>天工混乱项链</v>
      </c>
      <c r="G271" s="1">
        <f>[1]装备明细!$J272</f>
        <v>0</v>
      </c>
      <c r="H271" s="1" t="str">
        <f>IF([1]装备明细!$G272&gt;=14,"",[1]装备明细!$G272-1)</f>
        <v/>
      </c>
      <c r="I271" s="1">
        <f>[1]装备明细!$F272</f>
        <v>3</v>
      </c>
      <c r="J271" s="1">
        <f>[1]装备明细!$L272</f>
        <v>9</v>
      </c>
      <c r="K271" s="1">
        <f>[1]装备明细!$E272</f>
        <v>2</v>
      </c>
      <c r="L271" s="1">
        <f t="shared" si="4"/>
        <v>2</v>
      </c>
      <c r="M271" s="1">
        <f>[2]Sheet1!$R272*2</f>
        <v>162</v>
      </c>
    </row>
    <row r="272" spans="1:13" x14ac:dyDescent="0.15">
      <c r="A272" s="1">
        <v>271</v>
      </c>
      <c r="B272" s="1">
        <v>0</v>
      </c>
      <c r="C272" s="1">
        <v>100271</v>
      </c>
      <c r="D272" s="1" t="str">
        <f>[1]装备明细!$M273</f>
        <v>IC1016</v>
      </c>
      <c r="E272" s="1" t="str">
        <f>[1]装备明细!$C273</f>
        <v>奥丁之锤</v>
      </c>
      <c r="G272" s="1">
        <f>[1]装备明细!$J273</f>
        <v>0</v>
      </c>
      <c r="H272" s="1">
        <f>IF([1]装备明细!$G273&gt;=14,"",[1]装备明细!$G273-1)</f>
        <v>0</v>
      </c>
      <c r="I272" s="1">
        <f>[1]装备明细!$F273</f>
        <v>1</v>
      </c>
      <c r="J272" s="1">
        <f>[1]装备明细!$L273</f>
        <v>1</v>
      </c>
      <c r="K272" s="1">
        <f>[1]装备明细!$E273</f>
        <v>3</v>
      </c>
      <c r="L272" s="1">
        <f t="shared" si="4"/>
        <v>3</v>
      </c>
      <c r="M272" s="1">
        <f>[2]Sheet1!$R273*2</f>
        <v>969</v>
      </c>
    </row>
    <row r="273" spans="1:13" x14ac:dyDescent="0.15">
      <c r="A273" s="1">
        <v>272</v>
      </c>
      <c r="B273" s="1">
        <v>0</v>
      </c>
      <c r="C273" s="1">
        <v>100272</v>
      </c>
      <c r="D273" s="1" t="str">
        <f>[1]装备明细!$M274</f>
        <v>IC1022</v>
      </c>
      <c r="E273" s="1" t="str">
        <f>[1]装备明细!$C274</f>
        <v>卢卡之锤</v>
      </c>
      <c r="G273" s="1">
        <f>[1]装备明细!$J274</f>
        <v>0</v>
      </c>
      <c r="H273" s="1">
        <f>IF([1]装备明细!$G274&gt;=14,"",[1]装备明细!$G274-1)</f>
        <v>0</v>
      </c>
      <c r="I273" s="1">
        <f>[1]装备明细!$F274</f>
        <v>1</v>
      </c>
      <c r="J273" s="1">
        <f>[1]装备明细!$L274</f>
        <v>2</v>
      </c>
      <c r="K273" s="1">
        <f>[1]装备明细!$E274</f>
        <v>3</v>
      </c>
      <c r="L273" s="1">
        <f t="shared" si="4"/>
        <v>3</v>
      </c>
      <c r="M273" s="1">
        <f>[2]Sheet1!$R274*2</f>
        <v>969</v>
      </c>
    </row>
    <row r="274" spans="1:13" x14ac:dyDescent="0.15">
      <c r="A274" s="1">
        <v>273</v>
      </c>
      <c r="B274" s="1">
        <v>0</v>
      </c>
      <c r="C274" s="1">
        <v>100273</v>
      </c>
      <c r="D274" s="1" t="str">
        <f>[1]装备明细!$M275</f>
        <v>IC1028</v>
      </c>
      <c r="E274" s="1" t="str">
        <f>[1]装备明细!$C275</f>
        <v>坎珀之锤</v>
      </c>
      <c r="G274" s="1">
        <f>[1]装备明细!$J275</f>
        <v>0</v>
      </c>
      <c r="H274" s="1">
        <f>IF([1]装备明细!$G275&gt;=14,"",[1]装备明细!$G275-1)</f>
        <v>0</v>
      </c>
      <c r="I274" s="1">
        <f>[1]装备明细!$F275</f>
        <v>1</v>
      </c>
      <c r="J274" s="1">
        <f>[1]装备明细!$L275</f>
        <v>3</v>
      </c>
      <c r="K274" s="1">
        <f>[1]装备明细!$E275</f>
        <v>3</v>
      </c>
      <c r="L274" s="1">
        <f t="shared" si="4"/>
        <v>3</v>
      </c>
      <c r="M274" s="1">
        <f>[2]Sheet1!$R275*2</f>
        <v>969</v>
      </c>
    </row>
    <row r="275" spans="1:13" x14ac:dyDescent="0.15">
      <c r="A275" s="1">
        <v>274</v>
      </c>
      <c r="B275" s="1">
        <v>0</v>
      </c>
      <c r="C275" s="1">
        <v>100274</v>
      </c>
      <c r="D275" s="1" t="str">
        <f>[1]装备明细!$M276</f>
        <v>IC1032</v>
      </c>
      <c r="E275" s="1" t="str">
        <f>[1]装备明细!$C276</f>
        <v>费恩魔锤</v>
      </c>
      <c r="G275" s="1">
        <f>[1]装备明细!$J276</f>
        <v>0</v>
      </c>
      <c r="H275" s="1">
        <f>IF([1]装备明细!$G276&gt;=14,"",[1]装备明细!$G276-1)</f>
        <v>0</v>
      </c>
      <c r="I275" s="1">
        <f>[1]装备明细!$F276</f>
        <v>1</v>
      </c>
      <c r="J275" s="1">
        <f>[1]装备明细!$L276</f>
        <v>4</v>
      </c>
      <c r="K275" s="1">
        <f>[1]装备明细!$E276</f>
        <v>3</v>
      </c>
      <c r="L275" s="1">
        <f t="shared" si="4"/>
        <v>3</v>
      </c>
      <c r="M275" s="1">
        <f>[2]Sheet1!$R276*2</f>
        <v>969</v>
      </c>
    </row>
    <row r="276" spans="1:13" x14ac:dyDescent="0.15">
      <c r="A276" s="1">
        <v>275</v>
      </c>
      <c r="B276" s="1">
        <v>0</v>
      </c>
      <c r="C276" s="1">
        <v>100275</v>
      </c>
      <c r="D276" s="1" t="str">
        <f>[1]装备明细!$M277</f>
        <v>IC1033</v>
      </c>
      <c r="E276" s="1" t="str">
        <f>[1]装备明细!$C277</f>
        <v>迪马斯之锤</v>
      </c>
      <c r="G276" s="1">
        <f>[1]装备明细!$J277</f>
        <v>0</v>
      </c>
      <c r="H276" s="1">
        <f>IF([1]装备明细!$G277&gt;=14,"",[1]装备明细!$G277-1)</f>
        <v>0</v>
      </c>
      <c r="I276" s="1">
        <f>[1]装备明细!$F277</f>
        <v>1</v>
      </c>
      <c r="J276" s="1">
        <f>[1]装备明细!$L277</f>
        <v>5</v>
      </c>
      <c r="K276" s="1">
        <f>[1]装备明细!$E277</f>
        <v>3</v>
      </c>
      <c r="L276" s="1">
        <f t="shared" si="4"/>
        <v>3</v>
      </c>
      <c r="M276" s="1">
        <f>[2]Sheet1!$R277*2</f>
        <v>1050</v>
      </c>
    </row>
    <row r="277" spans="1:13" x14ac:dyDescent="0.15">
      <c r="A277" s="1">
        <v>276</v>
      </c>
      <c r="B277" s="1">
        <v>0</v>
      </c>
      <c r="C277" s="1">
        <v>100276</v>
      </c>
      <c r="D277" s="1" t="str">
        <f>[1]装备明细!$M278</f>
        <v>IC1034</v>
      </c>
      <c r="E277" s="1" t="str">
        <f>[1]装备明细!$C278</f>
        <v>酒神之锤</v>
      </c>
      <c r="G277" s="1">
        <f>[1]装备明细!$J278</f>
        <v>0</v>
      </c>
      <c r="H277" s="1">
        <f>IF([1]装备明细!$G278&gt;=14,"",[1]装备明细!$G278-1)</f>
        <v>0</v>
      </c>
      <c r="I277" s="1">
        <f>[1]装备明细!$F278</f>
        <v>1</v>
      </c>
      <c r="J277" s="1">
        <f>[1]装备明细!$L278</f>
        <v>6</v>
      </c>
      <c r="K277" s="1">
        <f>[1]装备明细!$E278</f>
        <v>3</v>
      </c>
      <c r="L277" s="1">
        <f t="shared" si="4"/>
        <v>3</v>
      </c>
      <c r="M277" s="1">
        <f>[2]Sheet1!$R278*2</f>
        <v>969</v>
      </c>
    </row>
    <row r="278" spans="1:13" x14ac:dyDescent="0.15">
      <c r="A278" s="1">
        <v>277</v>
      </c>
      <c r="B278" s="1">
        <v>0</v>
      </c>
      <c r="C278" s="1">
        <v>100277</v>
      </c>
      <c r="D278" s="1" t="str">
        <f>[1]装备明细!$M279</f>
        <v>IC1028</v>
      </c>
      <c r="E278" s="1" t="str">
        <f>[1]装备明细!$C279</f>
        <v>缪斯之锤</v>
      </c>
      <c r="G278" s="1">
        <f>[1]装备明细!$J279</f>
        <v>0</v>
      </c>
      <c r="H278" s="1">
        <f>IF([1]装备明细!$G279&gt;=14,"",[1]装备明细!$G279-1)</f>
        <v>0</v>
      </c>
      <c r="I278" s="1">
        <f>[1]装备明细!$F279</f>
        <v>1</v>
      </c>
      <c r="J278" s="1">
        <f>[1]装备明细!$L279</f>
        <v>7</v>
      </c>
      <c r="K278" s="1">
        <f>[1]装备明细!$E279</f>
        <v>3</v>
      </c>
      <c r="L278" s="1">
        <f t="shared" si="4"/>
        <v>3</v>
      </c>
      <c r="M278" s="1">
        <f>[2]Sheet1!$R279*2</f>
        <v>969</v>
      </c>
    </row>
    <row r="279" spans="1:13" x14ac:dyDescent="0.15">
      <c r="A279" s="1">
        <v>278</v>
      </c>
      <c r="B279" s="1">
        <v>0</v>
      </c>
      <c r="C279" s="1">
        <v>100278</v>
      </c>
      <c r="D279" s="1" t="str">
        <f>[1]装备明细!$M280</f>
        <v>IC1036</v>
      </c>
      <c r="E279" s="1" t="str">
        <f>[1]装备明细!$C280</f>
        <v>潘多拉之锤</v>
      </c>
      <c r="G279" s="1">
        <f>[1]装备明细!$J280</f>
        <v>0</v>
      </c>
      <c r="H279" s="1">
        <f>IF([1]装备明细!$G280&gt;=14,"",[1]装备明细!$G280-1)</f>
        <v>0</v>
      </c>
      <c r="I279" s="1">
        <f>[1]装备明细!$F280</f>
        <v>1</v>
      </c>
      <c r="J279" s="1">
        <f>[1]装备明细!$L280</f>
        <v>8</v>
      </c>
      <c r="K279" s="1">
        <f>[1]装备明细!$E280</f>
        <v>3</v>
      </c>
      <c r="L279" s="1">
        <f t="shared" si="4"/>
        <v>3</v>
      </c>
      <c r="M279" s="1">
        <f>[2]Sheet1!$R280*2</f>
        <v>969</v>
      </c>
    </row>
    <row r="280" spans="1:13" x14ac:dyDescent="0.15">
      <c r="A280" s="1">
        <v>279</v>
      </c>
      <c r="B280" s="1">
        <v>0</v>
      </c>
      <c r="C280" s="1">
        <v>100279</v>
      </c>
      <c r="D280" s="1" t="str">
        <f>[1]装备明细!$M281</f>
        <v>IC1081</v>
      </c>
      <c r="E280" s="1" t="str">
        <f>[1]装备明细!$C281</f>
        <v>盖亚之锤</v>
      </c>
      <c r="G280" s="1">
        <f>[1]装备明细!$J281</f>
        <v>0</v>
      </c>
      <c r="H280" s="1">
        <f>IF([1]装备明细!$G281&gt;=14,"",[1]装备明细!$G281-1)</f>
        <v>0</v>
      </c>
      <c r="I280" s="1">
        <f>[1]装备明细!$F281</f>
        <v>1</v>
      </c>
      <c r="J280" s="1">
        <f>[1]装备明细!$L281</f>
        <v>9</v>
      </c>
      <c r="K280" s="1">
        <f>[1]装备明细!$E281</f>
        <v>3</v>
      </c>
      <c r="L280" s="1">
        <f t="shared" si="4"/>
        <v>3</v>
      </c>
      <c r="M280" s="1">
        <f>[2]Sheet1!$R281*2</f>
        <v>969</v>
      </c>
    </row>
    <row r="281" spans="1:13" x14ac:dyDescent="0.15">
      <c r="A281" s="1">
        <v>280</v>
      </c>
      <c r="B281" s="1">
        <v>0</v>
      </c>
      <c r="C281" s="1">
        <v>100280</v>
      </c>
      <c r="D281" s="1" t="str">
        <f>[1]装备明细!$M282</f>
        <v>IC1216</v>
      </c>
      <c r="E281" s="1" t="str">
        <f>[1]装备明细!$C282</f>
        <v>奥丁之刀</v>
      </c>
      <c r="G281" s="1">
        <f>[1]装备明细!$J282</f>
        <v>0</v>
      </c>
      <c r="H281" s="1">
        <f>IF([1]装备明细!$G282&gt;=14,"",[1]装备明细!$G282-1)</f>
        <v>1</v>
      </c>
      <c r="I281" s="1">
        <f>[1]装备明细!$F282</f>
        <v>1</v>
      </c>
      <c r="J281" s="1">
        <f>[1]装备明细!$L282</f>
        <v>1</v>
      </c>
      <c r="K281" s="1">
        <f>[1]装备明细!$E282</f>
        <v>3</v>
      </c>
      <c r="L281" s="1">
        <f t="shared" si="4"/>
        <v>3</v>
      </c>
      <c r="M281" s="1">
        <f>[2]Sheet1!$R282*2</f>
        <v>1050</v>
      </c>
    </row>
    <row r="282" spans="1:13" x14ac:dyDescent="0.15">
      <c r="A282" s="1">
        <v>281</v>
      </c>
      <c r="B282" s="1">
        <v>0</v>
      </c>
      <c r="C282" s="1">
        <v>100281</v>
      </c>
      <c r="D282" s="1" t="str">
        <f>[1]装备明细!$M283</f>
        <v>IC1220</v>
      </c>
      <c r="E282" s="1" t="str">
        <f>[1]装备明细!$C283</f>
        <v>卢卡之锤</v>
      </c>
      <c r="G282" s="1">
        <f>[1]装备明细!$J283</f>
        <v>0</v>
      </c>
      <c r="H282" s="1">
        <f>IF([1]装备明细!$G283&gt;=14,"",[1]装备明细!$G283-1)</f>
        <v>1</v>
      </c>
      <c r="I282" s="1">
        <f>[1]装备明细!$F283</f>
        <v>1</v>
      </c>
      <c r="J282" s="1">
        <f>[1]装备明细!$L283</f>
        <v>2</v>
      </c>
      <c r="K282" s="1">
        <f>[1]装备明细!$E283</f>
        <v>3</v>
      </c>
      <c r="L282" s="1">
        <f t="shared" si="4"/>
        <v>3</v>
      </c>
      <c r="M282" s="1">
        <f>[2]Sheet1!$R283*2</f>
        <v>1050</v>
      </c>
    </row>
    <row r="283" spans="1:13" x14ac:dyDescent="0.15">
      <c r="A283" s="1">
        <v>282</v>
      </c>
      <c r="B283" s="1">
        <v>0</v>
      </c>
      <c r="C283" s="1">
        <v>100282</v>
      </c>
      <c r="D283" s="1" t="str">
        <f>[1]装备明细!$M284</f>
        <v>IC1222</v>
      </c>
      <c r="E283" s="1" t="str">
        <f>[1]装备明细!$C284</f>
        <v>坎珀之刃</v>
      </c>
      <c r="G283" s="1">
        <f>[1]装备明细!$J284</f>
        <v>0</v>
      </c>
      <c r="H283" s="1">
        <f>IF([1]装备明细!$G284&gt;=14,"",[1]装备明细!$G284-1)</f>
        <v>1</v>
      </c>
      <c r="I283" s="1">
        <f>[1]装备明细!$F284</f>
        <v>1</v>
      </c>
      <c r="J283" s="1">
        <f>[1]装备明细!$L284</f>
        <v>3</v>
      </c>
      <c r="K283" s="1">
        <f>[1]装备明细!$E284</f>
        <v>3</v>
      </c>
      <c r="L283" s="1">
        <f t="shared" si="4"/>
        <v>3</v>
      </c>
      <c r="M283" s="1">
        <f>[2]Sheet1!$R284*2</f>
        <v>1050</v>
      </c>
    </row>
    <row r="284" spans="1:13" x14ac:dyDescent="0.15">
      <c r="A284" s="1">
        <v>283</v>
      </c>
      <c r="B284" s="1">
        <v>0</v>
      </c>
      <c r="C284" s="1">
        <v>100283</v>
      </c>
      <c r="D284" s="1" t="str">
        <f>[1]装备明细!$M285</f>
        <v>IC1228</v>
      </c>
      <c r="E284" s="1" t="str">
        <f>[1]装备明细!$C285</f>
        <v>费恩利刃</v>
      </c>
      <c r="G284" s="1">
        <f>[1]装备明细!$J285</f>
        <v>0</v>
      </c>
      <c r="H284" s="1">
        <f>IF([1]装备明细!$G285&gt;=14,"",[1]装备明细!$G285-1)</f>
        <v>1</v>
      </c>
      <c r="I284" s="1">
        <f>[1]装备明细!$F285</f>
        <v>1</v>
      </c>
      <c r="J284" s="1">
        <f>[1]装备明细!$L285</f>
        <v>4</v>
      </c>
      <c r="K284" s="1">
        <f>[1]装备明细!$E285</f>
        <v>3</v>
      </c>
      <c r="L284" s="1">
        <f t="shared" si="4"/>
        <v>3</v>
      </c>
      <c r="M284" s="1">
        <f>[2]Sheet1!$R285*2</f>
        <v>1050</v>
      </c>
    </row>
    <row r="285" spans="1:13" x14ac:dyDescent="0.15">
      <c r="A285" s="1">
        <v>284</v>
      </c>
      <c r="B285" s="1">
        <v>0</v>
      </c>
      <c r="C285" s="1">
        <v>100284</v>
      </c>
      <c r="D285" s="1" t="str">
        <f>[1]装备明细!$M286</f>
        <v>IC1235</v>
      </c>
      <c r="E285" s="1" t="str">
        <f>[1]装备明细!$C286</f>
        <v>迪马斯之刀</v>
      </c>
      <c r="G285" s="1">
        <f>[1]装备明细!$J286</f>
        <v>0</v>
      </c>
      <c r="H285" s="1">
        <f>IF([1]装备明细!$G286&gt;=14,"",[1]装备明细!$G286-1)</f>
        <v>1</v>
      </c>
      <c r="I285" s="1">
        <f>[1]装备明细!$F286</f>
        <v>1</v>
      </c>
      <c r="J285" s="1">
        <f>[1]装备明细!$L286</f>
        <v>5</v>
      </c>
      <c r="K285" s="1">
        <f>[1]装备明细!$E286</f>
        <v>3</v>
      </c>
      <c r="L285" s="1">
        <f t="shared" si="4"/>
        <v>3</v>
      </c>
      <c r="M285" s="1">
        <f>[2]Sheet1!$R286*2</f>
        <v>1050</v>
      </c>
    </row>
    <row r="286" spans="1:13" x14ac:dyDescent="0.15">
      <c r="A286" s="1">
        <v>285</v>
      </c>
      <c r="B286" s="1">
        <v>0</v>
      </c>
      <c r="C286" s="1">
        <v>100285</v>
      </c>
      <c r="D286" s="1" t="str">
        <f>[1]装备明细!$M287</f>
        <v>IC1278</v>
      </c>
      <c r="E286" s="1" t="str">
        <f>[1]装备明细!$C287</f>
        <v>酒神之刀</v>
      </c>
      <c r="G286" s="1">
        <f>[1]装备明细!$J287</f>
        <v>0</v>
      </c>
      <c r="H286" s="1">
        <f>IF([1]装备明细!$G287&gt;=14,"",[1]装备明细!$G287-1)</f>
        <v>1</v>
      </c>
      <c r="I286" s="1">
        <f>[1]装备明细!$F287</f>
        <v>1</v>
      </c>
      <c r="J286" s="1">
        <f>[1]装备明细!$L287</f>
        <v>6</v>
      </c>
      <c r="K286" s="1">
        <f>[1]装备明细!$E287</f>
        <v>3</v>
      </c>
      <c r="L286" s="1">
        <f t="shared" si="4"/>
        <v>3</v>
      </c>
      <c r="M286" s="1">
        <f>[2]Sheet1!$R287*2</f>
        <v>1050</v>
      </c>
    </row>
    <row r="287" spans="1:13" x14ac:dyDescent="0.15">
      <c r="A287" s="1">
        <v>286</v>
      </c>
      <c r="B287" s="1">
        <v>0</v>
      </c>
      <c r="C287" s="1">
        <v>100286</v>
      </c>
      <c r="D287" s="1" t="str">
        <f>[1]装备明细!$M288</f>
        <v>IC1222</v>
      </c>
      <c r="E287" s="1" t="str">
        <f>[1]装备明细!$C288</f>
        <v>缪斯之刀</v>
      </c>
      <c r="G287" s="1">
        <f>[1]装备明细!$J288</f>
        <v>0</v>
      </c>
      <c r="H287" s="1">
        <f>IF([1]装备明细!$G288&gt;=14,"",[1]装备明细!$G288-1)</f>
        <v>1</v>
      </c>
      <c r="I287" s="1">
        <f>[1]装备明细!$F288</f>
        <v>1</v>
      </c>
      <c r="J287" s="1">
        <f>[1]装备明细!$L288</f>
        <v>7</v>
      </c>
      <c r="K287" s="1">
        <f>[1]装备明细!$E288</f>
        <v>3</v>
      </c>
      <c r="L287" s="1">
        <f t="shared" si="4"/>
        <v>3</v>
      </c>
      <c r="M287" s="1">
        <f>[2]Sheet1!$R288*2</f>
        <v>1050</v>
      </c>
    </row>
    <row r="288" spans="1:13" x14ac:dyDescent="0.15">
      <c r="A288" s="1">
        <v>287</v>
      </c>
      <c r="B288" s="1">
        <v>0</v>
      </c>
      <c r="C288" s="1">
        <v>100287</v>
      </c>
      <c r="D288" s="1" t="str">
        <f>[1]装备明细!$M289</f>
        <v>IC1228</v>
      </c>
      <c r="E288" s="1" t="str">
        <f>[1]装备明细!$C289</f>
        <v>潘多拉之刀</v>
      </c>
      <c r="G288" s="1">
        <f>[1]装备明细!$J289</f>
        <v>0</v>
      </c>
      <c r="H288" s="1">
        <f>IF([1]装备明细!$G289&gt;=14,"",[1]装备明细!$G289-1)</f>
        <v>1</v>
      </c>
      <c r="I288" s="1">
        <f>[1]装备明细!$F289</f>
        <v>1</v>
      </c>
      <c r="J288" s="1">
        <f>[1]装备明细!$L289</f>
        <v>8</v>
      </c>
      <c r="K288" s="1">
        <f>[1]装备明细!$E289</f>
        <v>3</v>
      </c>
      <c r="L288" s="1">
        <f t="shared" si="4"/>
        <v>3</v>
      </c>
      <c r="M288" s="1">
        <f>[2]Sheet1!$R289*2</f>
        <v>1050</v>
      </c>
    </row>
    <row r="289" spans="1:13" x14ac:dyDescent="0.15">
      <c r="A289" s="1">
        <v>288</v>
      </c>
      <c r="B289" s="1">
        <v>0</v>
      </c>
      <c r="C289" s="1">
        <v>100288</v>
      </c>
      <c r="D289" s="1" t="str">
        <f>[1]装备明细!$M290</f>
        <v>IC1235</v>
      </c>
      <c r="E289" s="1" t="str">
        <f>[1]装备明细!$C290</f>
        <v>宙斯之刃</v>
      </c>
      <c r="G289" s="1">
        <f>[1]装备明细!$J290</f>
        <v>0</v>
      </c>
      <c r="H289" s="1">
        <f>IF([1]装备明细!$G290&gt;=14,"",[1]装备明细!$G290-1)</f>
        <v>1</v>
      </c>
      <c r="I289" s="1">
        <f>[1]装备明细!$F290</f>
        <v>1</v>
      </c>
      <c r="J289" s="1">
        <f>[1]装备明细!$L290</f>
        <v>9</v>
      </c>
      <c r="K289" s="1">
        <f>[1]装备明细!$E290</f>
        <v>3</v>
      </c>
      <c r="L289" s="1">
        <f t="shared" si="4"/>
        <v>3</v>
      </c>
      <c r="M289" s="1">
        <f>[2]Sheet1!$R290*2</f>
        <v>1050</v>
      </c>
    </row>
    <row r="290" spans="1:13" x14ac:dyDescent="0.15">
      <c r="A290" s="1">
        <v>289</v>
      </c>
      <c r="B290" s="1">
        <v>0</v>
      </c>
      <c r="C290" s="1">
        <v>100289</v>
      </c>
      <c r="D290" s="1" t="str">
        <f>[1]装备明细!$M291</f>
        <v>IC1513</v>
      </c>
      <c r="E290" s="1" t="str">
        <f>[1]装备明细!$C291</f>
        <v>奥丁拳套</v>
      </c>
      <c r="G290" s="1">
        <f>[1]装备明细!$J291</f>
        <v>0</v>
      </c>
      <c r="H290" s="1">
        <f>IF([1]装备明细!$G291&gt;=14,"",[1]装备明细!$G291-1)</f>
        <v>2</v>
      </c>
      <c r="I290" s="1">
        <f>[1]装备明细!$F291</f>
        <v>1</v>
      </c>
      <c r="J290" s="1">
        <f>[1]装备明细!$L291</f>
        <v>1</v>
      </c>
      <c r="K290" s="1">
        <f>[1]装备明细!$E291</f>
        <v>3</v>
      </c>
      <c r="L290" s="1">
        <f t="shared" si="4"/>
        <v>3</v>
      </c>
      <c r="M290" s="1">
        <f>[2]Sheet1!$R291*2</f>
        <v>1050</v>
      </c>
    </row>
    <row r="291" spans="1:13" x14ac:dyDescent="0.15">
      <c r="A291" s="1">
        <v>290</v>
      </c>
      <c r="B291" s="1">
        <v>0</v>
      </c>
      <c r="C291" s="1">
        <v>100290</v>
      </c>
      <c r="D291" s="1" t="str">
        <f>[1]装备明细!$M292</f>
        <v>IC1516</v>
      </c>
      <c r="E291" s="1" t="str">
        <f>[1]装备明细!$C292</f>
        <v>卢卡拳套</v>
      </c>
      <c r="G291" s="1">
        <f>[1]装备明细!$J292</f>
        <v>0</v>
      </c>
      <c r="H291" s="1">
        <f>IF([1]装备明细!$G292&gt;=14,"",[1]装备明细!$G292-1)</f>
        <v>2</v>
      </c>
      <c r="I291" s="1">
        <f>[1]装备明细!$F292</f>
        <v>1</v>
      </c>
      <c r="J291" s="1">
        <f>[1]装备明细!$L292</f>
        <v>2</v>
      </c>
      <c r="K291" s="1">
        <f>[1]装备明细!$E292</f>
        <v>3</v>
      </c>
      <c r="L291" s="1">
        <f t="shared" si="4"/>
        <v>3</v>
      </c>
      <c r="M291" s="1">
        <f>[2]Sheet1!$R292*2</f>
        <v>969</v>
      </c>
    </row>
    <row r="292" spans="1:13" x14ac:dyDescent="0.15">
      <c r="A292" s="1">
        <v>291</v>
      </c>
      <c r="B292" s="1">
        <v>0</v>
      </c>
      <c r="C292" s="1">
        <v>100291</v>
      </c>
      <c r="D292" s="1" t="str">
        <f>[1]装备明细!$M293</f>
        <v>IC1518</v>
      </c>
      <c r="E292" s="1" t="str">
        <f>[1]装备明细!$C293</f>
        <v>坎珀拳套</v>
      </c>
      <c r="G292" s="1">
        <f>[1]装备明细!$J293</f>
        <v>0</v>
      </c>
      <c r="H292" s="1">
        <f>IF([1]装备明细!$G293&gt;=14,"",[1]装备明细!$G293-1)</f>
        <v>2</v>
      </c>
      <c r="I292" s="1">
        <f>[1]装备明细!$F293</f>
        <v>1</v>
      </c>
      <c r="J292" s="1">
        <f>[1]装备明细!$L293</f>
        <v>3</v>
      </c>
      <c r="K292" s="1">
        <f>[1]装备明细!$E293</f>
        <v>3</v>
      </c>
      <c r="L292" s="1">
        <f t="shared" si="4"/>
        <v>3</v>
      </c>
      <c r="M292" s="1">
        <f>[2]Sheet1!$R293*2</f>
        <v>1050</v>
      </c>
    </row>
    <row r="293" spans="1:13" x14ac:dyDescent="0.15">
      <c r="A293" s="1">
        <v>292</v>
      </c>
      <c r="B293" s="1">
        <v>0</v>
      </c>
      <c r="C293" s="1">
        <v>100292</v>
      </c>
      <c r="D293" s="1" t="str">
        <f>[1]装备明细!$M294</f>
        <v>IC1520</v>
      </c>
      <c r="E293" s="1" t="str">
        <f>[1]装备明细!$C294</f>
        <v>费恩拳套</v>
      </c>
      <c r="G293" s="1">
        <f>[1]装备明细!$J294</f>
        <v>0</v>
      </c>
      <c r="H293" s="1">
        <f>IF([1]装备明细!$G294&gt;=14,"",[1]装备明细!$G294-1)</f>
        <v>2</v>
      </c>
      <c r="I293" s="1">
        <f>[1]装备明细!$F294</f>
        <v>1</v>
      </c>
      <c r="J293" s="1">
        <f>[1]装备明细!$L294</f>
        <v>4</v>
      </c>
      <c r="K293" s="1">
        <f>[1]装备明细!$E294</f>
        <v>3</v>
      </c>
      <c r="L293" s="1">
        <f t="shared" si="4"/>
        <v>3</v>
      </c>
      <c r="M293" s="1">
        <f>[2]Sheet1!$R294*2</f>
        <v>969</v>
      </c>
    </row>
    <row r="294" spans="1:13" x14ac:dyDescent="0.15">
      <c r="A294" s="1">
        <v>293</v>
      </c>
      <c r="B294" s="1">
        <v>0</v>
      </c>
      <c r="C294" s="1">
        <v>100293</v>
      </c>
      <c r="D294" s="1" t="str">
        <f>[1]装备明细!$M295</f>
        <v>IC1521</v>
      </c>
      <c r="E294" s="1" t="str">
        <f>[1]装备明细!$C295</f>
        <v>迪马斯拳套</v>
      </c>
      <c r="G294" s="1">
        <f>[1]装备明细!$J295</f>
        <v>0</v>
      </c>
      <c r="H294" s="1">
        <f>IF([1]装备明细!$G295&gt;=14,"",[1]装备明细!$G295-1)</f>
        <v>2</v>
      </c>
      <c r="I294" s="1">
        <f>[1]装备明细!$F295</f>
        <v>1</v>
      </c>
      <c r="J294" s="1">
        <f>[1]装备明细!$L295</f>
        <v>5</v>
      </c>
      <c r="K294" s="1">
        <f>[1]装备明细!$E295</f>
        <v>3</v>
      </c>
      <c r="L294" s="1">
        <f t="shared" si="4"/>
        <v>3</v>
      </c>
      <c r="M294" s="1">
        <f>[2]Sheet1!$R295*2</f>
        <v>1050</v>
      </c>
    </row>
    <row r="295" spans="1:13" x14ac:dyDescent="0.15">
      <c r="A295" s="1">
        <v>294</v>
      </c>
      <c r="B295" s="1">
        <v>0</v>
      </c>
      <c r="C295" s="1">
        <v>100294</v>
      </c>
      <c r="D295" s="1" t="str">
        <f>[1]装备明细!$M296</f>
        <v>IC1523</v>
      </c>
      <c r="E295" s="1" t="str">
        <f>[1]装备明细!$C296</f>
        <v>酒神拳套</v>
      </c>
      <c r="G295" s="1">
        <f>[1]装备明细!$J296</f>
        <v>0</v>
      </c>
      <c r="H295" s="1">
        <f>IF([1]装备明细!$G296&gt;=14,"",[1]装备明细!$G296-1)</f>
        <v>2</v>
      </c>
      <c r="I295" s="1">
        <f>[1]装备明细!$F296</f>
        <v>1</v>
      </c>
      <c r="J295" s="1">
        <f>[1]装备明细!$L296</f>
        <v>6</v>
      </c>
      <c r="K295" s="1">
        <f>[1]装备明细!$E296</f>
        <v>3</v>
      </c>
      <c r="L295" s="1">
        <f t="shared" si="4"/>
        <v>3</v>
      </c>
      <c r="M295" s="1">
        <f>[2]Sheet1!$R296*2</f>
        <v>1050</v>
      </c>
    </row>
    <row r="296" spans="1:13" x14ac:dyDescent="0.15">
      <c r="A296" s="1">
        <v>295</v>
      </c>
      <c r="B296" s="1">
        <v>0</v>
      </c>
      <c r="C296" s="1">
        <v>100295</v>
      </c>
      <c r="D296" s="1" t="str">
        <f>[1]装备明细!$M297</f>
        <v>IC1524</v>
      </c>
      <c r="E296" s="1" t="str">
        <f>[1]装备明细!$C297</f>
        <v>缪斯之拳</v>
      </c>
      <c r="G296" s="1">
        <f>[1]装备明细!$J297</f>
        <v>0</v>
      </c>
      <c r="H296" s="1">
        <f>IF([1]装备明细!$G297&gt;=14,"",[1]装备明细!$G297-1)</f>
        <v>2</v>
      </c>
      <c r="I296" s="1">
        <f>[1]装备明细!$F297</f>
        <v>1</v>
      </c>
      <c r="J296" s="1">
        <f>[1]装备明细!$L297</f>
        <v>7</v>
      </c>
      <c r="K296" s="1">
        <f>[1]装备明细!$E297</f>
        <v>3</v>
      </c>
      <c r="L296" s="1">
        <f t="shared" si="4"/>
        <v>3</v>
      </c>
      <c r="M296" s="1">
        <f>[2]Sheet1!$R297*2</f>
        <v>1050</v>
      </c>
    </row>
    <row r="297" spans="1:13" x14ac:dyDescent="0.15">
      <c r="A297" s="1">
        <v>296</v>
      </c>
      <c r="B297" s="1">
        <v>0</v>
      </c>
      <c r="C297" s="1">
        <v>100296</v>
      </c>
      <c r="D297" s="1" t="str">
        <f>[1]装备明细!$M298</f>
        <v>IC1525</v>
      </c>
      <c r="E297" s="1" t="str">
        <f>[1]装备明细!$C298</f>
        <v>潘多拉拳套</v>
      </c>
      <c r="G297" s="1">
        <f>[1]装备明细!$J298</f>
        <v>0</v>
      </c>
      <c r="H297" s="1">
        <f>IF([1]装备明细!$G298&gt;=14,"",[1]装备明细!$G298-1)</f>
        <v>2</v>
      </c>
      <c r="I297" s="1">
        <f>[1]装备明细!$F298</f>
        <v>1</v>
      </c>
      <c r="J297" s="1">
        <f>[1]装备明细!$L298</f>
        <v>8</v>
      </c>
      <c r="K297" s="1">
        <f>[1]装备明细!$E298</f>
        <v>3</v>
      </c>
      <c r="L297" s="1">
        <f t="shared" si="4"/>
        <v>3</v>
      </c>
      <c r="M297" s="1">
        <f>[2]Sheet1!$R298*2</f>
        <v>969</v>
      </c>
    </row>
    <row r="298" spans="1:13" x14ac:dyDescent="0.15">
      <c r="A298" s="1">
        <v>297</v>
      </c>
      <c r="B298" s="1">
        <v>0</v>
      </c>
      <c r="C298" s="1">
        <v>100297</v>
      </c>
      <c r="D298" s="1" t="str">
        <f>[1]装备明细!$M299</f>
        <v>IC1527</v>
      </c>
      <c r="E298" s="1" t="str">
        <f>[1]装备明细!$C299</f>
        <v>卡德摩斯拳套</v>
      </c>
      <c r="G298" s="1">
        <f>[1]装备明细!$J299</f>
        <v>0</v>
      </c>
      <c r="H298" s="1">
        <f>IF([1]装备明细!$G299&gt;=14,"",[1]装备明细!$G299-1)</f>
        <v>2</v>
      </c>
      <c r="I298" s="1">
        <f>[1]装备明细!$F299</f>
        <v>1</v>
      </c>
      <c r="J298" s="1">
        <f>[1]装备明细!$L299</f>
        <v>9</v>
      </c>
      <c r="K298" s="1">
        <f>[1]装备明细!$E299</f>
        <v>3</v>
      </c>
      <c r="L298" s="1">
        <f t="shared" si="4"/>
        <v>3</v>
      </c>
      <c r="M298" s="1">
        <f>[2]Sheet1!$R299*2</f>
        <v>1050</v>
      </c>
    </row>
    <row r="299" spans="1:13" x14ac:dyDescent="0.15">
      <c r="A299" s="1">
        <v>298</v>
      </c>
      <c r="B299" s="1">
        <v>0</v>
      </c>
      <c r="C299" s="1">
        <v>100298</v>
      </c>
      <c r="D299" s="1" t="str">
        <f>[1]装备明细!$M300</f>
        <v>IC1654</v>
      </c>
      <c r="E299" s="1" t="str">
        <f>[1]装备明细!$C300</f>
        <v>奥丁之枪</v>
      </c>
      <c r="G299" s="1">
        <f>[1]装备明细!$J300</f>
        <v>0</v>
      </c>
      <c r="H299" s="1">
        <f>IF([1]装备明细!$G300&gt;=14,"",[1]装备明细!$G300-1)</f>
        <v>3</v>
      </c>
      <c r="I299" s="1">
        <f>[1]装备明细!$F300</f>
        <v>1</v>
      </c>
      <c r="J299" s="1">
        <f>[1]装备明细!$L300</f>
        <v>1</v>
      </c>
      <c r="K299" s="1">
        <f>[1]装备明细!$E300</f>
        <v>3</v>
      </c>
      <c r="L299" s="1">
        <f t="shared" si="4"/>
        <v>3</v>
      </c>
      <c r="M299" s="1">
        <f>[2]Sheet1!$R300*2</f>
        <v>1050</v>
      </c>
    </row>
    <row r="300" spans="1:13" x14ac:dyDescent="0.15">
      <c r="A300" s="1">
        <v>299</v>
      </c>
      <c r="B300" s="1">
        <v>0</v>
      </c>
      <c r="C300" s="1">
        <v>100299</v>
      </c>
      <c r="D300" s="1" t="str">
        <f>[1]装备明细!$M301</f>
        <v>IC1657</v>
      </c>
      <c r="E300" s="1" t="str">
        <f>[1]装备明细!$C301</f>
        <v>卢卡之枪</v>
      </c>
      <c r="G300" s="1">
        <f>[1]装备明细!$J301</f>
        <v>0</v>
      </c>
      <c r="H300" s="1">
        <f>IF([1]装备明细!$G301&gt;=14,"",[1]装备明细!$G301-1)</f>
        <v>3</v>
      </c>
      <c r="I300" s="1">
        <f>[1]装备明细!$F301</f>
        <v>1</v>
      </c>
      <c r="J300" s="1">
        <f>[1]装备明细!$L301</f>
        <v>2</v>
      </c>
      <c r="K300" s="1">
        <f>[1]装备明细!$E301</f>
        <v>3</v>
      </c>
      <c r="L300" s="1">
        <f t="shared" si="4"/>
        <v>3</v>
      </c>
      <c r="M300" s="1">
        <f>[2]Sheet1!$R301*2</f>
        <v>1050</v>
      </c>
    </row>
    <row r="301" spans="1:13" x14ac:dyDescent="0.15">
      <c r="A301" s="1">
        <v>300</v>
      </c>
      <c r="B301" s="1">
        <v>0</v>
      </c>
      <c r="C301" s="1">
        <v>100300</v>
      </c>
      <c r="D301" s="1" t="str">
        <f>[1]装备明细!$M302</f>
        <v>IC1660</v>
      </c>
      <c r="E301" s="1" t="str">
        <f>[1]装备明细!$C302</f>
        <v>坎珀尖枪</v>
      </c>
      <c r="G301" s="1">
        <f>[1]装备明细!$J302</f>
        <v>0</v>
      </c>
      <c r="H301" s="1">
        <f>IF([1]装备明细!$G302&gt;=14,"",[1]装备明细!$G302-1)</f>
        <v>3</v>
      </c>
      <c r="I301" s="1">
        <f>[1]装备明细!$F302</f>
        <v>1</v>
      </c>
      <c r="J301" s="1">
        <f>[1]装备明细!$L302</f>
        <v>3</v>
      </c>
      <c r="K301" s="1">
        <f>[1]装备明细!$E302</f>
        <v>3</v>
      </c>
      <c r="L301" s="1">
        <f t="shared" si="4"/>
        <v>3</v>
      </c>
      <c r="M301" s="1">
        <f>[2]Sheet1!$R302*2</f>
        <v>1050</v>
      </c>
    </row>
    <row r="302" spans="1:13" x14ac:dyDescent="0.15">
      <c r="A302" s="1">
        <v>301</v>
      </c>
      <c r="B302" s="1">
        <v>0</v>
      </c>
      <c r="C302" s="1">
        <v>100301</v>
      </c>
      <c r="D302" s="1" t="str">
        <f>[1]装备明细!$M303</f>
        <v>IC1666</v>
      </c>
      <c r="E302" s="1" t="str">
        <f>[1]装备明细!$C303</f>
        <v>费恩尖枪</v>
      </c>
      <c r="G302" s="1">
        <f>[1]装备明细!$J303</f>
        <v>0</v>
      </c>
      <c r="H302" s="1">
        <f>IF([1]装备明细!$G303&gt;=14,"",[1]装备明细!$G303-1)</f>
        <v>3</v>
      </c>
      <c r="I302" s="1">
        <f>[1]装备明细!$F303</f>
        <v>1</v>
      </c>
      <c r="J302" s="1">
        <f>[1]装备明细!$L303</f>
        <v>4</v>
      </c>
      <c r="K302" s="1">
        <f>[1]装备明细!$E303</f>
        <v>3</v>
      </c>
      <c r="L302" s="1">
        <f t="shared" si="4"/>
        <v>3</v>
      </c>
      <c r="M302" s="1">
        <f>[2]Sheet1!$R303*2</f>
        <v>1050</v>
      </c>
    </row>
    <row r="303" spans="1:13" x14ac:dyDescent="0.15">
      <c r="A303" s="1">
        <v>302</v>
      </c>
      <c r="B303" s="1">
        <v>0</v>
      </c>
      <c r="C303" s="1">
        <v>100302</v>
      </c>
      <c r="D303" s="1" t="str">
        <f>[1]装备明细!$M304</f>
        <v>IC1671</v>
      </c>
      <c r="E303" s="1" t="str">
        <f>[1]装备明细!$C304</f>
        <v>迪马斯尖枪</v>
      </c>
      <c r="G303" s="1">
        <f>[1]装备明细!$J304</f>
        <v>0</v>
      </c>
      <c r="H303" s="1">
        <f>IF([1]装备明细!$G304&gt;=14,"",[1]装备明细!$G304-1)</f>
        <v>3</v>
      </c>
      <c r="I303" s="1">
        <f>[1]装备明细!$F304</f>
        <v>1</v>
      </c>
      <c r="J303" s="1">
        <f>[1]装备明细!$L304</f>
        <v>5</v>
      </c>
      <c r="K303" s="1">
        <f>[1]装备明细!$E304</f>
        <v>3</v>
      </c>
      <c r="L303" s="1">
        <f t="shared" si="4"/>
        <v>3</v>
      </c>
      <c r="M303" s="1">
        <f>[2]Sheet1!$R304*2</f>
        <v>1050</v>
      </c>
    </row>
    <row r="304" spans="1:13" x14ac:dyDescent="0.15">
      <c r="A304" s="1">
        <v>303</v>
      </c>
      <c r="B304" s="1">
        <v>0</v>
      </c>
      <c r="C304" s="1">
        <v>100303</v>
      </c>
      <c r="D304" s="1" t="str">
        <f>[1]装备明细!$M305</f>
        <v>IC1672</v>
      </c>
      <c r="E304" s="1" t="str">
        <f>[1]装备明细!$C305</f>
        <v>酒神之枪</v>
      </c>
      <c r="G304" s="1">
        <f>[1]装备明细!$J305</f>
        <v>0</v>
      </c>
      <c r="H304" s="1">
        <f>IF([1]装备明细!$G305&gt;=14,"",[1]装备明细!$G305-1)</f>
        <v>3</v>
      </c>
      <c r="I304" s="1">
        <f>[1]装备明细!$F305</f>
        <v>1</v>
      </c>
      <c r="J304" s="1">
        <f>[1]装备明细!$L305</f>
        <v>6</v>
      </c>
      <c r="K304" s="1">
        <f>[1]装备明细!$E305</f>
        <v>3</v>
      </c>
      <c r="L304" s="1">
        <f t="shared" si="4"/>
        <v>3</v>
      </c>
      <c r="M304" s="1">
        <f>[2]Sheet1!$R305*2</f>
        <v>1050</v>
      </c>
    </row>
    <row r="305" spans="1:13" x14ac:dyDescent="0.15">
      <c r="A305" s="1">
        <v>304</v>
      </c>
      <c r="B305" s="1">
        <v>0</v>
      </c>
      <c r="C305" s="1">
        <v>100304</v>
      </c>
      <c r="D305" s="1" t="str">
        <f>[1]装备明细!$M306</f>
        <v>IC1673</v>
      </c>
      <c r="E305" s="1" t="str">
        <f>[1]装备明细!$C306</f>
        <v>缪斯之枪</v>
      </c>
      <c r="G305" s="1">
        <f>[1]装备明细!$J306</f>
        <v>0</v>
      </c>
      <c r="H305" s="1">
        <f>IF([1]装备明细!$G306&gt;=14,"",[1]装备明细!$G306-1)</f>
        <v>3</v>
      </c>
      <c r="I305" s="1">
        <f>[1]装备明细!$F306</f>
        <v>1</v>
      </c>
      <c r="J305" s="1">
        <f>[1]装备明细!$L306</f>
        <v>7</v>
      </c>
      <c r="K305" s="1">
        <f>[1]装备明细!$E306</f>
        <v>3</v>
      </c>
      <c r="L305" s="1">
        <f t="shared" si="4"/>
        <v>3</v>
      </c>
      <c r="M305" s="1">
        <f>[2]Sheet1!$R306*2</f>
        <v>1050</v>
      </c>
    </row>
    <row r="306" spans="1:13" x14ac:dyDescent="0.15">
      <c r="A306" s="1">
        <v>305</v>
      </c>
      <c r="B306" s="1">
        <v>0</v>
      </c>
      <c r="C306" s="1">
        <v>100305</v>
      </c>
      <c r="D306" s="1" t="str">
        <f>[1]装备明细!$M307</f>
        <v>IC1654</v>
      </c>
      <c r="E306" s="1" t="str">
        <f>[1]装备明细!$C307</f>
        <v>潘多拉之枪</v>
      </c>
      <c r="G306" s="1">
        <f>[1]装备明细!$J307</f>
        <v>0</v>
      </c>
      <c r="H306" s="1">
        <f>IF([1]装备明细!$G307&gt;=14,"",[1]装备明细!$G307-1)</f>
        <v>3</v>
      </c>
      <c r="I306" s="1">
        <f>[1]装备明细!$F307</f>
        <v>1</v>
      </c>
      <c r="J306" s="1">
        <f>[1]装备明细!$L307</f>
        <v>8</v>
      </c>
      <c r="K306" s="1">
        <f>[1]装备明细!$E307</f>
        <v>3</v>
      </c>
      <c r="L306" s="1">
        <f t="shared" si="4"/>
        <v>3</v>
      </c>
      <c r="M306" s="1">
        <f>[2]Sheet1!$R307*2</f>
        <v>915</v>
      </c>
    </row>
    <row r="307" spans="1:13" x14ac:dyDescent="0.15">
      <c r="A307" s="1">
        <v>306</v>
      </c>
      <c r="B307" s="1">
        <v>0</v>
      </c>
      <c r="C307" s="1">
        <v>100306</v>
      </c>
      <c r="D307" s="1" t="str">
        <f>[1]装备明细!$M308</f>
        <v>IC1657</v>
      </c>
      <c r="E307" s="1" t="str">
        <f>[1]装备明细!$C308</f>
        <v>衣卒尔之枪</v>
      </c>
      <c r="G307" s="1">
        <f>[1]装备明细!$J308</f>
        <v>0</v>
      </c>
      <c r="H307" s="1">
        <f>IF([1]装备明细!$G308&gt;=14,"",[1]装备明细!$G308-1)</f>
        <v>3</v>
      </c>
      <c r="I307" s="1">
        <f>[1]装备明细!$F308</f>
        <v>1</v>
      </c>
      <c r="J307" s="1">
        <f>[1]装备明细!$L308</f>
        <v>9</v>
      </c>
      <c r="K307" s="1">
        <f>[1]装备明细!$E308</f>
        <v>3</v>
      </c>
      <c r="L307" s="1">
        <f t="shared" si="4"/>
        <v>3</v>
      </c>
      <c r="M307" s="1">
        <f>[2]Sheet1!$R308*2</f>
        <v>1050</v>
      </c>
    </row>
    <row r="308" spans="1:13" x14ac:dyDescent="0.15">
      <c r="A308" s="1">
        <v>307</v>
      </c>
      <c r="B308" s="1">
        <v>0</v>
      </c>
      <c r="C308" s="1">
        <v>100307</v>
      </c>
      <c r="D308" s="1" t="str">
        <f>[1]装备明细!$M309</f>
        <v>IC1701</v>
      </c>
      <c r="E308" s="1" t="str">
        <f>[1]装备明细!$C309</f>
        <v>奥丁镰刀</v>
      </c>
      <c r="G308" s="1">
        <f>[1]装备明细!$J309</f>
        <v>0</v>
      </c>
      <c r="H308" s="1">
        <f>IF([1]装备明细!$G309&gt;=14,"",[1]装备明细!$G309-1)</f>
        <v>4</v>
      </c>
      <c r="I308" s="1">
        <f>[1]装备明细!$F309</f>
        <v>1</v>
      </c>
      <c r="J308" s="1">
        <f>[1]装备明细!$L309</f>
        <v>1</v>
      </c>
      <c r="K308" s="1">
        <f>[1]装备明细!$E309</f>
        <v>3</v>
      </c>
      <c r="L308" s="1">
        <f t="shared" si="4"/>
        <v>3</v>
      </c>
      <c r="M308" s="1">
        <f>[2]Sheet1!$R309*2</f>
        <v>1050</v>
      </c>
    </row>
    <row r="309" spans="1:13" x14ac:dyDescent="0.15">
      <c r="A309" s="1">
        <v>308</v>
      </c>
      <c r="B309" s="1">
        <v>0</v>
      </c>
      <c r="C309" s="1">
        <v>100308</v>
      </c>
      <c r="D309" s="1" t="str">
        <f>[1]装备明细!$M310</f>
        <v>IC1715</v>
      </c>
      <c r="E309" s="1" t="str">
        <f>[1]装备明细!$C310</f>
        <v>卢卡镰刀</v>
      </c>
      <c r="G309" s="1">
        <f>[1]装备明细!$J310</f>
        <v>0</v>
      </c>
      <c r="H309" s="1">
        <f>IF([1]装备明细!$G310&gt;=14,"",[1]装备明细!$G310-1)</f>
        <v>4</v>
      </c>
      <c r="I309" s="1">
        <f>[1]装备明细!$F310</f>
        <v>1</v>
      </c>
      <c r="J309" s="1">
        <f>[1]装备明细!$L310</f>
        <v>2</v>
      </c>
      <c r="K309" s="1">
        <f>[1]装备明细!$E310</f>
        <v>3</v>
      </c>
      <c r="L309" s="1">
        <f t="shared" si="4"/>
        <v>3</v>
      </c>
      <c r="M309" s="1">
        <f>[2]Sheet1!$R310*2</f>
        <v>1050</v>
      </c>
    </row>
    <row r="310" spans="1:13" x14ac:dyDescent="0.15">
      <c r="A310" s="1">
        <v>309</v>
      </c>
      <c r="B310" s="1">
        <v>0</v>
      </c>
      <c r="C310" s="1">
        <v>100309</v>
      </c>
      <c r="D310" s="1" t="str">
        <f>[1]装备明细!$M311</f>
        <v>IC1716</v>
      </c>
      <c r="E310" s="1" t="str">
        <f>[1]装备明细!$C311</f>
        <v>坎珀镰刀</v>
      </c>
      <c r="G310" s="1">
        <f>[1]装备明细!$J311</f>
        <v>0</v>
      </c>
      <c r="H310" s="1">
        <f>IF([1]装备明细!$G311&gt;=14,"",[1]装备明细!$G311-1)</f>
        <v>4</v>
      </c>
      <c r="I310" s="1">
        <f>[1]装备明细!$F311</f>
        <v>1</v>
      </c>
      <c r="J310" s="1">
        <f>[1]装备明细!$L311</f>
        <v>3</v>
      </c>
      <c r="K310" s="1">
        <f>[1]装备明细!$E311</f>
        <v>3</v>
      </c>
      <c r="L310" s="1">
        <f t="shared" si="4"/>
        <v>3</v>
      </c>
      <c r="M310" s="1">
        <f>[2]Sheet1!$R311*2</f>
        <v>1050</v>
      </c>
    </row>
    <row r="311" spans="1:13" x14ac:dyDescent="0.15">
      <c r="A311" s="1">
        <v>310</v>
      </c>
      <c r="B311" s="1">
        <v>0</v>
      </c>
      <c r="C311" s="1">
        <v>100310</v>
      </c>
      <c r="D311" s="1" t="str">
        <f>[1]装备明细!$M312</f>
        <v>IC1717</v>
      </c>
      <c r="E311" s="1" t="str">
        <f>[1]装备明细!$C312</f>
        <v>费恩镰刀</v>
      </c>
      <c r="G311" s="1">
        <f>[1]装备明细!$J312</f>
        <v>0</v>
      </c>
      <c r="H311" s="1">
        <f>IF([1]装备明细!$G312&gt;=14,"",[1]装备明细!$G312-1)</f>
        <v>4</v>
      </c>
      <c r="I311" s="1">
        <f>[1]装备明细!$F312</f>
        <v>1</v>
      </c>
      <c r="J311" s="1">
        <f>[1]装备明细!$L312</f>
        <v>4</v>
      </c>
      <c r="K311" s="1">
        <f>[1]装备明细!$E312</f>
        <v>3</v>
      </c>
      <c r="L311" s="1">
        <f t="shared" si="4"/>
        <v>3</v>
      </c>
      <c r="M311" s="1">
        <f>[2]Sheet1!$R312*2</f>
        <v>1050</v>
      </c>
    </row>
    <row r="312" spans="1:13" x14ac:dyDescent="0.15">
      <c r="A312" s="1">
        <v>311</v>
      </c>
      <c r="B312" s="1">
        <v>0</v>
      </c>
      <c r="C312" s="1">
        <v>100311</v>
      </c>
      <c r="D312" s="1" t="str">
        <f>[1]装备明细!$M313</f>
        <v>IC1718</v>
      </c>
      <c r="E312" s="1" t="str">
        <f>[1]装备明细!$C313</f>
        <v>迪马斯镰刀</v>
      </c>
      <c r="G312" s="1">
        <f>[1]装备明细!$J313</f>
        <v>0</v>
      </c>
      <c r="H312" s="1">
        <f>IF([1]装备明细!$G313&gt;=14,"",[1]装备明细!$G313-1)</f>
        <v>4</v>
      </c>
      <c r="I312" s="1">
        <f>[1]装备明细!$F313</f>
        <v>1</v>
      </c>
      <c r="J312" s="1">
        <f>[1]装备明细!$L313</f>
        <v>5</v>
      </c>
      <c r="K312" s="1">
        <f>[1]装备明细!$E313</f>
        <v>3</v>
      </c>
      <c r="L312" s="1">
        <f t="shared" si="4"/>
        <v>3</v>
      </c>
      <c r="M312" s="1">
        <f>[2]Sheet1!$R313*2</f>
        <v>969</v>
      </c>
    </row>
    <row r="313" spans="1:13" x14ac:dyDescent="0.15">
      <c r="A313" s="1">
        <v>312</v>
      </c>
      <c r="B313" s="1">
        <v>0</v>
      </c>
      <c r="C313" s="1">
        <v>100312</v>
      </c>
      <c r="D313" s="1" t="str">
        <f>[1]装备明细!$M314</f>
        <v>IC1701</v>
      </c>
      <c r="E313" s="1" t="str">
        <f>[1]装备明细!$C314</f>
        <v>酒神镰刀</v>
      </c>
      <c r="G313" s="1">
        <f>[1]装备明细!$J314</f>
        <v>0</v>
      </c>
      <c r="H313" s="1">
        <f>IF([1]装备明细!$G314&gt;=14,"",[1]装备明细!$G314-1)</f>
        <v>4</v>
      </c>
      <c r="I313" s="1">
        <f>[1]装备明细!$F314</f>
        <v>1</v>
      </c>
      <c r="J313" s="1">
        <f>[1]装备明细!$L314</f>
        <v>6</v>
      </c>
      <c r="K313" s="1">
        <f>[1]装备明细!$E314</f>
        <v>3</v>
      </c>
      <c r="L313" s="1">
        <f t="shared" si="4"/>
        <v>3</v>
      </c>
      <c r="M313" s="1">
        <f>[2]Sheet1!$R314*2</f>
        <v>969</v>
      </c>
    </row>
    <row r="314" spans="1:13" x14ac:dyDescent="0.15">
      <c r="A314" s="1">
        <v>313</v>
      </c>
      <c r="B314" s="1">
        <v>0</v>
      </c>
      <c r="C314" s="1">
        <v>100313</v>
      </c>
      <c r="D314" s="1" t="str">
        <f>[1]装备明细!$M315</f>
        <v>IC1715</v>
      </c>
      <c r="E314" s="1" t="str">
        <f>[1]装备明细!$C315</f>
        <v>缪斯镰刀</v>
      </c>
      <c r="G314" s="1">
        <f>[1]装备明细!$J315</f>
        <v>0</v>
      </c>
      <c r="H314" s="1">
        <f>IF([1]装备明细!$G315&gt;=14,"",[1]装备明细!$G315-1)</f>
        <v>4</v>
      </c>
      <c r="I314" s="1">
        <f>[1]装备明细!$F315</f>
        <v>1</v>
      </c>
      <c r="J314" s="1">
        <f>[1]装备明细!$L315</f>
        <v>7</v>
      </c>
      <c r="K314" s="1">
        <f>[1]装备明细!$E315</f>
        <v>3</v>
      </c>
      <c r="L314" s="1">
        <f t="shared" si="4"/>
        <v>3</v>
      </c>
      <c r="M314" s="1">
        <f>[2]Sheet1!$R315*2</f>
        <v>1050</v>
      </c>
    </row>
    <row r="315" spans="1:13" x14ac:dyDescent="0.15">
      <c r="A315" s="1">
        <v>314</v>
      </c>
      <c r="B315" s="1">
        <v>0</v>
      </c>
      <c r="C315" s="1">
        <v>100314</v>
      </c>
      <c r="D315" s="1" t="str">
        <f>[1]装备明细!$M316</f>
        <v>IC1716</v>
      </c>
      <c r="E315" s="1" t="str">
        <f>[1]装备明细!$C316</f>
        <v>潘多拉镰刀</v>
      </c>
      <c r="G315" s="1">
        <f>[1]装备明细!$J316</f>
        <v>0</v>
      </c>
      <c r="H315" s="1">
        <f>IF([1]装备明细!$G316&gt;=14,"",[1]装备明细!$G316-1)</f>
        <v>4</v>
      </c>
      <c r="I315" s="1">
        <f>[1]装备明细!$F316</f>
        <v>1</v>
      </c>
      <c r="J315" s="1">
        <f>[1]装备明细!$L316</f>
        <v>8</v>
      </c>
      <c r="K315" s="1">
        <f>[1]装备明细!$E316</f>
        <v>3</v>
      </c>
      <c r="L315" s="1">
        <f t="shared" si="4"/>
        <v>3</v>
      </c>
      <c r="M315" s="1">
        <f>[2]Sheet1!$R316*2</f>
        <v>1050</v>
      </c>
    </row>
    <row r="316" spans="1:13" x14ac:dyDescent="0.15">
      <c r="A316" s="1">
        <v>315</v>
      </c>
      <c r="B316" s="1">
        <v>0</v>
      </c>
      <c r="C316" s="1">
        <v>100315</v>
      </c>
      <c r="D316" s="1" t="str">
        <f>[1]装备明细!$M317</f>
        <v>IC1717</v>
      </c>
      <c r="E316" s="1" t="str">
        <f>[1]装备明细!$C317</f>
        <v>塔罗斯镰刀</v>
      </c>
      <c r="G316" s="1">
        <f>[1]装备明细!$J317</f>
        <v>0</v>
      </c>
      <c r="H316" s="1">
        <f>IF([1]装备明细!$G317&gt;=14,"",[1]装备明细!$G317-1)</f>
        <v>4</v>
      </c>
      <c r="I316" s="1">
        <f>[1]装备明细!$F317</f>
        <v>1</v>
      </c>
      <c r="J316" s="1">
        <f>[1]装备明细!$L317</f>
        <v>9</v>
      </c>
      <c r="K316" s="1">
        <f>[1]装备明细!$E317</f>
        <v>3</v>
      </c>
      <c r="L316" s="1">
        <f t="shared" si="4"/>
        <v>3</v>
      </c>
      <c r="M316" s="1">
        <f>[2]Sheet1!$R317*2</f>
        <v>969</v>
      </c>
    </row>
    <row r="317" spans="1:13" x14ac:dyDescent="0.15">
      <c r="A317" s="1">
        <v>316</v>
      </c>
      <c r="B317" s="1">
        <v>0</v>
      </c>
      <c r="C317" s="1">
        <v>100316</v>
      </c>
      <c r="D317" s="1" t="str">
        <f>[1]装备明细!$M318</f>
        <v>IC1101</v>
      </c>
      <c r="E317" s="1" t="str">
        <f>[1]装备明细!$C318</f>
        <v>奥丁法杖</v>
      </c>
      <c r="G317" s="1">
        <f>[1]装备明细!$J318</f>
        <v>0</v>
      </c>
      <c r="H317" s="1">
        <f>IF([1]装备明细!$G318&gt;=14,"",[1]装备明细!$G318-1)</f>
        <v>5</v>
      </c>
      <c r="I317" s="1">
        <f>[1]装备明细!$F318</f>
        <v>1</v>
      </c>
      <c r="J317" s="1">
        <f>[1]装备明细!$L318</f>
        <v>1</v>
      </c>
      <c r="K317" s="1">
        <f>[1]装备明细!$E318</f>
        <v>3</v>
      </c>
      <c r="L317" s="1">
        <f t="shared" si="4"/>
        <v>3</v>
      </c>
      <c r="M317" s="1">
        <f>[2]Sheet1!$R318*2</f>
        <v>915</v>
      </c>
    </row>
    <row r="318" spans="1:13" x14ac:dyDescent="0.15">
      <c r="A318" s="1">
        <v>317</v>
      </c>
      <c r="B318" s="1">
        <v>0</v>
      </c>
      <c r="C318" s="1">
        <v>100317</v>
      </c>
      <c r="D318" s="1" t="str">
        <f>[1]装备明细!$M319</f>
        <v>IC1103</v>
      </c>
      <c r="E318" s="1" t="str">
        <f>[1]装备明细!$C319</f>
        <v>卢卡法杖</v>
      </c>
      <c r="G318" s="1">
        <f>[1]装备明细!$J319</f>
        <v>0</v>
      </c>
      <c r="H318" s="1">
        <f>IF([1]装备明细!$G319&gt;=14,"",[1]装备明细!$G319-1)</f>
        <v>5</v>
      </c>
      <c r="I318" s="1">
        <f>[1]装备明细!$F319</f>
        <v>1</v>
      </c>
      <c r="J318" s="1">
        <f>[1]装备明细!$L319</f>
        <v>2</v>
      </c>
      <c r="K318" s="1">
        <f>[1]装备明细!$E319</f>
        <v>3</v>
      </c>
      <c r="L318" s="1">
        <f t="shared" si="4"/>
        <v>3</v>
      </c>
      <c r="M318" s="1">
        <f>[2]Sheet1!$R319*2</f>
        <v>915</v>
      </c>
    </row>
    <row r="319" spans="1:13" x14ac:dyDescent="0.15">
      <c r="A319" s="1">
        <v>318</v>
      </c>
      <c r="B319" s="1">
        <v>0</v>
      </c>
      <c r="C319" s="1">
        <v>100318</v>
      </c>
      <c r="D319" s="1" t="str">
        <f>[1]装备明细!$M320</f>
        <v>IC1104</v>
      </c>
      <c r="E319" s="1" t="str">
        <f>[1]装备明细!$C320</f>
        <v>坎珀法杖</v>
      </c>
      <c r="G319" s="1">
        <f>[1]装备明细!$J320</f>
        <v>0</v>
      </c>
      <c r="H319" s="1">
        <f>IF([1]装备明细!$G320&gt;=14,"",[1]装备明细!$G320-1)</f>
        <v>5</v>
      </c>
      <c r="I319" s="1">
        <f>[1]装备明细!$F320</f>
        <v>1</v>
      </c>
      <c r="J319" s="1">
        <f>[1]装备明细!$L320</f>
        <v>3</v>
      </c>
      <c r="K319" s="1">
        <f>[1]装备明细!$E320</f>
        <v>3</v>
      </c>
      <c r="L319" s="1">
        <f t="shared" si="4"/>
        <v>3</v>
      </c>
      <c r="M319" s="1">
        <f>[2]Sheet1!$R320*2</f>
        <v>915</v>
      </c>
    </row>
    <row r="320" spans="1:13" x14ac:dyDescent="0.15">
      <c r="A320" s="1">
        <v>319</v>
      </c>
      <c r="B320" s="1">
        <v>0</v>
      </c>
      <c r="C320" s="1">
        <v>100319</v>
      </c>
      <c r="D320" s="1" t="str">
        <f>[1]装备明细!$M321</f>
        <v>IC1106</v>
      </c>
      <c r="E320" s="1" t="str">
        <f>[1]装备明细!$C321</f>
        <v>费恩权杖</v>
      </c>
      <c r="G320" s="1">
        <f>[1]装备明细!$J321</f>
        <v>0</v>
      </c>
      <c r="H320" s="1">
        <f>IF([1]装备明细!$G321&gt;=14,"",[1]装备明细!$G321-1)</f>
        <v>5</v>
      </c>
      <c r="I320" s="1">
        <f>[1]装备明细!$F321</f>
        <v>1</v>
      </c>
      <c r="J320" s="1">
        <f>[1]装备明细!$L321</f>
        <v>4</v>
      </c>
      <c r="K320" s="1">
        <f>[1]装备明细!$E321</f>
        <v>3</v>
      </c>
      <c r="L320" s="1">
        <f t="shared" si="4"/>
        <v>3</v>
      </c>
      <c r="M320" s="1">
        <f>[2]Sheet1!$R321*2</f>
        <v>834</v>
      </c>
    </row>
    <row r="321" spans="1:13" x14ac:dyDescent="0.15">
      <c r="A321" s="1">
        <v>320</v>
      </c>
      <c r="B321" s="1">
        <v>0</v>
      </c>
      <c r="C321" s="1">
        <v>100320</v>
      </c>
      <c r="D321" s="1" t="str">
        <f>[1]装备明细!$M322</f>
        <v>IC1113</v>
      </c>
      <c r="E321" s="1" t="str">
        <f>[1]装备明细!$C322</f>
        <v>迪马斯法杖</v>
      </c>
      <c r="G321" s="1">
        <f>[1]装备明细!$J322</f>
        <v>0</v>
      </c>
      <c r="H321" s="1">
        <f>IF([1]装备明细!$G322&gt;=14,"",[1]装备明细!$G322-1)</f>
        <v>5</v>
      </c>
      <c r="I321" s="1">
        <f>[1]装备明细!$F322</f>
        <v>1</v>
      </c>
      <c r="J321" s="1">
        <f>[1]装备明细!$L322</f>
        <v>5</v>
      </c>
      <c r="K321" s="1">
        <f>[1]装备明细!$E322</f>
        <v>3</v>
      </c>
      <c r="L321" s="1">
        <f t="shared" si="4"/>
        <v>3</v>
      </c>
      <c r="M321" s="1">
        <f>[2]Sheet1!$R322*2</f>
        <v>915</v>
      </c>
    </row>
    <row r="322" spans="1:13" x14ac:dyDescent="0.15">
      <c r="A322" s="1">
        <v>321</v>
      </c>
      <c r="B322" s="1">
        <v>0</v>
      </c>
      <c r="C322" s="1">
        <v>100321</v>
      </c>
      <c r="D322" s="1" t="str">
        <f>[1]装备明细!$M323</f>
        <v>IC1118</v>
      </c>
      <c r="E322" s="1" t="str">
        <f>[1]装备明细!$C323</f>
        <v>酒神法杖</v>
      </c>
      <c r="G322" s="1">
        <f>[1]装备明细!$J323</f>
        <v>0</v>
      </c>
      <c r="H322" s="1">
        <f>IF([1]装备明细!$G323&gt;=14,"",[1]装备明细!$G323-1)</f>
        <v>5</v>
      </c>
      <c r="I322" s="1">
        <f>[1]装备明细!$F323</f>
        <v>1</v>
      </c>
      <c r="J322" s="1">
        <f>[1]装备明细!$L323</f>
        <v>6</v>
      </c>
      <c r="K322" s="1">
        <f>[1]装备明细!$E323</f>
        <v>3</v>
      </c>
      <c r="L322" s="1">
        <f t="shared" si="4"/>
        <v>3</v>
      </c>
      <c r="M322" s="1">
        <f>[2]Sheet1!$R323*2</f>
        <v>915</v>
      </c>
    </row>
    <row r="323" spans="1:13" x14ac:dyDescent="0.15">
      <c r="A323" s="1">
        <v>322</v>
      </c>
      <c r="B323" s="1">
        <v>0</v>
      </c>
      <c r="C323" s="1">
        <v>100322</v>
      </c>
      <c r="D323" s="1" t="str">
        <f>[1]装备明细!$M324</f>
        <v>IC1129</v>
      </c>
      <c r="E323" s="1" t="str">
        <f>[1]装备明细!$C324</f>
        <v>缪斯法杖</v>
      </c>
      <c r="G323" s="1">
        <f>[1]装备明细!$J324</f>
        <v>0</v>
      </c>
      <c r="H323" s="1">
        <f>IF([1]装备明细!$G324&gt;=14,"",[1]装备明细!$G324-1)</f>
        <v>5</v>
      </c>
      <c r="I323" s="1">
        <f>[1]装备明细!$F324</f>
        <v>1</v>
      </c>
      <c r="J323" s="1">
        <f>[1]装备明细!$L324</f>
        <v>7</v>
      </c>
      <c r="K323" s="1">
        <f>[1]装备明细!$E324</f>
        <v>3</v>
      </c>
      <c r="L323" s="1">
        <f t="shared" ref="L323:L386" si="5">K323</f>
        <v>3</v>
      </c>
      <c r="M323" s="1">
        <f>[2]Sheet1!$R324*2</f>
        <v>915</v>
      </c>
    </row>
    <row r="324" spans="1:13" x14ac:dyDescent="0.15">
      <c r="A324" s="1">
        <v>323</v>
      </c>
      <c r="B324" s="1">
        <v>0</v>
      </c>
      <c r="C324" s="1">
        <v>100323</v>
      </c>
      <c r="D324" s="1" t="str">
        <f>[1]装备明细!$M325</f>
        <v>IC1134</v>
      </c>
      <c r="E324" s="1" t="str">
        <f>[1]装备明细!$C325</f>
        <v>潘多拉法杖</v>
      </c>
      <c r="G324" s="1">
        <f>[1]装备明细!$J325</f>
        <v>0</v>
      </c>
      <c r="H324" s="1">
        <f>IF([1]装备明细!$G325&gt;=14,"",[1]装备明细!$G325-1)</f>
        <v>5</v>
      </c>
      <c r="I324" s="1">
        <f>[1]装备明细!$F325</f>
        <v>1</v>
      </c>
      <c r="J324" s="1">
        <f>[1]装备明细!$L325</f>
        <v>8</v>
      </c>
      <c r="K324" s="1">
        <f>[1]装备明细!$E325</f>
        <v>3</v>
      </c>
      <c r="L324" s="1">
        <f t="shared" si="5"/>
        <v>3</v>
      </c>
      <c r="M324" s="1">
        <f>[2]Sheet1!$R325*2</f>
        <v>915</v>
      </c>
    </row>
    <row r="325" spans="1:13" x14ac:dyDescent="0.15">
      <c r="A325" s="1">
        <v>324</v>
      </c>
      <c r="B325" s="1">
        <v>0</v>
      </c>
      <c r="C325" s="1">
        <v>100324</v>
      </c>
      <c r="D325" s="1" t="str">
        <f>[1]装备明细!$M326</f>
        <v>IC1144</v>
      </c>
      <c r="E325" s="1" t="str">
        <f>[1]装备明细!$C326</f>
        <v>女神法杖</v>
      </c>
      <c r="G325" s="1">
        <f>[1]装备明细!$J326</f>
        <v>0</v>
      </c>
      <c r="H325" s="1">
        <f>IF([1]装备明细!$G326&gt;=14,"",[1]装备明细!$G326-1)</f>
        <v>5</v>
      </c>
      <c r="I325" s="1">
        <f>[1]装备明细!$F326</f>
        <v>1</v>
      </c>
      <c r="J325" s="1">
        <f>[1]装备明细!$L326</f>
        <v>9</v>
      </c>
      <c r="K325" s="1">
        <f>[1]装备明细!$E326</f>
        <v>3</v>
      </c>
      <c r="L325" s="1">
        <f t="shared" si="5"/>
        <v>3</v>
      </c>
      <c r="M325" s="1">
        <f>[2]Sheet1!$R326*2</f>
        <v>834</v>
      </c>
    </row>
    <row r="326" spans="1:13" x14ac:dyDescent="0.15">
      <c r="A326" s="1">
        <v>325</v>
      </c>
      <c r="B326" s="1">
        <v>0</v>
      </c>
      <c r="C326" s="1">
        <v>100325</v>
      </c>
      <c r="D326" s="1" t="str">
        <f>[1]装备明细!$M327</f>
        <v>IC1301</v>
      </c>
      <c r="E326" s="1" t="str">
        <f>[1]装备明细!$C327</f>
        <v>奥丁之弓</v>
      </c>
      <c r="G326" s="1">
        <f>[1]装备明细!$J327</f>
        <v>0</v>
      </c>
      <c r="H326" s="1">
        <f>IF([1]装备明细!$G327&gt;=14,"",[1]装备明细!$G327-1)</f>
        <v>6</v>
      </c>
      <c r="I326" s="1">
        <f>[1]装备明细!$F327</f>
        <v>1</v>
      </c>
      <c r="J326" s="1">
        <f>[1]装备明细!$L327</f>
        <v>1</v>
      </c>
      <c r="K326" s="1">
        <f>[1]装备明细!$E327</f>
        <v>3</v>
      </c>
      <c r="L326" s="1">
        <f t="shared" si="5"/>
        <v>3</v>
      </c>
      <c r="M326" s="1">
        <f>[2]Sheet1!$R327*2</f>
        <v>1050</v>
      </c>
    </row>
    <row r="327" spans="1:13" x14ac:dyDescent="0.15">
      <c r="A327" s="1">
        <v>326</v>
      </c>
      <c r="B327" s="1">
        <v>0</v>
      </c>
      <c r="C327" s="1">
        <v>100326</v>
      </c>
      <c r="D327" s="1" t="str">
        <f>[1]装备明细!$M328</f>
        <v>IC1313</v>
      </c>
      <c r="E327" s="1" t="str">
        <f>[1]装备明细!$C328</f>
        <v>卢卡之弓</v>
      </c>
      <c r="G327" s="1">
        <f>[1]装备明细!$J328</f>
        <v>0</v>
      </c>
      <c r="H327" s="1">
        <f>IF([1]装备明细!$G328&gt;=14,"",[1]装备明细!$G328-1)</f>
        <v>6</v>
      </c>
      <c r="I327" s="1">
        <f>[1]装备明细!$F328</f>
        <v>1</v>
      </c>
      <c r="J327" s="1">
        <f>[1]装备明细!$L328</f>
        <v>2</v>
      </c>
      <c r="K327" s="1">
        <f>[1]装备明细!$E328</f>
        <v>3</v>
      </c>
      <c r="L327" s="1">
        <f t="shared" si="5"/>
        <v>3</v>
      </c>
      <c r="M327" s="1">
        <f>[2]Sheet1!$R328*2</f>
        <v>1050</v>
      </c>
    </row>
    <row r="328" spans="1:13" x14ac:dyDescent="0.15">
      <c r="A328" s="1">
        <v>327</v>
      </c>
      <c r="B328" s="1">
        <v>0</v>
      </c>
      <c r="C328" s="1">
        <v>100327</v>
      </c>
      <c r="D328" s="1" t="str">
        <f>[1]装备明细!$M329</f>
        <v>IC1315</v>
      </c>
      <c r="E328" s="1" t="str">
        <f>[1]装备明细!$C329</f>
        <v>坎珀骨弓</v>
      </c>
      <c r="G328" s="1">
        <f>[1]装备明细!$J329</f>
        <v>0</v>
      </c>
      <c r="H328" s="1">
        <f>IF([1]装备明细!$G329&gt;=14,"",[1]装备明细!$G329-1)</f>
        <v>6</v>
      </c>
      <c r="I328" s="1">
        <f>[1]装备明细!$F329</f>
        <v>1</v>
      </c>
      <c r="J328" s="1">
        <f>[1]装备明细!$L329</f>
        <v>3</v>
      </c>
      <c r="K328" s="1">
        <f>[1]装备明细!$E329</f>
        <v>3</v>
      </c>
      <c r="L328" s="1">
        <f t="shared" si="5"/>
        <v>3</v>
      </c>
      <c r="M328" s="1">
        <f>[2]Sheet1!$R329*2</f>
        <v>1050</v>
      </c>
    </row>
    <row r="329" spans="1:13" x14ac:dyDescent="0.15">
      <c r="A329" s="1">
        <v>328</v>
      </c>
      <c r="B329" s="1">
        <v>0</v>
      </c>
      <c r="C329" s="1">
        <v>100328</v>
      </c>
      <c r="D329" s="1" t="str">
        <f>[1]装备明细!$M330</f>
        <v>IC1322</v>
      </c>
      <c r="E329" s="1" t="str">
        <f>[1]装备明细!$C330</f>
        <v>费恩骨弓</v>
      </c>
      <c r="G329" s="1">
        <f>[1]装备明细!$J330</f>
        <v>0</v>
      </c>
      <c r="H329" s="1">
        <f>IF([1]装备明细!$G330&gt;=14,"",[1]装备明细!$G330-1)</f>
        <v>6</v>
      </c>
      <c r="I329" s="1">
        <f>[1]装备明细!$F330</f>
        <v>1</v>
      </c>
      <c r="J329" s="1">
        <f>[1]装备明细!$L330</f>
        <v>4</v>
      </c>
      <c r="K329" s="1">
        <f>[1]装备明细!$E330</f>
        <v>3</v>
      </c>
      <c r="L329" s="1">
        <f t="shared" si="5"/>
        <v>3</v>
      </c>
      <c r="M329" s="1">
        <f>[2]Sheet1!$R330*2</f>
        <v>1050</v>
      </c>
    </row>
    <row r="330" spans="1:13" x14ac:dyDescent="0.15">
      <c r="A330" s="1">
        <v>329</v>
      </c>
      <c r="B330" s="1">
        <v>0</v>
      </c>
      <c r="C330" s="1">
        <v>100329</v>
      </c>
      <c r="D330" s="1" t="str">
        <f>[1]装备明细!$M331</f>
        <v>IC1325</v>
      </c>
      <c r="E330" s="1" t="str">
        <f>[1]装备明细!$C331</f>
        <v>迪马斯硬弓</v>
      </c>
      <c r="G330" s="1">
        <f>[1]装备明细!$J331</f>
        <v>0</v>
      </c>
      <c r="H330" s="1">
        <f>IF([1]装备明细!$G331&gt;=14,"",[1]装备明细!$G331-1)</f>
        <v>6</v>
      </c>
      <c r="I330" s="1">
        <f>[1]装备明细!$F331</f>
        <v>1</v>
      </c>
      <c r="J330" s="1">
        <f>[1]装备明细!$L331</f>
        <v>5</v>
      </c>
      <c r="K330" s="1">
        <f>[1]装备明细!$E331</f>
        <v>3</v>
      </c>
      <c r="L330" s="1">
        <f t="shared" si="5"/>
        <v>3</v>
      </c>
      <c r="M330" s="1">
        <f>[2]Sheet1!$R331*2</f>
        <v>1050</v>
      </c>
    </row>
    <row r="331" spans="1:13" x14ac:dyDescent="0.15">
      <c r="A331" s="1">
        <v>330</v>
      </c>
      <c r="B331" s="1">
        <v>0</v>
      </c>
      <c r="C331" s="1">
        <v>100330</v>
      </c>
      <c r="D331" s="1" t="str">
        <f>[1]装备明细!$M332</f>
        <v>IC1328</v>
      </c>
      <c r="E331" s="1" t="str">
        <f>[1]装备明细!$C332</f>
        <v>酒神之弓</v>
      </c>
      <c r="G331" s="1">
        <f>[1]装备明细!$J332</f>
        <v>0</v>
      </c>
      <c r="H331" s="1">
        <f>IF([1]装备明细!$G332&gt;=14,"",[1]装备明细!$G332-1)</f>
        <v>6</v>
      </c>
      <c r="I331" s="1">
        <f>[1]装备明细!$F332</f>
        <v>1</v>
      </c>
      <c r="J331" s="1">
        <f>[1]装备明细!$L332</f>
        <v>6</v>
      </c>
      <c r="K331" s="1">
        <f>[1]装备明细!$E332</f>
        <v>3</v>
      </c>
      <c r="L331" s="1">
        <f t="shared" si="5"/>
        <v>3</v>
      </c>
      <c r="M331" s="1">
        <f>[2]Sheet1!$R332*2</f>
        <v>834</v>
      </c>
    </row>
    <row r="332" spans="1:13" x14ac:dyDescent="0.15">
      <c r="A332" s="1">
        <v>331</v>
      </c>
      <c r="B332" s="1">
        <v>0</v>
      </c>
      <c r="C332" s="1">
        <v>100331</v>
      </c>
      <c r="D332" s="1" t="str">
        <f>[1]装备明细!$M333</f>
        <v>IC1344</v>
      </c>
      <c r="E332" s="1" t="str">
        <f>[1]装备明细!$C333</f>
        <v>缪斯弓</v>
      </c>
      <c r="G332" s="1">
        <f>[1]装备明细!$J333</f>
        <v>0</v>
      </c>
      <c r="H332" s="1">
        <f>IF([1]装备明细!$G333&gt;=14,"",[1]装备明细!$G333-1)</f>
        <v>6</v>
      </c>
      <c r="I332" s="1">
        <f>[1]装备明细!$F333</f>
        <v>1</v>
      </c>
      <c r="J332" s="1">
        <f>[1]装备明细!$L333</f>
        <v>7</v>
      </c>
      <c r="K332" s="1">
        <f>[1]装备明细!$E333</f>
        <v>3</v>
      </c>
      <c r="L332" s="1">
        <f t="shared" si="5"/>
        <v>3</v>
      </c>
      <c r="M332" s="1">
        <f>[2]Sheet1!$R333*2</f>
        <v>1050</v>
      </c>
    </row>
    <row r="333" spans="1:13" x14ac:dyDescent="0.15">
      <c r="A333" s="1">
        <v>332</v>
      </c>
      <c r="B333" s="1">
        <v>0</v>
      </c>
      <c r="C333" s="1">
        <v>100332</v>
      </c>
      <c r="D333" s="1" t="str">
        <f>[1]装备明细!$M334</f>
        <v>IC1355</v>
      </c>
      <c r="E333" s="1" t="str">
        <f>[1]装备明细!$C334</f>
        <v>潘多拉玉弓</v>
      </c>
      <c r="G333" s="1">
        <f>[1]装备明细!$J334</f>
        <v>0</v>
      </c>
      <c r="H333" s="1">
        <f>IF([1]装备明细!$G334&gt;=14,"",[1]装备明细!$G334-1)</f>
        <v>6</v>
      </c>
      <c r="I333" s="1">
        <f>[1]装备明细!$F334</f>
        <v>1</v>
      </c>
      <c r="J333" s="1">
        <f>[1]装备明细!$L334</f>
        <v>8</v>
      </c>
      <c r="K333" s="1">
        <f>[1]装备明细!$E334</f>
        <v>3</v>
      </c>
      <c r="L333" s="1">
        <f t="shared" si="5"/>
        <v>3</v>
      </c>
      <c r="M333" s="1">
        <f>[2]Sheet1!$R334*2</f>
        <v>1050</v>
      </c>
    </row>
    <row r="334" spans="1:13" x14ac:dyDescent="0.15">
      <c r="A334" s="1">
        <v>333</v>
      </c>
      <c r="B334" s="1">
        <v>0</v>
      </c>
      <c r="C334" s="1">
        <v>100333</v>
      </c>
      <c r="D334" s="1" t="str">
        <f>[1]装备明细!$M335</f>
        <v>IC1315</v>
      </c>
      <c r="E334" s="1" t="str">
        <f>[1]装备明细!$C335</f>
        <v>泰丽儿神弓</v>
      </c>
      <c r="G334" s="1">
        <f>[1]装备明细!$J335</f>
        <v>0</v>
      </c>
      <c r="H334" s="1">
        <f>IF([1]装备明细!$G335&gt;=14,"",[1]装备明细!$G335-1)</f>
        <v>6</v>
      </c>
      <c r="I334" s="1">
        <f>[1]装备明细!$F335</f>
        <v>1</v>
      </c>
      <c r="J334" s="1">
        <f>[1]装备明细!$L335</f>
        <v>9</v>
      </c>
      <c r="K334" s="1">
        <f>[1]装备明细!$E335</f>
        <v>3</v>
      </c>
      <c r="L334" s="1">
        <f t="shared" si="5"/>
        <v>3</v>
      </c>
      <c r="M334" s="1">
        <f>[2]Sheet1!$R335*2</f>
        <v>834</v>
      </c>
    </row>
    <row r="335" spans="1:13" x14ac:dyDescent="0.15">
      <c r="A335" s="1">
        <v>334</v>
      </c>
      <c r="B335" s="1">
        <v>0</v>
      </c>
      <c r="C335" s="1">
        <v>100334</v>
      </c>
      <c r="D335" s="1" t="str">
        <f>[1]装备明细!$M336</f>
        <v>IC1113</v>
      </c>
      <c r="E335" s="1" t="str">
        <f>[1]装备明细!$C336</f>
        <v>奥丁烟斗</v>
      </c>
      <c r="G335" s="1">
        <f>[1]装备明细!$J336</f>
        <v>0</v>
      </c>
      <c r="H335" s="1">
        <f>IF([1]装备明细!$G336&gt;=14,"",[1]装备明细!$G336-1)</f>
        <v>7</v>
      </c>
      <c r="I335" s="1">
        <f>[1]装备明细!$F336</f>
        <v>1</v>
      </c>
      <c r="J335" s="1">
        <f>[1]装备明细!$L336</f>
        <v>1</v>
      </c>
      <c r="K335" s="1">
        <f>[1]装备明细!$E336</f>
        <v>3</v>
      </c>
      <c r="L335" s="1">
        <f t="shared" si="5"/>
        <v>3</v>
      </c>
      <c r="M335" s="1">
        <f>[2]Sheet1!$R336*2</f>
        <v>1050</v>
      </c>
    </row>
    <row r="336" spans="1:13" x14ac:dyDescent="0.15">
      <c r="A336" s="1">
        <v>335</v>
      </c>
      <c r="B336" s="1">
        <v>0</v>
      </c>
      <c r="C336" s="1">
        <v>100335</v>
      </c>
      <c r="D336" s="1" t="str">
        <f>[1]装备明细!$M337</f>
        <v>IC1118</v>
      </c>
      <c r="E336" s="1" t="str">
        <f>[1]装备明细!$C337</f>
        <v>卢卡烟斗</v>
      </c>
      <c r="G336" s="1">
        <f>[1]装备明细!$J337</f>
        <v>0</v>
      </c>
      <c r="H336" s="1">
        <f>IF([1]装备明细!$G337&gt;=14,"",[1]装备明细!$G337-1)</f>
        <v>7</v>
      </c>
      <c r="I336" s="1">
        <f>[1]装备明细!$F337</f>
        <v>1</v>
      </c>
      <c r="J336" s="1">
        <f>[1]装备明细!$L337</f>
        <v>2</v>
      </c>
      <c r="K336" s="1">
        <f>[1]装备明细!$E337</f>
        <v>3</v>
      </c>
      <c r="L336" s="1">
        <f t="shared" si="5"/>
        <v>3</v>
      </c>
      <c r="M336" s="1">
        <f>[2]Sheet1!$R337*2</f>
        <v>1050</v>
      </c>
    </row>
    <row r="337" spans="1:13" x14ac:dyDescent="0.15">
      <c r="A337" s="1">
        <v>336</v>
      </c>
      <c r="B337" s="1">
        <v>0</v>
      </c>
      <c r="C337" s="1">
        <v>100336</v>
      </c>
      <c r="D337" s="1" t="str">
        <f>[1]装备明细!$M338</f>
        <v>IC1155</v>
      </c>
      <c r="E337" s="1" t="str">
        <f>[1]装备明细!$C338</f>
        <v>坎珀烟斗</v>
      </c>
      <c r="G337" s="1">
        <f>[1]装备明细!$J338</f>
        <v>0</v>
      </c>
      <c r="H337" s="1">
        <f>IF([1]装备明细!$G338&gt;=14,"",[1]装备明细!$G338-1)</f>
        <v>7</v>
      </c>
      <c r="I337" s="1">
        <f>[1]装备明细!$F338</f>
        <v>1</v>
      </c>
      <c r="J337" s="1">
        <f>[1]装备明细!$L338</f>
        <v>3</v>
      </c>
      <c r="K337" s="1">
        <f>[1]装备明细!$E338</f>
        <v>3</v>
      </c>
      <c r="L337" s="1">
        <f t="shared" si="5"/>
        <v>3</v>
      </c>
      <c r="M337" s="1">
        <f>[2]Sheet1!$R338*2</f>
        <v>1050</v>
      </c>
    </row>
    <row r="338" spans="1:13" x14ac:dyDescent="0.15">
      <c r="A338" s="1">
        <v>337</v>
      </c>
      <c r="B338" s="1">
        <v>0</v>
      </c>
      <c r="C338" s="1">
        <v>100337</v>
      </c>
      <c r="D338" s="1" t="str">
        <f>[1]装备明细!$M339</f>
        <v>IC1118</v>
      </c>
      <c r="E338" s="1" t="str">
        <f>[1]装备明细!$C339</f>
        <v>费恩烟斗</v>
      </c>
      <c r="G338" s="1">
        <f>[1]装备明细!$J339</f>
        <v>0</v>
      </c>
      <c r="H338" s="1">
        <f>IF([1]装备明细!$G339&gt;=14,"",[1]装备明细!$G339-1)</f>
        <v>7</v>
      </c>
      <c r="I338" s="1">
        <f>[1]装备明细!$F339</f>
        <v>1</v>
      </c>
      <c r="J338" s="1">
        <f>[1]装备明细!$L339</f>
        <v>4</v>
      </c>
      <c r="K338" s="1">
        <f>[1]装备明细!$E339</f>
        <v>3</v>
      </c>
      <c r="L338" s="1">
        <f t="shared" si="5"/>
        <v>3</v>
      </c>
      <c r="M338" s="1">
        <f>[2]Sheet1!$R339*2</f>
        <v>1050</v>
      </c>
    </row>
    <row r="339" spans="1:13" x14ac:dyDescent="0.15">
      <c r="A339" s="1">
        <v>338</v>
      </c>
      <c r="B339" s="1">
        <v>0</v>
      </c>
      <c r="C339" s="1">
        <v>100338</v>
      </c>
      <c r="D339" s="1" t="str">
        <f>[1]装备明细!$M340</f>
        <v>IC1155</v>
      </c>
      <c r="E339" s="1" t="str">
        <f>[1]装备明细!$C340</f>
        <v>迪马斯烟斗</v>
      </c>
      <c r="G339" s="1">
        <f>[1]装备明细!$J340</f>
        <v>0</v>
      </c>
      <c r="H339" s="1">
        <f>IF([1]装备明细!$G340&gt;=14,"",[1]装备明细!$G340-1)</f>
        <v>7</v>
      </c>
      <c r="I339" s="1">
        <f>[1]装备明细!$F340</f>
        <v>1</v>
      </c>
      <c r="J339" s="1">
        <f>[1]装备明细!$L340</f>
        <v>5</v>
      </c>
      <c r="K339" s="1">
        <f>[1]装备明细!$E340</f>
        <v>3</v>
      </c>
      <c r="L339" s="1">
        <f t="shared" si="5"/>
        <v>3</v>
      </c>
      <c r="M339" s="1">
        <f>[2]Sheet1!$R340*2</f>
        <v>1050</v>
      </c>
    </row>
    <row r="340" spans="1:13" x14ac:dyDescent="0.15">
      <c r="A340" s="1">
        <v>339</v>
      </c>
      <c r="B340" s="1">
        <v>0</v>
      </c>
      <c r="C340" s="1">
        <v>100339</v>
      </c>
      <c r="D340" s="1" t="str">
        <f>[1]装备明细!$M341</f>
        <v>IC1143</v>
      </c>
      <c r="E340" s="1" t="str">
        <f>[1]装备明细!$C341</f>
        <v>酒神烟斗</v>
      </c>
      <c r="G340" s="1">
        <f>[1]装备明细!$J341</f>
        <v>0</v>
      </c>
      <c r="H340" s="1">
        <f>IF([1]装备明细!$G341&gt;=14,"",[1]装备明细!$G341-1)</f>
        <v>7</v>
      </c>
      <c r="I340" s="1">
        <f>[1]装备明细!$F341</f>
        <v>1</v>
      </c>
      <c r="J340" s="1">
        <f>[1]装备明细!$L341</f>
        <v>6</v>
      </c>
      <c r="K340" s="1">
        <f>[1]装备明细!$E341</f>
        <v>3</v>
      </c>
      <c r="L340" s="1">
        <f t="shared" si="5"/>
        <v>3</v>
      </c>
      <c r="M340" s="1">
        <f>[2]Sheet1!$R341*2</f>
        <v>1050</v>
      </c>
    </row>
    <row r="341" spans="1:13" x14ac:dyDescent="0.15">
      <c r="A341" s="1">
        <v>340</v>
      </c>
      <c r="B341" s="1">
        <v>0</v>
      </c>
      <c r="C341" s="1">
        <v>100340</v>
      </c>
      <c r="D341" s="1" t="str">
        <f>[1]装备明细!$M342</f>
        <v>IC1101</v>
      </c>
      <c r="E341" s="1" t="str">
        <f>[1]装备明细!$C342</f>
        <v>缪斯烟斗</v>
      </c>
      <c r="G341" s="1">
        <f>[1]装备明细!$J342</f>
        <v>0</v>
      </c>
      <c r="H341" s="1">
        <f>IF([1]装备明细!$G342&gt;=14,"",[1]装备明细!$G342-1)</f>
        <v>7</v>
      </c>
      <c r="I341" s="1">
        <f>[1]装备明细!$F342</f>
        <v>1</v>
      </c>
      <c r="J341" s="1">
        <f>[1]装备明细!$L342</f>
        <v>7</v>
      </c>
      <c r="K341" s="1">
        <f>[1]装备明细!$E342</f>
        <v>3</v>
      </c>
      <c r="L341" s="1">
        <f t="shared" si="5"/>
        <v>3</v>
      </c>
      <c r="M341" s="1">
        <f>[2]Sheet1!$R342*2</f>
        <v>1050</v>
      </c>
    </row>
    <row r="342" spans="1:13" x14ac:dyDescent="0.15">
      <c r="A342" s="1">
        <v>341</v>
      </c>
      <c r="B342" s="1">
        <v>0</v>
      </c>
      <c r="C342" s="1">
        <v>100341</v>
      </c>
      <c r="D342" s="1" t="str">
        <f>[1]装备明细!$M343</f>
        <v>IC1106</v>
      </c>
      <c r="E342" s="1" t="str">
        <f>[1]装备明细!$C343</f>
        <v>潘多拉烟斗</v>
      </c>
      <c r="G342" s="1">
        <f>[1]装备明细!$J343</f>
        <v>0</v>
      </c>
      <c r="H342" s="1">
        <f>IF([1]装备明细!$G343&gt;=14,"",[1]装备明细!$G343-1)</f>
        <v>7</v>
      </c>
      <c r="I342" s="1">
        <f>[1]装备明细!$F343</f>
        <v>1</v>
      </c>
      <c r="J342" s="1">
        <f>[1]装备明细!$L343</f>
        <v>8</v>
      </c>
      <c r="K342" s="1">
        <f>[1]装备明细!$E343</f>
        <v>3</v>
      </c>
      <c r="L342" s="1">
        <f t="shared" si="5"/>
        <v>3</v>
      </c>
      <c r="M342" s="1">
        <f>[2]Sheet1!$R343*2</f>
        <v>969</v>
      </c>
    </row>
    <row r="343" spans="1:13" x14ac:dyDescent="0.15">
      <c r="A343" s="1">
        <v>342</v>
      </c>
      <c r="B343" s="1">
        <v>0</v>
      </c>
      <c r="C343" s="1">
        <v>100342</v>
      </c>
      <c r="D343" s="1" t="str">
        <f>[1]装备明细!$M344</f>
        <v>IC1104</v>
      </c>
      <c r="E343" s="1" t="str">
        <f>[1]装备明细!$C344</f>
        <v>梅西烟斗</v>
      </c>
      <c r="G343" s="1">
        <f>[1]装备明细!$J344</f>
        <v>0</v>
      </c>
      <c r="H343" s="1">
        <f>IF([1]装备明细!$G344&gt;=14,"",[1]装备明细!$G344-1)</f>
        <v>7</v>
      </c>
      <c r="I343" s="1">
        <f>[1]装备明细!$F344</f>
        <v>1</v>
      </c>
      <c r="J343" s="1">
        <f>[1]装备明细!$L344</f>
        <v>9</v>
      </c>
      <c r="K343" s="1">
        <f>[1]装备明细!$E344</f>
        <v>3</v>
      </c>
      <c r="L343" s="1">
        <f t="shared" si="5"/>
        <v>3</v>
      </c>
      <c r="M343" s="1">
        <f>[2]Sheet1!$R344*2</f>
        <v>1050</v>
      </c>
    </row>
    <row r="344" spans="1:13" x14ac:dyDescent="0.15">
      <c r="A344" s="1">
        <v>343</v>
      </c>
      <c r="B344" s="1">
        <v>0</v>
      </c>
      <c r="C344" s="1">
        <v>100343</v>
      </c>
      <c r="D344" s="1" t="str">
        <f>[1]装备明细!$M345</f>
        <v>IC1838</v>
      </c>
      <c r="E344" s="1" t="str">
        <f>[1]装备明细!$C345</f>
        <v>奥丁扇子</v>
      </c>
      <c r="G344" s="1">
        <f>[1]装备明细!$J345</f>
        <v>0</v>
      </c>
      <c r="H344" s="1">
        <f>IF([1]装备明细!$G345&gt;=14,"",[1]装备明细!$G345-1)</f>
        <v>8</v>
      </c>
      <c r="I344" s="1">
        <f>[1]装备明细!$F345</f>
        <v>1</v>
      </c>
      <c r="J344" s="1">
        <f>[1]装备明细!$L345</f>
        <v>1</v>
      </c>
      <c r="K344" s="1">
        <f>[1]装备明细!$E345</f>
        <v>3</v>
      </c>
      <c r="L344" s="1">
        <f t="shared" si="5"/>
        <v>3</v>
      </c>
      <c r="M344" s="1">
        <f>[2]Sheet1!$R345*2</f>
        <v>834</v>
      </c>
    </row>
    <row r="345" spans="1:13" x14ac:dyDescent="0.15">
      <c r="A345" s="1">
        <v>344</v>
      </c>
      <c r="B345" s="1">
        <v>0</v>
      </c>
      <c r="C345" s="1">
        <v>100344</v>
      </c>
      <c r="D345" s="1" t="str">
        <f>[1]装备明细!$M346</f>
        <v>IC1839</v>
      </c>
      <c r="E345" s="1" t="str">
        <f>[1]装备明细!$C346</f>
        <v>卢卡扇子</v>
      </c>
      <c r="G345" s="1">
        <f>[1]装备明细!$J346</f>
        <v>0</v>
      </c>
      <c r="H345" s="1">
        <f>IF([1]装备明细!$G346&gt;=14,"",[1]装备明细!$G346-1)</f>
        <v>8</v>
      </c>
      <c r="I345" s="1">
        <f>[1]装备明细!$F346</f>
        <v>1</v>
      </c>
      <c r="J345" s="1">
        <f>[1]装备明细!$L346</f>
        <v>2</v>
      </c>
      <c r="K345" s="1">
        <f>[1]装备明细!$E346</f>
        <v>3</v>
      </c>
      <c r="L345" s="1">
        <f t="shared" si="5"/>
        <v>3</v>
      </c>
      <c r="M345" s="1">
        <f>[2]Sheet1!$R346*2</f>
        <v>1050</v>
      </c>
    </row>
    <row r="346" spans="1:13" x14ac:dyDescent="0.15">
      <c r="A346" s="1">
        <v>345</v>
      </c>
      <c r="B346" s="1">
        <v>0</v>
      </c>
      <c r="C346" s="1">
        <v>100345</v>
      </c>
      <c r="D346" s="1" t="str">
        <f>[1]装备明细!$M347</f>
        <v>IC1840</v>
      </c>
      <c r="E346" s="1" t="str">
        <f>[1]装备明细!$C347</f>
        <v>坎珀扇子</v>
      </c>
      <c r="G346" s="1">
        <f>[1]装备明细!$J347</f>
        <v>0</v>
      </c>
      <c r="H346" s="1">
        <f>IF([1]装备明细!$G347&gt;=14,"",[1]装备明细!$G347-1)</f>
        <v>8</v>
      </c>
      <c r="I346" s="1">
        <f>[1]装备明细!$F347</f>
        <v>1</v>
      </c>
      <c r="J346" s="1">
        <f>[1]装备明细!$L347</f>
        <v>3</v>
      </c>
      <c r="K346" s="1">
        <f>[1]装备明细!$E347</f>
        <v>3</v>
      </c>
      <c r="L346" s="1">
        <f t="shared" si="5"/>
        <v>3</v>
      </c>
      <c r="M346" s="1">
        <f>[2]Sheet1!$R347*2</f>
        <v>1050</v>
      </c>
    </row>
    <row r="347" spans="1:13" x14ac:dyDescent="0.15">
      <c r="A347" s="1">
        <v>346</v>
      </c>
      <c r="B347" s="1">
        <v>0</v>
      </c>
      <c r="C347" s="1">
        <v>100346</v>
      </c>
      <c r="D347" s="1" t="str">
        <f>[1]装备明细!$M348</f>
        <v>IC1838</v>
      </c>
      <c r="E347" s="1" t="str">
        <f>[1]装备明细!$C348</f>
        <v>费恩扇子</v>
      </c>
      <c r="G347" s="1">
        <f>[1]装备明细!$J348</f>
        <v>0</v>
      </c>
      <c r="H347" s="1">
        <f>IF([1]装备明细!$G348&gt;=14,"",[1]装备明细!$G348-1)</f>
        <v>8</v>
      </c>
      <c r="I347" s="1">
        <f>[1]装备明细!$F348</f>
        <v>1</v>
      </c>
      <c r="J347" s="1">
        <f>[1]装备明细!$L348</f>
        <v>4</v>
      </c>
      <c r="K347" s="1">
        <f>[1]装备明细!$E348</f>
        <v>3</v>
      </c>
      <c r="L347" s="1">
        <f t="shared" si="5"/>
        <v>3</v>
      </c>
      <c r="M347" s="1">
        <f>[2]Sheet1!$R348*2</f>
        <v>1050</v>
      </c>
    </row>
    <row r="348" spans="1:13" x14ac:dyDescent="0.15">
      <c r="A348" s="1">
        <v>347</v>
      </c>
      <c r="B348" s="1">
        <v>0</v>
      </c>
      <c r="C348" s="1">
        <v>100347</v>
      </c>
      <c r="D348" s="1" t="str">
        <f>[1]装备明细!$M349</f>
        <v>IC1839</v>
      </c>
      <c r="E348" s="1" t="str">
        <f>[1]装备明细!$C349</f>
        <v>迪马斯扇子</v>
      </c>
      <c r="G348" s="1">
        <f>[1]装备明细!$J349</f>
        <v>0</v>
      </c>
      <c r="H348" s="1">
        <f>IF([1]装备明细!$G349&gt;=14,"",[1]装备明细!$G349-1)</f>
        <v>8</v>
      </c>
      <c r="I348" s="1">
        <f>[1]装备明细!$F349</f>
        <v>1</v>
      </c>
      <c r="J348" s="1">
        <f>[1]装备明细!$L349</f>
        <v>5</v>
      </c>
      <c r="K348" s="1">
        <f>[1]装备明细!$E349</f>
        <v>3</v>
      </c>
      <c r="L348" s="1">
        <f t="shared" si="5"/>
        <v>3</v>
      </c>
      <c r="M348" s="1">
        <f>[2]Sheet1!$R349*2</f>
        <v>1050</v>
      </c>
    </row>
    <row r="349" spans="1:13" x14ac:dyDescent="0.15">
      <c r="A349" s="1">
        <v>348</v>
      </c>
      <c r="B349" s="1">
        <v>0</v>
      </c>
      <c r="C349" s="1">
        <v>100348</v>
      </c>
      <c r="D349" s="1" t="str">
        <f>[1]装备明细!$M350</f>
        <v>IC1838</v>
      </c>
      <c r="E349" s="1" t="str">
        <f>[1]装备明细!$C350</f>
        <v>酒神扇子</v>
      </c>
      <c r="G349" s="1">
        <f>[1]装备明细!$J350</f>
        <v>0</v>
      </c>
      <c r="H349" s="1">
        <f>IF([1]装备明细!$G350&gt;=14,"",[1]装备明细!$G350-1)</f>
        <v>8</v>
      </c>
      <c r="I349" s="1">
        <f>[1]装备明细!$F350</f>
        <v>1</v>
      </c>
      <c r="J349" s="1">
        <f>[1]装备明细!$L350</f>
        <v>6</v>
      </c>
      <c r="K349" s="1">
        <f>[1]装备明细!$E350</f>
        <v>3</v>
      </c>
      <c r="L349" s="1">
        <f t="shared" si="5"/>
        <v>3</v>
      </c>
      <c r="M349" s="1">
        <f>[2]Sheet1!$R350*2</f>
        <v>834</v>
      </c>
    </row>
    <row r="350" spans="1:13" x14ac:dyDescent="0.15">
      <c r="A350" s="1">
        <v>349</v>
      </c>
      <c r="B350" s="1">
        <v>0</v>
      </c>
      <c r="C350" s="1">
        <v>100349</v>
      </c>
      <c r="D350" s="1" t="str">
        <f>[1]装备明细!$M351</f>
        <v>IC1836</v>
      </c>
      <c r="E350" s="1" t="str">
        <f>[1]装备明细!$C351</f>
        <v>缪斯扇子</v>
      </c>
      <c r="G350" s="1">
        <f>[1]装备明细!$J351</f>
        <v>0</v>
      </c>
      <c r="H350" s="1">
        <f>IF([1]装备明细!$G351&gt;=14,"",[1]装备明细!$G351-1)</f>
        <v>8</v>
      </c>
      <c r="I350" s="1">
        <f>[1]装备明细!$F351</f>
        <v>1</v>
      </c>
      <c r="J350" s="1">
        <f>[1]装备明细!$L351</f>
        <v>7</v>
      </c>
      <c r="K350" s="1">
        <f>[1]装备明细!$E351</f>
        <v>3</v>
      </c>
      <c r="L350" s="1">
        <f t="shared" si="5"/>
        <v>3</v>
      </c>
      <c r="M350" s="1">
        <f>[2]Sheet1!$R351*2</f>
        <v>1050</v>
      </c>
    </row>
    <row r="351" spans="1:13" x14ac:dyDescent="0.15">
      <c r="A351" s="1">
        <v>350</v>
      </c>
      <c r="B351" s="1">
        <v>0</v>
      </c>
      <c r="C351" s="1">
        <v>100350</v>
      </c>
      <c r="D351" s="1" t="str">
        <f>[1]装备明细!$M352</f>
        <v>IC1838</v>
      </c>
      <c r="E351" s="1" t="str">
        <f>[1]装备明细!$C352</f>
        <v>潘多拉扇子</v>
      </c>
      <c r="G351" s="1">
        <f>[1]装备明细!$J352</f>
        <v>0</v>
      </c>
      <c r="H351" s="1">
        <f>IF([1]装备明细!$G352&gt;=14,"",[1]装备明细!$G352-1)</f>
        <v>8</v>
      </c>
      <c r="I351" s="1">
        <f>[1]装备明细!$F352</f>
        <v>1</v>
      </c>
      <c r="J351" s="1">
        <f>[1]装备明细!$L352</f>
        <v>8</v>
      </c>
      <c r="K351" s="1">
        <f>[1]装备明细!$E352</f>
        <v>3</v>
      </c>
      <c r="L351" s="1">
        <f t="shared" si="5"/>
        <v>3</v>
      </c>
      <c r="M351" s="1">
        <f>[2]Sheet1!$R352*2</f>
        <v>1050</v>
      </c>
    </row>
    <row r="352" spans="1:13" x14ac:dyDescent="0.15">
      <c r="A352" s="1">
        <v>351</v>
      </c>
      <c r="B352" s="1">
        <v>0</v>
      </c>
      <c r="C352" s="1">
        <v>100351</v>
      </c>
      <c r="D352" s="1" t="str">
        <f>[1]装备明细!$M353</f>
        <v>IC1839</v>
      </c>
      <c r="E352" s="1" t="str">
        <f>[1]装备明细!$C353</f>
        <v>赫拉之扇</v>
      </c>
      <c r="G352" s="1">
        <f>[1]装备明细!$J353</f>
        <v>0</v>
      </c>
      <c r="H352" s="1">
        <f>IF([1]装备明细!$G353&gt;=14,"",[1]装备明细!$G353-1)</f>
        <v>8</v>
      </c>
      <c r="I352" s="1">
        <f>[1]装备明细!$F353</f>
        <v>1</v>
      </c>
      <c r="J352" s="1">
        <f>[1]装备明细!$L353</f>
        <v>9</v>
      </c>
      <c r="K352" s="1">
        <f>[1]装备明细!$E353</f>
        <v>3</v>
      </c>
      <c r="L352" s="1">
        <f t="shared" si="5"/>
        <v>3</v>
      </c>
      <c r="M352" s="1">
        <f>[2]Sheet1!$R353*2</f>
        <v>834</v>
      </c>
    </row>
    <row r="353" spans="1:13" x14ac:dyDescent="0.15">
      <c r="A353" s="1">
        <v>352</v>
      </c>
      <c r="B353" s="1">
        <v>0</v>
      </c>
      <c r="C353" s="1">
        <v>100352</v>
      </c>
      <c r="D353" s="1" t="str">
        <f>[1]装备明细!$M354</f>
        <v>IC1551</v>
      </c>
      <c r="E353" s="1" t="str">
        <f>[1]装备明细!$C354</f>
        <v>奥丁牙齿</v>
      </c>
      <c r="G353" s="1">
        <f>[1]装备明细!$J354</f>
        <v>0</v>
      </c>
      <c r="H353" s="1">
        <f>IF([1]装备明细!$G354&gt;=14,"",[1]装备明细!$G354-1)</f>
        <v>9</v>
      </c>
      <c r="I353" s="1">
        <f>[1]装备明细!$F354</f>
        <v>1</v>
      </c>
      <c r="J353" s="1">
        <f>[1]装备明细!$L354</f>
        <v>1</v>
      </c>
      <c r="K353" s="1">
        <f>[1]装备明细!$E354</f>
        <v>3</v>
      </c>
      <c r="L353" s="1">
        <f t="shared" si="5"/>
        <v>3</v>
      </c>
      <c r="M353" s="1">
        <f>[2]Sheet1!$R354*2</f>
        <v>834</v>
      </c>
    </row>
    <row r="354" spans="1:13" x14ac:dyDescent="0.15">
      <c r="A354" s="1">
        <v>353</v>
      </c>
      <c r="B354" s="1">
        <v>0</v>
      </c>
      <c r="C354" s="1">
        <v>100353</v>
      </c>
      <c r="D354" s="1" t="str">
        <f>[1]装备明细!$M355</f>
        <v>IC1552</v>
      </c>
      <c r="E354" s="1" t="str">
        <f>[1]装备明细!$C355</f>
        <v>卢卡牙齿</v>
      </c>
      <c r="G354" s="1">
        <f>[1]装备明细!$J355</f>
        <v>0</v>
      </c>
      <c r="H354" s="1">
        <f>IF([1]装备明细!$G355&gt;=14,"",[1]装备明细!$G355-1)</f>
        <v>9</v>
      </c>
      <c r="I354" s="1">
        <f>[1]装备明细!$F355</f>
        <v>1</v>
      </c>
      <c r="J354" s="1">
        <f>[1]装备明细!$L355</f>
        <v>2</v>
      </c>
      <c r="K354" s="1">
        <f>[1]装备明细!$E355</f>
        <v>3</v>
      </c>
      <c r="L354" s="1">
        <f t="shared" si="5"/>
        <v>3</v>
      </c>
      <c r="M354" s="1">
        <f>[2]Sheet1!$R355*2</f>
        <v>834</v>
      </c>
    </row>
    <row r="355" spans="1:13" x14ac:dyDescent="0.15">
      <c r="A355" s="1">
        <v>354</v>
      </c>
      <c r="B355" s="1">
        <v>0</v>
      </c>
      <c r="C355" s="1">
        <v>100354</v>
      </c>
      <c r="D355" s="1" t="str">
        <f>[1]装备明细!$M356</f>
        <v>IC1558</v>
      </c>
      <c r="E355" s="1" t="str">
        <f>[1]装备明细!$C356</f>
        <v>坎珀牙齿</v>
      </c>
      <c r="G355" s="1">
        <f>[1]装备明细!$J356</f>
        <v>0</v>
      </c>
      <c r="H355" s="1">
        <f>IF([1]装备明细!$G356&gt;=14,"",[1]装备明细!$G356-1)</f>
        <v>9</v>
      </c>
      <c r="I355" s="1">
        <f>[1]装备明细!$F356</f>
        <v>1</v>
      </c>
      <c r="J355" s="1">
        <f>[1]装备明细!$L356</f>
        <v>3</v>
      </c>
      <c r="K355" s="1">
        <f>[1]装备明细!$E356</f>
        <v>3</v>
      </c>
      <c r="L355" s="1">
        <f t="shared" si="5"/>
        <v>3</v>
      </c>
      <c r="M355" s="1">
        <f>[2]Sheet1!$R356*2</f>
        <v>969</v>
      </c>
    </row>
    <row r="356" spans="1:13" x14ac:dyDescent="0.15">
      <c r="A356" s="1">
        <v>355</v>
      </c>
      <c r="B356" s="1">
        <v>0</v>
      </c>
      <c r="C356" s="1">
        <v>100355</v>
      </c>
      <c r="D356" s="1" t="str">
        <f>[1]装备明细!$M357</f>
        <v>IC1559</v>
      </c>
      <c r="E356" s="1" t="str">
        <f>[1]装备明细!$C357</f>
        <v>费恩牙齿</v>
      </c>
      <c r="G356" s="1">
        <f>[1]装备明细!$J357</f>
        <v>0</v>
      </c>
      <c r="H356" s="1">
        <f>IF([1]装备明细!$G357&gt;=14,"",[1]装备明细!$G357-1)</f>
        <v>9</v>
      </c>
      <c r="I356" s="1">
        <f>[1]装备明细!$F357</f>
        <v>1</v>
      </c>
      <c r="J356" s="1">
        <f>[1]装备明细!$L357</f>
        <v>4</v>
      </c>
      <c r="K356" s="1">
        <f>[1]装备明细!$E357</f>
        <v>3</v>
      </c>
      <c r="L356" s="1">
        <f t="shared" si="5"/>
        <v>3</v>
      </c>
      <c r="M356" s="1">
        <f>[2]Sheet1!$R357*2</f>
        <v>969</v>
      </c>
    </row>
    <row r="357" spans="1:13" x14ac:dyDescent="0.15">
      <c r="A357" s="1">
        <v>356</v>
      </c>
      <c r="B357" s="1">
        <v>0</v>
      </c>
      <c r="C357" s="1">
        <v>100356</v>
      </c>
      <c r="D357" s="1" t="str">
        <f>[1]装备明细!$M358</f>
        <v>IC1560</v>
      </c>
      <c r="E357" s="1" t="str">
        <f>[1]装备明细!$C358</f>
        <v>迪马斯牙齿</v>
      </c>
      <c r="G357" s="1">
        <f>[1]装备明细!$J358</f>
        <v>0</v>
      </c>
      <c r="H357" s="1">
        <f>IF([1]装备明细!$G358&gt;=14,"",[1]装备明细!$G358-1)</f>
        <v>9</v>
      </c>
      <c r="I357" s="1">
        <f>[1]装备明细!$F358</f>
        <v>1</v>
      </c>
      <c r="J357" s="1">
        <f>[1]装备明细!$L358</f>
        <v>5</v>
      </c>
      <c r="K357" s="1">
        <f>[1]装备明细!$E358</f>
        <v>3</v>
      </c>
      <c r="L357" s="1">
        <f t="shared" si="5"/>
        <v>3</v>
      </c>
      <c r="M357" s="1">
        <f>[2]Sheet1!$R358*2</f>
        <v>969</v>
      </c>
    </row>
    <row r="358" spans="1:13" x14ac:dyDescent="0.15">
      <c r="A358" s="1">
        <v>357</v>
      </c>
      <c r="B358" s="1">
        <v>0</v>
      </c>
      <c r="C358" s="1">
        <v>100357</v>
      </c>
      <c r="D358" s="1" t="str">
        <f>[1]装备明细!$M359</f>
        <v>IC1562</v>
      </c>
      <c r="E358" s="1" t="str">
        <f>[1]装备明细!$C359</f>
        <v>酒神牙齿</v>
      </c>
      <c r="G358" s="1">
        <f>[1]装备明细!$J359</f>
        <v>0</v>
      </c>
      <c r="H358" s="1">
        <f>IF([1]装备明细!$G359&gt;=14,"",[1]装备明细!$G359-1)</f>
        <v>9</v>
      </c>
      <c r="I358" s="1">
        <f>[1]装备明细!$F359</f>
        <v>1</v>
      </c>
      <c r="J358" s="1">
        <f>[1]装备明细!$L359</f>
        <v>6</v>
      </c>
      <c r="K358" s="1">
        <f>[1]装备明细!$E359</f>
        <v>3</v>
      </c>
      <c r="L358" s="1">
        <f t="shared" si="5"/>
        <v>3</v>
      </c>
      <c r="M358" s="1">
        <f>[2]Sheet1!$R359*2</f>
        <v>834</v>
      </c>
    </row>
    <row r="359" spans="1:13" x14ac:dyDescent="0.15">
      <c r="A359" s="1">
        <v>358</v>
      </c>
      <c r="B359" s="1">
        <v>0</v>
      </c>
      <c r="C359" s="1">
        <v>100358</v>
      </c>
      <c r="D359" s="1" t="str">
        <f>[1]装备明细!$M360</f>
        <v>IC1563</v>
      </c>
      <c r="E359" s="1" t="str">
        <f>[1]装备明细!$C360</f>
        <v>缪斯牙齿</v>
      </c>
      <c r="G359" s="1">
        <f>[1]装备明细!$J360</f>
        <v>0</v>
      </c>
      <c r="H359" s="1">
        <f>IF([1]装备明细!$G360&gt;=14,"",[1]装备明细!$G360-1)</f>
        <v>9</v>
      </c>
      <c r="I359" s="1">
        <f>[1]装备明细!$F360</f>
        <v>1</v>
      </c>
      <c r="J359" s="1">
        <f>[1]装备明细!$L360</f>
        <v>7</v>
      </c>
      <c r="K359" s="1">
        <f>[1]装备明细!$E360</f>
        <v>3</v>
      </c>
      <c r="L359" s="1">
        <f t="shared" si="5"/>
        <v>3</v>
      </c>
      <c r="M359" s="1">
        <f>[2]Sheet1!$R360*2</f>
        <v>969</v>
      </c>
    </row>
    <row r="360" spans="1:13" x14ac:dyDescent="0.15">
      <c r="A360" s="1">
        <v>359</v>
      </c>
      <c r="B360" s="1">
        <v>0</v>
      </c>
      <c r="C360" s="1">
        <v>100359</v>
      </c>
      <c r="D360" s="1" t="str">
        <f>[1]装备明细!$M361</f>
        <v>IC1564</v>
      </c>
      <c r="E360" s="1" t="str">
        <f>[1]装备明细!$C361</f>
        <v>潘多拉牙齿</v>
      </c>
      <c r="G360" s="1">
        <f>[1]装备明细!$J361</f>
        <v>0</v>
      </c>
      <c r="H360" s="1">
        <f>IF([1]装备明细!$G361&gt;=14,"",[1]装备明细!$G361-1)</f>
        <v>9</v>
      </c>
      <c r="I360" s="1">
        <f>[1]装备明细!$F361</f>
        <v>1</v>
      </c>
      <c r="J360" s="1">
        <f>[1]装备明细!$L361</f>
        <v>8</v>
      </c>
      <c r="K360" s="1">
        <f>[1]装备明细!$E361</f>
        <v>3</v>
      </c>
      <c r="L360" s="1">
        <f t="shared" si="5"/>
        <v>3</v>
      </c>
      <c r="M360" s="1">
        <f>[2]Sheet1!$R361*2</f>
        <v>834</v>
      </c>
    </row>
    <row r="361" spans="1:13" x14ac:dyDescent="0.15">
      <c r="A361" s="1">
        <v>360</v>
      </c>
      <c r="B361" s="1">
        <v>0</v>
      </c>
      <c r="C361" s="1">
        <v>100360</v>
      </c>
      <c r="D361" s="1" t="str">
        <f>[1]装备明细!$M362</f>
        <v>IC1565</v>
      </c>
      <c r="E361" s="1" t="str">
        <f>[1]装备明细!$C362</f>
        <v>涅琉斯牙齿</v>
      </c>
      <c r="G361" s="1">
        <f>[1]装备明细!$J362</f>
        <v>0</v>
      </c>
      <c r="H361" s="1">
        <f>IF([1]装备明细!$G362&gt;=14,"",[1]装备明细!$G362-1)</f>
        <v>9</v>
      </c>
      <c r="I361" s="1">
        <f>[1]装备明细!$F362</f>
        <v>1</v>
      </c>
      <c r="J361" s="1">
        <f>[1]装备明细!$L362</f>
        <v>9</v>
      </c>
      <c r="K361" s="1">
        <f>[1]装备明细!$E362</f>
        <v>3</v>
      </c>
      <c r="L361" s="1">
        <f t="shared" si="5"/>
        <v>3</v>
      </c>
      <c r="M361" s="1">
        <f>[2]Sheet1!$R362*2</f>
        <v>834</v>
      </c>
    </row>
    <row r="362" spans="1:13" x14ac:dyDescent="0.15">
      <c r="A362" s="1">
        <v>361</v>
      </c>
      <c r="B362" s="1">
        <v>0</v>
      </c>
      <c r="C362" s="1">
        <v>100361</v>
      </c>
      <c r="D362" s="1" t="str">
        <f>[1]装备明细!$M363</f>
        <v>IC1401</v>
      </c>
      <c r="E362" s="1" t="str">
        <f>[1]装备明细!$C363</f>
        <v>奥丁之球</v>
      </c>
      <c r="G362" s="1">
        <f>[1]装备明细!$J363</f>
        <v>0</v>
      </c>
      <c r="H362" s="1">
        <f>IF([1]装备明细!$G363&gt;=14,"",[1]装备明细!$G363-1)</f>
        <v>10</v>
      </c>
      <c r="I362" s="1">
        <f>[1]装备明细!$F363</f>
        <v>1</v>
      </c>
      <c r="J362" s="1">
        <f>[1]装备明细!$L363</f>
        <v>1</v>
      </c>
      <c r="K362" s="1">
        <f>[1]装备明细!$E363</f>
        <v>3</v>
      </c>
      <c r="L362" s="1">
        <f t="shared" si="5"/>
        <v>3</v>
      </c>
      <c r="M362" s="1">
        <f>[2]Sheet1!$R363*2</f>
        <v>969</v>
      </c>
    </row>
    <row r="363" spans="1:13" x14ac:dyDescent="0.15">
      <c r="A363" s="1">
        <v>362</v>
      </c>
      <c r="B363" s="1">
        <v>0</v>
      </c>
      <c r="C363" s="1">
        <v>100362</v>
      </c>
      <c r="D363" s="1" t="str">
        <f>[1]装备明细!$M364</f>
        <v>IC1407</v>
      </c>
      <c r="E363" s="1" t="str">
        <f>[1]装备明细!$C364</f>
        <v>卢卡之球</v>
      </c>
      <c r="G363" s="1">
        <f>[1]装备明细!$J364</f>
        <v>0</v>
      </c>
      <c r="H363" s="1">
        <f>IF([1]装备明细!$G364&gt;=14,"",[1]装备明细!$G364-1)</f>
        <v>10</v>
      </c>
      <c r="I363" s="1">
        <f>[1]装备明细!$F364</f>
        <v>1</v>
      </c>
      <c r="J363" s="1">
        <f>[1]装备明细!$L364</f>
        <v>2</v>
      </c>
      <c r="K363" s="1">
        <f>[1]装备明细!$E364</f>
        <v>3</v>
      </c>
      <c r="L363" s="1">
        <f t="shared" si="5"/>
        <v>3</v>
      </c>
      <c r="M363" s="1">
        <f>[2]Sheet1!$R364*2</f>
        <v>969</v>
      </c>
    </row>
    <row r="364" spans="1:13" x14ac:dyDescent="0.15">
      <c r="A364" s="1">
        <v>363</v>
      </c>
      <c r="B364" s="1">
        <v>0</v>
      </c>
      <c r="C364" s="1">
        <v>100363</v>
      </c>
      <c r="D364" s="1" t="str">
        <f>[1]装备明细!$M365</f>
        <v>IC1412</v>
      </c>
      <c r="E364" s="1" t="str">
        <f>[1]装备明细!$C365</f>
        <v>坎珀之球</v>
      </c>
      <c r="G364" s="1">
        <f>[1]装备明细!$J365</f>
        <v>0</v>
      </c>
      <c r="H364" s="1">
        <f>IF([1]装备明细!$G365&gt;=14,"",[1]装备明细!$G365-1)</f>
        <v>10</v>
      </c>
      <c r="I364" s="1">
        <f>[1]装备明细!$F365</f>
        <v>1</v>
      </c>
      <c r="J364" s="1">
        <f>[1]装备明细!$L365</f>
        <v>3</v>
      </c>
      <c r="K364" s="1">
        <f>[1]装备明细!$E365</f>
        <v>3</v>
      </c>
      <c r="L364" s="1">
        <f t="shared" si="5"/>
        <v>3</v>
      </c>
      <c r="M364" s="1">
        <f>[2]Sheet1!$R365*2</f>
        <v>969</v>
      </c>
    </row>
    <row r="365" spans="1:13" x14ac:dyDescent="0.15">
      <c r="A365" s="1">
        <v>364</v>
      </c>
      <c r="B365" s="1">
        <v>0</v>
      </c>
      <c r="C365" s="1">
        <v>100364</v>
      </c>
      <c r="D365" s="1" t="str">
        <f>[1]装备明细!$M366</f>
        <v>IC1413</v>
      </c>
      <c r="E365" s="1" t="str">
        <f>[1]装备明细!$C366</f>
        <v>费恩之球</v>
      </c>
      <c r="G365" s="1">
        <f>[1]装备明细!$J366</f>
        <v>0</v>
      </c>
      <c r="H365" s="1">
        <f>IF([1]装备明细!$G366&gt;=14,"",[1]装备明细!$G366-1)</f>
        <v>10</v>
      </c>
      <c r="I365" s="1">
        <f>[1]装备明细!$F366</f>
        <v>1</v>
      </c>
      <c r="J365" s="1">
        <f>[1]装备明细!$L366</f>
        <v>4</v>
      </c>
      <c r="K365" s="1">
        <f>[1]装备明细!$E366</f>
        <v>3</v>
      </c>
      <c r="L365" s="1">
        <f t="shared" si="5"/>
        <v>3</v>
      </c>
      <c r="M365" s="1">
        <f>[2]Sheet1!$R366*2</f>
        <v>969</v>
      </c>
    </row>
    <row r="366" spans="1:13" x14ac:dyDescent="0.15">
      <c r="A366" s="1">
        <v>365</v>
      </c>
      <c r="B366" s="1">
        <v>0</v>
      </c>
      <c r="C366" s="1">
        <v>100365</v>
      </c>
      <c r="D366" s="1" t="str">
        <f>[1]装备明细!$M367</f>
        <v>IC1416</v>
      </c>
      <c r="E366" s="1" t="str">
        <f>[1]装备明细!$C367</f>
        <v>迪马斯之球</v>
      </c>
      <c r="G366" s="1">
        <f>[1]装备明细!$J367</f>
        <v>0</v>
      </c>
      <c r="H366" s="1">
        <f>IF([1]装备明细!$G367&gt;=14,"",[1]装备明细!$G367-1)</f>
        <v>10</v>
      </c>
      <c r="I366" s="1">
        <f>[1]装备明细!$F367</f>
        <v>1</v>
      </c>
      <c r="J366" s="1">
        <f>[1]装备明细!$L367</f>
        <v>5</v>
      </c>
      <c r="K366" s="1">
        <f>[1]装备明细!$E367</f>
        <v>3</v>
      </c>
      <c r="L366" s="1">
        <f t="shared" si="5"/>
        <v>3</v>
      </c>
      <c r="M366" s="1">
        <f>[2]Sheet1!$R367*2</f>
        <v>969</v>
      </c>
    </row>
    <row r="367" spans="1:13" x14ac:dyDescent="0.15">
      <c r="A367" s="1">
        <v>366</v>
      </c>
      <c r="B367" s="1">
        <v>0</v>
      </c>
      <c r="C367" s="1">
        <v>100366</v>
      </c>
      <c r="D367" s="1" t="str">
        <f>[1]装备明细!$M368</f>
        <v>IC1417</v>
      </c>
      <c r="E367" s="1" t="str">
        <f>[1]装备明细!$C368</f>
        <v>酒神之球</v>
      </c>
      <c r="G367" s="1">
        <f>[1]装备明细!$J368</f>
        <v>0</v>
      </c>
      <c r="H367" s="1">
        <f>IF([1]装备明细!$G368&gt;=14,"",[1]装备明细!$G368-1)</f>
        <v>10</v>
      </c>
      <c r="I367" s="1">
        <f>[1]装备明细!$F368</f>
        <v>1</v>
      </c>
      <c r="J367" s="1">
        <f>[1]装备明细!$L368</f>
        <v>6</v>
      </c>
      <c r="K367" s="1">
        <f>[1]装备明细!$E368</f>
        <v>3</v>
      </c>
      <c r="L367" s="1">
        <f t="shared" si="5"/>
        <v>3</v>
      </c>
      <c r="M367" s="1">
        <f>[2]Sheet1!$R368*2</f>
        <v>969</v>
      </c>
    </row>
    <row r="368" spans="1:13" x14ac:dyDescent="0.15">
      <c r="A368" s="1">
        <v>367</v>
      </c>
      <c r="B368" s="1">
        <v>0</v>
      </c>
      <c r="C368" s="1">
        <v>100367</v>
      </c>
      <c r="D368" s="1" t="str">
        <f>[1]装备明细!$M369</f>
        <v>IC1419</v>
      </c>
      <c r="E368" s="1" t="str">
        <f>[1]装备明细!$C369</f>
        <v>缪斯之球</v>
      </c>
      <c r="G368" s="1">
        <f>[1]装备明细!$J369</f>
        <v>0</v>
      </c>
      <c r="H368" s="1">
        <f>IF([1]装备明细!$G369&gt;=14,"",[1]装备明细!$G369-1)</f>
        <v>10</v>
      </c>
      <c r="I368" s="1">
        <f>[1]装备明细!$F369</f>
        <v>1</v>
      </c>
      <c r="J368" s="1">
        <f>[1]装备明细!$L369</f>
        <v>7</v>
      </c>
      <c r="K368" s="1">
        <f>[1]装备明细!$E369</f>
        <v>3</v>
      </c>
      <c r="L368" s="1">
        <f t="shared" si="5"/>
        <v>3</v>
      </c>
      <c r="M368" s="1">
        <f>[2]Sheet1!$R369*2</f>
        <v>969</v>
      </c>
    </row>
    <row r="369" spans="1:13" x14ac:dyDescent="0.15">
      <c r="A369" s="1">
        <v>368</v>
      </c>
      <c r="B369" s="1">
        <v>0</v>
      </c>
      <c r="C369" s="1">
        <v>100368</v>
      </c>
      <c r="D369" s="1" t="str">
        <f>[1]装备明细!$M370</f>
        <v>IC1416</v>
      </c>
      <c r="E369" s="1" t="str">
        <f>[1]装备明细!$C370</f>
        <v>潘多拉之球</v>
      </c>
      <c r="G369" s="1">
        <f>[1]装备明细!$J370</f>
        <v>0</v>
      </c>
      <c r="H369" s="1">
        <f>IF([1]装备明细!$G370&gt;=14,"",[1]装备明细!$G370-1)</f>
        <v>10</v>
      </c>
      <c r="I369" s="1">
        <f>[1]装备明细!$F370</f>
        <v>1</v>
      </c>
      <c r="J369" s="1">
        <f>[1]装备明细!$L370</f>
        <v>8</v>
      </c>
      <c r="K369" s="1">
        <f>[1]装备明细!$E370</f>
        <v>3</v>
      </c>
      <c r="L369" s="1">
        <f t="shared" si="5"/>
        <v>3</v>
      </c>
      <c r="M369" s="1">
        <f>[2]Sheet1!$R370*2</f>
        <v>969</v>
      </c>
    </row>
    <row r="370" spans="1:13" x14ac:dyDescent="0.15">
      <c r="A370" s="1">
        <v>369</v>
      </c>
      <c r="B370" s="1">
        <v>0</v>
      </c>
      <c r="C370" s="1">
        <v>100369</v>
      </c>
      <c r="D370" s="1" t="str">
        <f>[1]装备明细!$M371</f>
        <v>IC1412</v>
      </c>
      <c r="E370" s="1" t="str">
        <f>[1]装备明细!$C371</f>
        <v>欧罗巴之球</v>
      </c>
      <c r="G370" s="1">
        <f>[1]装备明细!$J371</f>
        <v>0</v>
      </c>
      <c r="H370" s="1">
        <f>IF([1]装备明细!$G371&gt;=14,"",[1]装备明细!$G371-1)</f>
        <v>10</v>
      </c>
      <c r="I370" s="1">
        <f>[1]装备明细!$F371</f>
        <v>1</v>
      </c>
      <c r="J370" s="1">
        <f>[1]装备明细!$L371</f>
        <v>9</v>
      </c>
      <c r="K370" s="1">
        <f>[1]装备明细!$E371</f>
        <v>3</v>
      </c>
      <c r="L370" s="1">
        <f t="shared" si="5"/>
        <v>3</v>
      </c>
      <c r="M370" s="1">
        <f>[2]Sheet1!$R371*2</f>
        <v>969</v>
      </c>
    </row>
    <row r="371" spans="1:13" x14ac:dyDescent="0.15">
      <c r="A371" s="1">
        <v>370</v>
      </c>
      <c r="B371" s="1">
        <v>0</v>
      </c>
      <c r="C371" s="1">
        <v>100370</v>
      </c>
      <c r="D371" s="1" t="str">
        <f>[1]装备明细!$M372</f>
        <v>IC1751</v>
      </c>
      <c r="E371" s="1" t="str">
        <f>[1]装备明细!$C372</f>
        <v>奥丁之爪</v>
      </c>
      <c r="G371" s="1">
        <f>[1]装备明细!$J372</f>
        <v>0</v>
      </c>
      <c r="H371" s="1">
        <f>IF([1]装备明细!$G372&gt;=14,"",[1]装备明细!$G372-1)</f>
        <v>11</v>
      </c>
      <c r="I371" s="1">
        <f>[1]装备明细!$F372</f>
        <v>1</v>
      </c>
      <c r="J371" s="1">
        <f>[1]装备明细!$L372</f>
        <v>1</v>
      </c>
      <c r="K371" s="1">
        <f>[1]装备明细!$E372</f>
        <v>3</v>
      </c>
      <c r="L371" s="1">
        <f t="shared" si="5"/>
        <v>3</v>
      </c>
      <c r="M371" s="1">
        <f>[2]Sheet1!$R372*2</f>
        <v>915</v>
      </c>
    </row>
    <row r="372" spans="1:13" x14ac:dyDescent="0.15">
      <c r="A372" s="1">
        <v>371</v>
      </c>
      <c r="B372" s="1">
        <v>0</v>
      </c>
      <c r="C372" s="1">
        <v>100371</v>
      </c>
      <c r="D372" s="1" t="str">
        <f>[1]装备明细!$M373</f>
        <v>IC1758</v>
      </c>
      <c r="E372" s="1" t="str">
        <f>[1]装备明细!$C373</f>
        <v>卢卡之爪</v>
      </c>
      <c r="G372" s="1">
        <f>[1]装备明细!$J373</f>
        <v>0</v>
      </c>
      <c r="H372" s="1">
        <f>IF([1]装备明细!$G373&gt;=14,"",[1]装备明细!$G373-1)</f>
        <v>11</v>
      </c>
      <c r="I372" s="1">
        <f>[1]装备明细!$F373</f>
        <v>1</v>
      </c>
      <c r="J372" s="1">
        <f>[1]装备明细!$L373</f>
        <v>2</v>
      </c>
      <c r="K372" s="1">
        <f>[1]装备明细!$E373</f>
        <v>3</v>
      </c>
      <c r="L372" s="1">
        <f t="shared" si="5"/>
        <v>3</v>
      </c>
      <c r="M372" s="1">
        <f>[2]Sheet1!$R373*2</f>
        <v>1050</v>
      </c>
    </row>
    <row r="373" spans="1:13" x14ac:dyDescent="0.15">
      <c r="A373" s="1">
        <v>372</v>
      </c>
      <c r="B373" s="1">
        <v>0</v>
      </c>
      <c r="C373" s="1">
        <v>100372</v>
      </c>
      <c r="D373" s="1" t="str">
        <f>[1]装备明细!$M374</f>
        <v>IC1763</v>
      </c>
      <c r="E373" s="1" t="str">
        <f>[1]装备明细!$C374</f>
        <v>坎珀之爪</v>
      </c>
      <c r="G373" s="1">
        <f>[1]装备明细!$J374</f>
        <v>0</v>
      </c>
      <c r="H373" s="1">
        <f>IF([1]装备明细!$G374&gt;=14,"",[1]装备明细!$G374-1)</f>
        <v>11</v>
      </c>
      <c r="I373" s="1">
        <f>[1]装备明细!$F374</f>
        <v>1</v>
      </c>
      <c r="J373" s="1">
        <f>[1]装备明细!$L374</f>
        <v>3</v>
      </c>
      <c r="K373" s="1">
        <f>[1]装备明细!$E374</f>
        <v>3</v>
      </c>
      <c r="L373" s="1">
        <f t="shared" si="5"/>
        <v>3</v>
      </c>
      <c r="M373" s="1">
        <f>[2]Sheet1!$R374*2</f>
        <v>1050</v>
      </c>
    </row>
    <row r="374" spans="1:13" x14ac:dyDescent="0.15">
      <c r="A374" s="1">
        <v>373</v>
      </c>
      <c r="B374" s="1">
        <v>0</v>
      </c>
      <c r="C374" s="1">
        <v>100373</v>
      </c>
      <c r="D374" s="1" t="str">
        <f>[1]装备明细!$M375</f>
        <v>IC1765</v>
      </c>
      <c r="E374" s="1" t="str">
        <f>[1]装备明细!$C375</f>
        <v>费恩之爪</v>
      </c>
      <c r="G374" s="1">
        <f>[1]装备明细!$J375</f>
        <v>0</v>
      </c>
      <c r="H374" s="1">
        <f>IF([1]装备明细!$G375&gt;=14,"",[1]装备明细!$G375-1)</f>
        <v>11</v>
      </c>
      <c r="I374" s="1">
        <f>[1]装备明细!$F375</f>
        <v>1</v>
      </c>
      <c r="J374" s="1">
        <f>[1]装备明细!$L375</f>
        <v>4</v>
      </c>
      <c r="K374" s="1">
        <f>[1]装备明细!$E375</f>
        <v>3</v>
      </c>
      <c r="L374" s="1">
        <f t="shared" si="5"/>
        <v>3</v>
      </c>
      <c r="M374" s="1">
        <f>[2]Sheet1!$R375*2</f>
        <v>1050</v>
      </c>
    </row>
    <row r="375" spans="1:13" x14ac:dyDescent="0.15">
      <c r="A375" s="1">
        <v>374</v>
      </c>
      <c r="B375" s="1">
        <v>0</v>
      </c>
      <c r="C375" s="1">
        <v>100374</v>
      </c>
      <c r="D375" s="1" t="str">
        <f>[1]装备明细!$M376</f>
        <v>IC1767</v>
      </c>
      <c r="E375" s="1" t="str">
        <f>[1]装备明细!$C376</f>
        <v>迪马斯之爪</v>
      </c>
      <c r="G375" s="1">
        <f>[1]装备明细!$J376</f>
        <v>0</v>
      </c>
      <c r="H375" s="1">
        <f>IF([1]装备明细!$G376&gt;=14,"",[1]装备明细!$G376-1)</f>
        <v>11</v>
      </c>
      <c r="I375" s="1">
        <f>[1]装备明细!$F376</f>
        <v>1</v>
      </c>
      <c r="J375" s="1">
        <f>[1]装备明细!$L376</f>
        <v>5</v>
      </c>
      <c r="K375" s="1">
        <f>[1]装备明细!$E376</f>
        <v>3</v>
      </c>
      <c r="L375" s="1">
        <f t="shared" si="5"/>
        <v>3</v>
      </c>
      <c r="M375" s="1">
        <f>[2]Sheet1!$R376*2</f>
        <v>834</v>
      </c>
    </row>
    <row r="376" spans="1:13" x14ac:dyDescent="0.15">
      <c r="A376" s="1">
        <v>375</v>
      </c>
      <c r="B376" s="1">
        <v>0</v>
      </c>
      <c r="C376" s="1">
        <v>100375</v>
      </c>
      <c r="D376" s="1" t="str">
        <f>[1]装备明细!$M377</f>
        <v>IC1768</v>
      </c>
      <c r="E376" s="1" t="str">
        <f>[1]装备明细!$C377</f>
        <v>酒神之爪</v>
      </c>
      <c r="G376" s="1">
        <f>[1]装备明细!$J377</f>
        <v>0</v>
      </c>
      <c r="H376" s="1">
        <f>IF([1]装备明细!$G377&gt;=14,"",[1]装备明细!$G377-1)</f>
        <v>11</v>
      </c>
      <c r="I376" s="1">
        <f>[1]装备明细!$F377</f>
        <v>1</v>
      </c>
      <c r="J376" s="1">
        <f>[1]装备明细!$L377</f>
        <v>6</v>
      </c>
      <c r="K376" s="1">
        <f>[1]装备明细!$E377</f>
        <v>3</v>
      </c>
      <c r="L376" s="1">
        <f t="shared" si="5"/>
        <v>3</v>
      </c>
      <c r="M376" s="1">
        <f>[2]Sheet1!$R377*2</f>
        <v>834</v>
      </c>
    </row>
    <row r="377" spans="1:13" x14ac:dyDescent="0.15">
      <c r="A377" s="1">
        <v>376</v>
      </c>
      <c r="B377" s="1">
        <v>0</v>
      </c>
      <c r="C377" s="1">
        <v>100376</v>
      </c>
      <c r="D377" s="1" t="str">
        <f>[1]装备明细!$M378</f>
        <v>IC1770</v>
      </c>
      <c r="E377" s="1" t="str">
        <f>[1]装备明细!$C378</f>
        <v>缪斯之爪</v>
      </c>
      <c r="G377" s="1">
        <f>[1]装备明细!$J378</f>
        <v>0</v>
      </c>
      <c r="H377" s="1">
        <f>IF([1]装备明细!$G378&gt;=14,"",[1]装备明细!$G378-1)</f>
        <v>11</v>
      </c>
      <c r="I377" s="1">
        <f>[1]装备明细!$F378</f>
        <v>1</v>
      </c>
      <c r="J377" s="1">
        <f>[1]装备明细!$L378</f>
        <v>7</v>
      </c>
      <c r="K377" s="1">
        <f>[1]装备明细!$E378</f>
        <v>3</v>
      </c>
      <c r="L377" s="1">
        <f t="shared" si="5"/>
        <v>3</v>
      </c>
      <c r="M377" s="1">
        <f>[2]Sheet1!$R378*2</f>
        <v>834</v>
      </c>
    </row>
    <row r="378" spans="1:13" x14ac:dyDescent="0.15">
      <c r="A378" s="1">
        <v>377</v>
      </c>
      <c r="B378" s="1">
        <v>0</v>
      </c>
      <c r="C378" s="1">
        <v>100377</v>
      </c>
      <c r="D378" s="1" t="str">
        <f>[1]装备明细!$M379</f>
        <v>IC1771</v>
      </c>
      <c r="E378" s="1" t="str">
        <f>[1]装备明细!$C379</f>
        <v>潘多拉之爪</v>
      </c>
      <c r="G378" s="1">
        <f>[1]装备明细!$J379</f>
        <v>0</v>
      </c>
      <c r="H378" s="1">
        <f>IF([1]装备明细!$G379&gt;=14,"",[1]装备明细!$G379-1)</f>
        <v>11</v>
      </c>
      <c r="I378" s="1">
        <f>[1]装备明细!$F379</f>
        <v>1</v>
      </c>
      <c r="J378" s="1">
        <f>[1]装备明细!$L379</f>
        <v>8</v>
      </c>
      <c r="K378" s="1">
        <f>[1]装备明细!$E379</f>
        <v>3</v>
      </c>
      <c r="L378" s="1">
        <f t="shared" si="5"/>
        <v>3</v>
      </c>
      <c r="M378" s="1">
        <f>[2]Sheet1!$R379*2</f>
        <v>1050</v>
      </c>
    </row>
    <row r="379" spans="1:13" x14ac:dyDescent="0.15">
      <c r="A379" s="1">
        <v>378</v>
      </c>
      <c r="B379" s="1">
        <v>0</v>
      </c>
      <c r="C379" s="1">
        <v>100378</v>
      </c>
      <c r="D379" s="1" t="str">
        <f>[1]装备明细!$M380</f>
        <v>IC1772</v>
      </c>
      <c r="E379" s="1" t="str">
        <f>[1]装备明细!$C380</f>
        <v>卡帕纽斯之爪</v>
      </c>
      <c r="G379" s="1">
        <f>[1]装备明细!$J380</f>
        <v>0</v>
      </c>
      <c r="H379" s="1">
        <f>IF([1]装备明细!$G380&gt;=14,"",[1]装备明细!$G380-1)</f>
        <v>11</v>
      </c>
      <c r="I379" s="1">
        <f>[1]装备明细!$F380</f>
        <v>1</v>
      </c>
      <c r="J379" s="1">
        <f>[1]装备明细!$L380</f>
        <v>9</v>
      </c>
      <c r="K379" s="1">
        <f>[1]装备明细!$E380</f>
        <v>3</v>
      </c>
      <c r="L379" s="1">
        <f t="shared" si="5"/>
        <v>3</v>
      </c>
      <c r="M379" s="1">
        <f>[2]Sheet1!$R380*2</f>
        <v>834</v>
      </c>
    </row>
    <row r="380" spans="1:13" x14ac:dyDescent="0.15">
      <c r="A380" s="1">
        <v>379</v>
      </c>
      <c r="B380" s="1">
        <v>0</v>
      </c>
      <c r="C380" s="1">
        <v>100379</v>
      </c>
      <c r="D380" s="1" t="str">
        <f>[1]装备明细!$M381</f>
        <v>IC1213</v>
      </c>
      <c r="E380" s="1" t="str">
        <f>[1]装备明细!$C381</f>
        <v>奥丁之剑</v>
      </c>
      <c r="G380" s="1">
        <f>[1]装备明细!$J381</f>
        <v>0</v>
      </c>
      <c r="H380" s="1">
        <f>IF([1]装备明细!$G381&gt;=14,"",[1]装备明细!$G381-1)</f>
        <v>12</v>
      </c>
      <c r="I380" s="1">
        <f>[1]装备明细!$F381</f>
        <v>1</v>
      </c>
      <c r="J380" s="1">
        <f>[1]装备明细!$L381</f>
        <v>1</v>
      </c>
      <c r="K380" s="1">
        <f>[1]装备明细!$E381</f>
        <v>3</v>
      </c>
      <c r="L380" s="1">
        <f t="shared" si="5"/>
        <v>3</v>
      </c>
      <c r="M380" s="1">
        <f>[2]Sheet1!$R381*2</f>
        <v>1050</v>
      </c>
    </row>
    <row r="381" spans="1:13" x14ac:dyDescent="0.15">
      <c r="A381" s="1">
        <v>380</v>
      </c>
      <c r="B381" s="1">
        <v>0</v>
      </c>
      <c r="C381" s="1">
        <v>100380</v>
      </c>
      <c r="D381" s="1" t="str">
        <f>[1]装备明细!$M382</f>
        <v>IC1216</v>
      </c>
      <c r="E381" s="1" t="str">
        <f>[1]装备明细!$C382</f>
        <v>卢卡之剑</v>
      </c>
      <c r="G381" s="1">
        <f>[1]装备明细!$J382</f>
        <v>0</v>
      </c>
      <c r="H381" s="1">
        <f>IF([1]装备明细!$G382&gt;=14,"",[1]装备明细!$G382-1)</f>
        <v>12</v>
      </c>
      <c r="I381" s="1">
        <f>[1]装备明细!$F382</f>
        <v>1</v>
      </c>
      <c r="J381" s="1">
        <f>[1]装备明细!$L382</f>
        <v>2</v>
      </c>
      <c r="K381" s="1">
        <f>[1]装备明细!$E382</f>
        <v>3</v>
      </c>
      <c r="L381" s="1">
        <f t="shared" si="5"/>
        <v>3</v>
      </c>
      <c r="M381" s="1">
        <f>[2]Sheet1!$R382*2</f>
        <v>1050</v>
      </c>
    </row>
    <row r="382" spans="1:13" x14ac:dyDescent="0.15">
      <c r="A382" s="1">
        <v>381</v>
      </c>
      <c r="B382" s="1">
        <v>0</v>
      </c>
      <c r="C382" s="1">
        <v>100381</v>
      </c>
      <c r="D382" s="1" t="str">
        <f>[1]装备明细!$M383</f>
        <v>IC1220</v>
      </c>
      <c r="E382" s="1" t="str">
        <f>[1]装备明细!$C383</f>
        <v>坎珀之剑</v>
      </c>
      <c r="G382" s="1">
        <f>[1]装备明细!$J383</f>
        <v>0</v>
      </c>
      <c r="H382" s="1">
        <f>IF([1]装备明细!$G383&gt;=14,"",[1]装备明细!$G383-1)</f>
        <v>12</v>
      </c>
      <c r="I382" s="1">
        <f>[1]装备明细!$F383</f>
        <v>1</v>
      </c>
      <c r="J382" s="1">
        <f>[1]装备明细!$L383</f>
        <v>3</v>
      </c>
      <c r="K382" s="1">
        <f>[1]装备明细!$E383</f>
        <v>3</v>
      </c>
      <c r="L382" s="1">
        <f t="shared" si="5"/>
        <v>3</v>
      </c>
      <c r="M382" s="1">
        <f>[2]Sheet1!$R383*2</f>
        <v>1050</v>
      </c>
    </row>
    <row r="383" spans="1:13" x14ac:dyDescent="0.15">
      <c r="A383" s="1">
        <v>382</v>
      </c>
      <c r="B383" s="1">
        <v>0</v>
      </c>
      <c r="C383" s="1">
        <v>100382</v>
      </c>
      <c r="D383" s="1" t="str">
        <f>[1]装备明细!$M384</f>
        <v>IC1222</v>
      </c>
      <c r="E383" s="1" t="str">
        <f>[1]装备明细!$C384</f>
        <v>费恩之剑</v>
      </c>
      <c r="G383" s="1">
        <f>[1]装备明细!$J384</f>
        <v>0</v>
      </c>
      <c r="H383" s="1">
        <f>IF([1]装备明细!$G384&gt;=14,"",[1]装备明细!$G384-1)</f>
        <v>12</v>
      </c>
      <c r="I383" s="1">
        <f>[1]装备明细!$F384</f>
        <v>1</v>
      </c>
      <c r="J383" s="1">
        <f>[1]装备明细!$L384</f>
        <v>4</v>
      </c>
      <c r="K383" s="1">
        <f>[1]装备明细!$E384</f>
        <v>3</v>
      </c>
      <c r="L383" s="1">
        <f t="shared" si="5"/>
        <v>3</v>
      </c>
      <c r="M383" s="1">
        <f>[2]Sheet1!$R384*2</f>
        <v>1050</v>
      </c>
    </row>
    <row r="384" spans="1:13" x14ac:dyDescent="0.15">
      <c r="A384" s="1">
        <v>383</v>
      </c>
      <c r="B384" s="1">
        <v>0</v>
      </c>
      <c r="C384" s="1">
        <v>100383</v>
      </c>
      <c r="D384" s="1" t="str">
        <f>[1]装备明细!$M385</f>
        <v>IC1228</v>
      </c>
      <c r="E384" s="1" t="str">
        <f>[1]装备明细!$C385</f>
        <v>迪马斯之剑</v>
      </c>
      <c r="G384" s="1">
        <f>[1]装备明细!$J385</f>
        <v>0</v>
      </c>
      <c r="H384" s="1">
        <f>IF([1]装备明细!$G385&gt;=14,"",[1]装备明细!$G385-1)</f>
        <v>12</v>
      </c>
      <c r="I384" s="1">
        <f>[1]装备明细!$F385</f>
        <v>1</v>
      </c>
      <c r="J384" s="1">
        <f>[1]装备明细!$L385</f>
        <v>5</v>
      </c>
      <c r="K384" s="1">
        <f>[1]装备明细!$E385</f>
        <v>3</v>
      </c>
      <c r="L384" s="1">
        <f t="shared" si="5"/>
        <v>3</v>
      </c>
      <c r="M384" s="1">
        <f>[2]Sheet1!$R385*2</f>
        <v>1050</v>
      </c>
    </row>
    <row r="385" spans="1:13" x14ac:dyDescent="0.15">
      <c r="A385" s="1">
        <v>384</v>
      </c>
      <c r="B385" s="1">
        <v>0</v>
      </c>
      <c r="C385" s="1">
        <v>100384</v>
      </c>
      <c r="D385" s="1" t="str">
        <f>[1]装备明细!$M386</f>
        <v>IC1235</v>
      </c>
      <c r="E385" s="1" t="str">
        <f>[1]装备明细!$C386</f>
        <v>酒神之剑</v>
      </c>
      <c r="G385" s="1">
        <f>[1]装备明细!$J386</f>
        <v>0</v>
      </c>
      <c r="H385" s="1">
        <f>IF([1]装备明细!$G386&gt;=14,"",[1]装备明细!$G386-1)</f>
        <v>12</v>
      </c>
      <c r="I385" s="1">
        <f>[1]装备明细!$F386</f>
        <v>1</v>
      </c>
      <c r="J385" s="1">
        <f>[1]装备明细!$L386</f>
        <v>6</v>
      </c>
      <c r="K385" s="1">
        <f>[1]装备明细!$E386</f>
        <v>3</v>
      </c>
      <c r="L385" s="1">
        <f t="shared" si="5"/>
        <v>3</v>
      </c>
      <c r="M385" s="1">
        <f>[2]Sheet1!$R386*2</f>
        <v>1050</v>
      </c>
    </row>
    <row r="386" spans="1:13" x14ac:dyDescent="0.15">
      <c r="A386" s="1">
        <v>385</v>
      </c>
      <c r="B386" s="1">
        <v>0</v>
      </c>
      <c r="C386" s="1">
        <v>100385</v>
      </c>
      <c r="D386" s="1" t="str">
        <f>[1]装备明细!$M387</f>
        <v>IC1236</v>
      </c>
      <c r="E386" s="1" t="str">
        <f>[1]装备明细!$C387</f>
        <v>缪斯之剑</v>
      </c>
      <c r="G386" s="1">
        <f>[1]装备明细!$J387</f>
        <v>0</v>
      </c>
      <c r="H386" s="1">
        <f>IF([1]装备明细!$G387&gt;=14,"",[1]装备明细!$G387-1)</f>
        <v>12</v>
      </c>
      <c r="I386" s="1">
        <f>[1]装备明细!$F387</f>
        <v>1</v>
      </c>
      <c r="J386" s="1">
        <f>[1]装备明细!$L387</f>
        <v>7</v>
      </c>
      <c r="K386" s="1">
        <f>[1]装备明细!$E387</f>
        <v>3</v>
      </c>
      <c r="L386" s="1">
        <f t="shared" si="5"/>
        <v>3</v>
      </c>
      <c r="M386" s="1">
        <f>[2]Sheet1!$R387*2</f>
        <v>1050</v>
      </c>
    </row>
    <row r="387" spans="1:13" x14ac:dyDescent="0.15">
      <c r="A387" s="1">
        <v>386</v>
      </c>
      <c r="B387" s="1">
        <v>0</v>
      </c>
      <c r="C387" s="1">
        <v>100386</v>
      </c>
      <c r="D387" s="1" t="str">
        <f>[1]装备明细!$M388</f>
        <v>IC1237</v>
      </c>
      <c r="E387" s="1" t="str">
        <f>[1]装备明细!$C388</f>
        <v>潘多拉之剑</v>
      </c>
      <c r="G387" s="1">
        <f>[1]装备明细!$J388</f>
        <v>0</v>
      </c>
      <c r="H387" s="1">
        <f>IF([1]装备明细!$G388&gt;=14,"",[1]装备明细!$G388-1)</f>
        <v>12</v>
      </c>
      <c r="I387" s="1">
        <f>[1]装备明细!$F388</f>
        <v>1</v>
      </c>
      <c r="J387" s="1">
        <f>[1]装备明细!$L388</f>
        <v>8</v>
      </c>
      <c r="K387" s="1">
        <f>[1]装备明细!$E388</f>
        <v>3</v>
      </c>
      <c r="L387" s="1">
        <f t="shared" ref="L387:L445" si="6">K387</f>
        <v>3</v>
      </c>
      <c r="M387" s="1">
        <f>[2]Sheet1!$R388*2</f>
        <v>1050</v>
      </c>
    </row>
    <row r="388" spans="1:13" x14ac:dyDescent="0.15">
      <c r="A388" s="1">
        <v>387</v>
      </c>
      <c r="B388" s="1">
        <v>0</v>
      </c>
      <c r="C388" s="1">
        <v>100387</v>
      </c>
      <c r="D388" s="1" t="str">
        <f>[1]装备明细!$M389</f>
        <v>IC1238</v>
      </c>
      <c r="E388" s="1" t="str">
        <f>[1]装备明细!$C389</f>
        <v>海格力斯</v>
      </c>
      <c r="G388" s="1">
        <f>[1]装备明细!$J389</f>
        <v>0</v>
      </c>
      <c r="H388" s="1">
        <f>IF([1]装备明细!$G389&gt;=14,"",[1]装备明细!$G389-1)</f>
        <v>12</v>
      </c>
      <c r="I388" s="1">
        <f>[1]装备明细!$F389</f>
        <v>1</v>
      </c>
      <c r="J388" s="1">
        <f>[1]装备明细!$L389</f>
        <v>9</v>
      </c>
      <c r="K388" s="1">
        <f>[1]装备明细!$E389</f>
        <v>3</v>
      </c>
      <c r="L388" s="1">
        <f t="shared" si="6"/>
        <v>3</v>
      </c>
      <c r="M388" s="1">
        <f>[2]Sheet1!$R389*2</f>
        <v>1050</v>
      </c>
    </row>
    <row r="389" spans="1:13" x14ac:dyDescent="0.15">
      <c r="A389" s="1">
        <v>388</v>
      </c>
      <c r="B389" s="1">
        <v>0</v>
      </c>
      <c r="C389" s="1">
        <v>100388</v>
      </c>
      <c r="D389" s="1" t="str">
        <f>[1]装备明细!$M390</f>
        <v>IC1743</v>
      </c>
      <c r="E389" s="1" t="str">
        <f>[1]装备明细!$C390</f>
        <v>希尔戒指</v>
      </c>
      <c r="G389" s="1">
        <f>[1]装备明细!$J390</f>
        <v>0</v>
      </c>
      <c r="H389" s="1" t="str">
        <f>IF([1]装备明细!$G390&gt;=14,"",[1]装备明细!$G390-1)</f>
        <v/>
      </c>
      <c r="I389" s="1">
        <f>[1]装备明细!$F390</f>
        <v>2</v>
      </c>
      <c r="J389" s="1">
        <f>[1]装备明细!$L390</f>
        <v>1</v>
      </c>
      <c r="K389" s="1">
        <f>[1]装备明细!$E390</f>
        <v>3</v>
      </c>
      <c r="L389" s="1">
        <f t="shared" si="6"/>
        <v>3</v>
      </c>
      <c r="M389" s="1">
        <f>[2]Sheet1!$R390*2</f>
        <v>996</v>
      </c>
    </row>
    <row r="390" spans="1:13" x14ac:dyDescent="0.15">
      <c r="A390" s="1">
        <v>389</v>
      </c>
      <c r="B390" s="1">
        <v>0</v>
      </c>
      <c r="C390" s="1">
        <v>100389</v>
      </c>
      <c r="D390" s="1" t="str">
        <f>[1]装备明细!$M391</f>
        <v>IC1744</v>
      </c>
      <c r="E390" s="1" t="str">
        <f>[1]装备明细!$C391</f>
        <v>阿蒙之星</v>
      </c>
      <c r="G390" s="1">
        <f>[1]装备明细!$J391</f>
        <v>0</v>
      </c>
      <c r="H390" s="1" t="str">
        <f>IF([1]装备明细!$G391&gt;=14,"",[1]装备明细!$G391-1)</f>
        <v/>
      </c>
      <c r="I390" s="1">
        <f>[1]装备明细!$F391</f>
        <v>2</v>
      </c>
      <c r="J390" s="1">
        <f>[1]装备明细!$L391</f>
        <v>2</v>
      </c>
      <c r="K390" s="1">
        <f>[1]装备明细!$E391</f>
        <v>3</v>
      </c>
      <c r="L390" s="1">
        <f t="shared" si="6"/>
        <v>3</v>
      </c>
      <c r="M390" s="1">
        <f>[2]Sheet1!$R391*2</f>
        <v>996</v>
      </c>
    </row>
    <row r="391" spans="1:13" x14ac:dyDescent="0.15">
      <c r="A391" s="1">
        <v>390</v>
      </c>
      <c r="B391" s="1">
        <v>0</v>
      </c>
      <c r="C391" s="1">
        <v>100390</v>
      </c>
      <c r="D391" s="1" t="str">
        <f>[1]装备明细!$M392</f>
        <v>IC1745</v>
      </c>
      <c r="E391" s="1" t="str">
        <f>[1]装备明细!$C392</f>
        <v>阿尔泰亚</v>
      </c>
      <c r="G391" s="1">
        <f>[1]装备明细!$J392</f>
        <v>0</v>
      </c>
      <c r="H391" s="1" t="str">
        <f>IF([1]装备明细!$G392&gt;=14,"",[1]装备明细!$G392-1)</f>
        <v/>
      </c>
      <c r="I391" s="1">
        <f>[1]装备明细!$F392</f>
        <v>2</v>
      </c>
      <c r="J391" s="1">
        <f>[1]装备明细!$L392</f>
        <v>3</v>
      </c>
      <c r="K391" s="1">
        <f>[1]装备明细!$E392</f>
        <v>3</v>
      </c>
      <c r="L391" s="1">
        <f t="shared" si="6"/>
        <v>3</v>
      </c>
      <c r="M391" s="1">
        <f>[2]Sheet1!$R392*2</f>
        <v>996</v>
      </c>
    </row>
    <row r="392" spans="1:13" x14ac:dyDescent="0.15">
      <c r="A392" s="1">
        <v>391</v>
      </c>
      <c r="B392" s="1">
        <v>0</v>
      </c>
      <c r="C392" s="1">
        <v>100391</v>
      </c>
      <c r="D392" s="1" t="str">
        <f>[1]装备明细!$M393</f>
        <v>IC1778</v>
      </c>
      <c r="E392" s="1" t="str">
        <f>[1]装备明细!$C393</f>
        <v>卡尔卡斯</v>
      </c>
      <c r="G392" s="1">
        <f>[1]装备明细!$J393</f>
        <v>0</v>
      </c>
      <c r="H392" s="1" t="str">
        <f>IF([1]装备明细!$G393&gt;=14,"",[1]装备明细!$G393-1)</f>
        <v/>
      </c>
      <c r="I392" s="1">
        <f>[1]装备明细!$F393</f>
        <v>2</v>
      </c>
      <c r="J392" s="1">
        <f>[1]装备明细!$L393</f>
        <v>4</v>
      </c>
      <c r="K392" s="1">
        <f>[1]装备明细!$E393</f>
        <v>3</v>
      </c>
      <c r="L392" s="1">
        <f t="shared" si="6"/>
        <v>3</v>
      </c>
      <c r="M392" s="1">
        <f>[2]Sheet1!$R393*2</f>
        <v>1050</v>
      </c>
    </row>
    <row r="393" spans="1:13" x14ac:dyDescent="0.15">
      <c r="A393" s="1">
        <v>392</v>
      </c>
      <c r="B393" s="1">
        <v>0</v>
      </c>
      <c r="C393" s="1">
        <v>100392</v>
      </c>
      <c r="D393" s="1" t="str">
        <f>[1]装备明细!$M394</f>
        <v>IC1779</v>
      </c>
      <c r="E393" s="1" t="str">
        <f>[1]装备明细!$C394</f>
        <v>拉米亚之戒</v>
      </c>
      <c r="G393" s="1">
        <f>[1]装备明细!$J394</f>
        <v>0</v>
      </c>
      <c r="H393" s="1" t="str">
        <f>IF([1]装备明细!$G394&gt;=14,"",[1]装备明细!$G394-1)</f>
        <v/>
      </c>
      <c r="I393" s="1">
        <f>[1]装备明细!$F394</f>
        <v>2</v>
      </c>
      <c r="J393" s="1">
        <f>[1]装备明细!$L394</f>
        <v>5</v>
      </c>
      <c r="K393" s="1">
        <f>[1]装备明细!$E394</f>
        <v>3</v>
      </c>
      <c r="L393" s="1">
        <f t="shared" si="6"/>
        <v>3</v>
      </c>
      <c r="M393" s="1">
        <f>[2]Sheet1!$R394*2</f>
        <v>861</v>
      </c>
    </row>
    <row r="394" spans="1:13" x14ac:dyDescent="0.15">
      <c r="A394" s="1">
        <v>393</v>
      </c>
      <c r="B394" s="1">
        <v>0</v>
      </c>
      <c r="C394" s="1">
        <v>100393</v>
      </c>
      <c r="D394" s="1" t="str">
        <f>[1]装备明细!$M395</f>
        <v>IC1795</v>
      </c>
      <c r="E394" s="1" t="str">
        <f>[1]装备明细!$C395</f>
        <v>西农</v>
      </c>
      <c r="G394" s="1">
        <f>[1]装备明细!$J395</f>
        <v>0</v>
      </c>
      <c r="H394" s="1" t="str">
        <f>IF([1]装备明细!$G395&gt;=14,"",[1]装备明细!$G395-1)</f>
        <v/>
      </c>
      <c r="I394" s="1">
        <f>[1]装备明细!$F395</f>
        <v>2</v>
      </c>
      <c r="J394" s="1">
        <f>[1]装备明细!$L395</f>
        <v>6</v>
      </c>
      <c r="K394" s="1">
        <f>[1]装备明细!$E395</f>
        <v>3</v>
      </c>
      <c r="L394" s="1">
        <f t="shared" si="6"/>
        <v>3</v>
      </c>
      <c r="M394" s="1">
        <f>[2]Sheet1!$R395*2</f>
        <v>996</v>
      </c>
    </row>
    <row r="395" spans="1:13" x14ac:dyDescent="0.15">
      <c r="A395" s="1">
        <v>394</v>
      </c>
      <c r="B395" s="1">
        <v>0</v>
      </c>
      <c r="C395" s="1">
        <v>100394</v>
      </c>
      <c r="D395" s="1" t="str">
        <f>[1]装备明细!$M396</f>
        <v>IC1743</v>
      </c>
      <c r="E395" s="1" t="str">
        <f>[1]装备明细!$C396</f>
        <v>血魔之戒</v>
      </c>
      <c r="G395" s="1">
        <f>[1]装备明细!$J396</f>
        <v>0</v>
      </c>
      <c r="H395" s="1" t="str">
        <f>IF([1]装备明细!$G396&gt;=14,"",[1]装备明细!$G396-1)</f>
        <v/>
      </c>
      <c r="I395" s="1">
        <f>[1]装备明细!$F396</f>
        <v>2</v>
      </c>
      <c r="J395" s="1">
        <f>[1]装备明细!$L396</f>
        <v>7</v>
      </c>
      <c r="K395" s="1">
        <f>[1]装备明细!$E396</f>
        <v>3</v>
      </c>
      <c r="L395" s="1">
        <f t="shared" si="6"/>
        <v>3</v>
      </c>
      <c r="M395" s="1">
        <f>[2]Sheet1!$R396*2</f>
        <v>1050</v>
      </c>
    </row>
    <row r="396" spans="1:13" x14ac:dyDescent="0.15">
      <c r="A396" s="1">
        <v>395</v>
      </c>
      <c r="B396" s="1">
        <v>0</v>
      </c>
      <c r="C396" s="1">
        <v>100395</v>
      </c>
      <c r="D396" s="1" t="str">
        <f>[1]装备明细!$M397</f>
        <v>IC1744</v>
      </c>
      <c r="E396" s="1" t="str">
        <f>[1]装备明细!$C397</f>
        <v>多隆之眼</v>
      </c>
      <c r="G396" s="1">
        <f>[1]装备明细!$J397</f>
        <v>0</v>
      </c>
      <c r="H396" s="1" t="str">
        <f>IF([1]装备明细!$G397&gt;=14,"",[1]装备明细!$G397-1)</f>
        <v/>
      </c>
      <c r="I396" s="1">
        <f>[1]装备明细!$F397</f>
        <v>2</v>
      </c>
      <c r="J396" s="1">
        <f>[1]装备明细!$L397</f>
        <v>8</v>
      </c>
      <c r="K396" s="1">
        <f>[1]装备明细!$E397</f>
        <v>3</v>
      </c>
      <c r="L396" s="1">
        <f t="shared" si="6"/>
        <v>3</v>
      </c>
      <c r="M396" s="1">
        <f>[2]Sheet1!$R397*2</f>
        <v>969</v>
      </c>
    </row>
    <row r="397" spans="1:13" x14ac:dyDescent="0.15">
      <c r="A397" s="1">
        <v>396</v>
      </c>
      <c r="B397" s="1">
        <v>0</v>
      </c>
      <c r="C397" s="1">
        <v>100396</v>
      </c>
      <c r="D397" s="1" t="str">
        <f>[1]装备明细!$M398</f>
        <v>IC1745</v>
      </c>
      <c r="E397" s="1" t="str">
        <f>[1]装备明细!$C398</f>
        <v>迅战戒指</v>
      </c>
      <c r="G397" s="1">
        <f>[1]装备明细!$J398</f>
        <v>0</v>
      </c>
      <c r="H397" s="1" t="str">
        <f>IF([1]装备明细!$G398&gt;=14,"",[1]装备明细!$G398-1)</f>
        <v/>
      </c>
      <c r="I397" s="1">
        <f>[1]装备明细!$F398</f>
        <v>2</v>
      </c>
      <c r="J397" s="1">
        <f>[1]装备明细!$L398</f>
        <v>9</v>
      </c>
      <c r="K397" s="1">
        <f>[1]装备明细!$E398</f>
        <v>3</v>
      </c>
      <c r="L397" s="1">
        <f t="shared" si="6"/>
        <v>3</v>
      </c>
      <c r="M397" s="1">
        <f>[2]Sheet1!$R398*2</f>
        <v>1050</v>
      </c>
    </row>
    <row r="398" spans="1:13" x14ac:dyDescent="0.15">
      <c r="A398" s="1">
        <v>397</v>
      </c>
      <c r="B398" s="1">
        <v>0</v>
      </c>
      <c r="C398" s="1">
        <v>100397</v>
      </c>
      <c r="D398" s="1" t="str">
        <f>[1]装备明细!$M399</f>
        <v>IC1742</v>
      </c>
      <c r="E398" s="1" t="str">
        <f>[1]装备明细!$C399</f>
        <v>卡尔斯项链</v>
      </c>
      <c r="G398" s="1">
        <f>[1]装备明细!$J399</f>
        <v>0</v>
      </c>
      <c r="H398" s="1" t="str">
        <f>IF([1]装备明细!$G399&gt;=14,"",[1]装备明细!$G399-1)</f>
        <v/>
      </c>
      <c r="I398" s="1">
        <f>[1]装备明细!$F399</f>
        <v>3</v>
      </c>
      <c r="J398" s="1">
        <f>[1]装备明细!$L399</f>
        <v>1</v>
      </c>
      <c r="K398" s="1">
        <f>[1]装备明细!$E399</f>
        <v>3</v>
      </c>
      <c r="L398" s="1">
        <f t="shared" si="6"/>
        <v>3</v>
      </c>
      <c r="M398" s="1">
        <f>[2]Sheet1!$R399*2</f>
        <v>915</v>
      </c>
    </row>
    <row r="399" spans="1:13" x14ac:dyDescent="0.15">
      <c r="A399" s="1">
        <v>398</v>
      </c>
      <c r="B399" s="1">
        <v>0</v>
      </c>
      <c r="C399" s="1">
        <v>100398</v>
      </c>
      <c r="D399" s="1" t="str">
        <f>[1]装备明细!$M400</f>
        <v>IC1895</v>
      </c>
      <c r="E399" s="1" t="str">
        <f>[1]装备明细!$C400</f>
        <v>亚马逊人</v>
      </c>
      <c r="G399" s="1">
        <f>[1]装备明细!$J400</f>
        <v>0</v>
      </c>
      <c r="H399" s="1" t="str">
        <f>IF([1]装备明细!$G400&gt;=14,"",[1]装备明细!$G400-1)</f>
        <v/>
      </c>
      <c r="I399" s="1">
        <f>[1]装备明细!$F400</f>
        <v>3</v>
      </c>
      <c r="J399" s="1">
        <f>[1]装备明细!$L400</f>
        <v>2</v>
      </c>
      <c r="K399" s="1">
        <f>[1]装备明细!$E400</f>
        <v>3</v>
      </c>
      <c r="L399" s="1">
        <f t="shared" si="6"/>
        <v>3</v>
      </c>
      <c r="M399" s="1">
        <f>[2]Sheet1!$R400*2</f>
        <v>1050</v>
      </c>
    </row>
    <row r="400" spans="1:13" x14ac:dyDescent="0.15">
      <c r="A400" s="1">
        <v>399</v>
      </c>
      <c r="B400" s="1">
        <v>0</v>
      </c>
      <c r="C400" s="1">
        <v>100399</v>
      </c>
      <c r="D400" s="1" t="str">
        <f>[1]装备明细!$M401</f>
        <v>IC1898</v>
      </c>
      <c r="E400" s="1" t="str">
        <f>[1]装备明细!$C401</f>
        <v>比奥斯</v>
      </c>
      <c r="G400" s="1">
        <f>[1]装备明细!$J401</f>
        <v>0</v>
      </c>
      <c r="H400" s="1" t="str">
        <f>IF([1]装备明细!$G401&gt;=14,"",[1]装备明细!$G401-1)</f>
        <v/>
      </c>
      <c r="I400" s="1">
        <f>[1]装备明细!$F401</f>
        <v>3</v>
      </c>
      <c r="J400" s="1">
        <f>[1]装备明细!$L401</f>
        <v>3</v>
      </c>
      <c r="K400" s="1">
        <f>[1]装备明细!$E401</f>
        <v>3</v>
      </c>
      <c r="L400" s="1">
        <f t="shared" si="6"/>
        <v>3</v>
      </c>
      <c r="M400" s="1">
        <f>[2]Sheet1!$R401*2</f>
        <v>915</v>
      </c>
    </row>
    <row r="401" spans="1:13" x14ac:dyDescent="0.15">
      <c r="A401" s="1">
        <v>400</v>
      </c>
      <c r="B401" s="1">
        <v>0</v>
      </c>
      <c r="C401" s="1">
        <v>100400</v>
      </c>
      <c r="D401" s="1" t="str">
        <f>[1]装备明细!$M402</f>
        <v>IC1900</v>
      </c>
      <c r="E401" s="1" t="str">
        <f>[1]装备明细!$C402</f>
        <v>卢比项链</v>
      </c>
      <c r="G401" s="1">
        <f>[1]装备明细!$J402</f>
        <v>0</v>
      </c>
      <c r="H401" s="1" t="str">
        <f>IF([1]装备明细!$G402&gt;=14,"",[1]装备明细!$G402-1)</f>
        <v/>
      </c>
      <c r="I401" s="1">
        <f>[1]装备明细!$F402</f>
        <v>3</v>
      </c>
      <c r="J401" s="1">
        <f>[1]装备明细!$L402</f>
        <v>4</v>
      </c>
      <c r="K401" s="1">
        <f>[1]装备明细!$E402</f>
        <v>3</v>
      </c>
      <c r="L401" s="1">
        <f t="shared" si="6"/>
        <v>3</v>
      </c>
      <c r="M401" s="1">
        <f>[2]Sheet1!$R402*2</f>
        <v>1050</v>
      </c>
    </row>
    <row r="402" spans="1:13" x14ac:dyDescent="0.15">
      <c r="A402" s="1">
        <v>401</v>
      </c>
      <c r="B402" s="1">
        <v>0</v>
      </c>
      <c r="C402" s="1">
        <v>100401</v>
      </c>
      <c r="D402" s="1" t="str">
        <f>[1]装备明细!$M403</f>
        <v>IC1924</v>
      </c>
      <c r="E402" s="1" t="str">
        <f>[1]装备明细!$C403</f>
        <v>萨耳珀冬</v>
      </c>
      <c r="G402" s="1">
        <f>[1]装备明细!$J403</f>
        <v>0</v>
      </c>
      <c r="H402" s="1" t="str">
        <f>IF([1]装备明细!$G403&gt;=14,"",[1]装备明细!$G403-1)</f>
        <v/>
      </c>
      <c r="I402" s="1">
        <f>[1]装备明细!$F403</f>
        <v>3</v>
      </c>
      <c r="J402" s="1">
        <f>[1]装备明细!$L403</f>
        <v>5</v>
      </c>
      <c r="K402" s="1">
        <f>[1]装备明细!$E403</f>
        <v>3</v>
      </c>
      <c r="L402" s="1">
        <f t="shared" si="6"/>
        <v>3</v>
      </c>
      <c r="M402" s="1">
        <f>[2]Sheet1!$R403*2</f>
        <v>969</v>
      </c>
    </row>
    <row r="403" spans="1:13" x14ac:dyDescent="0.15">
      <c r="A403" s="1">
        <v>402</v>
      </c>
      <c r="B403" s="1">
        <v>0</v>
      </c>
      <c r="C403" s="1">
        <v>100402</v>
      </c>
      <c r="D403" s="1" t="str">
        <f>[1]装备明细!$M404</f>
        <v>IC1742</v>
      </c>
      <c r="E403" s="1" t="str">
        <f>[1]装备明细!$C404</f>
        <v>乌拉尼亚</v>
      </c>
      <c r="G403" s="1">
        <f>[1]装备明细!$J404</f>
        <v>0</v>
      </c>
      <c r="H403" s="1" t="str">
        <f>IF([1]装备明细!$G404&gt;=14,"",[1]装备明细!$G404-1)</f>
        <v/>
      </c>
      <c r="I403" s="1">
        <f>[1]装备明细!$F404</f>
        <v>3</v>
      </c>
      <c r="J403" s="1">
        <f>[1]装备明细!$L404</f>
        <v>6</v>
      </c>
      <c r="K403" s="1">
        <f>[1]装备明细!$E404</f>
        <v>3</v>
      </c>
      <c r="L403" s="1">
        <f t="shared" si="6"/>
        <v>3</v>
      </c>
      <c r="M403" s="1">
        <f>[2]Sheet1!$R404*2</f>
        <v>1050</v>
      </c>
    </row>
    <row r="404" spans="1:13" x14ac:dyDescent="0.15">
      <c r="A404" s="1">
        <v>403</v>
      </c>
      <c r="B404" s="1">
        <v>0</v>
      </c>
      <c r="C404" s="1">
        <v>100403</v>
      </c>
      <c r="D404" s="1" t="str">
        <f>[1]装备明细!$M405</f>
        <v>IC1895</v>
      </c>
      <c r="E404" s="1" t="str">
        <f>[1]装备明细!$C405</f>
        <v>斯库卡吊坠</v>
      </c>
      <c r="G404" s="1">
        <f>[1]装备明细!$J405</f>
        <v>0</v>
      </c>
      <c r="H404" s="1" t="str">
        <f>IF([1]装备明细!$G405&gt;=14,"",[1]装备明细!$G405-1)</f>
        <v/>
      </c>
      <c r="I404" s="1">
        <f>[1]装备明细!$F405</f>
        <v>3</v>
      </c>
      <c r="J404" s="1">
        <f>[1]装备明细!$L405</f>
        <v>7</v>
      </c>
      <c r="K404" s="1">
        <f>[1]装备明细!$E405</f>
        <v>3</v>
      </c>
      <c r="L404" s="1">
        <f t="shared" si="6"/>
        <v>3</v>
      </c>
      <c r="M404" s="1">
        <f>[2]Sheet1!$R405*2</f>
        <v>1050</v>
      </c>
    </row>
    <row r="405" spans="1:13" x14ac:dyDescent="0.15">
      <c r="A405" s="1">
        <v>404</v>
      </c>
      <c r="B405" s="1">
        <v>0</v>
      </c>
      <c r="C405" s="1">
        <v>100404</v>
      </c>
      <c r="D405" s="1" t="str">
        <f>[1]装备明细!$M406</f>
        <v>IC1898</v>
      </c>
      <c r="E405" s="1" t="str">
        <f>[1]装备明细!$C406</f>
        <v>欧罗巴项链</v>
      </c>
      <c r="G405" s="1">
        <f>[1]装备明细!$J406</f>
        <v>0</v>
      </c>
      <c r="H405" s="1" t="str">
        <f>IF([1]装备明细!$G406&gt;=14,"",[1]装备明细!$G406-1)</f>
        <v/>
      </c>
      <c r="I405" s="1">
        <f>[1]装备明细!$F406</f>
        <v>3</v>
      </c>
      <c r="J405" s="1">
        <f>[1]装备明细!$L406</f>
        <v>8</v>
      </c>
      <c r="K405" s="1">
        <f>[1]装备明细!$E406</f>
        <v>3</v>
      </c>
      <c r="L405" s="1">
        <f t="shared" si="6"/>
        <v>3</v>
      </c>
      <c r="M405" s="1">
        <f>[2]Sheet1!$R406*2</f>
        <v>1050</v>
      </c>
    </row>
    <row r="406" spans="1:13" x14ac:dyDescent="0.15">
      <c r="A406" s="1">
        <v>405</v>
      </c>
      <c r="B406" s="1">
        <v>0</v>
      </c>
      <c r="C406" s="1">
        <v>100405</v>
      </c>
      <c r="D406" s="1" t="str">
        <f>[1]装备明细!$M407</f>
        <v>IC1900</v>
      </c>
      <c r="E406" s="1" t="str">
        <f>[1]装备明细!$C407</f>
        <v>海伦之心</v>
      </c>
      <c r="G406" s="1">
        <f>[1]装备明细!$J407</f>
        <v>0</v>
      </c>
      <c r="H406" s="1" t="str">
        <f>IF([1]装备明细!$G407&gt;=14,"",[1]装备明细!$G407-1)</f>
        <v/>
      </c>
      <c r="I406" s="1">
        <f>[1]装备明细!$F407</f>
        <v>3</v>
      </c>
      <c r="J406" s="1">
        <f>[1]装备明细!$L407</f>
        <v>9</v>
      </c>
      <c r="K406" s="1">
        <f>[1]装备明细!$E407</f>
        <v>3</v>
      </c>
      <c r="L406" s="1">
        <f t="shared" si="6"/>
        <v>3</v>
      </c>
      <c r="M406" s="1">
        <f>[2]Sheet1!$R407*2</f>
        <v>915</v>
      </c>
    </row>
    <row r="407" spans="1:13" x14ac:dyDescent="0.15">
      <c r="A407" s="1">
        <v>406</v>
      </c>
      <c r="B407" s="1">
        <v>0</v>
      </c>
      <c r="C407" s="1">
        <v>100406</v>
      </c>
      <c r="D407" s="1" t="str">
        <f>[1]装备明细!$M408</f>
        <v>IC1038</v>
      </c>
      <c r="E407" s="1" t="str">
        <f>[1]装备明细!$C408</f>
        <v>泰坦的力量</v>
      </c>
      <c r="G407" s="1">
        <f>[1]装备明细!$J408</f>
        <v>1</v>
      </c>
      <c r="H407" s="1">
        <f>IF([1]装备明细!$G408&gt;=14,"",[1]装备明细!$G408-1)</f>
        <v>0</v>
      </c>
      <c r="I407" s="1">
        <f>[1]装备明细!$F408</f>
        <v>1</v>
      </c>
      <c r="J407" s="1">
        <f>[1]装备明细!$L408</f>
        <v>9</v>
      </c>
      <c r="K407" s="1">
        <f>[1]装备明细!$E408</f>
        <v>4</v>
      </c>
      <c r="L407" s="1">
        <f t="shared" si="6"/>
        <v>4</v>
      </c>
      <c r="M407" s="1">
        <f>[2]Sheet1!$R408*2</f>
        <v>2220</v>
      </c>
    </row>
    <row r="408" spans="1:13" x14ac:dyDescent="0.15">
      <c r="A408" s="1">
        <v>407</v>
      </c>
      <c r="B408" s="1">
        <v>0</v>
      </c>
      <c r="C408" s="1">
        <v>100407</v>
      </c>
      <c r="D408" s="1" t="str">
        <f>[1]装备明细!$M409</f>
        <v>IC1936</v>
      </c>
      <c r="E408" s="1" t="str">
        <f>[1]装备明细!$C409</f>
        <v>泰坦的荣耀</v>
      </c>
      <c r="G408" s="1">
        <f>[1]装备明细!$J409</f>
        <v>1</v>
      </c>
      <c r="H408" s="1" t="str">
        <f>IF([1]装备明细!$G409&gt;=14,"",[1]装备明细!$G409-1)</f>
        <v/>
      </c>
      <c r="I408" s="1">
        <f>[1]装备明细!$F409</f>
        <v>2</v>
      </c>
      <c r="J408" s="1">
        <f>[1]装备明细!$L409</f>
        <v>9</v>
      </c>
      <c r="K408" s="1">
        <f>[1]装备明细!$E409</f>
        <v>4</v>
      </c>
      <c r="L408" s="1">
        <f t="shared" si="6"/>
        <v>4</v>
      </c>
      <c r="M408" s="1">
        <f>[2]Sheet1!$R409*2</f>
        <v>2220</v>
      </c>
    </row>
    <row r="409" spans="1:13" x14ac:dyDescent="0.15">
      <c r="A409" s="1">
        <v>408</v>
      </c>
      <c r="B409" s="1">
        <v>0</v>
      </c>
      <c r="C409" s="1">
        <v>100408</v>
      </c>
      <c r="D409" s="1" t="str">
        <f>[1]装备明细!$M410</f>
        <v>IC1877</v>
      </c>
      <c r="E409" s="1" t="str">
        <f>[1]装备明细!$C410</f>
        <v>泰坦的光辉</v>
      </c>
      <c r="G409" s="1">
        <f>[1]装备明细!$J410</f>
        <v>1</v>
      </c>
      <c r="H409" s="1" t="str">
        <f>IF([1]装备明细!$G410&gt;=14,"",[1]装备明细!$G410-1)</f>
        <v/>
      </c>
      <c r="I409" s="1">
        <f>[1]装备明细!$F410</f>
        <v>3</v>
      </c>
      <c r="J409" s="1">
        <f>[1]装备明细!$L410</f>
        <v>9</v>
      </c>
      <c r="K409" s="1">
        <f>[1]装备明细!$E410</f>
        <v>4</v>
      </c>
      <c r="L409" s="1">
        <f t="shared" si="6"/>
        <v>4</v>
      </c>
      <c r="M409" s="1">
        <f>[2]Sheet1!$R410*2</f>
        <v>2220</v>
      </c>
    </row>
    <row r="410" spans="1:13" x14ac:dyDescent="0.15">
      <c r="A410" s="1">
        <v>409</v>
      </c>
      <c r="B410" s="1">
        <v>0</v>
      </c>
      <c r="C410" s="1">
        <v>100409</v>
      </c>
      <c r="D410" s="1" t="str">
        <f>[1]装备明细!$M411</f>
        <v>IC1220</v>
      </c>
      <c r="E410" s="1" t="str">
        <f>[1]装备明细!$C411</f>
        <v>阿波罗的利刃</v>
      </c>
      <c r="G410" s="1">
        <f>[1]装备明细!$J411</f>
        <v>2</v>
      </c>
      <c r="H410" s="1">
        <f>IF([1]装备明细!$G411&gt;=14,"",[1]装备明细!$G411-1)</f>
        <v>1</v>
      </c>
      <c r="I410" s="1">
        <f>[1]装备明细!$F411</f>
        <v>1</v>
      </c>
      <c r="J410" s="1">
        <f>[1]装备明细!$L411</f>
        <v>9</v>
      </c>
      <c r="K410" s="1">
        <f>[1]装备明细!$E411</f>
        <v>4</v>
      </c>
      <c r="L410" s="1">
        <f t="shared" si="6"/>
        <v>4</v>
      </c>
      <c r="M410" s="1">
        <f>[2]Sheet1!$R411*2</f>
        <v>2220</v>
      </c>
    </row>
    <row r="411" spans="1:13" x14ac:dyDescent="0.15">
      <c r="A411" s="1">
        <v>410</v>
      </c>
      <c r="B411" s="1">
        <v>0</v>
      </c>
      <c r="C411" s="1">
        <v>100410</v>
      </c>
      <c r="D411" s="1" t="str">
        <f>[1]装备明细!$M412</f>
        <v>IC1936</v>
      </c>
      <c r="E411" s="1" t="str">
        <f>[1]装备明细!$C412</f>
        <v>阿波罗的眼眸</v>
      </c>
      <c r="G411" s="1">
        <f>[1]装备明细!$J412</f>
        <v>2</v>
      </c>
      <c r="H411" s="1" t="str">
        <f>IF([1]装备明细!$G412&gt;=14,"",[1]装备明细!$G412-1)</f>
        <v/>
      </c>
      <c r="I411" s="1">
        <f>[1]装备明细!$F412</f>
        <v>2</v>
      </c>
      <c r="J411" s="1">
        <f>[1]装备明细!$L412</f>
        <v>9</v>
      </c>
      <c r="K411" s="1">
        <f>[1]装备明细!$E412</f>
        <v>4</v>
      </c>
      <c r="L411" s="1">
        <f t="shared" si="6"/>
        <v>4</v>
      </c>
      <c r="M411" s="1">
        <f>[2]Sheet1!$R412*2</f>
        <v>2220</v>
      </c>
    </row>
    <row r="412" spans="1:13" x14ac:dyDescent="0.15">
      <c r="A412" s="1">
        <v>411</v>
      </c>
      <c r="B412" s="1">
        <v>0</v>
      </c>
      <c r="C412" s="1">
        <v>100411</v>
      </c>
      <c r="D412" s="1" t="str">
        <f>[1]装备明细!$M413</f>
        <v>IC1877</v>
      </c>
      <c r="E412" s="1" t="str">
        <f>[1]装备明细!$C413</f>
        <v>阿波罗的惩戒</v>
      </c>
      <c r="G412" s="1">
        <f>[1]装备明细!$J413</f>
        <v>2</v>
      </c>
      <c r="H412" s="1" t="str">
        <f>IF([1]装备明细!$G413&gt;=14,"",[1]装备明细!$G413-1)</f>
        <v/>
      </c>
      <c r="I412" s="1">
        <f>[1]装备明细!$F413</f>
        <v>3</v>
      </c>
      <c r="J412" s="1">
        <f>[1]装备明细!$L413</f>
        <v>9</v>
      </c>
      <c r="K412" s="1">
        <f>[1]装备明细!$E413</f>
        <v>4</v>
      </c>
      <c r="L412" s="1">
        <f t="shared" si="6"/>
        <v>4</v>
      </c>
      <c r="M412" s="1">
        <f>[2]Sheet1!$R413*2</f>
        <v>2220</v>
      </c>
    </row>
    <row r="413" spans="1:13" x14ac:dyDescent="0.15">
      <c r="A413" s="1">
        <v>412</v>
      </c>
      <c r="B413" s="1">
        <v>0</v>
      </c>
      <c r="C413" s="1">
        <v>100412</v>
      </c>
      <c r="D413" s="1" t="str">
        <f>[1]装备明细!$M414</f>
        <v>IC1525</v>
      </c>
      <c r="E413" s="1" t="str">
        <f>[1]装备明细!$C414</f>
        <v>阿瑞斯之拳</v>
      </c>
      <c r="G413" s="1">
        <f>[1]装备明细!$J414</f>
        <v>3</v>
      </c>
      <c r="H413" s="1">
        <f>IF([1]装备明细!$G414&gt;=14,"",[1]装备明细!$G414-1)</f>
        <v>2</v>
      </c>
      <c r="I413" s="1">
        <f>[1]装备明细!$F414</f>
        <v>1</v>
      </c>
      <c r="J413" s="1">
        <f>[1]装备明细!$L414</f>
        <v>9</v>
      </c>
      <c r="K413" s="1">
        <f>[1]装备明细!$E414</f>
        <v>4</v>
      </c>
      <c r="L413" s="1">
        <f t="shared" si="6"/>
        <v>4</v>
      </c>
      <c r="M413" s="1">
        <f>[2]Sheet1!$R414*2</f>
        <v>2220</v>
      </c>
    </row>
    <row r="414" spans="1:13" x14ac:dyDescent="0.15">
      <c r="A414" s="1">
        <v>413</v>
      </c>
      <c r="B414" s="1">
        <v>0</v>
      </c>
      <c r="C414" s="1">
        <v>100413</v>
      </c>
      <c r="D414" s="1" t="str">
        <f>[1]装备明细!$M415</f>
        <v>IC1936</v>
      </c>
      <c r="E414" s="1" t="str">
        <f>[1]装备明细!$C415</f>
        <v>阿瑞斯之戒</v>
      </c>
      <c r="G414" s="1">
        <f>[1]装备明细!$J415</f>
        <v>3</v>
      </c>
      <c r="H414" s="1" t="str">
        <f>IF([1]装备明细!$G415&gt;=14,"",[1]装备明细!$G415-1)</f>
        <v/>
      </c>
      <c r="I414" s="1">
        <f>[1]装备明细!$F415</f>
        <v>2</v>
      </c>
      <c r="J414" s="1">
        <f>[1]装备明细!$L415</f>
        <v>9</v>
      </c>
      <c r="K414" s="1">
        <f>[1]装备明细!$E415</f>
        <v>4</v>
      </c>
      <c r="L414" s="1">
        <f t="shared" si="6"/>
        <v>4</v>
      </c>
      <c r="M414" s="1">
        <f>[2]Sheet1!$R415*2</f>
        <v>2220</v>
      </c>
    </row>
    <row r="415" spans="1:13" x14ac:dyDescent="0.15">
      <c r="A415" s="1">
        <v>414</v>
      </c>
      <c r="B415" s="1">
        <v>0</v>
      </c>
      <c r="C415" s="1">
        <v>100414</v>
      </c>
      <c r="D415" s="1" t="str">
        <f>[1]装备明细!$M416</f>
        <v>IC1877</v>
      </c>
      <c r="E415" s="1" t="str">
        <f>[1]装备明细!$C416</f>
        <v>阿瑞斯之魂</v>
      </c>
      <c r="G415" s="1">
        <f>[1]装备明细!$J416</f>
        <v>3</v>
      </c>
      <c r="H415" s="1" t="str">
        <f>IF([1]装备明细!$G416&gt;=14,"",[1]装备明细!$G416-1)</f>
        <v/>
      </c>
      <c r="I415" s="1">
        <f>[1]装备明细!$F416</f>
        <v>3</v>
      </c>
      <c r="J415" s="1">
        <f>[1]装备明细!$L416</f>
        <v>9</v>
      </c>
      <c r="K415" s="1">
        <f>[1]装备明细!$E416</f>
        <v>4</v>
      </c>
      <c r="L415" s="1">
        <f t="shared" si="6"/>
        <v>4</v>
      </c>
      <c r="M415" s="1">
        <f>[2]Sheet1!$R416*2</f>
        <v>2220</v>
      </c>
    </row>
    <row r="416" spans="1:13" x14ac:dyDescent="0.15">
      <c r="A416" s="1">
        <v>415</v>
      </c>
      <c r="B416" s="1">
        <v>0</v>
      </c>
      <c r="C416" s="1">
        <v>100415</v>
      </c>
      <c r="D416" s="1" t="str">
        <f>[1]装备明细!$M417</f>
        <v>IC1669</v>
      </c>
      <c r="E416" s="1" t="str">
        <f>[1]装备明细!$C417</f>
        <v>阿努比斯的矛</v>
      </c>
      <c r="G416" s="1">
        <f>[1]装备明细!$J417</f>
        <v>4</v>
      </c>
      <c r="H416" s="1">
        <f>IF([1]装备明细!$G417&gt;=14,"",[1]装备明细!$G417-1)</f>
        <v>3</v>
      </c>
      <c r="I416" s="1">
        <f>[1]装备明细!$F417</f>
        <v>1</v>
      </c>
      <c r="J416" s="1">
        <f>[1]装备明细!$L417</f>
        <v>9</v>
      </c>
      <c r="K416" s="1">
        <f>[1]装备明细!$E417</f>
        <v>4</v>
      </c>
      <c r="L416" s="1">
        <f t="shared" si="6"/>
        <v>4</v>
      </c>
      <c r="M416" s="1">
        <f>[2]Sheet1!$R417*2</f>
        <v>2220</v>
      </c>
    </row>
    <row r="417" spans="1:13" x14ac:dyDescent="0.15">
      <c r="A417" s="1">
        <v>416</v>
      </c>
      <c r="B417" s="1">
        <v>0</v>
      </c>
      <c r="C417" s="1">
        <v>100416</v>
      </c>
      <c r="D417" s="1" t="str">
        <f>[1]装备明细!$M418</f>
        <v>IC1936</v>
      </c>
      <c r="E417" s="1" t="str">
        <f>[1]装备明细!$C418</f>
        <v>阿努比斯的灵魂</v>
      </c>
      <c r="G417" s="1">
        <f>[1]装备明细!$J418</f>
        <v>4</v>
      </c>
      <c r="H417" s="1" t="str">
        <f>IF([1]装备明细!$G418&gt;=14,"",[1]装备明细!$G418-1)</f>
        <v/>
      </c>
      <c r="I417" s="1">
        <f>[1]装备明细!$F418</f>
        <v>2</v>
      </c>
      <c r="J417" s="1">
        <f>[1]装备明细!$L418</f>
        <v>9</v>
      </c>
      <c r="K417" s="1">
        <f>[1]装备明细!$E418</f>
        <v>4</v>
      </c>
      <c r="L417" s="1">
        <f t="shared" si="6"/>
        <v>4</v>
      </c>
      <c r="M417" s="1">
        <f>[2]Sheet1!$R418*2</f>
        <v>2220</v>
      </c>
    </row>
    <row r="418" spans="1:13" x14ac:dyDescent="0.15">
      <c r="A418" s="1">
        <v>417</v>
      </c>
      <c r="B418" s="1">
        <v>0</v>
      </c>
      <c r="C418" s="1">
        <v>100417</v>
      </c>
      <c r="D418" s="1" t="str">
        <f>[1]装备明细!$M419</f>
        <v>IC1877</v>
      </c>
      <c r="E418" s="1" t="str">
        <f>[1]装备明细!$C419</f>
        <v>阿努比斯的守护</v>
      </c>
      <c r="G418" s="1">
        <f>[1]装备明细!$J419</f>
        <v>4</v>
      </c>
      <c r="H418" s="1" t="str">
        <f>IF([1]装备明细!$G419&gt;=14,"",[1]装备明细!$G419-1)</f>
        <v/>
      </c>
      <c r="I418" s="1">
        <f>[1]装备明细!$F419</f>
        <v>3</v>
      </c>
      <c r="J418" s="1">
        <f>[1]装备明细!$L419</f>
        <v>9</v>
      </c>
      <c r="K418" s="1">
        <f>[1]装备明细!$E419</f>
        <v>4</v>
      </c>
      <c r="L418" s="1">
        <f t="shared" si="6"/>
        <v>4</v>
      </c>
      <c r="M418" s="1">
        <f>[2]Sheet1!$R419*2</f>
        <v>1800</v>
      </c>
    </row>
    <row r="419" spans="1:13" x14ac:dyDescent="0.15">
      <c r="A419" s="1">
        <v>418</v>
      </c>
      <c r="B419" s="1">
        <v>0</v>
      </c>
      <c r="C419" s="1">
        <v>100418</v>
      </c>
      <c r="D419" s="1" t="str">
        <f>[1]装备明细!$M420</f>
        <v>IC1715</v>
      </c>
      <c r="E419" s="1" t="str">
        <f>[1]装备明细!$C420</f>
        <v>赫卡忒的黑暗</v>
      </c>
      <c r="G419" s="1">
        <f>[1]装备明细!$J420</f>
        <v>5</v>
      </c>
      <c r="H419" s="1">
        <f>IF([1]装备明细!$G420&gt;=14,"",[1]装备明细!$G420-1)</f>
        <v>4</v>
      </c>
      <c r="I419" s="1">
        <f>[1]装备明细!$F420</f>
        <v>1</v>
      </c>
      <c r="J419" s="1">
        <f>[1]装备明细!$L420</f>
        <v>9</v>
      </c>
      <c r="K419" s="1">
        <f>[1]装备明细!$E420</f>
        <v>4</v>
      </c>
      <c r="L419" s="1">
        <f t="shared" si="6"/>
        <v>4</v>
      </c>
      <c r="M419" s="1">
        <f>[2]Sheet1!$R420*2</f>
        <v>2220</v>
      </c>
    </row>
    <row r="420" spans="1:13" x14ac:dyDescent="0.15">
      <c r="A420" s="1">
        <v>419</v>
      </c>
      <c r="B420" s="1">
        <v>0</v>
      </c>
      <c r="C420" s="1">
        <v>100419</v>
      </c>
      <c r="D420" s="1" t="str">
        <f>[1]装备明细!$M421</f>
        <v>IC1936</v>
      </c>
      <c r="E420" s="1" t="str">
        <f>[1]装备明细!$C421</f>
        <v>赫卡忒的魔能</v>
      </c>
      <c r="G420" s="1">
        <f>[1]装备明细!$J421</f>
        <v>5</v>
      </c>
      <c r="H420" s="1" t="str">
        <f>IF([1]装备明细!$G421&gt;=14,"",[1]装备明细!$G421-1)</f>
        <v/>
      </c>
      <c r="I420" s="1">
        <f>[1]装备明细!$F421</f>
        <v>2</v>
      </c>
      <c r="J420" s="1">
        <f>[1]装备明细!$L421</f>
        <v>9</v>
      </c>
      <c r="K420" s="1">
        <f>[1]装备明细!$E421</f>
        <v>4</v>
      </c>
      <c r="L420" s="1">
        <f t="shared" si="6"/>
        <v>4</v>
      </c>
      <c r="M420" s="1">
        <f>[2]Sheet1!$R421*2</f>
        <v>2220</v>
      </c>
    </row>
    <row r="421" spans="1:13" x14ac:dyDescent="0.15">
      <c r="A421" s="1">
        <v>420</v>
      </c>
      <c r="B421" s="1">
        <v>0</v>
      </c>
      <c r="C421" s="1">
        <v>100420</v>
      </c>
      <c r="D421" s="1" t="str">
        <f>[1]装备明细!$M422</f>
        <v>IC1877</v>
      </c>
      <c r="E421" s="1" t="str">
        <f>[1]装备明细!$C422</f>
        <v>赫卡忒的项链</v>
      </c>
      <c r="G421" s="1">
        <f>[1]装备明细!$J422</f>
        <v>5</v>
      </c>
      <c r="H421" s="1" t="str">
        <f>IF([1]装备明细!$G422&gt;=14,"",[1]装备明细!$G422-1)</f>
        <v/>
      </c>
      <c r="I421" s="1">
        <f>[1]装备明细!$F422</f>
        <v>3</v>
      </c>
      <c r="J421" s="1">
        <f>[1]装备明细!$L422</f>
        <v>9</v>
      </c>
      <c r="K421" s="1">
        <f>[1]装备明细!$E422</f>
        <v>4</v>
      </c>
      <c r="L421" s="1">
        <f t="shared" si="6"/>
        <v>4</v>
      </c>
      <c r="M421" s="1">
        <f>[2]Sheet1!$R422*2</f>
        <v>2220</v>
      </c>
    </row>
    <row r="422" spans="1:13" x14ac:dyDescent="0.15">
      <c r="A422" s="1">
        <v>421</v>
      </c>
      <c r="B422" s="1">
        <v>0</v>
      </c>
      <c r="C422" s="1">
        <v>100421</v>
      </c>
      <c r="D422" s="1" t="str">
        <f>[1]装备明细!$M423</f>
        <v>IC1114</v>
      </c>
      <c r="E422" s="1" t="str">
        <f>[1]装备明细!$C423</f>
        <v>雅典娜的惊叹</v>
      </c>
      <c r="G422" s="1">
        <f>[1]装备明细!$J423</f>
        <v>6</v>
      </c>
      <c r="H422" s="1">
        <f>IF([1]装备明细!$G423&gt;=14,"",[1]装备明细!$G423-1)</f>
        <v>5</v>
      </c>
      <c r="I422" s="1">
        <f>[1]装备明细!$F423</f>
        <v>1</v>
      </c>
      <c r="J422" s="1">
        <f>[1]装备明细!$L423</f>
        <v>9</v>
      </c>
      <c r="K422" s="1">
        <f>[1]装备明细!$E423</f>
        <v>4</v>
      </c>
      <c r="L422" s="1">
        <f t="shared" si="6"/>
        <v>4</v>
      </c>
      <c r="M422" s="1">
        <f>[2]Sheet1!$R423*2</f>
        <v>2220</v>
      </c>
    </row>
    <row r="423" spans="1:13" x14ac:dyDescent="0.15">
      <c r="A423" s="1">
        <v>422</v>
      </c>
      <c r="B423" s="1">
        <v>0</v>
      </c>
      <c r="C423" s="1">
        <v>100422</v>
      </c>
      <c r="D423" s="1" t="str">
        <f>[1]装备明细!$M424</f>
        <v>IC1936</v>
      </c>
      <c r="E423" s="1" t="str">
        <f>[1]装备明细!$C424</f>
        <v>雅典娜的智慧</v>
      </c>
      <c r="G423" s="1">
        <f>[1]装备明细!$J424</f>
        <v>6</v>
      </c>
      <c r="H423" s="1" t="str">
        <f>IF([1]装备明细!$G424&gt;=14,"",[1]装备明细!$G424-1)</f>
        <v/>
      </c>
      <c r="I423" s="1">
        <f>[1]装备明细!$F424</f>
        <v>2</v>
      </c>
      <c r="J423" s="1">
        <f>[1]装备明细!$L424</f>
        <v>9</v>
      </c>
      <c r="K423" s="1">
        <f>[1]装备明细!$E424</f>
        <v>4</v>
      </c>
      <c r="L423" s="1">
        <f t="shared" si="6"/>
        <v>4</v>
      </c>
      <c r="M423" s="1">
        <f>[2]Sheet1!$R424*2</f>
        <v>2220</v>
      </c>
    </row>
    <row r="424" spans="1:13" x14ac:dyDescent="0.15">
      <c r="A424" s="1">
        <v>423</v>
      </c>
      <c r="B424" s="1">
        <v>0</v>
      </c>
      <c r="C424" s="1">
        <v>100423</v>
      </c>
      <c r="D424" s="1" t="str">
        <f>[1]装备明细!$M425</f>
        <v>IC1877</v>
      </c>
      <c r="E424" s="1" t="str">
        <f>[1]装备明细!$C425</f>
        <v>雅典娜的项链</v>
      </c>
      <c r="G424" s="1">
        <f>[1]装备明细!$J425</f>
        <v>6</v>
      </c>
      <c r="H424" s="1" t="str">
        <f>IF([1]装备明细!$G425&gt;=14,"",[1]装备明细!$G425-1)</f>
        <v/>
      </c>
      <c r="I424" s="1">
        <f>[1]装备明细!$F425</f>
        <v>3</v>
      </c>
      <c r="J424" s="1">
        <f>[1]装备明细!$L425</f>
        <v>9</v>
      </c>
      <c r="K424" s="1">
        <f>[1]装备明细!$E425</f>
        <v>4</v>
      </c>
      <c r="L424" s="1">
        <f t="shared" si="6"/>
        <v>4</v>
      </c>
      <c r="M424" s="1">
        <f>[2]Sheet1!$R425*2</f>
        <v>2220</v>
      </c>
    </row>
    <row r="425" spans="1:13" x14ac:dyDescent="0.15">
      <c r="A425" s="1">
        <v>424</v>
      </c>
      <c r="B425" s="1">
        <v>0</v>
      </c>
      <c r="C425" s="1">
        <v>100424</v>
      </c>
      <c r="D425" s="1" t="str">
        <f>[1]装备明细!$M426</f>
        <v>IC1343</v>
      </c>
      <c r="E425" s="1" t="str">
        <f>[1]装备明细!$C426</f>
        <v>丘比特之弓</v>
      </c>
      <c r="G425" s="1">
        <f>[1]装备明细!$J426</f>
        <v>7</v>
      </c>
      <c r="H425" s="1">
        <f>IF([1]装备明细!$G426&gt;=14,"",[1]装备明细!$G426-1)</f>
        <v>6</v>
      </c>
      <c r="I425" s="1">
        <f>[1]装备明细!$F426</f>
        <v>1</v>
      </c>
      <c r="J425" s="1">
        <f>[1]装备明细!$L426</f>
        <v>9</v>
      </c>
      <c r="K425" s="1">
        <f>[1]装备明细!$E426</f>
        <v>4</v>
      </c>
      <c r="L425" s="1">
        <f t="shared" si="6"/>
        <v>4</v>
      </c>
      <c r="M425" s="1">
        <f>[2]Sheet1!$R426*2</f>
        <v>2220</v>
      </c>
    </row>
    <row r="426" spans="1:13" x14ac:dyDescent="0.15">
      <c r="A426" s="1">
        <v>425</v>
      </c>
      <c r="B426" s="1">
        <v>0</v>
      </c>
      <c r="C426" s="1">
        <v>100425</v>
      </c>
      <c r="D426" s="1" t="str">
        <f>[1]装备明细!$M427</f>
        <v>IC1936</v>
      </c>
      <c r="E426" s="1" t="str">
        <f>[1]装备明细!$C427</f>
        <v>丘比特的爱</v>
      </c>
      <c r="G426" s="1">
        <f>[1]装备明细!$J427</f>
        <v>7</v>
      </c>
      <c r="H426" s="1" t="str">
        <f>IF([1]装备明细!$G427&gt;=14,"",[1]装备明细!$G427-1)</f>
        <v/>
      </c>
      <c r="I426" s="1">
        <f>[1]装备明细!$F427</f>
        <v>2</v>
      </c>
      <c r="J426" s="1">
        <f>[1]装备明细!$L427</f>
        <v>9</v>
      </c>
      <c r="K426" s="1">
        <f>[1]装备明细!$E427</f>
        <v>4</v>
      </c>
      <c r="L426" s="1">
        <f t="shared" si="6"/>
        <v>4</v>
      </c>
      <c r="M426" s="1">
        <f>[2]Sheet1!$R427*2</f>
        <v>2220</v>
      </c>
    </row>
    <row r="427" spans="1:13" x14ac:dyDescent="0.15">
      <c r="A427" s="1">
        <v>426</v>
      </c>
      <c r="B427" s="1">
        <v>0</v>
      </c>
      <c r="C427" s="1">
        <v>100426</v>
      </c>
      <c r="D427" s="1" t="str">
        <f>[1]装备明细!$M428</f>
        <v>IC1877</v>
      </c>
      <c r="E427" s="1" t="str">
        <f>[1]装备明细!$C428</f>
        <v>丘比特的永恒</v>
      </c>
      <c r="G427" s="1">
        <f>[1]装备明细!$J428</f>
        <v>7</v>
      </c>
      <c r="H427" s="1" t="str">
        <f>IF([1]装备明细!$G428&gt;=14,"",[1]装备明细!$G428-1)</f>
        <v/>
      </c>
      <c r="I427" s="1">
        <f>[1]装备明细!$F428</f>
        <v>3</v>
      </c>
      <c r="J427" s="1">
        <f>[1]装备明细!$L428</f>
        <v>9</v>
      </c>
      <c r="K427" s="1">
        <f>[1]装备明细!$E428</f>
        <v>4</v>
      </c>
      <c r="L427" s="1">
        <f t="shared" si="6"/>
        <v>4</v>
      </c>
      <c r="M427" s="1">
        <f>[2]Sheet1!$R428*2</f>
        <v>2220</v>
      </c>
    </row>
    <row r="428" spans="1:13" x14ac:dyDescent="0.15">
      <c r="A428" s="1">
        <v>427</v>
      </c>
      <c r="B428" s="1">
        <v>0</v>
      </c>
      <c r="C428" s="1">
        <v>100427</v>
      </c>
      <c r="D428" s="1" t="str">
        <f>[1]装备明细!$M429</f>
        <v>IC1113</v>
      </c>
      <c r="E428" s="1" t="str">
        <f>[1]装备明细!$C429</f>
        <v>波塞冬的烟斗</v>
      </c>
      <c r="G428" s="1">
        <f>[1]装备明细!$J429</f>
        <v>8</v>
      </c>
      <c r="H428" s="1">
        <f>IF([1]装备明细!$G429&gt;=14,"",[1]装备明细!$G429-1)</f>
        <v>7</v>
      </c>
      <c r="I428" s="1">
        <f>[1]装备明细!$F429</f>
        <v>1</v>
      </c>
      <c r="J428" s="1">
        <f>[1]装备明细!$L429</f>
        <v>9</v>
      </c>
      <c r="K428" s="1">
        <f>[1]装备明细!$E429</f>
        <v>4</v>
      </c>
      <c r="L428" s="1">
        <f t="shared" si="6"/>
        <v>4</v>
      </c>
      <c r="M428" s="1">
        <f>[2]Sheet1!$R429*2</f>
        <v>1743</v>
      </c>
    </row>
    <row r="429" spans="1:13" x14ac:dyDescent="0.15">
      <c r="A429" s="1">
        <v>428</v>
      </c>
      <c r="B429" s="1">
        <v>0</v>
      </c>
      <c r="C429" s="1">
        <v>100428</v>
      </c>
      <c r="D429" s="1" t="str">
        <f>[1]装备明细!$M430</f>
        <v>IC1936</v>
      </c>
      <c r="E429" s="1" t="str">
        <f>[1]装备明细!$C430</f>
        <v>波塞冬的风暴</v>
      </c>
      <c r="G429" s="1">
        <f>[1]装备明细!$J430</f>
        <v>8</v>
      </c>
      <c r="H429" s="1" t="str">
        <f>IF([1]装备明细!$G430&gt;=14,"",[1]装备明细!$G430-1)</f>
        <v/>
      </c>
      <c r="I429" s="1">
        <f>[1]装备明细!$F430</f>
        <v>2</v>
      </c>
      <c r="J429" s="1">
        <f>[1]装备明细!$L430</f>
        <v>9</v>
      </c>
      <c r="K429" s="1">
        <f>[1]装备明细!$E430</f>
        <v>4</v>
      </c>
      <c r="L429" s="1">
        <f t="shared" si="6"/>
        <v>4</v>
      </c>
      <c r="M429" s="1">
        <f>[2]Sheet1!$R430*2</f>
        <v>1743</v>
      </c>
    </row>
    <row r="430" spans="1:13" x14ac:dyDescent="0.15">
      <c r="A430" s="1">
        <v>429</v>
      </c>
      <c r="B430" s="1">
        <v>0</v>
      </c>
      <c r="C430" s="1">
        <v>100429</v>
      </c>
      <c r="D430" s="1" t="str">
        <f>[1]装备明细!$M431</f>
        <v>IC1877</v>
      </c>
      <c r="E430" s="1" t="str">
        <f>[1]装备明细!$C431</f>
        <v>波塞冬的洪荒</v>
      </c>
      <c r="G430" s="1">
        <f>[1]装备明细!$J431</f>
        <v>8</v>
      </c>
      <c r="H430" s="1" t="str">
        <f>IF([1]装备明细!$G431&gt;=14,"",[1]装备明细!$G431-1)</f>
        <v/>
      </c>
      <c r="I430" s="1">
        <f>[1]装备明细!$F431</f>
        <v>3</v>
      </c>
      <c r="J430" s="1">
        <f>[1]装备明细!$L431</f>
        <v>9</v>
      </c>
      <c r="K430" s="1">
        <f>[1]装备明细!$E431</f>
        <v>4</v>
      </c>
      <c r="L430" s="1">
        <f t="shared" si="6"/>
        <v>4</v>
      </c>
      <c r="M430" s="1">
        <f>[2]Sheet1!$R431*2</f>
        <v>1743</v>
      </c>
    </row>
    <row r="431" spans="1:13" x14ac:dyDescent="0.15">
      <c r="A431" s="1">
        <v>430</v>
      </c>
      <c r="B431" s="1">
        <v>0</v>
      </c>
      <c r="C431" s="1">
        <v>100430</v>
      </c>
      <c r="D431" s="1" t="str">
        <f>[1]装备明细!$M432</f>
        <v>IC1837</v>
      </c>
      <c r="E431" s="1" t="str">
        <f>[1]装备明细!$C432</f>
        <v>赫柏的扇子</v>
      </c>
      <c r="G431" s="1">
        <f>[1]装备明细!$J432</f>
        <v>9</v>
      </c>
      <c r="H431" s="1">
        <f>IF([1]装备明细!$G432&gt;=14,"",[1]装备明细!$G432-1)</f>
        <v>8</v>
      </c>
      <c r="I431" s="1">
        <f>[1]装备明细!$F432</f>
        <v>1</v>
      </c>
      <c r="J431" s="1">
        <f>[1]装备明细!$L432</f>
        <v>9</v>
      </c>
      <c r="K431" s="1">
        <f>[1]装备明细!$E432</f>
        <v>4</v>
      </c>
      <c r="L431" s="1">
        <f t="shared" si="6"/>
        <v>4</v>
      </c>
      <c r="M431" s="1">
        <f>[2]Sheet1!$R432*2</f>
        <v>1743</v>
      </c>
    </row>
    <row r="432" spans="1:13" x14ac:dyDescent="0.15">
      <c r="A432" s="1">
        <v>431</v>
      </c>
      <c r="B432" s="1">
        <v>0</v>
      </c>
      <c r="C432" s="1">
        <v>100431</v>
      </c>
      <c r="D432" s="1" t="str">
        <f>[1]装备明细!$M433</f>
        <v>IC1936</v>
      </c>
      <c r="E432" s="1" t="str">
        <f>[1]装备明细!$C433</f>
        <v>赫柏的青春</v>
      </c>
      <c r="G432" s="1">
        <f>[1]装备明细!$J433</f>
        <v>9</v>
      </c>
      <c r="H432" s="1" t="str">
        <f>IF([1]装备明细!$G433&gt;=14,"",[1]装备明细!$G433-1)</f>
        <v/>
      </c>
      <c r="I432" s="1">
        <f>[1]装备明细!$F433</f>
        <v>2</v>
      </c>
      <c r="J432" s="1">
        <f>[1]装备明细!$L433</f>
        <v>9</v>
      </c>
      <c r="K432" s="1">
        <f>[1]装备明细!$E433</f>
        <v>4</v>
      </c>
      <c r="L432" s="1">
        <f t="shared" si="6"/>
        <v>4</v>
      </c>
      <c r="M432" s="1">
        <f>[2]Sheet1!$R433*2</f>
        <v>1995</v>
      </c>
    </row>
    <row r="433" spans="1:13" x14ac:dyDescent="0.15">
      <c r="A433" s="1">
        <v>432</v>
      </c>
      <c r="B433" s="1">
        <v>0</v>
      </c>
      <c r="C433" s="1">
        <v>100432</v>
      </c>
      <c r="D433" s="1" t="str">
        <f>[1]装备明细!$M434</f>
        <v>IC1877</v>
      </c>
      <c r="E433" s="1" t="str">
        <f>[1]装备明细!$C434</f>
        <v>赫柏的吊坠</v>
      </c>
      <c r="G433" s="1">
        <f>[1]装备明细!$J434</f>
        <v>9</v>
      </c>
      <c r="H433" s="1" t="str">
        <f>IF([1]装备明细!$G434&gt;=14,"",[1]装备明细!$G434-1)</f>
        <v/>
      </c>
      <c r="I433" s="1">
        <f>[1]装备明细!$F434</f>
        <v>3</v>
      </c>
      <c r="J433" s="1">
        <f>[1]装备明细!$L434</f>
        <v>9</v>
      </c>
      <c r="K433" s="1">
        <f>[1]装备明细!$E434</f>
        <v>4</v>
      </c>
      <c r="L433" s="1">
        <f t="shared" si="6"/>
        <v>4</v>
      </c>
      <c r="M433" s="1">
        <f>[2]Sheet1!$R434*2</f>
        <v>1743</v>
      </c>
    </row>
    <row r="434" spans="1:13" x14ac:dyDescent="0.15">
      <c r="A434" s="1">
        <v>433</v>
      </c>
      <c r="B434" s="1">
        <v>0</v>
      </c>
      <c r="C434" s="1">
        <v>100433</v>
      </c>
      <c r="D434" s="1" t="str">
        <f>[1]装备明细!$M435</f>
        <v>IC1566</v>
      </c>
      <c r="E434" s="1" t="str">
        <f>[1]装备明细!$C435</f>
        <v>彼列的谎言</v>
      </c>
      <c r="G434" s="1">
        <f>[1]装备明细!$J435</f>
        <v>10</v>
      </c>
      <c r="H434" s="1">
        <f>IF([1]装备明细!$G435&gt;=14,"",[1]装备明细!$G435-1)</f>
        <v>9</v>
      </c>
      <c r="I434" s="1">
        <f>[1]装备明细!$F435</f>
        <v>1</v>
      </c>
      <c r="J434" s="1">
        <f>[1]装备明细!$L435</f>
        <v>9</v>
      </c>
      <c r="K434" s="1">
        <f>[1]装备明细!$E435</f>
        <v>4</v>
      </c>
      <c r="L434" s="1">
        <f t="shared" si="6"/>
        <v>4</v>
      </c>
      <c r="M434" s="1">
        <f>[2]Sheet1!$R435*2</f>
        <v>2220</v>
      </c>
    </row>
    <row r="435" spans="1:13" x14ac:dyDescent="0.15">
      <c r="A435" s="1">
        <v>434</v>
      </c>
      <c r="B435" s="1">
        <v>0</v>
      </c>
      <c r="C435" s="1">
        <v>100434</v>
      </c>
      <c r="D435" s="1" t="str">
        <f>[1]装备明细!$M436</f>
        <v>IC1936</v>
      </c>
      <c r="E435" s="1" t="str">
        <f>[1]装备明细!$C436</f>
        <v>彼列的幻象</v>
      </c>
      <c r="G435" s="1">
        <f>[1]装备明细!$J436</f>
        <v>10</v>
      </c>
      <c r="H435" s="1" t="str">
        <f>IF([1]装备明细!$G436&gt;=14,"",[1]装备明细!$G436-1)</f>
        <v/>
      </c>
      <c r="I435" s="1">
        <f>[1]装备明细!$F436</f>
        <v>2</v>
      </c>
      <c r="J435" s="1">
        <f>[1]装备明细!$L436</f>
        <v>9</v>
      </c>
      <c r="K435" s="1">
        <f>[1]装备明细!$E436</f>
        <v>4</v>
      </c>
      <c r="L435" s="1">
        <f t="shared" si="6"/>
        <v>4</v>
      </c>
      <c r="M435" s="1">
        <f>[2]Sheet1!$R436*2</f>
        <v>2220</v>
      </c>
    </row>
    <row r="436" spans="1:13" x14ac:dyDescent="0.15">
      <c r="A436" s="1">
        <v>435</v>
      </c>
      <c r="B436" s="1">
        <v>0</v>
      </c>
      <c r="C436" s="1">
        <v>100435</v>
      </c>
      <c r="D436" s="1" t="str">
        <f>[1]装备明细!$M437</f>
        <v>IC1877</v>
      </c>
      <c r="E436" s="1" t="str">
        <f>[1]装备明细!$C437</f>
        <v>彼列的面目</v>
      </c>
      <c r="G436" s="1">
        <f>[1]装备明细!$J437</f>
        <v>10</v>
      </c>
      <c r="H436" s="1" t="str">
        <f>IF([1]装备明细!$G437&gt;=14,"",[1]装备明细!$G437-1)</f>
        <v/>
      </c>
      <c r="I436" s="1">
        <f>[1]装备明细!$F437</f>
        <v>3</v>
      </c>
      <c r="J436" s="1">
        <f>[1]装备明细!$L437</f>
        <v>9</v>
      </c>
      <c r="K436" s="1">
        <f>[1]装备明细!$E437</f>
        <v>4</v>
      </c>
      <c r="L436" s="1">
        <f t="shared" si="6"/>
        <v>4</v>
      </c>
      <c r="M436" s="1">
        <f>[2]Sheet1!$R437*2</f>
        <v>2220</v>
      </c>
    </row>
    <row r="437" spans="1:13" x14ac:dyDescent="0.15">
      <c r="A437" s="1">
        <v>436</v>
      </c>
      <c r="B437" s="1">
        <v>0</v>
      </c>
      <c r="C437" s="1">
        <v>100436</v>
      </c>
      <c r="D437" s="1" t="str">
        <f>[1]装备明细!$M438</f>
        <v>IC1431</v>
      </c>
      <c r="E437" s="1" t="str">
        <f>[1]装备明细!$C438</f>
        <v>勒托之球</v>
      </c>
      <c r="G437" s="1">
        <f>[1]装备明细!$J438</f>
        <v>11</v>
      </c>
      <c r="H437" s="1">
        <f>IF([1]装备明细!$G438&gt;=14,"",[1]装备明细!$G438-1)</f>
        <v>10</v>
      </c>
      <c r="I437" s="1">
        <f>[1]装备明细!$F438</f>
        <v>1</v>
      </c>
      <c r="J437" s="1">
        <f>[1]装备明细!$L438</f>
        <v>9</v>
      </c>
      <c r="K437" s="1">
        <f>[1]装备明细!$E438</f>
        <v>4</v>
      </c>
      <c r="L437" s="1">
        <f t="shared" si="6"/>
        <v>4</v>
      </c>
      <c r="M437" s="1">
        <f>[2]Sheet1!$R438*2</f>
        <v>1800</v>
      </c>
    </row>
    <row r="438" spans="1:13" x14ac:dyDescent="0.15">
      <c r="A438" s="1">
        <v>437</v>
      </c>
      <c r="B438" s="1">
        <v>0</v>
      </c>
      <c r="C438" s="1">
        <v>100437</v>
      </c>
      <c r="D438" s="1" t="str">
        <f>[1]装备明细!$M439</f>
        <v>IC1936</v>
      </c>
      <c r="E438" s="1" t="str">
        <f>[1]装备明细!$C439</f>
        <v>勒托之戒</v>
      </c>
      <c r="G438" s="1">
        <f>[1]装备明细!$J439</f>
        <v>11</v>
      </c>
      <c r="H438" s="1" t="str">
        <f>IF([1]装备明细!$G439&gt;=14,"",[1]装备明细!$G439-1)</f>
        <v/>
      </c>
      <c r="I438" s="1">
        <f>[1]装备明细!$F439</f>
        <v>2</v>
      </c>
      <c r="J438" s="1">
        <f>[1]装备明细!$L439</f>
        <v>9</v>
      </c>
      <c r="K438" s="1">
        <f>[1]装备明细!$E439</f>
        <v>4</v>
      </c>
      <c r="L438" s="1">
        <f t="shared" si="6"/>
        <v>4</v>
      </c>
      <c r="M438" s="1">
        <f>[2]Sheet1!$R439*2</f>
        <v>1800</v>
      </c>
    </row>
    <row r="439" spans="1:13" x14ac:dyDescent="0.15">
      <c r="A439" s="1">
        <v>438</v>
      </c>
      <c r="B439" s="1">
        <v>0</v>
      </c>
      <c r="C439" s="1">
        <v>100438</v>
      </c>
      <c r="D439" s="1" t="str">
        <f>[1]装备明细!$M440</f>
        <v>IC1877</v>
      </c>
      <c r="E439" s="1" t="str">
        <f>[1]装备明细!$C440</f>
        <v>勒托之眼</v>
      </c>
      <c r="G439" s="1">
        <f>[1]装备明细!$J440</f>
        <v>11</v>
      </c>
      <c r="H439" s="1" t="str">
        <f>IF([1]装备明细!$G440&gt;=14,"",[1]装备明细!$G440-1)</f>
        <v/>
      </c>
      <c r="I439" s="1">
        <f>[1]装备明细!$F440</f>
        <v>3</v>
      </c>
      <c r="J439" s="1">
        <f>[1]装备明细!$L440</f>
        <v>9</v>
      </c>
      <c r="K439" s="1">
        <f>[1]装备明细!$E440</f>
        <v>4</v>
      </c>
      <c r="L439" s="1">
        <f t="shared" si="6"/>
        <v>4</v>
      </c>
      <c r="M439" s="1">
        <f>[2]Sheet1!$R440*2</f>
        <v>1800</v>
      </c>
    </row>
    <row r="440" spans="1:13" x14ac:dyDescent="0.15">
      <c r="A440" s="1">
        <v>439</v>
      </c>
      <c r="B440" s="1">
        <v>0</v>
      </c>
      <c r="C440" s="1">
        <v>100439</v>
      </c>
      <c r="D440" s="1" t="str">
        <f>[1]装备明细!$M441</f>
        <v>IC1766</v>
      </c>
      <c r="E440" s="1" t="str">
        <f>[1]装备明细!$C441</f>
        <v>九尾狐的爪子</v>
      </c>
      <c r="G440" s="1">
        <f>[1]装备明细!$J441</f>
        <v>12</v>
      </c>
      <c r="H440" s="1">
        <f>IF([1]装备明细!$G441&gt;=14,"",[1]装备明细!$G441-1)</f>
        <v>11</v>
      </c>
      <c r="I440" s="1">
        <f>[1]装备明细!$F441</f>
        <v>1</v>
      </c>
      <c r="J440" s="1">
        <f>[1]装备明细!$L441</f>
        <v>9</v>
      </c>
      <c r="K440" s="1">
        <f>[1]装备明细!$E441</f>
        <v>4</v>
      </c>
      <c r="L440" s="1">
        <f t="shared" si="6"/>
        <v>4</v>
      </c>
      <c r="M440" s="1">
        <f>[2]Sheet1!$R441*2</f>
        <v>2085</v>
      </c>
    </row>
    <row r="441" spans="1:13" x14ac:dyDescent="0.15">
      <c r="A441" s="1">
        <v>440</v>
      </c>
      <c r="B441" s="1">
        <v>0</v>
      </c>
      <c r="C441" s="1">
        <v>100440</v>
      </c>
      <c r="D441" s="1" t="str">
        <f>[1]装备明细!$M442</f>
        <v>IC1936</v>
      </c>
      <c r="E441" s="1" t="str">
        <f>[1]装备明细!$C442</f>
        <v>九尾狐的指环</v>
      </c>
      <c r="G441" s="1">
        <f>[1]装备明细!$J442</f>
        <v>12</v>
      </c>
      <c r="H441" s="1" t="str">
        <f>IF([1]装备明细!$G442&gt;=14,"",[1]装备明细!$G442-1)</f>
        <v/>
      </c>
      <c r="I441" s="1">
        <f>[1]装备明细!$F442</f>
        <v>2</v>
      </c>
      <c r="J441" s="1">
        <f>[1]装备明细!$L442</f>
        <v>9</v>
      </c>
      <c r="K441" s="1">
        <f>[1]装备明细!$E442</f>
        <v>4</v>
      </c>
      <c r="L441" s="1">
        <f t="shared" si="6"/>
        <v>4</v>
      </c>
      <c r="M441" s="1">
        <f>[2]Sheet1!$R442*2</f>
        <v>2085</v>
      </c>
    </row>
    <row r="442" spans="1:13" x14ac:dyDescent="0.15">
      <c r="A442" s="1">
        <v>441</v>
      </c>
      <c r="B442" s="1">
        <v>0</v>
      </c>
      <c r="C442" s="1">
        <v>100441</v>
      </c>
      <c r="D442" s="1" t="str">
        <f>[1]装备明细!$M443</f>
        <v>IC1877</v>
      </c>
      <c r="E442" s="1" t="str">
        <f>[1]装备明细!$C443</f>
        <v>九尾狐的颈圈</v>
      </c>
      <c r="G442" s="1">
        <f>[1]装备明细!$J443</f>
        <v>12</v>
      </c>
      <c r="H442" s="1" t="str">
        <f>IF([1]装备明细!$G443&gt;=14,"",[1]装备明细!$G443-1)</f>
        <v/>
      </c>
      <c r="I442" s="1">
        <f>[1]装备明细!$F443</f>
        <v>3</v>
      </c>
      <c r="J442" s="1">
        <f>[1]装备明细!$L443</f>
        <v>9</v>
      </c>
      <c r="K442" s="1">
        <f>[1]装备明细!$E443</f>
        <v>4</v>
      </c>
      <c r="L442" s="1">
        <f t="shared" si="6"/>
        <v>4</v>
      </c>
      <c r="M442" s="1">
        <f>[2]Sheet1!$R443*2</f>
        <v>2085</v>
      </c>
    </row>
    <row r="443" spans="1:13" x14ac:dyDescent="0.15">
      <c r="A443" s="1">
        <v>442</v>
      </c>
      <c r="B443" s="1">
        <v>0</v>
      </c>
      <c r="C443" s="1">
        <v>100442</v>
      </c>
      <c r="D443" s="1" t="str">
        <f>[1]装备明细!$M444</f>
        <v>IC1203</v>
      </c>
      <c r="E443" s="1" t="str">
        <f>[1]装备明细!$C444</f>
        <v>泰瑞尔之剑</v>
      </c>
      <c r="G443" s="1">
        <f>[1]装备明细!$J444</f>
        <v>13</v>
      </c>
      <c r="H443" s="1">
        <f>IF([1]装备明细!$G444&gt;=14,"",[1]装备明细!$G444-1)</f>
        <v>12</v>
      </c>
      <c r="I443" s="1">
        <f>[1]装备明细!$F444</f>
        <v>1</v>
      </c>
      <c r="J443" s="1">
        <f>[1]装备明细!$L444</f>
        <v>9</v>
      </c>
      <c r="K443" s="1">
        <f>[1]装备明细!$E444</f>
        <v>4</v>
      </c>
      <c r="L443" s="1">
        <f t="shared" si="6"/>
        <v>4</v>
      </c>
      <c r="M443" s="1">
        <f>[2]Sheet1!$R444*2</f>
        <v>2220</v>
      </c>
    </row>
    <row r="444" spans="1:13" x14ac:dyDescent="0.15">
      <c r="A444" s="1">
        <v>443</v>
      </c>
      <c r="B444" s="1">
        <v>0</v>
      </c>
      <c r="C444" s="1">
        <v>100443</v>
      </c>
      <c r="D444" s="1" t="str">
        <f>[1]装备明细!$M445</f>
        <v>IC1936</v>
      </c>
      <c r="E444" s="1" t="str">
        <f>[1]装备明细!$C445</f>
        <v>泰瑞尔之力</v>
      </c>
      <c r="G444" s="1">
        <f>[1]装备明细!$J445</f>
        <v>13</v>
      </c>
      <c r="H444" s="1" t="str">
        <f>IF([1]装备明细!$G445&gt;=14,"",[1]装备明细!$G445-1)</f>
        <v/>
      </c>
      <c r="I444" s="1">
        <f>[1]装备明细!$F445</f>
        <v>2</v>
      </c>
      <c r="J444" s="1">
        <f>[1]装备明细!$L445</f>
        <v>9</v>
      </c>
      <c r="K444" s="1">
        <f>[1]装备明细!$E445</f>
        <v>4</v>
      </c>
      <c r="L444" s="1">
        <f t="shared" si="6"/>
        <v>4</v>
      </c>
      <c r="M444" s="1">
        <f>[2]Sheet1!$R445*2</f>
        <v>2220</v>
      </c>
    </row>
    <row r="445" spans="1:13" x14ac:dyDescent="0.15">
      <c r="A445" s="1">
        <v>444</v>
      </c>
      <c r="B445" s="1">
        <v>0</v>
      </c>
      <c r="C445" s="1">
        <v>100444</v>
      </c>
      <c r="D445" s="1" t="str">
        <f>[1]装备明细!$M446</f>
        <v>IC1877</v>
      </c>
      <c r="E445" s="1" t="str">
        <f>[1]装备明细!$C446</f>
        <v>泰瑞尔之威严</v>
      </c>
      <c r="G445" s="1">
        <f>[1]装备明细!$J446</f>
        <v>13</v>
      </c>
      <c r="H445" s="1" t="str">
        <f>IF([1]装备明细!$G446&gt;=14,"",[1]装备明细!$G446-1)</f>
        <v/>
      </c>
      <c r="I445" s="1">
        <f>[1]装备明细!$F446</f>
        <v>3</v>
      </c>
      <c r="J445" s="1">
        <f>[1]装备明细!$L446</f>
        <v>9</v>
      </c>
      <c r="K445" s="1">
        <f>[1]装备明细!$E446</f>
        <v>4</v>
      </c>
      <c r="L445" s="1">
        <f t="shared" si="6"/>
        <v>4</v>
      </c>
      <c r="M445" s="1">
        <f>[2]Sheet1!$R446*2</f>
        <v>2220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item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2014-07-08T07:25:39Z</dcterms:modified>
</cp:coreProperties>
</file>